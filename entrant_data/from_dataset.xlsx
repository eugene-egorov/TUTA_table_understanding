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240" yWindow="135" windowWidth="9690" windowHeight="6150"/>
  </bookViews>
  <sheets>
    <sheet name="G-1.0" sheetId="1" r:id="rId1"/>
  </sheets>
  <definedNames>
    <definedName name="_xlnm.Print_Area" localSheetId="0">'G-1.0'!$A$1:$P$49</definedName>
  </definedNames>
  <calcPr calcId="101716"/>
</workbook>
</file>

<file path=xl/calcChain.xml><?xml version="1.0" encoding="utf-8"?>
<calcChain xmlns="http://schemas.openxmlformats.org/spreadsheetml/2006/main">
  <c r="P25" i="1" l="1"/>
  <c r="P24" i="1"/>
  <c r="P23" i="1"/>
  <c r="P22" i="1"/>
  <c r="P19" i="1"/>
  <c r="P18" i="1"/>
  <c r="P17" i="1"/>
  <c r="P16" i="1"/>
  <c r="P13" i="1"/>
  <c r="P14" i="1"/>
  <c r="P6" i="1"/>
  <c r="P9" i="1"/>
  <c r="P11" i="1"/>
  <c r="P10" i="1"/>
  <c r="P8" i="1"/>
  <c r="P5" i="1"/>
  <c r="O22" i="1"/>
  <c r="O16" i="1"/>
  <c r="O5" i="1"/>
  <c r="O25" i="1"/>
  <c r="O19" i="1"/>
  <c r="O14" i="1"/>
  <c r="O11" i="1"/>
  <c r="O9" i="1"/>
  <c r="O6" i="1"/>
  <c r="E25" i="1"/>
  <c r="E19" i="1"/>
  <c r="E14" i="1"/>
  <c r="F14" i="1"/>
  <c r="H5" i="1"/>
  <c r="G5" i="1"/>
  <c r="F5" i="1"/>
  <c r="E5" i="1"/>
  <c r="H11" i="1"/>
  <c r="G11" i="1"/>
  <c r="F11" i="1"/>
  <c r="E11" i="1"/>
  <c r="H9" i="1"/>
  <c r="G9" i="1"/>
  <c r="F9" i="1"/>
  <c r="E9" i="1"/>
  <c r="E6" i="1"/>
  <c r="F6" i="1"/>
  <c r="N22" i="1"/>
  <c r="D22" i="1"/>
  <c r="N16" i="1"/>
  <c r="D16" i="1"/>
  <c r="N10" i="1"/>
  <c r="D10" i="1"/>
  <c r="N8" i="1"/>
  <c r="D8" i="1"/>
  <c r="N5" i="1"/>
  <c r="D5" i="1"/>
  <c r="D14" i="1"/>
  <c r="D11" i="1"/>
  <c r="D9" i="1"/>
  <c r="D6" i="1"/>
  <c r="N25" i="1"/>
  <c r="N19" i="1"/>
  <c r="N14" i="1"/>
  <c r="N11" i="1"/>
  <c r="N9" i="1"/>
  <c r="M8" i="1"/>
  <c r="M10" i="1"/>
  <c r="M5" i="1"/>
  <c r="N6" i="1"/>
  <c r="J10" i="1"/>
  <c r="J8" i="1"/>
  <c r="J5" i="1"/>
  <c r="J11" i="1"/>
  <c r="K10" i="1"/>
  <c r="K8" i="1"/>
  <c r="K5" i="1"/>
  <c r="K11" i="1"/>
  <c r="L10" i="1"/>
  <c r="L8" i="1"/>
  <c r="L5" i="1"/>
  <c r="L11" i="1"/>
  <c r="M11" i="1"/>
  <c r="M6" i="1"/>
  <c r="L6" i="1"/>
  <c r="K6" i="1"/>
  <c r="I8" i="1"/>
  <c r="I10" i="1"/>
  <c r="I5" i="1"/>
  <c r="J6" i="1"/>
  <c r="I6" i="1"/>
  <c r="H6" i="1"/>
  <c r="G6" i="1"/>
  <c r="M22" i="1"/>
  <c r="M25" i="1"/>
  <c r="M16" i="1"/>
  <c r="M19" i="1"/>
  <c r="M14" i="1"/>
  <c r="M9" i="1"/>
  <c r="F25" i="1"/>
  <c r="D25" i="1"/>
  <c r="G19" i="1"/>
  <c r="F19" i="1"/>
  <c r="D19" i="1"/>
  <c r="G25" i="1"/>
  <c r="G14" i="1"/>
  <c r="H25" i="1"/>
  <c r="H19" i="1"/>
  <c r="H14" i="1"/>
  <c r="L22" i="1"/>
  <c r="K22" i="1"/>
  <c r="L16" i="1"/>
  <c r="K16" i="1"/>
  <c r="K25" i="1"/>
  <c r="J22" i="1"/>
  <c r="J25" i="1"/>
  <c r="I22" i="1"/>
  <c r="I25" i="1"/>
  <c r="K19" i="1"/>
  <c r="J16" i="1"/>
  <c r="J19" i="1"/>
  <c r="I16" i="1"/>
  <c r="I19" i="1"/>
  <c r="K14" i="1"/>
  <c r="J14" i="1"/>
  <c r="I14" i="1"/>
  <c r="I11" i="1"/>
  <c r="K9" i="1"/>
  <c r="J9" i="1"/>
  <c r="I9" i="1"/>
  <c r="I7" i="1"/>
  <c r="H7" i="1"/>
  <c r="L14" i="1"/>
  <c r="L9" i="1"/>
  <c r="L19" i="1"/>
  <c r="L25" i="1"/>
  <c r="F7" i="1"/>
</calcChain>
</file>

<file path=xl/sharedStrings.xml><?xml version="1.0" encoding="utf-8"?>
<sst xmlns="http://schemas.openxmlformats.org/spreadsheetml/2006/main" count="35" uniqueCount="24">
  <si>
    <t>Table 1:</t>
  </si>
  <si>
    <t>Fall Semesters</t>
  </si>
  <si>
    <t>Total Headcount</t>
  </si>
  <si>
    <t>Total Men</t>
  </si>
  <si>
    <t>Total Women</t>
  </si>
  <si>
    <t>Full-Time Students</t>
  </si>
  <si>
    <t>Part-Time Students</t>
  </si>
  <si>
    <t>Average Graduate Student Age</t>
  </si>
  <si>
    <t>Figure 1:</t>
  </si>
  <si>
    <t>Change in Headcount</t>
  </si>
  <si>
    <t xml:space="preserve">          % Annual Growth</t>
  </si>
  <si>
    <t xml:space="preserve">          % Men</t>
  </si>
  <si>
    <t xml:space="preserve">          % Women</t>
  </si>
  <si>
    <t xml:space="preserve">          Men</t>
  </si>
  <si>
    <t xml:space="preserve">          Women</t>
  </si>
  <si>
    <t xml:space="preserve">          % Full-Time</t>
  </si>
  <si>
    <t xml:space="preserve">          % Part-Time</t>
  </si>
  <si>
    <t>N/A</t>
  </si>
  <si>
    <t>F.T.E.S.</t>
  </si>
  <si>
    <t>Average Age, FT Students</t>
  </si>
  <si>
    <t>Average Age, PT Students</t>
  </si>
  <si>
    <t>10-yr chng</t>
  </si>
  <si>
    <t>Full- and Part-Time Graduate Enrollment:  1997, 2003-2007</t>
  </si>
  <si>
    <r>
      <t xml:space="preserve">Total Graduate </t>
    </r>
    <r>
      <rPr>
        <b/>
        <sz val="10"/>
        <rFont val="Times New Roman"/>
        <family val="1"/>
      </rPr>
      <t>Enrollment:  1997, 2003-2007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</si>
</sst>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7" formatCode="#,##0.0"/>
    <numFmt numFmtId="168" formatCode="0.0"/>
    <numFmt numFmtId="169" formatCode="0.0%"/>
    <numFmt numFmtId="185" formatCode="_(* #,##0_);_(* \(#,##0\);_(* &quot;-&quot;??_);_(@_)"/>
  </numFmts>
  <fonts count="13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10"/>
      <color indexed="9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5" fillId="0" borderId="4" xfId="0" applyFont="1" applyFill="1" applyBorder="1"/>
    <xf numFmtId="0" fontId="6" fillId="0" borderId="0" xfId="0" applyFont="1" applyFill="1" applyBorder="1"/>
    <xf numFmtId="0" fontId="7" fillId="0" borderId="1" xfId="0" applyFont="1" applyBorder="1"/>
    <xf numFmtId="0" fontId="7" fillId="0" borderId="0" xfId="0" applyFont="1" applyBorder="1"/>
    <xf numFmtId="0" fontId="0" fillId="0" borderId="3" xfId="0" applyBorder="1"/>
    <xf numFmtId="0" fontId="4" fillId="0" borderId="2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8" fillId="0" borderId="6" xfId="0" applyFont="1" applyBorder="1"/>
    <xf numFmtId="0" fontId="8" fillId="0" borderId="6" xfId="0" applyFont="1" applyFill="1" applyBorder="1"/>
    <xf numFmtId="0" fontId="8" fillId="2" borderId="7" xfId="0" applyFont="1" applyFill="1" applyBorder="1"/>
    <xf numFmtId="0" fontId="8" fillId="3" borderId="8" xfId="0" applyFont="1" applyFill="1" applyBorder="1"/>
    <xf numFmtId="0" fontId="8" fillId="0" borderId="0" xfId="0" applyFont="1" applyFill="1" applyBorder="1"/>
    <xf numFmtId="0" fontId="8" fillId="2" borderId="9" xfId="0" applyFont="1" applyFill="1" applyBorder="1"/>
    <xf numFmtId="0" fontId="9" fillId="0" borderId="0" xfId="0" applyFont="1" applyBorder="1"/>
    <xf numFmtId="0" fontId="9" fillId="0" borderId="0" xfId="0" applyFont="1" applyFill="1" applyBorder="1"/>
    <xf numFmtId="0" fontId="9" fillId="2" borderId="9" xfId="0" applyFont="1" applyFill="1" applyBorder="1"/>
    <xf numFmtId="0" fontId="8" fillId="3" borderId="10" xfId="0" applyFont="1" applyFill="1" applyBorder="1"/>
    <xf numFmtId="0" fontId="8" fillId="0" borderId="4" xfId="0" applyFont="1" applyBorder="1"/>
    <xf numFmtId="0" fontId="8" fillId="0" borderId="4" xfId="0" applyFont="1" applyFill="1" applyBorder="1"/>
    <xf numFmtId="0" fontId="10" fillId="0" borderId="0" xfId="0" applyFont="1" applyBorder="1"/>
    <xf numFmtId="0" fontId="10" fillId="0" borderId="0" xfId="0" applyFont="1" applyFill="1" applyBorder="1"/>
    <xf numFmtId="0" fontId="11" fillId="0" borderId="0" xfId="0" applyFont="1" applyFill="1" applyBorder="1"/>
    <xf numFmtId="167" fontId="9" fillId="0" borderId="0" xfId="0" applyNumberFormat="1" applyFont="1" applyBorder="1"/>
    <xf numFmtId="167" fontId="9" fillId="0" borderId="0" xfId="0" applyNumberFormat="1" applyFont="1" applyFill="1" applyBorder="1"/>
    <xf numFmtId="3" fontId="9" fillId="0" borderId="0" xfId="0" applyNumberFormat="1" applyFont="1" applyBorder="1"/>
    <xf numFmtId="3" fontId="9" fillId="0" borderId="0" xfId="0" applyNumberFormat="1" applyFont="1" applyFill="1" applyBorder="1"/>
    <xf numFmtId="3" fontId="9" fillId="2" borderId="9" xfId="0" applyNumberFormat="1" applyFont="1" applyFill="1" applyBorder="1"/>
    <xf numFmtId="0" fontId="9" fillId="0" borderId="3" xfId="0" applyFont="1" applyBorder="1"/>
    <xf numFmtId="0" fontId="9" fillId="0" borderId="3" xfId="0" applyFont="1" applyFill="1" applyBorder="1"/>
    <xf numFmtId="0" fontId="8" fillId="0" borderId="3" xfId="0" applyFont="1" applyFill="1" applyBorder="1"/>
    <xf numFmtId="0" fontId="0" fillId="2" borderId="0" xfId="0" applyFill="1"/>
    <xf numFmtId="0" fontId="8" fillId="2" borderId="6" xfId="0" applyFont="1" applyFill="1" applyBorder="1"/>
    <xf numFmtId="0" fontId="9" fillId="2" borderId="4" xfId="0" applyFont="1" applyFill="1" applyBorder="1"/>
    <xf numFmtId="0" fontId="12" fillId="2" borderId="0" xfId="0" applyFont="1" applyFill="1" applyBorder="1"/>
    <xf numFmtId="0" fontId="9" fillId="2" borderId="0" xfId="0" applyFont="1" applyFill="1" applyBorder="1"/>
    <xf numFmtId="167" fontId="9" fillId="2" borderId="0" xfId="0" applyNumberFormat="1" applyFont="1" applyFill="1" applyBorder="1"/>
    <xf numFmtId="3" fontId="9" fillId="2" borderId="0" xfId="0" applyNumberFormat="1" applyFont="1" applyFill="1" applyBorder="1"/>
    <xf numFmtId="0" fontId="9" fillId="2" borderId="3" xfId="0" applyFont="1" applyFill="1" applyBorder="1"/>
    <xf numFmtId="0" fontId="8" fillId="3" borderId="9" xfId="0" applyFont="1" applyFill="1" applyBorder="1"/>
    <xf numFmtId="0" fontId="0" fillId="0" borderId="0" xfId="0" applyAlignment="1"/>
    <xf numFmtId="169" fontId="9" fillId="0" borderId="0" xfId="0" applyNumberFormat="1" applyFont="1" applyBorder="1"/>
    <xf numFmtId="169" fontId="9" fillId="0" borderId="11" xfId="0" applyNumberFormat="1" applyFont="1" applyFill="1" applyBorder="1"/>
    <xf numFmtId="169" fontId="9" fillId="0" borderId="0" xfId="0" applyNumberFormat="1" applyFont="1" applyFill="1" applyBorder="1"/>
    <xf numFmtId="169" fontId="9" fillId="2" borderId="0" xfId="2" applyNumberFormat="1" applyFont="1" applyFill="1" applyBorder="1"/>
    <xf numFmtId="169" fontId="9" fillId="2" borderId="9" xfId="2" applyNumberFormat="1" applyFont="1" applyFill="1" applyBorder="1"/>
    <xf numFmtId="169" fontId="9" fillId="2" borderId="0" xfId="0" applyNumberFormat="1" applyFont="1" applyFill="1" applyBorder="1"/>
    <xf numFmtId="169" fontId="9" fillId="2" borderId="9" xfId="0" applyNumberFormat="1" applyFont="1" applyFill="1" applyBorder="1"/>
    <xf numFmtId="169" fontId="8" fillId="3" borderId="10" xfId="0" applyNumberFormat="1" applyFont="1" applyFill="1" applyBorder="1"/>
    <xf numFmtId="0" fontId="9" fillId="0" borderId="0" xfId="0" applyFont="1" applyBorder="1" applyAlignment="1">
      <alignment horizontal="right"/>
    </xf>
    <xf numFmtId="169" fontId="9" fillId="0" borderId="0" xfId="0" applyNumberFormat="1" applyFont="1" applyFill="1" applyBorder="1" applyAlignment="1">
      <alignment horizontal="right"/>
    </xf>
    <xf numFmtId="185" fontId="8" fillId="0" borderId="3" xfId="0" applyNumberFormat="1" applyFont="1" applyBorder="1" applyAlignment="1">
      <alignment horizontal="right"/>
    </xf>
    <xf numFmtId="169" fontId="9" fillId="0" borderId="11" xfId="0" applyNumberFormat="1" applyFont="1" applyFill="1" applyBorder="1" applyAlignment="1">
      <alignment horizontal="right"/>
    </xf>
    <xf numFmtId="167" fontId="8" fillId="0" borderId="3" xfId="0" applyNumberFormat="1" applyFont="1" applyBorder="1"/>
    <xf numFmtId="167" fontId="8" fillId="0" borderId="3" xfId="0" applyNumberFormat="1" applyFont="1" applyFill="1" applyBorder="1"/>
    <xf numFmtId="167" fontId="8" fillId="0" borderId="3" xfId="1" applyNumberFormat="1" applyFont="1" applyFill="1" applyBorder="1"/>
    <xf numFmtId="167" fontId="8" fillId="2" borderId="3" xfId="0" applyNumberFormat="1" applyFont="1" applyFill="1" applyBorder="1"/>
    <xf numFmtId="168" fontId="9" fillId="0" borderId="0" xfId="0" applyNumberFormat="1" applyFont="1" applyBorder="1"/>
    <xf numFmtId="168" fontId="9" fillId="0" borderId="0" xfId="0" applyNumberFormat="1" applyFont="1" applyFill="1" applyBorder="1"/>
    <xf numFmtId="168" fontId="9" fillId="2" borderId="0" xfId="0" applyNumberFormat="1" applyFont="1" applyFill="1" applyBorder="1"/>
    <xf numFmtId="0" fontId="8" fillId="2" borderId="0" xfId="0" applyFont="1" applyFill="1" applyBorder="1"/>
    <xf numFmtId="0" fontId="8" fillId="2" borderId="3" xfId="0" applyFont="1" applyFill="1" applyBorder="1"/>
    <xf numFmtId="169" fontId="8" fillId="3" borderId="9" xfId="2" applyNumberFormat="1" applyFont="1" applyFill="1" applyBorder="1"/>
    <xf numFmtId="169" fontId="8" fillId="3" borderId="9" xfId="0" applyNumberFormat="1" applyFont="1" applyFill="1" applyBorder="1"/>
    <xf numFmtId="3" fontId="8" fillId="3" borderId="9" xfId="0" applyNumberFormat="1" applyFont="1" applyFill="1" applyBorder="1"/>
    <xf numFmtId="168" fontId="8" fillId="3" borderId="8" xfId="0" applyNumberFormat="1" applyFont="1" applyFill="1" applyBorder="1"/>
    <xf numFmtId="0" fontId="2" fillId="0" borderId="12" xfId="0" applyFont="1" applyBorder="1"/>
    <xf numFmtId="0" fontId="10" fillId="0" borderId="11" xfId="0" applyFont="1" applyBorder="1"/>
    <xf numFmtId="0" fontId="9" fillId="0" borderId="11" xfId="0" applyFont="1" applyBorder="1"/>
    <xf numFmtId="0" fontId="9" fillId="0" borderId="11" xfId="0" applyFont="1" applyBorder="1" applyAlignment="1">
      <alignment horizontal="right"/>
    </xf>
    <xf numFmtId="0" fontId="9" fillId="0" borderId="13" xfId="0" applyFont="1" applyBorder="1"/>
    <xf numFmtId="0" fontId="8" fillId="0" borderId="14" xfId="0" applyFont="1" applyBorder="1"/>
    <xf numFmtId="0" fontId="8" fillId="0" borderId="11" xfId="0" applyFont="1" applyFill="1" applyBorder="1"/>
    <xf numFmtId="0" fontId="9" fillId="0" borderId="11" xfId="0" applyFont="1" applyFill="1" applyBorder="1"/>
    <xf numFmtId="3" fontId="9" fillId="0" borderId="11" xfId="0" applyNumberFormat="1" applyFont="1" applyFill="1" applyBorder="1"/>
    <xf numFmtId="0" fontId="7" fillId="2" borderId="0" xfId="0" applyFont="1" applyFill="1" applyBorder="1"/>
    <xf numFmtId="0" fontId="0" fillId="0" borderId="10" xfId="0" applyBorder="1"/>
    <xf numFmtId="0" fontId="6" fillId="0" borderId="8" xfId="0" applyFont="1" applyBorder="1"/>
    <xf numFmtId="169" fontId="0" fillId="0" borderId="10" xfId="0" applyNumberFormat="1" applyBorder="1"/>
    <xf numFmtId="41" fontId="0" fillId="0" borderId="10" xfId="0" applyNumberFormat="1" applyBorder="1"/>
    <xf numFmtId="0" fontId="0" fillId="4" borderId="10" xfId="0" applyFill="1" applyBorder="1"/>
    <xf numFmtId="0" fontId="0" fillId="4" borderId="8" xfId="0" applyFill="1" applyBorder="1"/>
    <xf numFmtId="0" fontId="8" fillId="0" borderId="3" xfId="0" applyFont="1" applyBorder="1" applyAlignment="1">
      <alignment horizontal="right"/>
    </xf>
    <xf numFmtId="185" fontId="8" fillId="0" borderId="13" xfId="0" applyNumberFormat="1" applyFont="1" applyBorder="1" applyAlignment="1">
      <alignment horizontal="right"/>
    </xf>
    <xf numFmtId="168" fontId="8" fillId="2" borderId="7" xfId="0" applyNumberFormat="1" applyFont="1" applyFill="1" applyBorder="1"/>
    <xf numFmtId="168" fontId="8" fillId="3" borderId="10" xfId="0" applyNumberFormat="1" applyFont="1" applyFill="1" applyBorder="1"/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847059858574086E-2"/>
          <c:y val="8.8967971530249115E-2"/>
          <c:w val="0.8716235387271668"/>
          <c:h val="0.67259786476868333"/>
        </c:manualLayout>
      </c:layout>
      <c:barChart>
        <c:barDir val="col"/>
        <c:grouping val="clustered"/>
        <c:varyColors val="0"/>
        <c:ser>
          <c:idx val="0"/>
          <c:order val="0"/>
          <c:tx>
            <c:v>Full-Time Students</c:v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l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'G-1.0'!$E$3:$O$3</c:f>
              <c:numCache>
                <c:formatCode>General</c:formatCode>
                <c:ptCount val="6"/>
                <c:pt idx="0">
                  <c:v>1997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'G-1.0'!$E$16:$O$16</c:f>
              <c:numCache>
                <c:formatCode>#,##0</c:formatCode>
                <c:ptCount val="6"/>
                <c:pt idx="0">
                  <c:v>118</c:v>
                </c:pt>
                <c:pt idx="1">
                  <c:v>154</c:v>
                </c:pt>
                <c:pt idx="2">
                  <c:v>167</c:v>
                </c:pt>
                <c:pt idx="3">
                  <c:v>184</c:v>
                </c:pt>
                <c:pt idx="4">
                  <c:v>156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0-4522-8DF2-194164EEEE97}"/>
            </c:ext>
          </c:extLst>
        </c:ser>
        <c:ser>
          <c:idx val="1"/>
          <c:order val="1"/>
          <c:tx>
            <c:v>Part-Time Students</c:v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'G-1.0'!$E$3:$O$3</c:f>
              <c:numCache>
                <c:formatCode>General</c:formatCode>
                <c:ptCount val="6"/>
                <c:pt idx="0">
                  <c:v>1997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</c:numCache>
            </c:numRef>
          </c:cat>
          <c:val>
            <c:numRef>
              <c:f>'G-1.0'!$E$22:$O$22</c:f>
              <c:numCache>
                <c:formatCode>#,##0</c:formatCode>
                <c:ptCount val="6"/>
                <c:pt idx="0">
                  <c:v>513</c:v>
                </c:pt>
                <c:pt idx="1">
                  <c:v>463</c:v>
                </c:pt>
                <c:pt idx="2">
                  <c:v>409</c:v>
                </c:pt>
                <c:pt idx="3">
                  <c:v>388</c:v>
                </c:pt>
                <c:pt idx="4" formatCode="General">
                  <c:v>436</c:v>
                </c:pt>
                <c:pt idx="5" formatCode="General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0-4522-8DF2-194164EEEE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25310576"/>
        <c:axId val="1"/>
      </c:barChart>
      <c:catAx>
        <c:axId val="12531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31057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9279343678173558"/>
          <c:y val="0.89679715302491103"/>
          <c:w val="0.47747852767483034"/>
          <c:h val="7.829181494661921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30</xdr:row>
      <xdr:rowOff>76200</xdr:rowOff>
    </xdr:from>
    <xdr:to>
      <xdr:col>13</xdr:col>
      <xdr:colOff>466725</xdr:colOff>
      <xdr:row>47</xdr:row>
      <xdr:rowOff>0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54420820-2357-48C8-9370-106B73054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tabSelected="1" topLeftCell="A4" zoomScaleNormal="100" workbookViewId="0">
      <selection activeCell="S18" sqref="S18"/>
    </sheetView>
  </sheetViews>
  <sheetFormatPr defaultRowHeight="12.75" x14ac:dyDescent="0.2"/>
  <cols>
    <col min="4" max="4" width="8.85546875" hidden="1" customWidth="1"/>
    <col min="5" max="5" width="8.85546875" customWidth="1"/>
    <col min="6" max="9" width="9.140625" hidden="1" customWidth="1"/>
    <col min="10" max="10" width="0" hidden="1" customWidth="1"/>
    <col min="12" max="12" width="9.140625" style="42"/>
    <col min="16" max="16" width="9" customWidth="1"/>
  </cols>
  <sheetData>
    <row r="1" spans="1:16" ht="13.5" customHeight="1" x14ac:dyDescent="0.25">
      <c r="A1" s="1" t="s">
        <v>0</v>
      </c>
      <c r="B1" s="99" t="s">
        <v>23</v>
      </c>
      <c r="C1" s="99"/>
      <c r="D1" s="99"/>
      <c r="E1" s="99"/>
      <c r="F1" s="99"/>
      <c r="G1" s="99"/>
      <c r="H1" s="99"/>
      <c r="I1" s="99"/>
      <c r="J1" s="99"/>
      <c r="K1" s="100"/>
      <c r="L1" s="100"/>
      <c r="M1" s="100"/>
      <c r="N1" s="100"/>
      <c r="O1" s="100"/>
      <c r="P1" s="100"/>
    </row>
    <row r="2" spans="1:16" x14ac:dyDescent="0.2">
      <c r="A2" s="2"/>
      <c r="B2" s="2"/>
      <c r="C2" s="2"/>
      <c r="D2" s="2"/>
      <c r="E2" s="2"/>
      <c r="F2" s="2"/>
      <c r="G2" s="2"/>
      <c r="H2" s="2"/>
      <c r="I2" s="2"/>
      <c r="K2" s="14"/>
    </row>
    <row r="3" spans="1:16" x14ac:dyDescent="0.2">
      <c r="A3" s="97" t="s">
        <v>1</v>
      </c>
      <c r="B3" s="98"/>
      <c r="C3" s="98"/>
      <c r="D3" s="19">
        <v>1996</v>
      </c>
      <c r="E3" s="82">
        <v>1997</v>
      </c>
      <c r="F3" s="19">
        <v>1998</v>
      </c>
      <c r="G3" s="19">
        <v>1999</v>
      </c>
      <c r="H3" s="19">
        <v>2000</v>
      </c>
      <c r="I3" s="20">
        <v>2001</v>
      </c>
      <c r="J3" s="20">
        <v>2002</v>
      </c>
      <c r="K3" s="43">
        <v>2003</v>
      </c>
      <c r="L3" s="43">
        <v>2004</v>
      </c>
      <c r="M3" s="43">
        <v>2005</v>
      </c>
      <c r="N3" s="21">
        <v>2006</v>
      </c>
      <c r="O3" s="22">
        <v>2007</v>
      </c>
      <c r="P3" s="88" t="s">
        <v>21</v>
      </c>
    </row>
    <row r="4" spans="1:16" x14ac:dyDescent="0.2">
      <c r="A4" s="16"/>
      <c r="B4" s="17"/>
      <c r="C4" s="17"/>
      <c r="D4" s="18"/>
      <c r="E4" s="77"/>
      <c r="F4" s="18"/>
      <c r="G4" s="18"/>
      <c r="H4" s="29"/>
      <c r="I4" s="30"/>
      <c r="J4" s="30"/>
      <c r="K4" s="44"/>
      <c r="L4" s="71"/>
      <c r="M4" s="71"/>
      <c r="N4" s="24"/>
      <c r="O4" s="28"/>
      <c r="P4" s="87"/>
    </row>
    <row r="5" spans="1:16" x14ac:dyDescent="0.2">
      <c r="A5" s="3" t="s">
        <v>2</v>
      </c>
      <c r="B5" s="4"/>
      <c r="C5" s="86">
        <v>674</v>
      </c>
      <c r="D5" s="23">
        <f>+D8+D10</f>
        <v>653</v>
      </c>
      <c r="E5" s="83">
        <f>+E8+E10</f>
        <v>631</v>
      </c>
      <c r="F5" s="23">
        <f>+F8+F10</f>
        <v>546</v>
      </c>
      <c r="G5" s="23">
        <f>+G8+G10</f>
        <v>524</v>
      </c>
      <c r="H5" s="23">
        <f>+H8+H10</f>
        <v>538</v>
      </c>
      <c r="I5" s="23">
        <f t="shared" ref="I5:N5" si="0">+I8+I10</f>
        <v>622</v>
      </c>
      <c r="J5" s="23">
        <f t="shared" si="0"/>
        <v>645</v>
      </c>
      <c r="K5" s="23">
        <f t="shared" si="0"/>
        <v>617</v>
      </c>
      <c r="L5" s="23">
        <f t="shared" si="0"/>
        <v>576</v>
      </c>
      <c r="M5" s="71">
        <f t="shared" si="0"/>
        <v>572</v>
      </c>
      <c r="N5" s="24">
        <f t="shared" si="0"/>
        <v>592</v>
      </c>
      <c r="O5" s="50">
        <f>+O8+O10</f>
        <v>640</v>
      </c>
      <c r="P5" s="90">
        <f>O5-E5</f>
        <v>9</v>
      </c>
    </row>
    <row r="6" spans="1:16" x14ac:dyDescent="0.2">
      <c r="A6" s="3" t="s">
        <v>10</v>
      </c>
      <c r="B6" s="4"/>
      <c r="C6" s="4"/>
      <c r="D6" s="54">
        <f>SUM(D5-C5)/C5</f>
        <v>-3.1157270029673591E-2</v>
      </c>
      <c r="E6" s="53">
        <f>SUM(E5-D5)/D5</f>
        <v>-3.3690658499234305E-2</v>
      </c>
      <c r="F6" s="54">
        <f>SUM(F5-E5)/E5</f>
        <v>-0.1347068145800317</v>
      </c>
      <c r="G6" s="54">
        <f>SUM(G5-F5)/F5</f>
        <v>-4.0293040293040296E-2</v>
      </c>
      <c r="H6" s="54">
        <f>+(H5-G5)/G5</f>
        <v>2.6717557251908396E-2</v>
      </c>
      <c r="I6" s="54">
        <f>SUM(I5-H5)/H5</f>
        <v>0.15613382899628253</v>
      </c>
      <c r="J6" s="54">
        <f>SUM(J5-I5)/I5</f>
        <v>3.6977491961414789E-2</v>
      </c>
      <c r="K6" s="55">
        <f>(K5-J5)/J5</f>
        <v>-4.3410852713178294E-2</v>
      </c>
      <c r="L6" s="55">
        <f>(L5-K5)/K5</f>
        <v>-6.6450567260940036E-2</v>
      </c>
      <c r="M6" s="55">
        <f>(M5-L5)/L5</f>
        <v>-6.9444444444444441E-3</v>
      </c>
      <c r="N6" s="56">
        <f>(N5-M5)/M5</f>
        <v>3.4965034965034968E-2</v>
      </c>
      <c r="O6" s="73">
        <f>(O5-N5)/N5</f>
        <v>8.1081081081081086E-2</v>
      </c>
      <c r="P6" s="89">
        <f>P5/E5</f>
        <v>1.4263074484944533E-2</v>
      </c>
    </row>
    <row r="7" spans="1:16" x14ac:dyDescent="0.2">
      <c r="A7" s="12" t="s">
        <v>9</v>
      </c>
      <c r="B7" s="13"/>
      <c r="C7" s="13"/>
      <c r="D7" s="31"/>
      <c r="E7" s="78"/>
      <c r="F7" s="31">
        <f>+F5-631</f>
        <v>-85</v>
      </c>
      <c r="G7" s="31"/>
      <c r="H7" s="31" t="e">
        <f>+H5-#REF!</f>
        <v>#REF!</v>
      </c>
      <c r="I7" s="32">
        <f>+I5-H5</f>
        <v>84</v>
      </c>
      <c r="J7" s="33"/>
      <c r="K7" s="45"/>
      <c r="L7" s="45"/>
      <c r="M7" s="45"/>
      <c r="N7" s="27"/>
      <c r="O7" s="28"/>
      <c r="P7" s="87"/>
    </row>
    <row r="8" spans="1:16" x14ac:dyDescent="0.2">
      <c r="A8" s="3" t="s">
        <v>3</v>
      </c>
      <c r="B8" s="4"/>
      <c r="C8" s="4"/>
      <c r="D8" s="26">
        <f>+D17+D23</f>
        <v>194</v>
      </c>
      <c r="E8" s="84">
        <v>192</v>
      </c>
      <c r="F8" s="25">
        <v>148</v>
      </c>
      <c r="G8" s="25">
        <v>153</v>
      </c>
      <c r="H8" s="25">
        <v>165</v>
      </c>
      <c r="I8" s="26">
        <f t="shared" ref="I8:N8" si="1">+I17+I23</f>
        <v>174</v>
      </c>
      <c r="J8" s="26">
        <f t="shared" si="1"/>
        <v>184</v>
      </c>
      <c r="K8" s="26">
        <f t="shared" si="1"/>
        <v>171</v>
      </c>
      <c r="L8" s="26">
        <f t="shared" si="1"/>
        <v>143</v>
      </c>
      <c r="M8" s="46">
        <f t="shared" si="1"/>
        <v>141</v>
      </c>
      <c r="N8" s="27">
        <f t="shared" si="1"/>
        <v>152</v>
      </c>
      <c r="O8" s="28">
        <v>171</v>
      </c>
      <c r="P8" s="90">
        <f>O8-E8</f>
        <v>-21</v>
      </c>
    </row>
    <row r="9" spans="1:16" x14ac:dyDescent="0.2">
      <c r="A9" s="3" t="s">
        <v>11</v>
      </c>
      <c r="B9" s="4"/>
      <c r="C9" s="4"/>
      <c r="D9" s="54">
        <f t="shared" ref="D9:J9" si="2">SUM(D8/D5)</f>
        <v>0.29709035222052066</v>
      </c>
      <c r="E9" s="53">
        <f t="shared" si="2"/>
        <v>0.30427892234548337</v>
      </c>
      <c r="F9" s="54">
        <f t="shared" si="2"/>
        <v>0.27106227106227104</v>
      </c>
      <c r="G9" s="54">
        <f t="shared" si="2"/>
        <v>0.2919847328244275</v>
      </c>
      <c r="H9" s="54">
        <f t="shared" si="2"/>
        <v>0.30669144981412638</v>
      </c>
      <c r="I9" s="54">
        <f t="shared" si="2"/>
        <v>0.27974276527331188</v>
      </c>
      <c r="J9" s="54">
        <f t="shared" si="2"/>
        <v>0.28527131782945736</v>
      </c>
      <c r="K9" s="55">
        <f>K8/K5</f>
        <v>0.2771474878444084</v>
      </c>
      <c r="L9" s="55">
        <f>L8/L5</f>
        <v>0.2482638888888889</v>
      </c>
      <c r="M9" s="55">
        <f>M8/M5</f>
        <v>0.24650349650349651</v>
      </c>
      <c r="N9" s="56">
        <f>N8/N5</f>
        <v>0.25675675675675674</v>
      </c>
      <c r="O9" s="73">
        <f>O8/O5</f>
        <v>0.26718750000000002</v>
      </c>
      <c r="P9" s="89">
        <f>P8/E8</f>
        <v>-0.109375</v>
      </c>
    </row>
    <row r="10" spans="1:16" x14ac:dyDescent="0.2">
      <c r="A10" s="3" t="s">
        <v>4</v>
      </c>
      <c r="B10" s="4"/>
      <c r="C10" s="4"/>
      <c r="D10" s="26">
        <f>+D18+D24</f>
        <v>459</v>
      </c>
      <c r="E10" s="84">
        <v>439</v>
      </c>
      <c r="F10" s="25">
        <v>398</v>
      </c>
      <c r="G10" s="25">
        <v>371</v>
      </c>
      <c r="H10" s="25">
        <v>373</v>
      </c>
      <c r="I10" s="26">
        <f t="shared" ref="I10:N10" si="3">+I18+I24</f>
        <v>448</v>
      </c>
      <c r="J10" s="26">
        <f t="shared" si="3"/>
        <v>461</v>
      </c>
      <c r="K10" s="26">
        <f t="shared" si="3"/>
        <v>446</v>
      </c>
      <c r="L10" s="26">
        <f t="shared" si="3"/>
        <v>433</v>
      </c>
      <c r="M10" s="46">
        <f t="shared" si="3"/>
        <v>431</v>
      </c>
      <c r="N10" s="27">
        <f t="shared" si="3"/>
        <v>440</v>
      </c>
      <c r="O10" s="28">
        <v>469</v>
      </c>
      <c r="P10" s="90">
        <f>O10-E10</f>
        <v>30</v>
      </c>
    </row>
    <row r="11" spans="1:16" x14ac:dyDescent="0.2">
      <c r="A11" s="3" t="s">
        <v>12</v>
      </c>
      <c r="B11" s="4"/>
      <c r="C11" s="4"/>
      <c r="D11" s="54">
        <f t="shared" ref="D11:J11" si="4">SUM(D10/D5)</f>
        <v>0.70290964777947929</v>
      </c>
      <c r="E11" s="53">
        <f t="shared" si="4"/>
        <v>0.69572107765451663</v>
      </c>
      <c r="F11" s="54">
        <f t="shared" si="4"/>
        <v>0.7289377289377289</v>
      </c>
      <c r="G11" s="54">
        <f t="shared" si="4"/>
        <v>0.7080152671755725</v>
      </c>
      <c r="H11" s="54">
        <f t="shared" si="4"/>
        <v>0.69330855018587356</v>
      </c>
      <c r="I11" s="54">
        <f t="shared" si="4"/>
        <v>0.72025723472668812</v>
      </c>
      <c r="J11" s="54">
        <f t="shared" si="4"/>
        <v>0.71472868217054264</v>
      </c>
      <c r="K11" s="55">
        <f>K10/K5</f>
        <v>0.72285251215559154</v>
      </c>
      <c r="L11" s="55">
        <f>L10/L5</f>
        <v>0.75173611111111116</v>
      </c>
      <c r="M11" s="55">
        <f>M10/M5</f>
        <v>0.75349650349650354</v>
      </c>
      <c r="N11" s="56">
        <f>N10/N5</f>
        <v>0.7432432432432432</v>
      </c>
      <c r="O11" s="73">
        <f>O10/O5</f>
        <v>0.73281249999999998</v>
      </c>
      <c r="P11" s="89">
        <f>P10/E10</f>
        <v>6.8337129840546698E-2</v>
      </c>
    </row>
    <row r="12" spans="1:16" x14ac:dyDescent="0.2">
      <c r="A12" s="3"/>
      <c r="B12" s="4"/>
      <c r="C12" s="4"/>
      <c r="D12" s="25"/>
      <c r="E12" s="79"/>
      <c r="F12" s="25"/>
      <c r="G12" s="25"/>
      <c r="H12" s="25"/>
      <c r="I12" s="26"/>
      <c r="J12" s="23"/>
      <c r="K12" s="46"/>
      <c r="L12" s="46"/>
      <c r="M12" s="46"/>
      <c r="N12" s="27"/>
      <c r="O12" s="28"/>
      <c r="P12" s="87"/>
    </row>
    <row r="13" spans="1:16" x14ac:dyDescent="0.2">
      <c r="A13" s="3" t="s">
        <v>18</v>
      </c>
      <c r="B13" s="4"/>
      <c r="C13" s="13">
        <v>229</v>
      </c>
      <c r="D13" s="25">
        <v>237.9</v>
      </c>
      <c r="E13" s="79">
        <v>233.3</v>
      </c>
      <c r="F13" s="25">
        <v>194.9</v>
      </c>
      <c r="G13" s="25">
        <v>190.6</v>
      </c>
      <c r="H13" s="34">
        <v>204.3</v>
      </c>
      <c r="I13" s="35">
        <v>249.3</v>
      </c>
      <c r="J13" s="35">
        <v>288</v>
      </c>
      <c r="K13" s="47">
        <v>281.3</v>
      </c>
      <c r="L13" s="47">
        <v>281.8</v>
      </c>
      <c r="M13" s="47">
        <v>299.39999999999998</v>
      </c>
      <c r="N13" s="27">
        <v>292.8</v>
      </c>
      <c r="O13" s="96">
        <v>332</v>
      </c>
      <c r="P13" s="90">
        <f>O13-E13</f>
        <v>98.699999999999989</v>
      </c>
    </row>
    <row r="14" spans="1:16" x14ac:dyDescent="0.2">
      <c r="A14" s="3" t="s">
        <v>10</v>
      </c>
      <c r="B14" s="4"/>
      <c r="C14" s="4"/>
      <c r="D14" s="54">
        <f>SUM(D13-C13)/C13</f>
        <v>3.8864628820960721E-2</v>
      </c>
      <c r="E14" s="53">
        <f>SUM(E13-D13)/D13</f>
        <v>-1.9335855401429146E-2</v>
      </c>
      <c r="F14" s="54">
        <f>SUM(F13-E13)/E13</f>
        <v>-0.16459494213459067</v>
      </c>
      <c r="G14" s="52">
        <f>(G13-190.6)/190.6</f>
        <v>0</v>
      </c>
      <c r="H14" s="52">
        <f>(H13-190.6)/190.6</f>
        <v>7.1878279118573016E-2</v>
      </c>
      <c r="I14" s="54">
        <f t="shared" ref="I14:O14" si="5">SUM(I13-H13)/H13</f>
        <v>0.22026431718061673</v>
      </c>
      <c r="J14" s="54">
        <f t="shared" si="5"/>
        <v>0.15523465703971115</v>
      </c>
      <c r="K14" s="57">
        <f t="shared" si="5"/>
        <v>-2.3263888888888848E-2</v>
      </c>
      <c r="L14" s="57">
        <f t="shared" si="5"/>
        <v>1.7774617845716315E-3</v>
      </c>
      <c r="M14" s="57">
        <f t="shared" si="5"/>
        <v>6.2455642299503067E-2</v>
      </c>
      <c r="N14" s="58">
        <f t="shared" si="5"/>
        <v>-2.2044088176352592E-2</v>
      </c>
      <c r="O14" s="74">
        <f t="shared" si="5"/>
        <v>0.13387978142076498</v>
      </c>
      <c r="P14" s="89">
        <f>P13/E13</f>
        <v>0.423060437205315</v>
      </c>
    </row>
    <row r="15" spans="1:16" x14ac:dyDescent="0.2">
      <c r="A15" s="3"/>
      <c r="B15" s="4"/>
      <c r="C15" s="4"/>
      <c r="D15" s="25"/>
      <c r="E15" s="79"/>
      <c r="F15" s="25"/>
      <c r="G15" s="25"/>
      <c r="H15" s="25"/>
      <c r="I15" s="26"/>
      <c r="J15" s="26"/>
      <c r="K15" s="46"/>
      <c r="L15" s="46"/>
      <c r="M15" s="46"/>
      <c r="N15" s="27"/>
      <c r="O15" s="28"/>
      <c r="P15" s="87"/>
    </row>
    <row r="16" spans="1:16" x14ac:dyDescent="0.2">
      <c r="A16" s="3" t="s">
        <v>5</v>
      </c>
      <c r="B16" s="4"/>
      <c r="C16" s="4"/>
      <c r="D16" s="37">
        <f>SUM(D17:D18)</f>
        <v>153</v>
      </c>
      <c r="E16" s="85">
        <v>118</v>
      </c>
      <c r="F16" s="25">
        <v>81</v>
      </c>
      <c r="G16" s="25">
        <v>83</v>
      </c>
      <c r="H16" s="36">
        <v>110</v>
      </c>
      <c r="I16" s="37">
        <f t="shared" ref="I16:O16" si="6">SUM(I17:I18)</f>
        <v>118</v>
      </c>
      <c r="J16" s="37">
        <f t="shared" si="6"/>
        <v>154</v>
      </c>
      <c r="K16" s="37">
        <f t="shared" si="6"/>
        <v>154</v>
      </c>
      <c r="L16" s="48">
        <f t="shared" si="6"/>
        <v>167</v>
      </c>
      <c r="M16" s="48">
        <f t="shared" si="6"/>
        <v>184</v>
      </c>
      <c r="N16" s="38">
        <f t="shared" si="6"/>
        <v>156</v>
      </c>
      <c r="O16" s="75">
        <f t="shared" si="6"/>
        <v>210</v>
      </c>
      <c r="P16" s="90">
        <f>O16-E16</f>
        <v>92</v>
      </c>
    </row>
    <row r="17" spans="1:16" x14ac:dyDescent="0.2">
      <c r="A17" s="3" t="s">
        <v>13</v>
      </c>
      <c r="B17" s="4"/>
      <c r="C17" s="4"/>
      <c r="D17" s="25">
        <v>58</v>
      </c>
      <c r="E17" s="79">
        <v>47</v>
      </c>
      <c r="F17" s="25">
        <v>27</v>
      </c>
      <c r="G17" s="25">
        <v>26</v>
      </c>
      <c r="H17" s="36">
        <v>48</v>
      </c>
      <c r="I17" s="37">
        <v>46</v>
      </c>
      <c r="J17" s="37">
        <v>58</v>
      </c>
      <c r="K17" s="48">
        <v>58</v>
      </c>
      <c r="L17" s="48">
        <v>50</v>
      </c>
      <c r="M17" s="48">
        <v>45</v>
      </c>
      <c r="N17" s="27">
        <v>50</v>
      </c>
      <c r="O17" s="28">
        <v>75</v>
      </c>
      <c r="P17" s="90">
        <f>O17-E17</f>
        <v>28</v>
      </c>
    </row>
    <row r="18" spans="1:16" x14ac:dyDescent="0.2">
      <c r="A18" s="3" t="s">
        <v>14</v>
      </c>
      <c r="B18" s="4"/>
      <c r="C18" s="4"/>
      <c r="D18" s="25">
        <v>95</v>
      </c>
      <c r="E18" s="84">
        <v>71</v>
      </c>
      <c r="F18" s="25">
        <v>54</v>
      </c>
      <c r="G18" s="25">
        <v>57</v>
      </c>
      <c r="H18" s="36">
        <v>62</v>
      </c>
      <c r="I18" s="37">
        <v>72</v>
      </c>
      <c r="J18" s="37">
        <v>96</v>
      </c>
      <c r="K18" s="48">
        <v>96</v>
      </c>
      <c r="L18" s="48">
        <v>117</v>
      </c>
      <c r="M18" s="48">
        <v>139</v>
      </c>
      <c r="N18" s="27">
        <v>106</v>
      </c>
      <c r="O18" s="28">
        <v>135</v>
      </c>
      <c r="P18" s="90">
        <f>O18-E18</f>
        <v>64</v>
      </c>
    </row>
    <row r="19" spans="1:16" x14ac:dyDescent="0.2">
      <c r="A19" s="3" t="s">
        <v>15</v>
      </c>
      <c r="B19" s="4"/>
      <c r="C19" s="4"/>
      <c r="D19" s="54">
        <f t="shared" ref="D19:J19" si="7">SUM(D16/D5)</f>
        <v>0.23430321592649311</v>
      </c>
      <c r="E19" s="53">
        <f t="shared" si="7"/>
        <v>0.18700475435816163</v>
      </c>
      <c r="F19" s="54">
        <f t="shared" si="7"/>
        <v>0.14835164835164835</v>
      </c>
      <c r="G19" s="54">
        <f t="shared" si="7"/>
        <v>0.15839694656488548</v>
      </c>
      <c r="H19" s="54">
        <f t="shared" si="7"/>
        <v>0.20446096654275092</v>
      </c>
      <c r="I19" s="54">
        <f t="shared" si="7"/>
        <v>0.18971061093247588</v>
      </c>
      <c r="J19" s="54">
        <f t="shared" si="7"/>
        <v>0.23875968992248062</v>
      </c>
      <c r="K19" s="55">
        <f>K16/K5</f>
        <v>0.24959481361426256</v>
      </c>
      <c r="L19" s="55">
        <f>L16/L5</f>
        <v>0.28993055555555558</v>
      </c>
      <c r="M19" s="55">
        <f>M16/M5</f>
        <v>0.32167832167832167</v>
      </c>
      <c r="N19" s="56">
        <f>N16/N5</f>
        <v>0.26351351351351349</v>
      </c>
      <c r="O19" s="73">
        <f>O16/O5</f>
        <v>0.328125</v>
      </c>
      <c r="P19" s="89">
        <f>P16/E16</f>
        <v>0.77966101694915257</v>
      </c>
    </row>
    <row r="20" spans="1:16" x14ac:dyDescent="0.2">
      <c r="A20" s="5" t="s">
        <v>19</v>
      </c>
      <c r="B20" s="6"/>
      <c r="C20" s="6"/>
      <c r="D20" s="60" t="s">
        <v>17</v>
      </c>
      <c r="E20" s="80" t="s">
        <v>17</v>
      </c>
      <c r="F20" s="60" t="s">
        <v>17</v>
      </c>
      <c r="G20" s="68">
        <v>29.771100000000001</v>
      </c>
      <c r="H20" s="68">
        <v>27.318200000000001</v>
      </c>
      <c r="I20" s="69">
        <v>27.466100000000001</v>
      </c>
      <c r="J20" s="69">
        <v>26.681799999999999</v>
      </c>
      <c r="K20" s="70">
        <v>27.0779</v>
      </c>
      <c r="L20" s="70">
        <v>28.143699999999999</v>
      </c>
      <c r="M20" s="70">
        <v>27.402200000000001</v>
      </c>
      <c r="N20" s="27">
        <v>27.5</v>
      </c>
      <c r="O20" s="96">
        <v>28.942900000000002</v>
      </c>
      <c r="P20" s="91"/>
    </row>
    <row r="21" spans="1:16" x14ac:dyDescent="0.2">
      <c r="A21" s="3"/>
      <c r="B21" s="4"/>
      <c r="C21" s="4"/>
      <c r="D21" s="60"/>
      <c r="E21" s="80"/>
      <c r="F21" s="60"/>
      <c r="G21" s="25"/>
      <c r="H21" s="25"/>
      <c r="I21" s="26"/>
      <c r="J21" s="23"/>
      <c r="K21" s="46"/>
      <c r="L21" s="46"/>
      <c r="M21" s="46"/>
      <c r="N21" s="27"/>
      <c r="O21" s="28"/>
      <c r="P21" s="87"/>
    </row>
    <row r="22" spans="1:16" x14ac:dyDescent="0.2">
      <c r="A22" s="3" t="s">
        <v>6</v>
      </c>
      <c r="B22" s="4"/>
      <c r="C22" s="4"/>
      <c r="D22" s="37">
        <f>SUM(D23:D24)</f>
        <v>500</v>
      </c>
      <c r="E22" s="85">
        <v>513</v>
      </c>
      <c r="F22" s="60">
        <v>465</v>
      </c>
      <c r="G22" s="25">
        <v>441</v>
      </c>
      <c r="H22" s="36">
        <v>428</v>
      </c>
      <c r="I22" s="37">
        <f t="shared" ref="I22:O22" si="8">SUM(I23:I24)</f>
        <v>504</v>
      </c>
      <c r="J22" s="37">
        <f t="shared" si="8"/>
        <v>491</v>
      </c>
      <c r="K22" s="37">
        <f t="shared" si="8"/>
        <v>463</v>
      </c>
      <c r="L22" s="48">
        <f t="shared" si="8"/>
        <v>409</v>
      </c>
      <c r="M22" s="48">
        <f t="shared" si="8"/>
        <v>388</v>
      </c>
      <c r="N22" s="27">
        <f t="shared" si="8"/>
        <v>436</v>
      </c>
      <c r="O22" s="28">
        <f t="shared" si="8"/>
        <v>430</v>
      </c>
      <c r="P22" s="90">
        <f>O22-E22</f>
        <v>-83</v>
      </c>
    </row>
    <row r="23" spans="1:16" x14ac:dyDescent="0.2">
      <c r="A23" s="3" t="s">
        <v>13</v>
      </c>
      <c r="B23" s="4"/>
      <c r="C23" s="4"/>
      <c r="D23" s="60">
        <v>136</v>
      </c>
      <c r="E23" s="80">
        <v>145</v>
      </c>
      <c r="F23" s="60">
        <v>121</v>
      </c>
      <c r="G23" s="25">
        <v>127</v>
      </c>
      <c r="H23" s="36">
        <v>117</v>
      </c>
      <c r="I23" s="37">
        <v>128</v>
      </c>
      <c r="J23" s="37">
        <v>126</v>
      </c>
      <c r="K23" s="48">
        <v>113</v>
      </c>
      <c r="L23" s="48">
        <v>93</v>
      </c>
      <c r="M23" s="48">
        <v>96</v>
      </c>
      <c r="N23" s="27">
        <v>102</v>
      </c>
      <c r="O23" s="28">
        <v>96</v>
      </c>
      <c r="P23" s="90">
        <f>O23-E23</f>
        <v>-49</v>
      </c>
    </row>
    <row r="24" spans="1:16" x14ac:dyDescent="0.2">
      <c r="A24" s="3" t="s">
        <v>14</v>
      </c>
      <c r="B24" s="4"/>
      <c r="C24" s="4"/>
      <c r="D24" s="60">
        <v>364</v>
      </c>
      <c r="E24" s="80">
        <v>368</v>
      </c>
      <c r="F24" s="60">
        <v>344</v>
      </c>
      <c r="G24" s="25">
        <v>314</v>
      </c>
      <c r="H24" s="36">
        <v>311</v>
      </c>
      <c r="I24" s="37">
        <v>376</v>
      </c>
      <c r="J24" s="37">
        <v>365</v>
      </c>
      <c r="K24" s="48">
        <v>350</v>
      </c>
      <c r="L24" s="48">
        <v>316</v>
      </c>
      <c r="M24" s="48">
        <v>292</v>
      </c>
      <c r="N24" s="27">
        <v>334</v>
      </c>
      <c r="O24" s="28">
        <v>334</v>
      </c>
      <c r="P24" s="90">
        <f>O24-E24</f>
        <v>-34</v>
      </c>
    </row>
    <row r="25" spans="1:16" x14ac:dyDescent="0.2">
      <c r="A25" s="3" t="s">
        <v>16</v>
      </c>
      <c r="B25" s="4"/>
      <c r="C25" s="4"/>
      <c r="D25" s="61">
        <f t="shared" ref="D25:J25" si="9">SUM(D22/D5)</f>
        <v>0.76569678407350694</v>
      </c>
      <c r="E25" s="63">
        <f t="shared" si="9"/>
        <v>0.81299524564183834</v>
      </c>
      <c r="F25" s="61">
        <f t="shared" si="9"/>
        <v>0.85164835164835162</v>
      </c>
      <c r="G25" s="54">
        <f t="shared" si="9"/>
        <v>0.84160305343511455</v>
      </c>
      <c r="H25" s="54">
        <f t="shared" si="9"/>
        <v>0.79553903345724908</v>
      </c>
      <c r="I25" s="54">
        <f t="shared" si="9"/>
        <v>0.81028938906752412</v>
      </c>
      <c r="J25" s="54">
        <f t="shared" si="9"/>
        <v>0.76124031007751936</v>
      </c>
      <c r="K25" s="55">
        <f>K22/K5</f>
        <v>0.75040518638573739</v>
      </c>
      <c r="L25" s="55">
        <f>L22/L5</f>
        <v>0.71006944444444442</v>
      </c>
      <c r="M25" s="55">
        <f>M22/M5</f>
        <v>0.67832167832167833</v>
      </c>
      <c r="N25" s="58">
        <f>N22/N5</f>
        <v>0.73648648648648651</v>
      </c>
      <c r="O25" s="59">
        <f>O22/O5</f>
        <v>0.671875</v>
      </c>
      <c r="P25" s="89">
        <f>P22/E22</f>
        <v>-0.1617933723196881</v>
      </c>
    </row>
    <row r="26" spans="1:16" x14ac:dyDescent="0.2">
      <c r="A26" s="5" t="s">
        <v>20</v>
      </c>
      <c r="B26" s="6"/>
      <c r="C26" s="6"/>
      <c r="D26" s="60" t="s">
        <v>17</v>
      </c>
      <c r="E26" s="80" t="s">
        <v>17</v>
      </c>
      <c r="F26" s="60" t="s">
        <v>17</v>
      </c>
      <c r="G26" s="34">
        <v>33.698399999999999</v>
      </c>
      <c r="H26" s="34">
        <v>34.259300000000003</v>
      </c>
      <c r="I26" s="35">
        <v>34.335299999999997</v>
      </c>
      <c r="J26" s="35">
        <v>34.857399999999998</v>
      </c>
      <c r="K26" s="47">
        <v>34.038899999999998</v>
      </c>
      <c r="L26" s="47">
        <v>34.2029</v>
      </c>
      <c r="M26" s="47">
        <v>33.652099999999997</v>
      </c>
      <c r="N26" s="27">
        <v>33.6</v>
      </c>
      <c r="O26" s="96">
        <v>32.632599999999996</v>
      </c>
      <c r="P26" s="91"/>
    </row>
    <row r="27" spans="1:16" x14ac:dyDescent="0.2">
      <c r="A27" s="15"/>
      <c r="B27" s="9"/>
      <c r="C27" s="9"/>
      <c r="D27" s="39"/>
      <c r="E27" s="81"/>
      <c r="F27" s="39"/>
      <c r="G27" s="39"/>
      <c r="H27" s="39"/>
      <c r="I27" s="40"/>
      <c r="J27" s="41"/>
      <c r="K27" s="49"/>
      <c r="L27" s="72"/>
      <c r="M27" s="72"/>
      <c r="N27" s="24"/>
      <c r="O27" s="28"/>
      <c r="P27" s="87"/>
    </row>
    <row r="28" spans="1:16" x14ac:dyDescent="0.2">
      <c r="A28" s="7" t="s">
        <v>7</v>
      </c>
      <c r="B28" s="8"/>
      <c r="C28" s="8"/>
      <c r="D28" s="93" t="s">
        <v>17</v>
      </c>
      <c r="E28" s="94" t="s">
        <v>17</v>
      </c>
      <c r="F28" s="62" t="s">
        <v>17</v>
      </c>
      <c r="G28" s="64">
        <v>33.076300000000003</v>
      </c>
      <c r="H28" s="64">
        <v>32.8401</v>
      </c>
      <c r="I28" s="65">
        <v>33.032200000000003</v>
      </c>
      <c r="J28" s="66">
        <v>32.9054</v>
      </c>
      <c r="K28" s="67">
        <v>32.301499999999997</v>
      </c>
      <c r="L28" s="67">
        <v>32.446199999999997</v>
      </c>
      <c r="M28" s="67">
        <v>31.6416</v>
      </c>
      <c r="N28" s="95">
        <v>31.97</v>
      </c>
      <c r="O28" s="76">
        <v>31.42</v>
      </c>
      <c r="P28" s="92"/>
    </row>
    <row r="29" spans="1:16" x14ac:dyDescent="0.2">
      <c r="A29" s="10"/>
    </row>
    <row r="30" spans="1:16" x14ac:dyDescent="0.2">
      <c r="A30" s="11" t="s">
        <v>8</v>
      </c>
      <c r="B30" s="101" t="s">
        <v>22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</row>
    <row r="49" spans="14:14" x14ac:dyDescent="0.2">
      <c r="N49" s="51"/>
    </row>
  </sheetData>
  <mergeCells count="3">
    <mergeCell ref="A3:C3"/>
    <mergeCell ref="B1:P1"/>
    <mergeCell ref="B30:M30"/>
  </mergeCells>
  <phoneticPr fontId="0" type="noConversion"/>
  <pageMargins left="0.5" right="0.5" top="1" bottom="1" header="0.5" footer="0.5"/>
  <pageSetup orientation="portrait" r:id="rId1"/>
  <headerFooter alignWithMargins="0">
    <oddFooter>&amp;L&amp;"Times New Roman,Regular"Source: Fall EIS File&amp;C&amp;"Times New Roman,Bold"G-1.0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G-1.0</vt:lpstr>
      <vt:lpstr>'G-1.0'!Print_Area</vt:lpstr>
    </vt:vector>
  </TitlesOfParts>
  <Company>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Salisbury University</dc:creator>
  <cp:lastModifiedBy>xlParse</cp:lastModifiedBy>
  <cp:lastPrinted>2007-10-29T15:28:31Z</cp:lastPrinted>
  <dcterms:created xsi:type="dcterms:W3CDTF">2003-02-19T15:53:14Z</dcterms:created>
  <dcterms:modified xsi:type="dcterms:W3CDTF">2017-10-18T15:37:02Z</dcterms:modified>
</cp:coreProperties>
</file>