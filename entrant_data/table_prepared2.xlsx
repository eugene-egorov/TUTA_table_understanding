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<sst xmlns="http://schemas.openxmlformats.org/spreadsheetml/2006/main" uniqueCount="84">
  <si>
    <t>Сводная таблица по результатам анализа мониторинга качества финансового менеджмента осуществляемого главными администраторами средств бюджета Крапивинского муниципального округа  за 2022 год</t>
  </si>
  <si>
    <t>№ п/п</t>
  </si>
  <si>
    <t>Наименование показателя</t>
  </si>
  <si>
    <t>Оценка, в баллах</t>
  </si>
  <si>
    <t>АКМО</t>
  </si>
  <si>
    <t>КУМИ</t>
  </si>
  <si>
    <t>СНД</t>
  </si>
  <si>
    <t>УЖС</t>
  </si>
  <si>
    <t>УКМПИСТ</t>
  </si>
  <si>
    <t>УО</t>
  </si>
  <si>
    <t>УСЗН</t>
  </si>
  <si>
    <t>ТУ</t>
  </si>
  <si>
    <t>ФУ</t>
  </si>
  <si>
    <t>КСО</t>
  </si>
  <si>
    <t>Коэффициент сложности управления финансами</t>
  </si>
  <si>
    <t>1.     Качество бюджетного планирования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</si>
  <si>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1.1</t>
    </r>
  </si>
  <si>
    <t>Количество изменений, внесенных в сводную бюджетную роспись местного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</si>
  <si>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1.2</t>
    </r>
  </si>
  <si>
    <t>Доля суммы изменений в сводную бюджетную роспись местного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</si>
  <si>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1.3</t>
    </r>
  </si>
  <si>
    <t>Качество планирования расходов на предоставление субсидий на иные цели</t>
  </si>
  <si>
    <t>итого</t>
  </si>
  <si>
    <t>2.     Качество управления расходами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</si>
  <si>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2.1</t>
    </r>
  </si>
  <si>
    <t>Доля неисполненных на конец отчетного финансового года бюджетных ассигнований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</si>
  <si>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2.2</t>
    </r>
  </si>
  <si>
    <t>Равномерность расходов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</si>
  <si>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2.3</t>
    </r>
  </si>
  <si>
    <t>Эффективность управления просроченной кредиторской задолженностью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</si>
  <si>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2.4</t>
    </r>
  </si>
  <si>
    <t>Эффективность управления дебиторской задолженностью по расчетам с дебиторами по расходам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</si>
  <si>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2.5</t>
    </r>
  </si>
  <si>
    <t>Результативность использования субсидий из федерального и областного бюджетов в отчетном финансовом году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</si>
  <si>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2.6</t>
    </r>
  </si>
  <si>
    <t>Уровень исполнения расходов главного распорядителя бюджетных средств, источником финансового обеспечения которых являются межбюджетные трансферты из федерального и областного бюджетов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</si>
  <si>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2.7</t>
    </r>
  </si>
  <si>
    <t>Нарушение правил, условий предоставления бюджетных инвестиций, субсидий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</si>
  <si>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2.8</t>
    </r>
  </si>
  <si>
    <t>Нецелевое использование бюджетных средств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</si>
  <si>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2.9</t>
    </r>
  </si>
  <si>
    <t>Качество управления объектами незавершенного строительства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</si>
  <si>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2.10</t>
    </r>
  </si>
  <si>
    <t>Иски о возмещении ущерба (в денежном выражении)</t>
  </si>
  <si>
    <t>3.     Качество управление доходами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</si>
  <si>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3.1</t>
    </r>
  </si>
  <si>
    <t>Отклонение кассового исполнения по налоговым и неналоговым доходам (по состоянию на 31 декабря отчетного года) от показателей прогноза кассовых поступлений по налоговым и неналоговым доходам (по состоянию на 1 января отчетного года) местного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</si>
  <si>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3.2</t>
    </r>
  </si>
  <si>
    <t>Эффективность управления просроченной дебиторской задолженностью по расчетам с дебиторами по доходам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</si>
  <si>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3.3</t>
    </r>
  </si>
  <si>
    <t>Объем невыясненных поступлений, зачисленных в местный бюджет и не уточненных главным администратором доходов местного бюджета, по состоянию на 31 декабря отчетного финансового года</t>
  </si>
  <si>
    <t>4.     Качество ведения учета и составления бюджетной отчетности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</si>
  <si>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4.1</t>
    </r>
  </si>
  <si>
    <t>Нарушение срока представления годовой сводной бюджетной и годовой сводной бухгалтерской отчетности бюджетных и автономных учреждений</t>
  </si>
  <si>
    <t>5.     Качество организации и осуществления внутреннего финансового аудита и внешнего контроля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</si>
  <si>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5.1</t>
    </r>
  </si>
  <si>
    <t>Наличие решения руководителя  главного администратора средств местного бюджета об организации внутреннего финансового аудита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</si>
  <si>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5.2</t>
    </r>
  </si>
  <si>
    <t>Оценка финансовой дисциплины</t>
  </si>
  <si>
    <t>6.     Качество осуществления закупок товаров, работ, услуг для обеспечения муниципальных нужд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</si>
  <si>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6.1</t>
    </r>
  </si>
  <si>
    <t>Качество планирования закупок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</si>
  <si>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6.2</t>
    </r>
  </si>
  <si>
    <t>Соблюдение действующего законодательства в сфере муниципальных закупок</t>
  </si>
  <si>
    <t>7.     Качество управления активами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</si>
  <si>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7.1</t>
    </r>
  </si>
  <si>
    <t>Нарушения при управлении и распоряжении муниципальной собственностью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</si>
  <si>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7.2</t>
    </r>
  </si>
  <si>
    <t>Качество управления недвижимым имуществом, переданным в аренду</t>
  </si>
  <si>
    <t>8.     Оценка деятельности по осуществлению функций и полномочий учредителя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</si>
  <si>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8.1</t>
    </r>
  </si>
  <si>
    <t>Размещение информации на официальном сайте Российской Федерации www.bus.gov.ru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</si>
  <si>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8.2</t>
    </r>
  </si>
  <si>
    <t>Выполнение показателей результативности, установленных муниципальными программами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</si>
  <si>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8.3</t>
    </r>
  </si>
  <si>
    <t>Своевременность утверждения муниципальных заданий на оказание муниципальных услуг</t>
  </si>
  <si>
    <t>ОБЩИЙ БАЛЛ</t>
  </si>
  <si>
    <t>без коэффициента</t>
  </si>
  <si>
    <t>отклонение от среднеарефметической</t>
  </si>
  <si>
    <t>среднеарифметическое</t>
  </si>
  <si>
    <t>среднеквадратическое</t>
  </si>
  <si>
    <t>высокий рейтинг</t>
  </si>
  <si>
    <t>средний рейтинг</t>
  </si>
  <si>
    <t>низкий рейтинг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</si>
</sst>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#,##0.0"/>
  </numFmts>
  <fonts count="11">
    <font>
      <sz val="8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sz val="8"/>
      <color indexed="8"/>
      <name val="Times New Roman"/>
    </font>
    <font>
      <b val="1"/>
      <sz val="8"/>
      <color indexed="8"/>
      <name val="Times New Roman"/>
    </font>
    <font>
      <vertAlign val="subscript"/>
      <sz val="8"/>
      <color indexed="8"/>
      <name val="Times New Roman"/>
    </font>
    <font>
      <b val="1"/>
      <sz val="8"/>
      <color indexed="11"/>
      <name val="Times New Roman"/>
    </font>
    <font>
      <b val="1"/>
      <sz val="8"/>
      <color indexed="12"/>
      <name val="Times New Roman"/>
    </font>
    <font>
      <b val="1"/>
      <sz val="8"/>
      <color indexed="13"/>
      <name val="Times New Roman"/>
    </font>
    <font>
      <sz val="7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0" fontId="3" fillId="2" borderId="1" applyNumberFormat="0" applyFont="1" applyFill="1" applyBorder="1" applyAlignment="1" applyProtection="0">
      <alignment horizontal="center" vertical="bottom" wrapText="1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center" vertical="center" wrapText="1"/>
    </xf>
    <xf numFmtId="0" fontId="4" fillId="2" borderId="7" applyNumberFormat="0" applyFont="1" applyFill="1" applyBorder="1" applyAlignment="1" applyProtection="0">
      <alignment horizontal="center"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49" fontId="4" fillId="2" borderId="9" applyNumberFormat="1" applyFont="1" applyFill="1" applyBorder="1" applyAlignment="1" applyProtection="0">
      <alignment horizontal="center" vertical="center" wrapText="1"/>
    </xf>
    <xf numFmtId="59" fontId="5" fillId="2" borderId="9" applyNumberFormat="1" applyFont="1" applyFill="1" applyBorder="1" applyAlignment="1" applyProtection="0">
      <alignment horizontal="center" vertical="center" wrapText="1"/>
    </xf>
    <xf numFmtId="60" fontId="5" fillId="2" borderId="9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0" fontId="4" fillId="2" borderId="10" applyNumberFormat="0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horizontal="center" vertical="bottom"/>
    </xf>
    <xf numFmtId="49" fontId="4" fillId="2" borderId="9" applyNumberFormat="1" applyFont="1" applyFill="1" applyBorder="1" applyAlignment="1" applyProtection="0">
      <alignment horizontal="left" vertical="center" wrapText="1"/>
    </xf>
    <xf numFmtId="0" fontId="4" fillId="2" borderId="9" applyNumberFormat="1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right" vertical="center" wrapText="1"/>
    </xf>
    <xf numFmtId="0" fontId="5" fillId="2" borderId="9" applyNumberFormat="1" applyFont="1" applyFill="1" applyBorder="1" applyAlignment="1" applyProtection="0">
      <alignment horizontal="center" vertical="center" wrapText="1"/>
    </xf>
    <xf numFmtId="0" fontId="4" fillId="2" borderId="6" applyNumberFormat="0" applyFont="1" applyFill="1" applyBorder="1" applyAlignment="1" applyProtection="0">
      <alignment horizontal="center" vertical="center" wrapText="1"/>
    </xf>
    <xf numFmtId="49" fontId="4" fillId="2" borderId="9" applyNumberFormat="1" applyFont="1" applyFill="1" applyBorder="1" applyAlignment="1" applyProtection="0">
      <alignment horizontal="justify" vertical="center" wrapText="1"/>
    </xf>
    <xf numFmtId="0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horizontal="center" vertical="bottom"/>
    </xf>
    <xf numFmtId="0" fontId="5" fillId="2" borderId="9" applyNumberFormat="0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right" vertical="center" wrapText="1"/>
    </xf>
    <xf numFmtId="0" fontId="5" fillId="2" borderId="6" applyNumberFormat="0" applyFont="1" applyFill="1" applyBorder="1" applyAlignment="1" applyProtection="0">
      <alignment horizontal="right" vertical="center" wrapText="1"/>
    </xf>
    <xf numFmtId="2" fontId="7" fillId="2" borderId="9" applyNumberFormat="1" applyFont="1" applyFill="1" applyBorder="1" applyAlignment="1" applyProtection="0">
      <alignment horizontal="center" vertical="center" wrapText="1"/>
    </xf>
    <xf numFmtId="2" fontId="8" fillId="2" borderId="9" applyNumberFormat="1" applyFont="1" applyFill="1" applyBorder="1" applyAlignment="1" applyProtection="0">
      <alignment horizontal="center" vertical="center" wrapText="1"/>
    </xf>
    <xf numFmtId="2" fontId="9" fillId="2" borderId="9" applyNumberFormat="1" applyFont="1" applyFill="1" applyBorder="1" applyAlignment="1" applyProtection="0">
      <alignment horizontal="center" vertical="center" wrapText="1"/>
    </xf>
    <xf numFmtId="2" fontId="10" borderId="7" applyNumberFormat="1" applyFont="1" applyFill="0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10" fillId="2" borderId="5" applyNumberFormat="1" applyFont="1" applyFill="1" applyBorder="1" applyAlignment="1" applyProtection="0">
      <alignment horizontal="center" vertical="bottom"/>
    </xf>
    <xf numFmtId="0" fontId="10" fillId="2" borderId="5" applyNumberFormat="0" applyFont="1" applyFill="1" applyBorder="1" applyAlignment="1" applyProtection="0">
      <alignment horizontal="center" vertical="bottom"/>
    </xf>
    <xf numFmtId="2" fontId="10" borderId="2" applyNumberFormat="1" applyFont="1" applyFill="0" applyBorder="1" applyAlignment="1" applyProtection="0">
      <alignment horizontal="center" vertical="bottom"/>
    </xf>
    <xf numFmtId="0" fontId="0" fillId="2" borderId="12" applyNumberFormat="0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/>
    </xf>
    <xf numFmtId="2" fontId="0" fillId="2" borderId="1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2" fontId="5" fillId="2" borderId="2" applyNumberFormat="1" applyFont="1" applyFill="1" applyBorder="1" applyAlignment="1" applyProtection="0">
      <alignment horizontal="center" vertical="center" wrapText="1"/>
    </xf>
    <xf numFmtId="2" fontId="0" fillId="2" borderId="2" applyNumberFormat="1" applyFont="1" applyFill="1" applyBorder="1" applyAlignment="1" applyProtection="0">
      <alignment vertical="bottom"/>
    </xf>
    <xf numFmtId="2" fontId="10" borderId="2" applyNumberFormat="1" applyFont="1" applyFill="0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891b0"/>
      <rgbColor rgb="ffff0000"/>
      <rgbColor rgb="ff7030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54"/>
  <sheetViews>
    <sheetView workbookViewId="0" showGridLines="0" defaultGridColor="1"/>
  </sheetViews>
  <sheetFormatPr defaultColWidth="9.25" defaultRowHeight="11.25" customHeight="1" outlineLevelRow="0" outlineLevelCol="0"/>
  <cols>
    <col min="1" max="1" width="7.75" style="1" customWidth="1"/>
    <col min="2" max="2" width="36.25" style="1" customWidth="1"/>
    <col min="3" max="12" width="13" style="1" customWidth="1"/>
    <col min="13" max="13" width="15.25" style="1" customWidth="1"/>
    <col min="14" max="16384" width="9.25" style="1" customWidth="1"/>
  </cols>
  <sheetData>
    <row r="1" ht="29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2" customHeight="1">
      <c r="A2" t="s" s="5">
        <v>1</v>
      </c>
      <c r="B2" t="s" s="5">
        <v>2</v>
      </c>
      <c r="C2" t="s" s="6">
        <v>3</v>
      </c>
      <c r="D2" s="7"/>
      <c r="E2" s="7"/>
      <c r="F2" s="7"/>
      <c r="G2" s="7"/>
      <c r="H2" s="7"/>
      <c r="I2" s="7"/>
      <c r="J2" s="7"/>
      <c r="K2" s="7"/>
      <c r="L2" s="8"/>
      <c r="M2" s="9"/>
    </row>
    <row r="3" ht="12" customHeight="1">
      <c r="A3" s="10"/>
      <c r="B3" s="10"/>
      <c r="C3" t="s" s="11">
        <v>4</v>
      </c>
      <c r="D3" t="s" s="11">
        <v>5</v>
      </c>
      <c r="E3" t="s" s="11">
        <v>6</v>
      </c>
      <c r="F3" t="s" s="11">
        <v>7</v>
      </c>
      <c r="G3" t="s" s="11">
        <v>8</v>
      </c>
      <c r="H3" t="s" s="11">
        <v>9</v>
      </c>
      <c r="I3" t="s" s="11">
        <v>10</v>
      </c>
      <c r="J3" t="s" s="11">
        <v>11</v>
      </c>
      <c r="K3" t="s" s="11">
        <v>12</v>
      </c>
      <c r="L3" t="s" s="11">
        <v>13</v>
      </c>
      <c r="M3" s="12"/>
    </row>
    <row r="4" ht="23.25" customHeight="1">
      <c r="A4" s="13"/>
      <c r="B4" t="s" s="14">
        <v>14</v>
      </c>
      <c r="C4" s="15">
        <v>1.1</v>
      </c>
      <c r="D4" s="15">
        <v>1.1</v>
      </c>
      <c r="E4" s="15">
        <v>1</v>
      </c>
      <c r="F4" s="15">
        <v>1.2</v>
      </c>
      <c r="G4" s="15">
        <v>1.2</v>
      </c>
      <c r="H4" s="16">
        <v>1.2</v>
      </c>
      <c r="I4" s="16">
        <v>1.1</v>
      </c>
      <c r="J4" s="16">
        <v>1.1</v>
      </c>
      <c r="K4" s="16">
        <v>1</v>
      </c>
      <c r="L4" s="16">
        <v>1</v>
      </c>
      <c r="M4" s="17"/>
    </row>
    <row r="5" ht="14.25" customHeight="1">
      <c r="A5" t="s" s="18">
        <v>15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21"/>
    </row>
    <row r="6" ht="34.5" customHeight="1">
      <c r="A6" t="s" s="14">
        <v>16</v>
      </c>
      <c r="B6" t="s" s="22">
        <v>17</v>
      </c>
      <c r="C6" s="23">
        <v>0</v>
      </c>
      <c r="D6" s="23">
        <v>2</v>
      </c>
      <c r="E6" s="23">
        <v>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3</v>
      </c>
      <c r="L6" s="23">
        <v>4</v>
      </c>
      <c r="M6" s="17"/>
    </row>
    <row r="7" ht="23.25" customHeight="1">
      <c r="A7" t="s" s="14">
        <v>18</v>
      </c>
      <c r="B7" t="s" s="22">
        <v>19</v>
      </c>
      <c r="C7" s="23">
        <v>2</v>
      </c>
      <c r="D7" s="23">
        <v>0</v>
      </c>
      <c r="E7" s="23">
        <v>5</v>
      </c>
      <c r="F7" s="23">
        <v>4</v>
      </c>
      <c r="G7" s="23">
        <v>2</v>
      </c>
      <c r="H7" s="23">
        <v>4</v>
      </c>
      <c r="I7" s="23">
        <v>4</v>
      </c>
      <c r="J7" s="23">
        <v>1</v>
      </c>
      <c r="K7" s="23">
        <v>3</v>
      </c>
      <c r="L7" s="23">
        <v>0</v>
      </c>
      <c r="M7" s="17"/>
    </row>
    <row r="8" ht="23.25" customHeight="1">
      <c r="A8" t="s" s="14">
        <v>20</v>
      </c>
      <c r="B8" t="s" s="22">
        <v>21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4</v>
      </c>
      <c r="I8" s="23">
        <v>0</v>
      </c>
      <c r="J8" s="23">
        <v>0</v>
      </c>
      <c r="K8" s="23">
        <v>0</v>
      </c>
      <c r="L8" s="23">
        <v>0</v>
      </c>
      <c r="M8" s="17"/>
    </row>
    <row r="9" ht="12" customHeight="1">
      <c r="A9" s="13"/>
      <c r="B9" t="s" s="24">
        <v>22</v>
      </c>
      <c r="C9" s="25">
        <f>SUM(C6:C8)</f>
        <v>2</v>
      </c>
      <c r="D9" s="25">
        <f>SUM(D6:D8)</f>
        <v>2</v>
      </c>
      <c r="E9" s="25">
        <f>SUM(E6:E8)</f>
        <v>8</v>
      </c>
      <c r="F9" s="25">
        <f>SUM(F6:F8)</f>
        <v>4</v>
      </c>
      <c r="G9" s="25">
        <f>SUM(G6:G8)</f>
        <v>2</v>
      </c>
      <c r="H9" s="25">
        <f>SUM(H6:H8)</f>
        <v>8</v>
      </c>
      <c r="I9" s="25">
        <f>SUM(I6:I8)</f>
        <v>4</v>
      </c>
      <c r="J9" s="25">
        <f>SUM(J6:J8)</f>
        <v>1</v>
      </c>
      <c r="K9" s="25">
        <f>SUM(K6:K8)</f>
        <v>6</v>
      </c>
      <c r="L9" s="25">
        <f>SUM(L6:L8)</f>
        <v>4</v>
      </c>
      <c r="M9" s="17"/>
    </row>
    <row r="10" ht="15" customHeight="1">
      <c r="A10" t="s" s="18">
        <v>23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6"/>
      <c r="M10" s="17"/>
    </row>
    <row r="11" ht="34.5" customHeight="1">
      <c r="A11" t="s" s="14">
        <v>24</v>
      </c>
      <c r="B11" t="s" s="22">
        <v>25</v>
      </c>
      <c r="C11" s="23">
        <v>4</v>
      </c>
      <c r="D11" s="23">
        <v>4</v>
      </c>
      <c r="E11" s="23">
        <v>3</v>
      </c>
      <c r="F11" s="23">
        <v>5</v>
      </c>
      <c r="G11" s="23">
        <v>4</v>
      </c>
      <c r="H11" s="23">
        <v>5</v>
      </c>
      <c r="I11" s="23">
        <v>5</v>
      </c>
      <c r="J11" s="23">
        <v>4</v>
      </c>
      <c r="K11" s="23">
        <v>3</v>
      </c>
      <c r="L11" s="23">
        <v>4</v>
      </c>
      <c r="M11" s="17"/>
    </row>
    <row r="12" ht="13.5" customHeight="1">
      <c r="A12" t="s" s="14">
        <v>26</v>
      </c>
      <c r="B12" t="s" s="22">
        <v>27</v>
      </c>
      <c r="C12" s="23">
        <v>3</v>
      </c>
      <c r="D12" s="23">
        <v>0</v>
      </c>
      <c r="E12" s="23">
        <v>4</v>
      </c>
      <c r="F12" s="23">
        <v>0</v>
      </c>
      <c r="G12" s="23">
        <v>3</v>
      </c>
      <c r="H12" s="23">
        <v>3</v>
      </c>
      <c r="I12" s="23">
        <v>3</v>
      </c>
      <c r="J12" s="23">
        <v>5</v>
      </c>
      <c r="K12" s="23">
        <v>4</v>
      </c>
      <c r="L12" s="23">
        <v>4</v>
      </c>
      <c r="M12" s="17"/>
    </row>
    <row r="13" ht="23.25" customHeight="1">
      <c r="A13" t="s" s="14">
        <v>28</v>
      </c>
      <c r="B13" t="s" s="27">
        <v>29</v>
      </c>
      <c r="C13" s="23">
        <v>5</v>
      </c>
      <c r="D13" s="23">
        <v>5</v>
      </c>
      <c r="E13" s="23">
        <v>5</v>
      </c>
      <c r="F13" s="23">
        <v>5</v>
      </c>
      <c r="G13" s="23">
        <v>5</v>
      </c>
      <c r="H13" s="23">
        <v>5</v>
      </c>
      <c r="I13" s="23">
        <v>5</v>
      </c>
      <c r="J13" s="23">
        <v>5</v>
      </c>
      <c r="K13" s="23">
        <v>5</v>
      </c>
      <c r="L13" s="23">
        <v>5</v>
      </c>
      <c r="M13" s="17"/>
    </row>
    <row r="14" ht="34.5" customHeight="1">
      <c r="A14" t="s" s="14">
        <v>30</v>
      </c>
      <c r="B14" t="s" s="22">
        <v>31</v>
      </c>
      <c r="C14" s="23">
        <v>1</v>
      </c>
      <c r="D14" s="23">
        <v>0</v>
      </c>
      <c r="E14" s="23">
        <v>5</v>
      </c>
      <c r="F14" s="23">
        <v>5</v>
      </c>
      <c r="G14" s="23">
        <v>5</v>
      </c>
      <c r="H14" s="23">
        <v>5</v>
      </c>
      <c r="I14" s="23">
        <v>5</v>
      </c>
      <c r="J14" s="23">
        <v>5</v>
      </c>
      <c r="K14" s="23">
        <v>5</v>
      </c>
      <c r="L14" s="23">
        <v>5</v>
      </c>
      <c r="M14" s="17"/>
    </row>
    <row r="15" ht="34.5" customHeight="1">
      <c r="A15" t="s" s="14">
        <v>32</v>
      </c>
      <c r="B15" t="s" s="22">
        <v>33</v>
      </c>
      <c r="C15" s="23">
        <v>5</v>
      </c>
      <c r="D15" s="23">
        <v>0</v>
      </c>
      <c r="E15" s="23">
        <v>0</v>
      </c>
      <c r="F15" s="23">
        <v>5</v>
      </c>
      <c r="G15" s="23">
        <v>5</v>
      </c>
      <c r="H15" s="23">
        <v>5</v>
      </c>
      <c r="I15" s="23">
        <v>5</v>
      </c>
      <c r="J15" s="23">
        <v>5</v>
      </c>
      <c r="K15" s="23">
        <v>0</v>
      </c>
      <c r="L15" s="23">
        <v>0</v>
      </c>
      <c r="M15" s="17"/>
    </row>
    <row r="16" ht="68.25" customHeight="1">
      <c r="A16" t="s" s="14">
        <v>34</v>
      </c>
      <c r="B16" t="s" s="22">
        <v>35</v>
      </c>
      <c r="C16" s="23">
        <v>5</v>
      </c>
      <c r="D16" s="23">
        <v>4</v>
      </c>
      <c r="E16" s="23">
        <v>0</v>
      </c>
      <c r="F16" s="23">
        <v>4</v>
      </c>
      <c r="G16" s="23">
        <v>4</v>
      </c>
      <c r="H16" s="23">
        <v>4</v>
      </c>
      <c r="I16" s="23">
        <v>4</v>
      </c>
      <c r="J16" s="23">
        <v>4</v>
      </c>
      <c r="K16" s="23">
        <v>0</v>
      </c>
      <c r="L16" s="23">
        <v>0</v>
      </c>
      <c r="M16" s="17"/>
    </row>
    <row r="17" ht="34.5" customHeight="1">
      <c r="A17" t="s" s="14">
        <v>36</v>
      </c>
      <c r="B17" t="s" s="22">
        <v>37</v>
      </c>
      <c r="C17" s="23">
        <v>5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17"/>
    </row>
    <row r="18" ht="23.25" customHeight="1">
      <c r="A18" t="s" s="14">
        <v>38</v>
      </c>
      <c r="B18" t="s" s="22">
        <v>39</v>
      </c>
      <c r="C18" s="23">
        <v>5</v>
      </c>
      <c r="D18" s="23">
        <v>5</v>
      </c>
      <c r="E18" s="23">
        <v>5</v>
      </c>
      <c r="F18" s="23">
        <v>5</v>
      </c>
      <c r="G18" s="23">
        <v>5</v>
      </c>
      <c r="H18" s="23">
        <v>5</v>
      </c>
      <c r="I18" s="23">
        <v>5</v>
      </c>
      <c r="J18" s="23">
        <v>5</v>
      </c>
      <c r="K18" s="23">
        <v>5</v>
      </c>
      <c r="L18" s="23">
        <v>5</v>
      </c>
      <c r="M18" s="17"/>
    </row>
    <row r="19" ht="23.25" customHeight="1">
      <c r="A19" t="s" s="14">
        <v>40</v>
      </c>
      <c r="B19" t="s" s="22">
        <v>41</v>
      </c>
      <c r="C19" s="23">
        <v>0</v>
      </c>
      <c r="D19" s="23">
        <v>5</v>
      </c>
      <c r="E19" s="23">
        <v>5</v>
      </c>
      <c r="F19" s="23">
        <v>5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5</v>
      </c>
      <c r="M19" s="17"/>
    </row>
    <row r="20" ht="23.25" customHeight="1">
      <c r="A20" t="s" s="14">
        <v>42</v>
      </c>
      <c r="B20" t="s" s="22">
        <v>43</v>
      </c>
      <c r="C20" s="23">
        <v>0</v>
      </c>
      <c r="D20" s="23">
        <v>5</v>
      </c>
      <c r="E20" s="23">
        <v>5</v>
      </c>
      <c r="F20" s="23">
        <v>5</v>
      </c>
      <c r="G20" s="23">
        <v>0</v>
      </c>
      <c r="H20" s="23">
        <v>5</v>
      </c>
      <c r="I20" s="23">
        <v>5</v>
      </c>
      <c r="J20" s="23">
        <v>5</v>
      </c>
      <c r="K20" s="23">
        <v>5</v>
      </c>
      <c r="L20" s="23">
        <v>5</v>
      </c>
      <c r="M20" s="17"/>
    </row>
    <row r="21" ht="12" customHeight="1">
      <c r="A21" s="13"/>
      <c r="B21" t="s" s="24">
        <v>22</v>
      </c>
      <c r="C21" s="25">
        <f>SUM(C11:C20)</f>
        <v>33</v>
      </c>
      <c r="D21" s="25">
        <f>SUM(D11:D20)</f>
        <v>28</v>
      </c>
      <c r="E21" s="25">
        <f>SUM(E11:E20)</f>
        <v>32</v>
      </c>
      <c r="F21" s="25">
        <f>SUM(F11:F20)</f>
        <v>39</v>
      </c>
      <c r="G21" s="25">
        <f>SUM(G11:G20)</f>
        <v>36</v>
      </c>
      <c r="H21" s="25">
        <f>SUM(H11:H20)</f>
        <v>42</v>
      </c>
      <c r="I21" s="25">
        <f>SUM(I11:I20)</f>
        <v>42</v>
      </c>
      <c r="J21" s="25">
        <f>SUM(J11:J20)</f>
        <v>43</v>
      </c>
      <c r="K21" s="28">
        <f>SUM(K11:K20)</f>
        <v>32</v>
      </c>
      <c r="L21" s="29">
        <f>SUM(L11:L20)</f>
        <v>33</v>
      </c>
      <c r="M21" s="30"/>
    </row>
    <row r="22" ht="16.5" customHeight="1">
      <c r="A22" t="s" s="18">
        <v>44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6"/>
      <c r="M22" s="17"/>
    </row>
    <row r="23" ht="79.5" customHeight="1">
      <c r="A23" t="s" s="14">
        <v>45</v>
      </c>
      <c r="B23" t="s" s="22">
        <v>46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17"/>
    </row>
    <row r="24" ht="34.5" customHeight="1">
      <c r="A24" t="s" s="14">
        <v>47</v>
      </c>
      <c r="B24" t="s" s="22">
        <v>48</v>
      </c>
      <c r="C24" s="23">
        <v>5</v>
      </c>
      <c r="D24" s="23">
        <v>5</v>
      </c>
      <c r="E24" s="23">
        <v>5</v>
      </c>
      <c r="F24" s="23">
        <v>5</v>
      </c>
      <c r="G24" s="23">
        <v>5</v>
      </c>
      <c r="H24" s="23">
        <v>5</v>
      </c>
      <c r="I24" s="23">
        <v>5</v>
      </c>
      <c r="J24" s="23">
        <v>5</v>
      </c>
      <c r="K24" s="23">
        <v>5</v>
      </c>
      <c r="L24" s="23">
        <v>5</v>
      </c>
      <c r="M24" s="17"/>
    </row>
    <row r="25" ht="68.25" customHeight="1">
      <c r="A25" t="s" s="14">
        <v>49</v>
      </c>
      <c r="B25" t="s" s="22">
        <v>50</v>
      </c>
      <c r="C25" s="23">
        <v>5</v>
      </c>
      <c r="D25" s="23">
        <v>5</v>
      </c>
      <c r="E25" s="23">
        <v>0</v>
      </c>
      <c r="F25" s="23">
        <v>5</v>
      </c>
      <c r="G25" s="23">
        <v>5</v>
      </c>
      <c r="H25" s="23">
        <v>3</v>
      </c>
      <c r="I25" s="23">
        <v>5</v>
      </c>
      <c r="J25" s="23">
        <v>5</v>
      </c>
      <c r="K25" s="23">
        <v>5</v>
      </c>
      <c r="L25" s="23">
        <v>0</v>
      </c>
      <c r="M25" s="17"/>
    </row>
    <row r="26" ht="12" customHeight="1">
      <c r="A26" s="13"/>
      <c r="B26" t="s" s="24">
        <v>22</v>
      </c>
      <c r="C26" s="25">
        <f>SUM(C23:C25)</f>
        <v>10</v>
      </c>
      <c r="D26" s="25">
        <f>SUM(D23:D25)</f>
        <v>10</v>
      </c>
      <c r="E26" s="25">
        <f>SUM(E23:E25)</f>
        <v>5</v>
      </c>
      <c r="F26" s="25">
        <f>SUM(F23:F25)</f>
        <v>10</v>
      </c>
      <c r="G26" s="25">
        <f>SUM(G23:G25)</f>
        <v>10</v>
      </c>
      <c r="H26" s="25">
        <f>SUM(H23:H25)</f>
        <v>8</v>
      </c>
      <c r="I26" s="25">
        <f>SUM(I23:I25)</f>
        <v>10</v>
      </c>
      <c r="J26" s="25">
        <f>SUM(J23:J25)</f>
        <v>10</v>
      </c>
      <c r="K26" s="25">
        <f>SUM(K23:K25)</f>
        <v>10</v>
      </c>
      <c r="L26" s="25">
        <f>SUM(L23:L25)</f>
        <v>5</v>
      </c>
      <c r="M26" s="17"/>
    </row>
    <row r="27" ht="15.75" customHeight="1">
      <c r="A27" t="s" s="18">
        <v>51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6"/>
      <c r="M27" s="17"/>
    </row>
    <row r="28" ht="45.75" customHeight="1">
      <c r="A28" t="s" s="14">
        <v>52</v>
      </c>
      <c r="B28" t="s" s="22">
        <v>53</v>
      </c>
      <c r="C28" s="23">
        <v>5</v>
      </c>
      <c r="D28" s="23">
        <v>0</v>
      </c>
      <c r="E28" s="23">
        <v>5</v>
      </c>
      <c r="F28" s="23">
        <v>5</v>
      </c>
      <c r="G28" s="23">
        <v>0</v>
      </c>
      <c r="H28" s="23">
        <v>5</v>
      </c>
      <c r="I28" s="23">
        <v>5</v>
      </c>
      <c r="J28" s="23">
        <v>5</v>
      </c>
      <c r="K28" s="23">
        <v>5</v>
      </c>
      <c r="L28" s="23">
        <v>5</v>
      </c>
      <c r="M28" s="17"/>
    </row>
    <row r="29" ht="12" customHeight="1">
      <c r="A29" s="31"/>
      <c r="B29" t="s" s="24">
        <v>22</v>
      </c>
      <c r="C29" s="25">
        <f>C28</f>
        <v>5</v>
      </c>
      <c r="D29" s="25">
        <f>D28</f>
        <v>0</v>
      </c>
      <c r="E29" s="25">
        <f>E28</f>
        <v>5</v>
      </c>
      <c r="F29" s="25">
        <f>F28</f>
        <v>5</v>
      </c>
      <c r="G29" s="25">
        <f>G28</f>
        <v>0</v>
      </c>
      <c r="H29" s="25">
        <f>H28</f>
        <v>5</v>
      </c>
      <c r="I29" s="25">
        <f>I28</f>
        <v>5</v>
      </c>
      <c r="J29" s="25">
        <f>J28</f>
        <v>5</v>
      </c>
      <c r="K29" s="28">
        <f>K28</f>
        <v>5</v>
      </c>
      <c r="L29" s="29">
        <f>L28</f>
        <v>5</v>
      </c>
      <c r="M29" s="30"/>
    </row>
    <row r="30" ht="15.75" customHeight="1">
      <c r="A30" t="s" s="18">
        <v>54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6"/>
      <c r="M30" s="17"/>
    </row>
    <row r="31" ht="45.75" customHeight="1">
      <c r="A31" t="s" s="14">
        <v>55</v>
      </c>
      <c r="B31" t="s" s="22">
        <v>56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5</v>
      </c>
      <c r="L31" s="23">
        <v>0</v>
      </c>
      <c r="M31" s="17"/>
    </row>
    <row r="32" ht="13.5" customHeight="1">
      <c r="A32" t="s" s="14">
        <v>57</v>
      </c>
      <c r="B32" t="s" s="22">
        <v>58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17"/>
    </row>
    <row r="33" ht="12" customHeight="1">
      <c r="A33" s="13"/>
      <c r="B33" t="s" s="24">
        <v>22</v>
      </c>
      <c r="C33" s="25">
        <f>SUM(C31:C32)</f>
        <v>0</v>
      </c>
      <c r="D33" s="25">
        <f>SUM(D31:D32)</f>
        <v>0</v>
      </c>
      <c r="E33" s="25">
        <f>SUM(E31:E32)</f>
        <v>0</v>
      </c>
      <c r="F33" s="25">
        <f>SUM(F31:F32)</f>
        <v>0</v>
      </c>
      <c r="G33" s="25">
        <f>SUM(G31:G32)</f>
        <v>0</v>
      </c>
      <c r="H33" s="25">
        <f>SUM(H31:H32)</f>
        <v>0</v>
      </c>
      <c r="I33" s="25">
        <f>SUM(I31:I32)</f>
        <v>0</v>
      </c>
      <c r="J33" s="25">
        <f>SUM(J31:J32)</f>
        <v>0</v>
      </c>
      <c r="K33" s="28">
        <f>SUM(K31:K32)</f>
        <v>5</v>
      </c>
      <c r="L33" s="29">
        <f>SUM(L31:L32)</f>
        <v>0</v>
      </c>
      <c r="M33" s="30"/>
    </row>
    <row r="34" ht="16.5" customHeight="1">
      <c r="A34" t="s" s="18">
        <v>59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6"/>
      <c r="M34" s="17"/>
    </row>
    <row r="35" ht="13.5" customHeight="1">
      <c r="A35" t="s" s="14">
        <v>60</v>
      </c>
      <c r="B35" t="s" s="22">
        <v>61</v>
      </c>
      <c r="C35" s="23">
        <v>3.1</v>
      </c>
      <c r="D35" s="23">
        <v>3.89</v>
      </c>
      <c r="E35" s="23">
        <v>0</v>
      </c>
      <c r="F35" s="23">
        <v>2.41</v>
      </c>
      <c r="G35" s="23">
        <v>3.89</v>
      </c>
      <c r="H35" s="23">
        <v>0</v>
      </c>
      <c r="I35" s="23">
        <v>3.75</v>
      </c>
      <c r="J35" s="23">
        <v>2.96</v>
      </c>
      <c r="K35" s="23">
        <v>4.58</v>
      </c>
      <c r="L35" s="23">
        <v>5</v>
      </c>
      <c r="M35" s="17"/>
    </row>
    <row r="36" ht="34.5" customHeight="1">
      <c r="A36" t="s" s="14">
        <v>62</v>
      </c>
      <c r="B36" t="s" s="22">
        <v>63</v>
      </c>
      <c r="C36" s="23">
        <v>5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17"/>
    </row>
    <row r="37" ht="12" customHeight="1">
      <c r="A37" s="13"/>
      <c r="B37" t="s" s="24">
        <v>22</v>
      </c>
      <c r="C37" s="25">
        <f>SUM(C35:C36)</f>
        <v>8.1</v>
      </c>
      <c r="D37" s="25">
        <f>SUM(D35:D36)</f>
        <v>3.89</v>
      </c>
      <c r="E37" s="25">
        <f>SUM(E35:E36)</f>
        <v>0</v>
      </c>
      <c r="F37" s="25">
        <f>SUM(F35:F36)</f>
        <v>2.41</v>
      </c>
      <c r="G37" s="25">
        <f>SUM(G35:G36)</f>
        <v>3.89</v>
      </c>
      <c r="H37" s="25">
        <f>SUM(H35:H36)</f>
        <v>0</v>
      </c>
      <c r="I37" s="25">
        <f>SUM(I35:I36)</f>
        <v>3.75</v>
      </c>
      <c r="J37" s="25">
        <f>SUM(J35:J36)</f>
        <v>2.96</v>
      </c>
      <c r="K37" s="25">
        <f>SUM(K35:K36)</f>
        <v>4.58</v>
      </c>
      <c r="L37" s="25">
        <f>SUM(L35:L36)</f>
        <v>5</v>
      </c>
      <c r="M37" s="17"/>
    </row>
    <row r="38" ht="15.75" customHeight="1">
      <c r="A38" t="s" s="18">
        <v>64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6"/>
      <c r="M38" s="17"/>
    </row>
    <row r="39" ht="34.5" customHeight="1">
      <c r="A39" t="s" s="14">
        <v>65</v>
      </c>
      <c r="B39" t="s" s="22">
        <v>66</v>
      </c>
      <c r="C39" s="23">
        <v>0</v>
      </c>
      <c r="D39" s="23">
        <v>5</v>
      </c>
      <c r="E39" s="23">
        <v>5</v>
      </c>
      <c r="F39" s="23">
        <v>5</v>
      </c>
      <c r="G39" s="23">
        <v>5</v>
      </c>
      <c r="H39" s="23">
        <v>5</v>
      </c>
      <c r="I39" s="23">
        <v>5</v>
      </c>
      <c r="J39" s="23">
        <v>5</v>
      </c>
      <c r="K39" s="23">
        <v>5</v>
      </c>
      <c r="L39" s="23">
        <v>5</v>
      </c>
      <c r="M39" s="17"/>
    </row>
    <row r="40" ht="23.25" customHeight="1">
      <c r="A40" t="s" s="14">
        <v>67</v>
      </c>
      <c r="B40" t="s" s="22">
        <v>68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17"/>
    </row>
    <row r="41" ht="12" customHeight="1">
      <c r="A41" s="13"/>
      <c r="B41" t="s" s="24">
        <v>22</v>
      </c>
      <c r="C41" s="25">
        <f>SUM(C39:C40)</f>
        <v>0</v>
      </c>
      <c r="D41" s="25">
        <f>SUM(D39:D40)</f>
        <v>5</v>
      </c>
      <c r="E41" s="25">
        <f>SUM(E39:E40)</f>
        <v>5</v>
      </c>
      <c r="F41" s="25">
        <f>SUM(F39:F40)</f>
        <v>5</v>
      </c>
      <c r="G41" s="25">
        <f>SUM(G39:G40)</f>
        <v>5</v>
      </c>
      <c r="H41" s="25">
        <f>SUM(H39:H40)</f>
        <v>5</v>
      </c>
      <c r="I41" s="25">
        <f>SUM(I39:I40)</f>
        <v>5</v>
      </c>
      <c r="J41" s="25">
        <f>SUM(J39:J40)</f>
        <v>5</v>
      </c>
      <c r="K41" s="25">
        <f>SUM(K39:K40)</f>
        <v>5</v>
      </c>
      <c r="L41" s="25">
        <f>SUM(L39:L40)</f>
        <v>5</v>
      </c>
      <c r="M41" s="17"/>
    </row>
    <row r="42" ht="15" customHeight="1">
      <c r="A42" t="s" s="18">
        <v>69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6"/>
      <c r="M42" s="17"/>
    </row>
    <row r="43" ht="34.5" customHeight="1">
      <c r="A43" t="s" s="14">
        <v>70</v>
      </c>
      <c r="B43" t="s" s="22">
        <v>71</v>
      </c>
      <c r="C43" s="23">
        <v>5</v>
      </c>
      <c r="D43" s="23">
        <v>0</v>
      </c>
      <c r="E43" s="23">
        <v>0</v>
      </c>
      <c r="F43" s="23">
        <v>0</v>
      </c>
      <c r="G43" s="23">
        <v>5</v>
      </c>
      <c r="H43" s="23">
        <v>5</v>
      </c>
      <c r="I43" s="23">
        <v>5</v>
      </c>
      <c r="J43" s="23">
        <v>0</v>
      </c>
      <c r="K43" s="23">
        <v>0</v>
      </c>
      <c r="L43" s="23">
        <v>0</v>
      </c>
      <c r="M43" s="17"/>
    </row>
    <row r="44" ht="34.5" customHeight="1">
      <c r="A44" t="s" s="14">
        <v>72</v>
      </c>
      <c r="B44" t="s" s="22">
        <v>73</v>
      </c>
      <c r="C44" s="23">
        <v>0</v>
      </c>
      <c r="D44" s="23">
        <v>5</v>
      </c>
      <c r="E44" s="23">
        <v>5</v>
      </c>
      <c r="F44" s="23">
        <v>3</v>
      </c>
      <c r="G44" s="23">
        <v>0</v>
      </c>
      <c r="H44" s="23">
        <v>0</v>
      </c>
      <c r="I44" s="23">
        <v>0</v>
      </c>
      <c r="J44" s="23">
        <v>5</v>
      </c>
      <c r="K44" s="23">
        <v>5</v>
      </c>
      <c r="L44" s="23">
        <v>5</v>
      </c>
      <c r="M44" s="17"/>
    </row>
    <row r="45" ht="34.5" customHeight="1">
      <c r="A45" t="s" s="14">
        <v>74</v>
      </c>
      <c r="B45" t="s" s="22">
        <v>75</v>
      </c>
      <c r="C45" s="23">
        <v>5</v>
      </c>
      <c r="D45" s="23">
        <v>0</v>
      </c>
      <c r="E45" s="23">
        <v>0</v>
      </c>
      <c r="F45" s="23">
        <v>0</v>
      </c>
      <c r="G45" s="23">
        <v>5</v>
      </c>
      <c r="H45" s="23">
        <v>0</v>
      </c>
      <c r="I45" s="23">
        <v>5</v>
      </c>
      <c r="J45" s="23">
        <v>0</v>
      </c>
      <c r="K45" s="23">
        <v>0</v>
      </c>
      <c r="L45" s="23">
        <v>0</v>
      </c>
      <c r="M45" s="17"/>
    </row>
    <row r="46" ht="12" customHeight="1">
      <c r="A46" s="13"/>
      <c r="B46" t="s" s="24">
        <v>22</v>
      </c>
      <c r="C46" s="25">
        <f>SUM(C43:C45)</f>
        <v>10</v>
      </c>
      <c r="D46" s="25">
        <f>SUM(D43:D45)</f>
        <v>5</v>
      </c>
      <c r="E46" s="25">
        <f>SUM(E43:E45)</f>
        <v>5</v>
      </c>
      <c r="F46" s="25">
        <f>SUM(F43:F45)</f>
        <v>3</v>
      </c>
      <c r="G46" s="25">
        <f>SUM(G43:G45)</f>
        <v>10</v>
      </c>
      <c r="H46" s="25">
        <f>SUM(H43:H45)</f>
        <v>5</v>
      </c>
      <c r="I46" s="25">
        <f>SUM(I43:I45)</f>
        <v>10</v>
      </c>
      <c r="J46" s="25">
        <f>SUM(J43:J45)</f>
        <v>5</v>
      </c>
      <c r="K46" s="25">
        <f>SUM(K43:K45)</f>
        <v>5</v>
      </c>
      <c r="L46" s="25">
        <f>SUM(L43:L45)</f>
        <v>5</v>
      </c>
      <c r="M46" s="17"/>
    </row>
    <row r="47" ht="18.75" customHeight="1">
      <c r="A47" t="s" s="32">
        <v>76</v>
      </c>
      <c r="B47" s="33"/>
      <c r="C47" s="34">
        <f>C4*(C9+C21+C26+C29+C33+C37+C41+C46)</f>
        <v>74.91</v>
      </c>
      <c r="D47" s="35">
        <f>D4*(D9+D21+D26+D29+D33+D37+D41+D46)</f>
        <v>59.279</v>
      </c>
      <c r="E47" s="35">
        <f>E4*(E9+E21+E26+E29+E33+E37+E41+E46)</f>
        <v>60</v>
      </c>
      <c r="F47" s="36">
        <f>F4*(F9+F21+F26+F29+F33+F37+F41+F46)</f>
        <v>82.092</v>
      </c>
      <c r="G47" s="34">
        <f>G4*(G9+G21+G26+G29+G33+G37+G41+G46)</f>
        <v>80.268</v>
      </c>
      <c r="H47" s="36">
        <f>H4*(H9+H21+H26+H29+H33+H37+H41+H46)</f>
        <v>87.59999999999999</v>
      </c>
      <c r="I47" s="36">
        <f>I4*(I9+I21+I26+I29+I33+I37+I41+I46)</f>
        <v>87.72499999999999</v>
      </c>
      <c r="J47" s="34">
        <f>J4*(J9+J21+J26+J29+J33+J37+J41+J46)</f>
        <v>79.15600000000001</v>
      </c>
      <c r="K47" s="34">
        <f>K4*(K9+K21+K26+K29+K33+K37+K41+K46)</f>
        <v>72.58</v>
      </c>
      <c r="L47" s="35">
        <f>L4*(L9+L21+L26+L29+L33+L37+L41+L46)</f>
        <v>62</v>
      </c>
      <c r="M47" s="37">
        <f>SUM(C47:L47)</f>
        <v>745.61</v>
      </c>
    </row>
    <row r="48" ht="10" customHeight="1" hidden="1">
      <c r="A48" s="38"/>
      <c r="B48" t="s" s="39">
        <v>77</v>
      </c>
      <c r="C48" s="40">
        <f>C9+C21+C26+C29+C33+C37+C41+C46</f>
        <v>68.09999999999999</v>
      </c>
      <c r="D48" s="40">
        <f>D9+D21+D26+D29+D33+D37+D41+D46</f>
        <v>53.89</v>
      </c>
      <c r="E48" s="40">
        <f>E9+E21+E26+E29+E33+E37+E41+E46</f>
        <v>60</v>
      </c>
      <c r="F48" s="40">
        <f>F9+F21+F26+F29+F33+F37+F41+F46</f>
        <v>68.41</v>
      </c>
      <c r="G48" s="40">
        <f>G9+G21+G26+G29+G33+G37+G41+G46</f>
        <v>66.89</v>
      </c>
      <c r="H48" s="40">
        <f>H9+H21+H26+H29+H33+H37+H41+H46</f>
        <v>73</v>
      </c>
      <c r="I48" s="40">
        <f>I9+I21+I26+I29+I33+I37+I41+I46</f>
        <v>79.75</v>
      </c>
      <c r="J48" s="40">
        <f>J9+J21+J26+J29+J33+J37+J41+J46</f>
        <v>71.95999999999999</v>
      </c>
      <c r="K48" s="40">
        <f>K9+K21+K26+K29+K33+K37+K41+K46</f>
        <v>72.58</v>
      </c>
      <c r="L48" s="41"/>
      <c r="M48" s="42">
        <f>SUM(C48:K48)</f>
        <v>614.58</v>
      </c>
    </row>
    <row r="49" ht="11.7" customHeight="1">
      <c r="A49" s="43"/>
      <c r="B49" t="s" s="44">
        <v>78</v>
      </c>
      <c r="C49" s="45">
        <f>C47-$C50</f>
        <v>0.349</v>
      </c>
      <c r="D49" s="45">
        <f>D47-$C50</f>
        <v>-15.282</v>
      </c>
      <c r="E49" s="45">
        <f>E47-$C50</f>
        <v>-14.561</v>
      </c>
      <c r="F49" s="45">
        <f>F47-$C50</f>
        <v>7.531</v>
      </c>
      <c r="G49" s="45">
        <f>G47-$C50</f>
        <v>5.707</v>
      </c>
      <c r="H49" s="45">
        <f>H47-$C50</f>
        <v>13.039</v>
      </c>
      <c r="I49" s="45">
        <f>I47-$C50</f>
        <v>13.164</v>
      </c>
      <c r="J49" s="45">
        <f>J47-$C50</f>
        <v>4.595</v>
      </c>
      <c r="K49" s="45">
        <f>K47-$C50</f>
        <v>-1.981</v>
      </c>
      <c r="L49" s="45">
        <f>L47-$C50</f>
        <v>-12.561</v>
      </c>
      <c r="M49" s="42">
        <f>SUMSQ(C49,D49,E49,F49,G49,H49,I49,J49,K49,L49)/10</f>
        <v>106.109338</v>
      </c>
    </row>
    <row r="50" ht="11.65" customHeight="1">
      <c r="A50" s="46"/>
      <c r="B50" t="s" s="47">
        <v>79</v>
      </c>
      <c r="C50" s="48">
        <f>SUM(C47:L47)/10</f>
        <v>74.56100000000001</v>
      </c>
      <c r="D50" s="49"/>
      <c r="E50" s="49"/>
      <c r="F50" s="49"/>
      <c r="G50" s="49"/>
      <c r="H50" s="49"/>
      <c r="I50" s="49"/>
      <c r="J50" s="49"/>
      <c r="K50" s="49"/>
      <c r="L50" s="49"/>
      <c r="M50" s="50"/>
    </row>
    <row r="51" ht="11.65" customHeight="1">
      <c r="A51" s="46"/>
      <c r="B51" t="s" s="47">
        <v>80</v>
      </c>
      <c r="C51" s="48">
        <f>SQRT(M49)</f>
        <v>10.3009386950899</v>
      </c>
      <c r="D51" s="49"/>
      <c r="E51" s="49"/>
      <c r="F51" s="49"/>
      <c r="G51" s="49"/>
      <c r="H51" s="49"/>
      <c r="I51" s="49"/>
      <c r="J51" s="49"/>
      <c r="K51" s="49"/>
      <c r="L51" s="49"/>
      <c r="M51" s="4"/>
    </row>
    <row r="52" ht="11.2" customHeight="1">
      <c r="A52" s="46"/>
      <c r="B52" t="s" s="47">
        <v>81</v>
      </c>
      <c r="C52" s="49">
        <f>C50+2/3*C51</f>
        <v>81.4282924633933</v>
      </c>
      <c r="D52" s="51">
        <v>100</v>
      </c>
      <c r="E52" s="46"/>
      <c r="F52" s="46"/>
      <c r="G52" s="46"/>
      <c r="H52" s="46"/>
      <c r="I52" s="46"/>
      <c r="J52" s="46"/>
      <c r="K52" s="46"/>
      <c r="L52" s="46"/>
      <c r="M52" s="4"/>
    </row>
    <row r="53" ht="11.2" customHeight="1">
      <c r="A53" s="46"/>
      <c r="B53" t="s" s="47">
        <v>82</v>
      </c>
      <c r="C53" s="49">
        <f>C50-2/3*C51</f>
        <v>67.69370753660669</v>
      </c>
      <c r="D53" s="49">
        <f>C52</f>
        <v>81.4282924633933</v>
      </c>
      <c r="E53" s="46"/>
      <c r="F53" s="46"/>
      <c r="G53" s="46"/>
      <c r="H53" s="46"/>
      <c r="I53" s="46"/>
      <c r="J53" s="46"/>
      <c r="K53" s="46"/>
      <c r="L53" s="46"/>
      <c r="M53" s="4"/>
    </row>
    <row r="54" ht="11.2" customHeight="1">
      <c r="A54" s="46"/>
      <c r="B54" t="s" s="47">
        <v>83</v>
      </c>
      <c r="C54" s="51">
        <v>0</v>
      </c>
      <c r="D54" s="49">
        <f>C53</f>
        <v>67.69370753660669</v>
      </c>
      <c r="E54" s="46"/>
      <c r="F54" s="46"/>
      <c r="G54" s="46"/>
      <c r="H54" s="46"/>
      <c r="I54" s="46"/>
      <c r="J54" s="46"/>
      <c r="K54" s="46"/>
      <c r="L54" s="46"/>
      <c r="M54" s="4"/>
    </row>
  </sheetData>
  <mergeCells count="13">
    <mergeCell ref="A30:L30"/>
    <mergeCell ref="A34:L34"/>
    <mergeCell ref="A38:L38"/>
    <mergeCell ref="A42:L42"/>
    <mergeCell ref="A47:B47"/>
    <mergeCell ref="A1:L1"/>
    <mergeCell ref="A22:L22"/>
    <mergeCell ref="A27:L27"/>
    <mergeCell ref="B2:B3"/>
    <mergeCell ref="A2:A3"/>
    <mergeCell ref="C2:L2"/>
    <mergeCell ref="A5:L5"/>
    <mergeCell ref="A10:L10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