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1" sheetId="1" r:id="rId4"/>
  </sheets>
</workbook>
</file>

<file path=xl/sharedStrings.xml><?xml version="1.0" encoding="utf-8"?>
<sst xmlns="http://schemas.openxmlformats.org/spreadsheetml/2006/main" uniqueCount="84">
  <si>
    <t>Сводная таблица по результатам анализа мониторинга качества финансового менеджмента осуществляемого главными администраторами средств бюджета Крапивинского муниципального округа  за 2022 год</t>
  </si>
  <si>
    <t>№ п/п</t>
  </si>
  <si>
    <t>Наименование показателя</t>
  </si>
  <si>
    <t>Оценка, в баллах</t>
  </si>
  <si>
    <t>АКМО</t>
  </si>
  <si>
    <t>КУМИ</t>
  </si>
  <si>
    <t>СНД</t>
  </si>
  <si>
    <t>УЖС</t>
  </si>
  <si>
    <t>УКМПИСТ</t>
  </si>
  <si>
    <t>УО</t>
  </si>
  <si>
    <t>УСЗН</t>
  </si>
  <si>
    <t>ТУ</t>
  </si>
  <si>
    <t>ФУ</t>
  </si>
  <si>
    <t>КСО</t>
  </si>
  <si>
    <t>Коэффициент сложности управления финансами</t>
  </si>
  <si>
    <t>1.     Качество бюджетного планирования</t>
  </si>
  <si>
    <r>
      <rPr>
        <sz val="8"/>
        <color indexed="8"/>
        <rFont val="Times New Roman"/>
      </rPr>
      <t>Р</t>
    </r>
    <r>
      <rPr>
        <vertAlign val="subscript"/>
        <sz val="8"/>
        <color indexed="8"/>
        <rFont val="Times New Roman"/>
      </rPr>
      <t>1.1</t>
    </r>
  </si>
  <si>
    <t>Количество изменений, внесенных в сводную бюджетную роспись местного бюджета</t>
  </si>
  <si>
    <r>
      <rPr>
        <sz val="8"/>
        <color indexed="8"/>
        <rFont val="Times New Roman"/>
      </rPr>
      <t>Р</t>
    </r>
    <r>
      <rPr>
        <vertAlign val="subscript"/>
        <sz val="8"/>
        <color indexed="8"/>
        <rFont val="Times New Roman"/>
      </rPr>
      <t>1.2</t>
    </r>
  </si>
  <si>
    <t>Доля суммы изменений в сводную бюджетную роспись местного бюджета</t>
  </si>
  <si>
    <r>
      <rPr>
        <sz val="8"/>
        <color indexed="8"/>
        <rFont val="Times New Roman"/>
      </rPr>
      <t>Р</t>
    </r>
    <r>
      <rPr>
        <vertAlign val="subscript"/>
        <sz val="8"/>
        <color indexed="8"/>
        <rFont val="Times New Roman"/>
      </rPr>
      <t>1.3</t>
    </r>
  </si>
  <si>
    <t>Качество планирования расходов на предоставление субсидий на иные цели</t>
  </si>
  <si>
    <t>итого</t>
  </si>
  <si>
    <t>2.     Качество управления расходами бюджета</t>
  </si>
  <si>
    <r>
      <rPr>
        <sz val="8"/>
        <color indexed="8"/>
        <rFont val="Times New Roman"/>
      </rPr>
      <t>Р</t>
    </r>
    <r>
      <rPr>
        <vertAlign val="subscript"/>
        <sz val="8"/>
        <color indexed="8"/>
        <rFont val="Times New Roman"/>
      </rPr>
      <t>2.1</t>
    </r>
  </si>
  <si>
    <t>Доля неисполненных на конец отчетного финансового года бюджетных ассигнований</t>
  </si>
  <si>
    <r>
      <rPr>
        <sz val="8"/>
        <color indexed="8"/>
        <rFont val="Times New Roman"/>
      </rPr>
      <t>Р</t>
    </r>
    <r>
      <rPr>
        <vertAlign val="subscript"/>
        <sz val="8"/>
        <color indexed="8"/>
        <rFont val="Times New Roman"/>
      </rPr>
      <t>2.2</t>
    </r>
  </si>
  <si>
    <t>Равномерность расходов</t>
  </si>
  <si>
    <r>
      <rPr>
        <sz val="8"/>
        <color indexed="8"/>
        <rFont val="Times New Roman"/>
      </rPr>
      <t>Р</t>
    </r>
    <r>
      <rPr>
        <vertAlign val="subscript"/>
        <sz val="8"/>
        <color indexed="8"/>
        <rFont val="Times New Roman"/>
      </rPr>
      <t>2.3</t>
    </r>
  </si>
  <si>
    <t>Эффективность управления просроченной кредиторской задолженностью</t>
  </si>
  <si>
    <r>
      <rPr>
        <sz val="8"/>
        <color indexed="8"/>
        <rFont val="Times New Roman"/>
      </rPr>
      <t>Р</t>
    </r>
    <r>
      <rPr>
        <vertAlign val="subscript"/>
        <sz val="8"/>
        <color indexed="8"/>
        <rFont val="Times New Roman"/>
      </rPr>
      <t>2.4</t>
    </r>
  </si>
  <si>
    <t>Эффективность управления дебиторской задолженностью по расчетам с дебиторами по расходам</t>
  </si>
  <si>
    <r>
      <rPr>
        <sz val="8"/>
        <color indexed="8"/>
        <rFont val="Times New Roman"/>
      </rPr>
      <t>Р</t>
    </r>
    <r>
      <rPr>
        <vertAlign val="subscript"/>
        <sz val="8"/>
        <color indexed="8"/>
        <rFont val="Times New Roman"/>
      </rPr>
      <t>2.5</t>
    </r>
  </si>
  <si>
    <t>Результативность использования субсидий из федерального и областного бюджетов в отчетном финансовом году</t>
  </si>
  <si>
    <r>
      <rPr>
        <sz val="8"/>
        <color indexed="8"/>
        <rFont val="Times New Roman"/>
      </rPr>
      <t>Р</t>
    </r>
    <r>
      <rPr>
        <vertAlign val="subscript"/>
        <sz val="8"/>
        <color indexed="8"/>
        <rFont val="Times New Roman"/>
      </rPr>
      <t>2.6</t>
    </r>
  </si>
  <si>
    <t>Уровень исполнения расходов главного распорядителя бюджетных средств, источником финансового обеспечения которых являются межбюджетные трансферты из федерального и областного бюджетов</t>
  </si>
  <si>
    <r>
      <rPr>
        <sz val="8"/>
        <color indexed="8"/>
        <rFont val="Times New Roman"/>
      </rPr>
      <t>Р</t>
    </r>
    <r>
      <rPr>
        <vertAlign val="subscript"/>
        <sz val="8"/>
        <color indexed="8"/>
        <rFont val="Times New Roman"/>
      </rPr>
      <t>2.7</t>
    </r>
  </si>
  <si>
    <t>Нарушение правил, условий предоставления бюджетных инвестиций, субсидий</t>
  </si>
  <si>
    <r>
      <rPr>
        <sz val="8"/>
        <color indexed="8"/>
        <rFont val="Times New Roman"/>
      </rPr>
      <t>Р</t>
    </r>
    <r>
      <rPr>
        <vertAlign val="subscript"/>
        <sz val="8"/>
        <color indexed="8"/>
        <rFont val="Times New Roman"/>
      </rPr>
      <t>2.8</t>
    </r>
  </si>
  <si>
    <t>Нецелевое использование бюджетных средств</t>
  </si>
  <si>
    <r>
      <rPr>
        <sz val="8"/>
        <color indexed="8"/>
        <rFont val="Times New Roman"/>
      </rPr>
      <t>Р</t>
    </r>
    <r>
      <rPr>
        <vertAlign val="subscript"/>
        <sz val="8"/>
        <color indexed="8"/>
        <rFont val="Times New Roman"/>
      </rPr>
      <t>2.9</t>
    </r>
  </si>
  <si>
    <t>Качество управления объектами незавершенного строительства</t>
  </si>
  <si>
    <r>
      <rPr>
        <sz val="8"/>
        <color indexed="8"/>
        <rFont val="Times New Roman"/>
      </rPr>
      <t>Р</t>
    </r>
    <r>
      <rPr>
        <vertAlign val="subscript"/>
        <sz val="8"/>
        <color indexed="8"/>
        <rFont val="Times New Roman"/>
      </rPr>
      <t>2.10</t>
    </r>
  </si>
  <si>
    <t>Иски о возмещении ущерба (в денежном выражении)</t>
  </si>
  <si>
    <t>3.     Качество управление доходами</t>
  </si>
  <si>
    <r>
      <rPr>
        <sz val="8"/>
        <color indexed="8"/>
        <rFont val="Times New Roman"/>
      </rPr>
      <t>Р</t>
    </r>
    <r>
      <rPr>
        <vertAlign val="subscript"/>
        <sz val="8"/>
        <color indexed="8"/>
        <rFont val="Times New Roman"/>
      </rPr>
      <t>3.1</t>
    </r>
  </si>
  <si>
    <t>Отклонение кассового исполнения по налоговым и неналоговым доходам (по состоянию на 31 декабря отчетного года) от показателей прогноза кассовых поступлений по налоговым и неналоговым доходам (по состоянию на 1 января отчетного года) местного бюджета</t>
  </si>
  <si>
    <r>
      <rPr>
        <sz val="8"/>
        <color indexed="8"/>
        <rFont val="Times New Roman"/>
      </rPr>
      <t>Р</t>
    </r>
    <r>
      <rPr>
        <vertAlign val="subscript"/>
        <sz val="8"/>
        <color indexed="8"/>
        <rFont val="Times New Roman"/>
      </rPr>
      <t>3.2</t>
    </r>
  </si>
  <si>
    <t>Эффективность управления просроченной дебиторской задолженностью по расчетам с дебиторами по доходам</t>
  </si>
  <si>
    <r>
      <rPr>
        <sz val="8"/>
        <color indexed="8"/>
        <rFont val="Times New Roman"/>
      </rPr>
      <t>Р</t>
    </r>
    <r>
      <rPr>
        <vertAlign val="subscript"/>
        <sz val="8"/>
        <color indexed="8"/>
        <rFont val="Times New Roman"/>
      </rPr>
      <t>3.3</t>
    </r>
  </si>
  <si>
    <t>Объем невыясненных поступлений, зачисленных в местный бюджет и не уточненных главным администратором доходов местного бюджета, по состоянию на 31 декабря отчетного финансового года</t>
  </si>
  <si>
    <t>4.     Качество ведения учета и составления бюджетной отчетности</t>
  </si>
  <si>
    <r>
      <rPr>
        <sz val="8"/>
        <color indexed="8"/>
        <rFont val="Times New Roman"/>
      </rPr>
      <t>Р</t>
    </r>
    <r>
      <rPr>
        <vertAlign val="subscript"/>
        <sz val="8"/>
        <color indexed="8"/>
        <rFont val="Times New Roman"/>
      </rPr>
      <t>4.1</t>
    </r>
  </si>
  <si>
    <t>Нарушение срока представления годовой сводной бюджетной и годовой сводной бухгалтерской отчетности бюджетных и автономных учреждений</t>
  </si>
  <si>
    <t>5.     Качество организации и осуществления внутреннего финансового аудита и внешнего контроля</t>
  </si>
  <si>
    <r>
      <rPr>
        <sz val="8"/>
        <color indexed="8"/>
        <rFont val="Times New Roman"/>
      </rPr>
      <t>Р</t>
    </r>
    <r>
      <rPr>
        <vertAlign val="subscript"/>
        <sz val="8"/>
        <color indexed="8"/>
        <rFont val="Times New Roman"/>
      </rPr>
      <t>5.1</t>
    </r>
  </si>
  <si>
    <t>Наличие решения руководителя  главного администратора средств местного бюджета об организации внутреннего финансового аудита</t>
  </si>
  <si>
    <r>
      <rPr>
        <sz val="8"/>
        <color indexed="8"/>
        <rFont val="Times New Roman"/>
      </rPr>
      <t>Р</t>
    </r>
    <r>
      <rPr>
        <vertAlign val="subscript"/>
        <sz val="8"/>
        <color indexed="8"/>
        <rFont val="Times New Roman"/>
      </rPr>
      <t>5.2</t>
    </r>
  </si>
  <si>
    <t>Оценка финансовой дисциплины</t>
  </si>
  <si>
    <t>6.     Качество осуществления закупок товаров, работ, услуг для обеспечения муниципальных нужд</t>
  </si>
  <si>
    <r>
      <rPr>
        <sz val="8"/>
        <color indexed="8"/>
        <rFont val="Times New Roman"/>
      </rPr>
      <t>Р</t>
    </r>
    <r>
      <rPr>
        <vertAlign val="subscript"/>
        <sz val="8"/>
        <color indexed="8"/>
        <rFont val="Times New Roman"/>
      </rPr>
      <t>6.1</t>
    </r>
  </si>
  <si>
    <t>Качество планирования закупок</t>
  </si>
  <si>
    <r>
      <rPr>
        <sz val="8"/>
        <color indexed="8"/>
        <rFont val="Times New Roman"/>
      </rPr>
      <t>Р</t>
    </r>
    <r>
      <rPr>
        <vertAlign val="subscript"/>
        <sz val="8"/>
        <color indexed="8"/>
        <rFont val="Times New Roman"/>
      </rPr>
      <t>6.2</t>
    </r>
  </si>
  <si>
    <t>Соблюдение действующего законодательства в сфере муниципальных закупок</t>
  </si>
  <si>
    <t>7.     Качество управления активами</t>
  </si>
  <si>
    <r>
      <rPr>
        <sz val="8"/>
        <color indexed="8"/>
        <rFont val="Times New Roman"/>
      </rPr>
      <t>Р</t>
    </r>
    <r>
      <rPr>
        <vertAlign val="subscript"/>
        <sz val="8"/>
        <color indexed="8"/>
        <rFont val="Times New Roman"/>
      </rPr>
      <t>7.1</t>
    </r>
  </si>
  <si>
    <t>Нарушения при управлении и распоряжении муниципальной собственностью</t>
  </si>
  <si>
    <r>
      <rPr>
        <sz val="8"/>
        <color indexed="8"/>
        <rFont val="Times New Roman"/>
      </rPr>
      <t>Р</t>
    </r>
    <r>
      <rPr>
        <vertAlign val="subscript"/>
        <sz val="8"/>
        <color indexed="8"/>
        <rFont val="Times New Roman"/>
      </rPr>
      <t>7.2</t>
    </r>
  </si>
  <si>
    <t>Качество управления недвижимым имуществом, переданным в аренду</t>
  </si>
  <si>
    <t>8.     Оценка деятельности по осуществлению функций и полномочий учредителя</t>
  </si>
  <si>
    <r>
      <rPr>
        <sz val="8"/>
        <color indexed="8"/>
        <rFont val="Times New Roman"/>
      </rPr>
      <t>Р</t>
    </r>
    <r>
      <rPr>
        <vertAlign val="subscript"/>
        <sz val="8"/>
        <color indexed="8"/>
        <rFont val="Times New Roman"/>
      </rPr>
      <t>8.1</t>
    </r>
  </si>
  <si>
    <t>Размещение информации на официальном сайте Российской Федерации www.bus.gov.ru</t>
  </si>
  <si>
    <r>
      <rPr>
        <sz val="8"/>
        <color indexed="8"/>
        <rFont val="Times New Roman"/>
      </rPr>
      <t>Р</t>
    </r>
    <r>
      <rPr>
        <vertAlign val="subscript"/>
        <sz val="8"/>
        <color indexed="8"/>
        <rFont val="Times New Roman"/>
      </rPr>
      <t>8.2</t>
    </r>
  </si>
  <si>
    <t>Выполнение показателей результативности, установленных муниципальными программами</t>
  </si>
  <si>
    <r>
      <rPr>
        <sz val="8"/>
        <color indexed="8"/>
        <rFont val="Times New Roman"/>
      </rPr>
      <t>Р</t>
    </r>
    <r>
      <rPr>
        <vertAlign val="subscript"/>
        <sz val="8"/>
        <color indexed="8"/>
        <rFont val="Times New Roman"/>
      </rPr>
      <t>8.3</t>
    </r>
  </si>
  <si>
    <t>Своевременность утверждения муниципальных заданий на оказание муниципальных услуг</t>
  </si>
  <si>
    <t>ОБЩИЙ БАЛЛ</t>
  </si>
  <si>
    <t>без коэффициента</t>
  </si>
  <si>
    <t>отклонение от среднеарефметической</t>
  </si>
  <si>
    <t>среднеарифметическое</t>
  </si>
  <si>
    <t>среднеквадратическое</t>
  </si>
  <si>
    <t>высокий рейтинг</t>
  </si>
  <si>
    <t>средний рейтинг</t>
  </si>
  <si>
    <t>низкий рейтинг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</si>
</sst>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0.0"/>
    <numFmt numFmtId="60" formatCode="#,##0.0"/>
  </numFmts>
  <fonts count="11">
    <font>
      <sz val="8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Times New Roman"/>
    </font>
    <font>
      <sz val="8"/>
      <color indexed="8"/>
      <name val="Times New Roman"/>
    </font>
    <font>
      <b val="1"/>
      <sz val="8"/>
      <color indexed="8"/>
      <name val="Times New Roman"/>
    </font>
    <font>
      <vertAlign val="subscript"/>
      <sz val="8"/>
      <color indexed="8"/>
      <name val="Times New Roman"/>
    </font>
    <font>
      <b val="1"/>
      <sz val="8"/>
      <color indexed="11"/>
      <name val="Times New Roman"/>
    </font>
    <font>
      <b val="1"/>
      <sz val="8"/>
      <color indexed="12"/>
      <name val="Times New Roman"/>
    </font>
    <font>
      <b val="1"/>
      <sz val="8"/>
      <color indexed="13"/>
      <name val="Times New Roman"/>
    </font>
    <font>
      <sz val="7"/>
      <color indexed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bottom" wrapText="1"/>
    </xf>
    <xf numFmtId="0" fontId="3" fillId="2" borderId="1" applyNumberFormat="0" applyFont="1" applyFill="1" applyBorder="1" applyAlignment="1" applyProtection="0">
      <alignment horizontal="center" vertical="bottom" wrapText="1"/>
    </xf>
    <xf numFmtId="0" fontId="0" borderId="1" applyNumberFormat="0" applyFont="1" applyFill="0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49" fontId="4" fillId="2" borderId="3" applyNumberFormat="1" applyFont="1" applyFill="1" applyBorder="1" applyAlignment="1" applyProtection="0">
      <alignment horizontal="center" vertical="center" wrapText="1"/>
    </xf>
    <xf numFmtId="49" fontId="5" fillId="2" borderId="4" applyNumberFormat="1" applyFont="1" applyFill="1" applyBorder="1" applyAlignment="1" applyProtection="0">
      <alignment horizontal="center" vertical="center" wrapText="1"/>
    </xf>
    <xf numFmtId="0" fontId="5" fillId="2" borderId="5" applyNumberFormat="0" applyFont="1" applyFill="1" applyBorder="1" applyAlignment="1" applyProtection="0">
      <alignment horizontal="center" vertical="center" wrapText="1"/>
    </xf>
    <xf numFmtId="0" fontId="5" fillId="2" borderId="6" applyNumberFormat="0" applyFont="1" applyFill="1" applyBorder="1" applyAlignment="1" applyProtection="0">
      <alignment horizontal="center" vertical="center" wrapText="1"/>
    </xf>
    <xf numFmtId="0" fontId="0" borderId="7" applyNumberFormat="0" applyFont="1" applyFill="0" applyBorder="1" applyAlignment="1" applyProtection="0">
      <alignment vertical="bottom"/>
    </xf>
    <xf numFmtId="0" fontId="4" fillId="2" borderId="8" applyNumberFormat="0" applyFont="1" applyFill="1" applyBorder="1" applyAlignment="1" applyProtection="0">
      <alignment horizontal="center" vertical="center" wrapText="1"/>
    </xf>
    <xf numFmtId="49" fontId="5" fillId="2" borderId="9" applyNumberFormat="1" applyFont="1" applyFill="1" applyBorder="1" applyAlignment="1" applyProtection="0">
      <alignment horizontal="center" vertical="center" wrapText="1"/>
    </xf>
    <xf numFmtId="0" fontId="4" fillId="2" borderId="7" applyNumberFormat="0" applyFont="1" applyFill="1" applyBorder="1" applyAlignment="1" applyProtection="0">
      <alignment horizontal="center" vertical="center" wrapText="1"/>
    </xf>
    <xf numFmtId="0" fontId="4" fillId="2" borderId="9" applyNumberFormat="0" applyFont="1" applyFill="1" applyBorder="1" applyAlignment="1" applyProtection="0">
      <alignment horizontal="center" vertical="center" wrapText="1"/>
    </xf>
    <xf numFmtId="49" fontId="4" fillId="2" borderId="9" applyNumberFormat="1" applyFont="1" applyFill="1" applyBorder="1" applyAlignment="1" applyProtection="0">
      <alignment horizontal="center" vertical="center" wrapText="1"/>
    </xf>
    <xf numFmtId="59" fontId="5" fillId="2" borderId="9" applyNumberFormat="1" applyFont="1" applyFill="1" applyBorder="1" applyAlignment="1" applyProtection="0">
      <alignment horizontal="center" vertical="center" wrapText="1"/>
    </xf>
    <xf numFmtId="60" fontId="5" fillId="2" borderId="9" applyNumberFormat="1" applyFont="1" applyFill="1" applyBorder="1" applyAlignment="1" applyProtection="0">
      <alignment horizontal="center" vertical="center" wrapText="1"/>
    </xf>
    <xf numFmtId="0" fontId="0" borderId="7" applyNumberFormat="0" applyFont="1" applyFill="0" applyBorder="1" applyAlignment="1" applyProtection="0">
      <alignment horizontal="center" vertical="bottom"/>
    </xf>
    <xf numFmtId="49" fontId="4" fillId="2" borderId="4" applyNumberFormat="1" applyFont="1" applyFill="1" applyBorder="1" applyAlignment="1" applyProtection="0">
      <alignment horizontal="center" vertical="center" wrapText="1"/>
    </xf>
    <xf numFmtId="0" fontId="4" fillId="2" borderId="5" applyNumberFormat="0" applyFont="1" applyFill="1" applyBorder="1" applyAlignment="1" applyProtection="0">
      <alignment horizontal="center" vertical="center" wrapText="1"/>
    </xf>
    <xf numFmtId="0" fontId="4" fillId="2" borderId="10" applyNumberFormat="0" applyFont="1" applyFill="1" applyBorder="1" applyAlignment="1" applyProtection="0">
      <alignment horizontal="center" vertical="center" wrapText="1"/>
    </xf>
    <xf numFmtId="0" fontId="0" borderId="11" applyNumberFormat="0" applyFont="1" applyFill="0" applyBorder="1" applyAlignment="1" applyProtection="0">
      <alignment horizontal="center" vertical="bottom"/>
    </xf>
    <xf numFmtId="49" fontId="4" fillId="2" borderId="9" applyNumberFormat="1" applyFont="1" applyFill="1" applyBorder="1" applyAlignment="1" applyProtection="0">
      <alignment horizontal="left" vertical="center" wrapText="1"/>
    </xf>
    <xf numFmtId="0" fontId="4" fillId="2" borderId="9" applyNumberFormat="1" applyFont="1" applyFill="1" applyBorder="1" applyAlignment="1" applyProtection="0">
      <alignment horizontal="center" vertical="center" wrapText="1"/>
    </xf>
    <xf numFmtId="49" fontId="5" fillId="2" borderId="9" applyNumberFormat="1" applyFont="1" applyFill="1" applyBorder="1" applyAlignment="1" applyProtection="0">
      <alignment horizontal="right" vertical="center" wrapText="1"/>
    </xf>
    <xf numFmtId="0" fontId="5" fillId="2" borderId="9" applyNumberFormat="1" applyFont="1" applyFill="1" applyBorder="1" applyAlignment="1" applyProtection="0">
      <alignment horizontal="center" vertical="center" wrapText="1"/>
    </xf>
    <xf numFmtId="0" fontId="4" fillId="2" borderId="6" applyNumberFormat="0" applyFont="1" applyFill="1" applyBorder="1" applyAlignment="1" applyProtection="0">
      <alignment horizontal="center" vertical="center" wrapText="1"/>
    </xf>
    <xf numFmtId="49" fontId="4" fillId="2" borderId="9" applyNumberFormat="1" applyFont="1" applyFill="1" applyBorder="1" applyAlignment="1" applyProtection="0">
      <alignment horizontal="justify" vertical="center" wrapText="1"/>
    </xf>
    <xf numFmtId="0" fontId="5" fillId="2" borderId="4" applyNumberFormat="1" applyFont="1" applyFill="1" applyBorder="1" applyAlignment="1" applyProtection="0">
      <alignment horizontal="center" vertical="center" wrapText="1"/>
    </xf>
    <xf numFmtId="0" fontId="5" fillId="2" borderId="5" applyNumberFormat="1" applyFont="1" applyFill="1" applyBorder="1" applyAlignment="1" applyProtection="0">
      <alignment horizontal="center" vertical="center" wrapText="1"/>
    </xf>
    <xf numFmtId="0" fontId="0" borderId="1" applyNumberFormat="0" applyFont="1" applyFill="0" applyBorder="1" applyAlignment="1" applyProtection="0">
      <alignment horizontal="center" vertical="bottom"/>
    </xf>
    <xf numFmtId="0" fontId="5" fillId="2" borderId="9" applyNumberFormat="0" applyFont="1" applyFill="1" applyBorder="1" applyAlignment="1" applyProtection="0">
      <alignment horizontal="center" vertical="center" wrapText="1"/>
    </xf>
    <xf numFmtId="49" fontId="5" fillId="2" borderId="4" applyNumberFormat="1" applyFont="1" applyFill="1" applyBorder="1" applyAlignment="1" applyProtection="0">
      <alignment horizontal="right" vertical="center" wrapText="1"/>
    </xf>
    <xf numFmtId="0" fontId="5" fillId="2" borderId="6" applyNumberFormat="0" applyFont="1" applyFill="1" applyBorder="1" applyAlignment="1" applyProtection="0">
      <alignment horizontal="right" vertical="center" wrapText="1"/>
    </xf>
    <xf numFmtId="2" fontId="7" fillId="2" borderId="9" applyNumberFormat="1" applyFont="1" applyFill="1" applyBorder="1" applyAlignment="1" applyProtection="0">
      <alignment horizontal="center" vertical="center" wrapText="1"/>
    </xf>
    <xf numFmtId="2" fontId="8" fillId="2" borderId="9" applyNumberFormat="1" applyFont="1" applyFill="1" applyBorder="1" applyAlignment="1" applyProtection="0">
      <alignment horizontal="center" vertical="center" wrapText="1"/>
    </xf>
    <xf numFmtId="2" fontId="9" fillId="2" borderId="9" applyNumberFormat="1" applyFont="1" applyFill="1" applyBorder="1" applyAlignment="1" applyProtection="0">
      <alignment horizontal="center" vertical="center" wrapText="1"/>
    </xf>
    <xf numFmtId="2" fontId="10" borderId="7" applyNumberFormat="1" applyFont="1" applyFill="0" applyBorder="1" applyAlignment="1" applyProtection="0">
      <alignment horizontal="center" vertical="bottom"/>
    </xf>
    <xf numFmtId="0" fontId="0" fillId="2" borderId="5" applyNumberFormat="0" applyFont="1" applyFill="1" applyBorder="1" applyAlignment="1" applyProtection="0">
      <alignment vertical="bottom"/>
    </xf>
    <xf numFmtId="49" fontId="0" fillId="2" borderId="5" applyNumberFormat="1" applyFont="1" applyFill="1" applyBorder="1" applyAlignment="1" applyProtection="0">
      <alignment vertical="bottom"/>
    </xf>
    <xf numFmtId="0" fontId="10" fillId="2" borderId="5" applyNumberFormat="1" applyFont="1" applyFill="1" applyBorder="1" applyAlignment="1" applyProtection="0">
      <alignment horizontal="center" vertical="bottom"/>
    </xf>
    <xf numFmtId="0" fontId="10" fillId="2" borderId="5" applyNumberFormat="0" applyFont="1" applyFill="1" applyBorder="1" applyAlignment="1" applyProtection="0">
      <alignment horizontal="center" vertical="bottom"/>
    </xf>
    <xf numFmtId="2" fontId="10" borderId="1" applyNumberFormat="1" applyFont="1" applyFill="0" applyBorder="1" applyAlignment="1" applyProtection="0">
      <alignment horizontal="center" vertical="bottom"/>
    </xf>
    <xf numFmtId="0" fontId="0" fillId="2" borderId="12" applyNumberFormat="0" applyFont="1" applyFill="1" applyBorder="1" applyAlignment="1" applyProtection="0">
      <alignment vertical="bottom"/>
    </xf>
    <xf numFmtId="49" fontId="0" fillId="2" borderId="12" applyNumberFormat="1" applyFont="1" applyFill="1" applyBorder="1" applyAlignment="1" applyProtection="0">
      <alignment vertical="bottom"/>
    </xf>
    <xf numFmtId="2" fontId="0" fillId="2" borderId="12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2" fontId="5" fillId="2" borderId="1" applyNumberFormat="1" applyFont="1" applyFill="1" applyBorder="1" applyAlignment="1" applyProtection="0">
      <alignment horizontal="center" vertical="center" wrapText="1"/>
    </xf>
    <xf numFmtId="2" fontId="0" fillId="2" borderId="1" applyNumberFormat="1" applyFont="1" applyFill="1" applyBorder="1" applyAlignment="1" applyProtection="0">
      <alignment vertical="bottom"/>
    </xf>
    <xf numFmtId="2" fontId="10" borderId="1" applyNumberFormat="1" applyFont="1" applyFill="0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7891b0"/>
      <rgbColor rgb="ffff0000"/>
      <rgbColor rgb="ff7030a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Тема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Тема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Тема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M55"/>
  <sheetViews>
    <sheetView workbookViewId="0" showGridLines="0" defaultGridColor="1"/>
  </sheetViews>
  <sheetFormatPr defaultColWidth="9.25" defaultRowHeight="11.25" customHeight="1" outlineLevelRow="0" outlineLevelCol="0"/>
  <cols>
    <col min="1" max="1" width="7.75" style="1" customWidth="1"/>
    <col min="2" max="2" width="36.25" style="1" customWidth="1"/>
    <col min="3" max="12" width="13" style="1" customWidth="1"/>
    <col min="13" max="13" width="15.25" style="1" customWidth="1"/>
    <col min="14" max="16384" width="9.25" style="1" customWidth="1"/>
  </cols>
  <sheetData>
    <row r="1" ht="29.2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 ht="12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4"/>
    </row>
    <row r="3" ht="12" customHeight="1">
      <c r="A3" t="s" s="6">
        <v>1</v>
      </c>
      <c r="B3" t="s" s="6">
        <v>2</v>
      </c>
      <c r="C3" t="s" s="7">
        <v>3</v>
      </c>
      <c r="D3" s="8"/>
      <c r="E3" s="8"/>
      <c r="F3" s="8"/>
      <c r="G3" s="8"/>
      <c r="H3" s="8"/>
      <c r="I3" s="8"/>
      <c r="J3" s="8"/>
      <c r="K3" s="8"/>
      <c r="L3" s="9"/>
      <c r="M3" s="10"/>
    </row>
    <row r="4" ht="12" customHeight="1">
      <c r="A4" s="11"/>
      <c r="B4" s="11"/>
      <c r="C4" t="s" s="12">
        <v>4</v>
      </c>
      <c r="D4" t="s" s="12">
        <v>5</v>
      </c>
      <c r="E4" t="s" s="12">
        <v>6</v>
      </c>
      <c r="F4" t="s" s="12">
        <v>7</v>
      </c>
      <c r="G4" t="s" s="12">
        <v>8</v>
      </c>
      <c r="H4" t="s" s="12">
        <v>9</v>
      </c>
      <c r="I4" t="s" s="12">
        <v>10</v>
      </c>
      <c r="J4" t="s" s="12">
        <v>11</v>
      </c>
      <c r="K4" t="s" s="12">
        <v>12</v>
      </c>
      <c r="L4" t="s" s="12">
        <v>13</v>
      </c>
      <c r="M4" s="13"/>
    </row>
    <row r="5" ht="23.25" customHeight="1">
      <c r="A5" s="14"/>
      <c r="B5" t="s" s="15">
        <v>14</v>
      </c>
      <c r="C5" s="16">
        <v>1.1</v>
      </c>
      <c r="D5" s="16">
        <v>1.1</v>
      </c>
      <c r="E5" s="16">
        <v>1</v>
      </c>
      <c r="F5" s="16">
        <v>1.2</v>
      </c>
      <c r="G5" s="16">
        <v>1.2</v>
      </c>
      <c r="H5" s="17">
        <v>1.2</v>
      </c>
      <c r="I5" s="17">
        <v>1.1</v>
      </c>
      <c r="J5" s="17">
        <v>1.1</v>
      </c>
      <c r="K5" s="17">
        <v>1</v>
      </c>
      <c r="L5" s="17">
        <v>1</v>
      </c>
      <c r="M5" s="18"/>
    </row>
    <row r="6" ht="14.25" customHeight="1">
      <c r="A6" t="s" s="19">
        <v>15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1"/>
      <c r="M6" s="22"/>
    </row>
    <row r="7" ht="34.5" customHeight="1">
      <c r="A7" t="s" s="15">
        <v>16</v>
      </c>
      <c r="B7" t="s" s="23">
        <v>17</v>
      </c>
      <c r="C7" s="24">
        <v>0</v>
      </c>
      <c r="D7" s="24">
        <v>2</v>
      </c>
      <c r="E7" s="24">
        <v>3</v>
      </c>
      <c r="F7" s="24">
        <v>0</v>
      </c>
      <c r="G7" s="24">
        <v>0</v>
      </c>
      <c r="H7" s="24">
        <v>0</v>
      </c>
      <c r="I7" s="24">
        <v>0</v>
      </c>
      <c r="J7" s="24">
        <v>0</v>
      </c>
      <c r="K7" s="24">
        <v>3</v>
      </c>
      <c r="L7" s="24">
        <v>4</v>
      </c>
      <c r="M7" s="18"/>
    </row>
    <row r="8" ht="23.25" customHeight="1">
      <c r="A8" t="s" s="15">
        <v>18</v>
      </c>
      <c r="B8" t="s" s="23">
        <v>19</v>
      </c>
      <c r="C8" s="24">
        <v>2</v>
      </c>
      <c r="D8" s="24">
        <v>0</v>
      </c>
      <c r="E8" s="24">
        <v>5</v>
      </c>
      <c r="F8" s="24">
        <v>4</v>
      </c>
      <c r="G8" s="24">
        <v>2</v>
      </c>
      <c r="H8" s="24">
        <v>4</v>
      </c>
      <c r="I8" s="24">
        <v>4</v>
      </c>
      <c r="J8" s="24">
        <v>1</v>
      </c>
      <c r="K8" s="24">
        <v>3</v>
      </c>
      <c r="L8" s="24">
        <v>0</v>
      </c>
      <c r="M8" s="18"/>
    </row>
    <row r="9" ht="23.25" customHeight="1">
      <c r="A9" t="s" s="15">
        <v>20</v>
      </c>
      <c r="B9" t="s" s="23">
        <v>21</v>
      </c>
      <c r="C9" s="24">
        <v>0</v>
      </c>
      <c r="D9" s="24">
        <v>0</v>
      </c>
      <c r="E9" s="24">
        <v>0</v>
      </c>
      <c r="F9" s="24">
        <v>0</v>
      </c>
      <c r="G9" s="24">
        <v>0</v>
      </c>
      <c r="H9" s="24">
        <v>4</v>
      </c>
      <c r="I9" s="24">
        <v>0</v>
      </c>
      <c r="J9" s="24">
        <v>0</v>
      </c>
      <c r="K9" s="24">
        <v>0</v>
      </c>
      <c r="L9" s="24">
        <v>0</v>
      </c>
      <c r="M9" s="18"/>
    </row>
    <row r="10" ht="12" customHeight="1">
      <c r="A10" s="14"/>
      <c r="B10" t="s" s="25">
        <v>22</v>
      </c>
      <c r="C10" s="26">
        <f>SUM(C7:C9)</f>
        <v>2</v>
      </c>
      <c r="D10" s="26">
        <f>SUM(D7:D9)</f>
        <v>2</v>
      </c>
      <c r="E10" s="26">
        <f>SUM(E7:E9)</f>
        <v>8</v>
      </c>
      <c r="F10" s="26">
        <f>SUM(F7:F9)</f>
        <v>4</v>
      </c>
      <c r="G10" s="26">
        <f>SUM(G7:G9)</f>
        <v>2</v>
      </c>
      <c r="H10" s="26">
        <f>SUM(H7:H9)</f>
        <v>8</v>
      </c>
      <c r="I10" s="26">
        <f>SUM(I7:I9)</f>
        <v>4</v>
      </c>
      <c r="J10" s="26">
        <f>SUM(J7:J9)</f>
        <v>1</v>
      </c>
      <c r="K10" s="26">
        <f>SUM(K7:K9)</f>
        <v>6</v>
      </c>
      <c r="L10" s="26">
        <f>SUM(L7:L9)</f>
        <v>4</v>
      </c>
      <c r="M10" s="18"/>
    </row>
    <row r="11" ht="15" customHeight="1">
      <c r="A11" t="s" s="19">
        <v>23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7"/>
      <c r="M11" s="18"/>
    </row>
    <row r="12" ht="34.5" customHeight="1">
      <c r="A12" t="s" s="15">
        <v>24</v>
      </c>
      <c r="B12" t="s" s="23">
        <v>25</v>
      </c>
      <c r="C12" s="24">
        <v>4</v>
      </c>
      <c r="D12" s="24">
        <v>4</v>
      </c>
      <c r="E12" s="24">
        <v>3</v>
      </c>
      <c r="F12" s="24">
        <v>5</v>
      </c>
      <c r="G12" s="24">
        <v>4</v>
      </c>
      <c r="H12" s="24">
        <v>5</v>
      </c>
      <c r="I12" s="24">
        <v>5</v>
      </c>
      <c r="J12" s="24">
        <v>4</v>
      </c>
      <c r="K12" s="24">
        <v>3</v>
      </c>
      <c r="L12" s="24">
        <v>4</v>
      </c>
      <c r="M12" s="18"/>
    </row>
    <row r="13" ht="13.5" customHeight="1">
      <c r="A13" t="s" s="15">
        <v>26</v>
      </c>
      <c r="B13" t="s" s="23">
        <v>27</v>
      </c>
      <c r="C13" s="24">
        <v>3</v>
      </c>
      <c r="D13" s="24">
        <v>0</v>
      </c>
      <c r="E13" s="24">
        <v>4</v>
      </c>
      <c r="F13" s="24">
        <v>0</v>
      </c>
      <c r="G13" s="24">
        <v>3</v>
      </c>
      <c r="H13" s="24">
        <v>3</v>
      </c>
      <c r="I13" s="24">
        <v>3</v>
      </c>
      <c r="J13" s="24">
        <v>5</v>
      </c>
      <c r="K13" s="24">
        <v>4</v>
      </c>
      <c r="L13" s="24">
        <v>4</v>
      </c>
      <c r="M13" s="18"/>
    </row>
    <row r="14" ht="23.25" customHeight="1">
      <c r="A14" t="s" s="15">
        <v>28</v>
      </c>
      <c r="B14" t="s" s="28">
        <v>29</v>
      </c>
      <c r="C14" s="24">
        <v>5</v>
      </c>
      <c r="D14" s="24">
        <v>5</v>
      </c>
      <c r="E14" s="24">
        <v>5</v>
      </c>
      <c r="F14" s="24">
        <v>5</v>
      </c>
      <c r="G14" s="24">
        <v>5</v>
      </c>
      <c r="H14" s="24">
        <v>5</v>
      </c>
      <c r="I14" s="24">
        <v>5</v>
      </c>
      <c r="J14" s="24">
        <v>5</v>
      </c>
      <c r="K14" s="24">
        <v>5</v>
      </c>
      <c r="L14" s="24">
        <v>5</v>
      </c>
      <c r="M14" s="18"/>
    </row>
    <row r="15" ht="34.5" customHeight="1">
      <c r="A15" t="s" s="15">
        <v>30</v>
      </c>
      <c r="B15" t="s" s="23">
        <v>31</v>
      </c>
      <c r="C15" s="24">
        <v>1</v>
      </c>
      <c r="D15" s="24">
        <v>0</v>
      </c>
      <c r="E15" s="24">
        <v>5</v>
      </c>
      <c r="F15" s="24">
        <v>5</v>
      </c>
      <c r="G15" s="24">
        <v>5</v>
      </c>
      <c r="H15" s="24">
        <v>5</v>
      </c>
      <c r="I15" s="24">
        <v>5</v>
      </c>
      <c r="J15" s="24">
        <v>5</v>
      </c>
      <c r="K15" s="24">
        <v>5</v>
      </c>
      <c r="L15" s="24">
        <v>5</v>
      </c>
      <c r="M15" s="18"/>
    </row>
    <row r="16" ht="34.5" customHeight="1">
      <c r="A16" t="s" s="15">
        <v>32</v>
      </c>
      <c r="B16" t="s" s="23">
        <v>33</v>
      </c>
      <c r="C16" s="24">
        <v>5</v>
      </c>
      <c r="D16" s="24">
        <v>0</v>
      </c>
      <c r="E16" s="24">
        <v>0</v>
      </c>
      <c r="F16" s="24">
        <v>5</v>
      </c>
      <c r="G16" s="24">
        <v>5</v>
      </c>
      <c r="H16" s="24">
        <v>5</v>
      </c>
      <c r="I16" s="24">
        <v>5</v>
      </c>
      <c r="J16" s="24">
        <v>5</v>
      </c>
      <c r="K16" s="24">
        <v>0</v>
      </c>
      <c r="L16" s="24">
        <v>0</v>
      </c>
      <c r="M16" s="18"/>
    </row>
    <row r="17" ht="68.25" customHeight="1">
      <c r="A17" t="s" s="15">
        <v>34</v>
      </c>
      <c r="B17" t="s" s="23">
        <v>35</v>
      </c>
      <c r="C17" s="24">
        <v>5</v>
      </c>
      <c r="D17" s="24">
        <v>4</v>
      </c>
      <c r="E17" s="24">
        <v>0</v>
      </c>
      <c r="F17" s="24">
        <v>4</v>
      </c>
      <c r="G17" s="24">
        <v>4</v>
      </c>
      <c r="H17" s="24">
        <v>4</v>
      </c>
      <c r="I17" s="24">
        <v>4</v>
      </c>
      <c r="J17" s="24">
        <v>4</v>
      </c>
      <c r="K17" s="24">
        <v>0</v>
      </c>
      <c r="L17" s="24">
        <v>0</v>
      </c>
      <c r="M17" s="18"/>
    </row>
    <row r="18" ht="34.5" customHeight="1">
      <c r="A18" t="s" s="15">
        <v>36</v>
      </c>
      <c r="B18" t="s" s="23">
        <v>37</v>
      </c>
      <c r="C18" s="24">
        <v>5</v>
      </c>
      <c r="D18" s="24">
        <v>0</v>
      </c>
      <c r="E18" s="24">
        <v>0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4">
        <v>0</v>
      </c>
      <c r="L18" s="24">
        <v>0</v>
      </c>
      <c r="M18" s="18"/>
    </row>
    <row r="19" ht="23.25" customHeight="1">
      <c r="A19" t="s" s="15">
        <v>38</v>
      </c>
      <c r="B19" t="s" s="23">
        <v>39</v>
      </c>
      <c r="C19" s="24">
        <v>5</v>
      </c>
      <c r="D19" s="24">
        <v>5</v>
      </c>
      <c r="E19" s="24">
        <v>5</v>
      </c>
      <c r="F19" s="24">
        <v>5</v>
      </c>
      <c r="G19" s="24">
        <v>5</v>
      </c>
      <c r="H19" s="24">
        <v>5</v>
      </c>
      <c r="I19" s="24">
        <v>5</v>
      </c>
      <c r="J19" s="24">
        <v>5</v>
      </c>
      <c r="K19" s="24">
        <v>5</v>
      </c>
      <c r="L19" s="24">
        <v>5</v>
      </c>
      <c r="M19" s="18"/>
    </row>
    <row r="20" ht="23.25" customHeight="1">
      <c r="A20" t="s" s="15">
        <v>40</v>
      </c>
      <c r="B20" t="s" s="23">
        <v>41</v>
      </c>
      <c r="C20" s="24">
        <v>0</v>
      </c>
      <c r="D20" s="24">
        <v>5</v>
      </c>
      <c r="E20" s="24">
        <v>5</v>
      </c>
      <c r="F20" s="24">
        <v>5</v>
      </c>
      <c r="G20" s="24">
        <v>5</v>
      </c>
      <c r="H20" s="24">
        <v>5</v>
      </c>
      <c r="I20" s="24">
        <v>5</v>
      </c>
      <c r="J20" s="24">
        <v>5</v>
      </c>
      <c r="K20" s="24">
        <v>5</v>
      </c>
      <c r="L20" s="24">
        <v>5</v>
      </c>
      <c r="M20" s="18"/>
    </row>
    <row r="21" ht="23.25" customHeight="1">
      <c r="A21" t="s" s="15">
        <v>42</v>
      </c>
      <c r="B21" t="s" s="23">
        <v>43</v>
      </c>
      <c r="C21" s="24">
        <v>0</v>
      </c>
      <c r="D21" s="24">
        <v>5</v>
      </c>
      <c r="E21" s="24">
        <v>5</v>
      </c>
      <c r="F21" s="24">
        <v>5</v>
      </c>
      <c r="G21" s="24">
        <v>0</v>
      </c>
      <c r="H21" s="24">
        <v>5</v>
      </c>
      <c r="I21" s="24">
        <v>5</v>
      </c>
      <c r="J21" s="24">
        <v>5</v>
      </c>
      <c r="K21" s="24">
        <v>5</v>
      </c>
      <c r="L21" s="24">
        <v>5</v>
      </c>
      <c r="M21" s="18"/>
    </row>
    <row r="22" ht="12" customHeight="1">
      <c r="A22" s="14"/>
      <c r="B22" t="s" s="25">
        <v>22</v>
      </c>
      <c r="C22" s="26">
        <f>SUM(C12:C21)</f>
        <v>33</v>
      </c>
      <c r="D22" s="26">
        <f>SUM(D12:D21)</f>
        <v>28</v>
      </c>
      <c r="E22" s="26">
        <f>SUM(E12:E21)</f>
        <v>32</v>
      </c>
      <c r="F22" s="26">
        <f>SUM(F12:F21)</f>
        <v>39</v>
      </c>
      <c r="G22" s="26">
        <f>SUM(G12:G21)</f>
        <v>36</v>
      </c>
      <c r="H22" s="26">
        <f>SUM(H12:H21)</f>
        <v>42</v>
      </c>
      <c r="I22" s="26">
        <f>SUM(I12:I21)</f>
        <v>42</v>
      </c>
      <c r="J22" s="26">
        <f>SUM(J12:J21)</f>
        <v>43</v>
      </c>
      <c r="K22" s="29">
        <f>SUM(K12:K21)</f>
        <v>32</v>
      </c>
      <c r="L22" s="30">
        <f>SUM(L12:L21)</f>
        <v>33</v>
      </c>
      <c r="M22" s="31"/>
    </row>
    <row r="23" ht="16.5" customHeight="1">
      <c r="A23" t="s" s="19">
        <v>44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7"/>
      <c r="M23" s="18"/>
    </row>
    <row r="24" ht="79.5" customHeight="1">
      <c r="A24" t="s" s="15">
        <v>45</v>
      </c>
      <c r="B24" t="s" s="23">
        <v>46</v>
      </c>
      <c r="C24" s="24">
        <v>0</v>
      </c>
      <c r="D24" s="24">
        <v>0</v>
      </c>
      <c r="E24" s="24">
        <v>0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4">
        <v>0</v>
      </c>
      <c r="L24" s="24">
        <v>0</v>
      </c>
      <c r="M24" s="18"/>
    </row>
    <row r="25" ht="34.5" customHeight="1">
      <c r="A25" t="s" s="15">
        <v>47</v>
      </c>
      <c r="B25" t="s" s="23">
        <v>48</v>
      </c>
      <c r="C25" s="24">
        <v>5</v>
      </c>
      <c r="D25" s="24">
        <v>5</v>
      </c>
      <c r="E25" s="24">
        <v>5</v>
      </c>
      <c r="F25" s="24">
        <v>5</v>
      </c>
      <c r="G25" s="24">
        <v>5</v>
      </c>
      <c r="H25" s="24">
        <v>5</v>
      </c>
      <c r="I25" s="24">
        <v>5</v>
      </c>
      <c r="J25" s="24">
        <v>5</v>
      </c>
      <c r="K25" s="24">
        <v>5</v>
      </c>
      <c r="L25" s="24">
        <v>5</v>
      </c>
      <c r="M25" s="18"/>
    </row>
    <row r="26" ht="68.25" customHeight="1">
      <c r="A26" t="s" s="15">
        <v>49</v>
      </c>
      <c r="B26" t="s" s="23">
        <v>50</v>
      </c>
      <c r="C26" s="24">
        <v>5</v>
      </c>
      <c r="D26" s="24">
        <v>5</v>
      </c>
      <c r="E26" s="24">
        <v>0</v>
      </c>
      <c r="F26" s="24">
        <v>5</v>
      </c>
      <c r="G26" s="24">
        <v>5</v>
      </c>
      <c r="H26" s="24">
        <v>3</v>
      </c>
      <c r="I26" s="24">
        <v>5</v>
      </c>
      <c r="J26" s="24">
        <v>5</v>
      </c>
      <c r="K26" s="24">
        <v>5</v>
      </c>
      <c r="L26" s="24">
        <v>0</v>
      </c>
      <c r="M26" s="18"/>
    </row>
    <row r="27" ht="12" customHeight="1">
      <c r="A27" s="14"/>
      <c r="B27" t="s" s="25">
        <v>22</v>
      </c>
      <c r="C27" s="26">
        <f>SUM(C24:C26)</f>
        <v>10</v>
      </c>
      <c r="D27" s="26">
        <f>SUM(D24:D26)</f>
        <v>10</v>
      </c>
      <c r="E27" s="26">
        <f>SUM(E24:E26)</f>
        <v>5</v>
      </c>
      <c r="F27" s="26">
        <f>SUM(F24:F26)</f>
        <v>10</v>
      </c>
      <c r="G27" s="26">
        <f>SUM(G24:G26)</f>
        <v>10</v>
      </c>
      <c r="H27" s="26">
        <f>SUM(H24:H26)</f>
        <v>8</v>
      </c>
      <c r="I27" s="26">
        <f>SUM(I24:I26)</f>
        <v>10</v>
      </c>
      <c r="J27" s="26">
        <f>SUM(J24:J26)</f>
        <v>10</v>
      </c>
      <c r="K27" s="26">
        <f>SUM(K24:K26)</f>
        <v>10</v>
      </c>
      <c r="L27" s="26">
        <f>SUM(L24:L26)</f>
        <v>5</v>
      </c>
      <c r="M27" s="18"/>
    </row>
    <row r="28" ht="15.75" customHeight="1">
      <c r="A28" t="s" s="19">
        <v>51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7"/>
      <c r="M28" s="18"/>
    </row>
    <row r="29" ht="45.75" customHeight="1">
      <c r="A29" t="s" s="15">
        <v>52</v>
      </c>
      <c r="B29" t="s" s="23">
        <v>53</v>
      </c>
      <c r="C29" s="24">
        <v>5</v>
      </c>
      <c r="D29" s="24">
        <v>0</v>
      </c>
      <c r="E29" s="24">
        <v>5</v>
      </c>
      <c r="F29" s="24">
        <v>5</v>
      </c>
      <c r="G29" s="24">
        <v>0</v>
      </c>
      <c r="H29" s="24">
        <v>5</v>
      </c>
      <c r="I29" s="24">
        <v>5</v>
      </c>
      <c r="J29" s="24">
        <v>5</v>
      </c>
      <c r="K29" s="24">
        <v>5</v>
      </c>
      <c r="L29" s="24">
        <v>5</v>
      </c>
      <c r="M29" s="18"/>
    </row>
    <row r="30" ht="12" customHeight="1">
      <c r="A30" s="32"/>
      <c r="B30" t="s" s="25">
        <v>22</v>
      </c>
      <c r="C30" s="26">
        <f>C29</f>
        <v>5</v>
      </c>
      <c r="D30" s="26">
        <f>D29</f>
        <v>0</v>
      </c>
      <c r="E30" s="26">
        <f>E29</f>
        <v>5</v>
      </c>
      <c r="F30" s="26">
        <f>F29</f>
        <v>5</v>
      </c>
      <c r="G30" s="26">
        <f>G29</f>
        <v>0</v>
      </c>
      <c r="H30" s="26">
        <f>H29</f>
        <v>5</v>
      </c>
      <c r="I30" s="26">
        <f>I29</f>
        <v>5</v>
      </c>
      <c r="J30" s="26">
        <f>J29</f>
        <v>5</v>
      </c>
      <c r="K30" s="29">
        <f>K29</f>
        <v>5</v>
      </c>
      <c r="L30" s="30">
        <f>L29</f>
        <v>5</v>
      </c>
      <c r="M30" s="31"/>
    </row>
    <row r="31" ht="15.75" customHeight="1">
      <c r="A31" t="s" s="19">
        <v>54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7"/>
      <c r="M31" s="18"/>
    </row>
    <row r="32" ht="45.75" customHeight="1">
      <c r="A32" t="s" s="15">
        <v>55</v>
      </c>
      <c r="B32" t="s" s="23">
        <v>56</v>
      </c>
      <c r="C32" s="24">
        <v>0</v>
      </c>
      <c r="D32" s="24">
        <v>0</v>
      </c>
      <c r="E32" s="24">
        <v>0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24">
        <v>5</v>
      </c>
      <c r="L32" s="24">
        <v>0</v>
      </c>
      <c r="M32" s="18"/>
    </row>
    <row r="33" ht="13.5" customHeight="1">
      <c r="A33" t="s" s="15">
        <v>57</v>
      </c>
      <c r="B33" t="s" s="23">
        <v>58</v>
      </c>
      <c r="C33" s="24">
        <v>0</v>
      </c>
      <c r="D33" s="24">
        <v>0</v>
      </c>
      <c r="E33" s="24">
        <v>0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4">
        <v>0</v>
      </c>
      <c r="M33" s="18"/>
    </row>
    <row r="34" ht="12" customHeight="1">
      <c r="A34" s="14"/>
      <c r="B34" t="s" s="25">
        <v>22</v>
      </c>
      <c r="C34" s="26">
        <f>SUM(C32:C33)</f>
        <v>0</v>
      </c>
      <c r="D34" s="26">
        <f>SUM(D32:D33)</f>
        <v>0</v>
      </c>
      <c r="E34" s="26">
        <f>SUM(E32:E33)</f>
        <v>0</v>
      </c>
      <c r="F34" s="26">
        <f>SUM(F32:F33)</f>
        <v>0</v>
      </c>
      <c r="G34" s="26">
        <f>SUM(G32:G33)</f>
        <v>0</v>
      </c>
      <c r="H34" s="26">
        <f>SUM(H32:H33)</f>
        <v>0</v>
      </c>
      <c r="I34" s="26">
        <f>SUM(I32:I33)</f>
        <v>0</v>
      </c>
      <c r="J34" s="26">
        <f>SUM(J32:J33)</f>
        <v>0</v>
      </c>
      <c r="K34" s="29">
        <f>SUM(K32:K33)</f>
        <v>5</v>
      </c>
      <c r="L34" s="30">
        <f>SUM(L32:L33)</f>
        <v>0</v>
      </c>
      <c r="M34" s="31"/>
    </row>
    <row r="35" ht="16.5" customHeight="1">
      <c r="A35" t="s" s="19">
        <v>59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7"/>
      <c r="M35" s="18"/>
    </row>
    <row r="36" ht="13.5" customHeight="1">
      <c r="A36" t="s" s="15">
        <v>60</v>
      </c>
      <c r="B36" t="s" s="23">
        <v>61</v>
      </c>
      <c r="C36" s="24">
        <v>3.1</v>
      </c>
      <c r="D36" s="24">
        <v>3.89</v>
      </c>
      <c r="E36" s="24">
        <v>0</v>
      </c>
      <c r="F36" s="24">
        <v>2.41</v>
      </c>
      <c r="G36" s="24">
        <v>3.89</v>
      </c>
      <c r="H36" s="24">
        <v>0</v>
      </c>
      <c r="I36" s="24">
        <v>3.75</v>
      </c>
      <c r="J36" s="24">
        <v>2.96</v>
      </c>
      <c r="K36" s="24">
        <v>4.58</v>
      </c>
      <c r="L36" s="24">
        <v>5</v>
      </c>
      <c r="M36" s="18"/>
    </row>
    <row r="37" ht="34.5" customHeight="1">
      <c r="A37" t="s" s="15">
        <v>62</v>
      </c>
      <c r="B37" t="s" s="23">
        <v>63</v>
      </c>
      <c r="C37" s="24">
        <v>5</v>
      </c>
      <c r="D37" s="24">
        <v>0</v>
      </c>
      <c r="E37" s="24">
        <v>0</v>
      </c>
      <c r="F37" s="24">
        <v>0</v>
      </c>
      <c r="G37" s="24">
        <v>0</v>
      </c>
      <c r="H37" s="24">
        <v>0</v>
      </c>
      <c r="I37" s="24">
        <v>0</v>
      </c>
      <c r="J37" s="24">
        <v>0</v>
      </c>
      <c r="K37" s="24">
        <v>0</v>
      </c>
      <c r="L37" s="24">
        <v>0</v>
      </c>
      <c r="M37" s="18"/>
    </row>
    <row r="38" ht="12" customHeight="1">
      <c r="A38" s="14"/>
      <c r="B38" t="s" s="25">
        <v>22</v>
      </c>
      <c r="C38" s="26">
        <f>SUM(C36:C37)</f>
        <v>8.1</v>
      </c>
      <c r="D38" s="26">
        <f>SUM(D36:D37)</f>
        <v>3.89</v>
      </c>
      <c r="E38" s="26">
        <f>SUM(E36:E37)</f>
        <v>0</v>
      </c>
      <c r="F38" s="26">
        <f>SUM(F36:F37)</f>
        <v>2.41</v>
      </c>
      <c r="G38" s="26">
        <f>SUM(G36:G37)</f>
        <v>3.89</v>
      </c>
      <c r="H38" s="26">
        <f>SUM(H36:H37)</f>
        <v>0</v>
      </c>
      <c r="I38" s="26">
        <f>SUM(I36:I37)</f>
        <v>3.75</v>
      </c>
      <c r="J38" s="26">
        <f>SUM(J36:J37)</f>
        <v>2.96</v>
      </c>
      <c r="K38" s="26">
        <f>SUM(K36:K37)</f>
        <v>4.58</v>
      </c>
      <c r="L38" s="26">
        <f>SUM(L36:L37)</f>
        <v>5</v>
      </c>
      <c r="M38" s="18"/>
    </row>
    <row r="39" ht="15.75" customHeight="1">
      <c r="A39" t="s" s="19">
        <v>64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7"/>
      <c r="M39" s="18"/>
    </row>
    <row r="40" ht="34.5" customHeight="1">
      <c r="A40" t="s" s="15">
        <v>65</v>
      </c>
      <c r="B40" t="s" s="23">
        <v>66</v>
      </c>
      <c r="C40" s="24">
        <v>0</v>
      </c>
      <c r="D40" s="24">
        <v>5</v>
      </c>
      <c r="E40" s="24">
        <v>5</v>
      </c>
      <c r="F40" s="24">
        <v>5</v>
      </c>
      <c r="G40" s="24">
        <v>5</v>
      </c>
      <c r="H40" s="24">
        <v>5</v>
      </c>
      <c r="I40" s="24">
        <v>5</v>
      </c>
      <c r="J40" s="24">
        <v>5</v>
      </c>
      <c r="K40" s="24">
        <v>5</v>
      </c>
      <c r="L40" s="24">
        <v>5</v>
      </c>
      <c r="M40" s="18"/>
    </row>
    <row r="41" ht="23.25" customHeight="1">
      <c r="A41" t="s" s="15">
        <v>67</v>
      </c>
      <c r="B41" t="s" s="23">
        <v>68</v>
      </c>
      <c r="C41" s="24">
        <v>0</v>
      </c>
      <c r="D41" s="24">
        <v>0</v>
      </c>
      <c r="E41" s="24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  <c r="L41" s="24">
        <v>0</v>
      </c>
      <c r="M41" s="18"/>
    </row>
    <row r="42" ht="12" customHeight="1">
      <c r="A42" s="14"/>
      <c r="B42" t="s" s="25">
        <v>22</v>
      </c>
      <c r="C42" s="26">
        <f>SUM(C40:C41)</f>
        <v>0</v>
      </c>
      <c r="D42" s="26">
        <f>SUM(D40:D41)</f>
        <v>5</v>
      </c>
      <c r="E42" s="26">
        <f>SUM(E40:E41)</f>
        <v>5</v>
      </c>
      <c r="F42" s="26">
        <f>SUM(F40:F41)</f>
        <v>5</v>
      </c>
      <c r="G42" s="26">
        <f>SUM(G40:G41)</f>
        <v>5</v>
      </c>
      <c r="H42" s="26">
        <f>SUM(H40:H41)</f>
        <v>5</v>
      </c>
      <c r="I42" s="26">
        <f>SUM(I40:I41)</f>
        <v>5</v>
      </c>
      <c r="J42" s="26">
        <f>SUM(J40:J41)</f>
        <v>5</v>
      </c>
      <c r="K42" s="26">
        <f>SUM(K40:K41)</f>
        <v>5</v>
      </c>
      <c r="L42" s="26">
        <f>SUM(L40:L41)</f>
        <v>5</v>
      </c>
      <c r="M42" s="18"/>
    </row>
    <row r="43" ht="15" customHeight="1">
      <c r="A43" t="s" s="19">
        <v>69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7"/>
      <c r="M43" s="18"/>
    </row>
    <row r="44" ht="34.5" customHeight="1">
      <c r="A44" t="s" s="15">
        <v>70</v>
      </c>
      <c r="B44" t="s" s="23">
        <v>71</v>
      </c>
      <c r="C44" s="24">
        <v>5</v>
      </c>
      <c r="D44" s="24">
        <v>0</v>
      </c>
      <c r="E44" s="24">
        <v>0</v>
      </c>
      <c r="F44" s="24">
        <v>0</v>
      </c>
      <c r="G44" s="24">
        <v>5</v>
      </c>
      <c r="H44" s="24">
        <v>5</v>
      </c>
      <c r="I44" s="24">
        <v>5</v>
      </c>
      <c r="J44" s="24">
        <v>0</v>
      </c>
      <c r="K44" s="24">
        <v>0</v>
      </c>
      <c r="L44" s="24">
        <v>0</v>
      </c>
      <c r="M44" s="18"/>
    </row>
    <row r="45" ht="34.5" customHeight="1">
      <c r="A45" t="s" s="15">
        <v>72</v>
      </c>
      <c r="B45" t="s" s="23">
        <v>73</v>
      </c>
      <c r="C45" s="24">
        <v>0</v>
      </c>
      <c r="D45" s="24">
        <v>5</v>
      </c>
      <c r="E45" s="24">
        <v>5</v>
      </c>
      <c r="F45" s="24">
        <v>3</v>
      </c>
      <c r="G45" s="24">
        <v>0</v>
      </c>
      <c r="H45" s="24">
        <v>0</v>
      </c>
      <c r="I45" s="24">
        <v>0</v>
      </c>
      <c r="J45" s="24">
        <v>5</v>
      </c>
      <c r="K45" s="24">
        <v>5</v>
      </c>
      <c r="L45" s="24">
        <v>5</v>
      </c>
      <c r="M45" s="18"/>
    </row>
    <row r="46" ht="34.5" customHeight="1">
      <c r="A46" t="s" s="15">
        <v>74</v>
      </c>
      <c r="B46" t="s" s="23">
        <v>75</v>
      </c>
      <c r="C46" s="24">
        <v>5</v>
      </c>
      <c r="D46" s="24">
        <v>0</v>
      </c>
      <c r="E46" s="24">
        <v>0</v>
      </c>
      <c r="F46" s="24">
        <v>0</v>
      </c>
      <c r="G46" s="24">
        <v>5</v>
      </c>
      <c r="H46" s="24">
        <v>0</v>
      </c>
      <c r="I46" s="24">
        <v>5</v>
      </c>
      <c r="J46" s="24">
        <v>0</v>
      </c>
      <c r="K46" s="24">
        <v>0</v>
      </c>
      <c r="L46" s="24">
        <v>0</v>
      </c>
      <c r="M46" s="18"/>
    </row>
    <row r="47" ht="12" customHeight="1">
      <c r="A47" s="14"/>
      <c r="B47" t="s" s="25">
        <v>22</v>
      </c>
      <c r="C47" s="26">
        <f>SUM(C44:C46)</f>
        <v>10</v>
      </c>
      <c r="D47" s="26">
        <f>SUM(D44:D46)</f>
        <v>5</v>
      </c>
      <c r="E47" s="26">
        <f>SUM(E44:E46)</f>
        <v>5</v>
      </c>
      <c r="F47" s="26">
        <f>SUM(F44:F46)</f>
        <v>3</v>
      </c>
      <c r="G47" s="26">
        <f>SUM(G44:G46)</f>
        <v>10</v>
      </c>
      <c r="H47" s="26">
        <f>SUM(H44:H46)</f>
        <v>5</v>
      </c>
      <c r="I47" s="26">
        <f>SUM(I44:I46)</f>
        <v>10</v>
      </c>
      <c r="J47" s="26">
        <f>SUM(J44:J46)</f>
        <v>5</v>
      </c>
      <c r="K47" s="26">
        <f>SUM(K44:K46)</f>
        <v>5</v>
      </c>
      <c r="L47" s="26">
        <f>SUM(L44:L46)</f>
        <v>5</v>
      </c>
      <c r="M47" s="18"/>
    </row>
    <row r="48" ht="18.75" customHeight="1">
      <c r="A48" t="s" s="33">
        <v>76</v>
      </c>
      <c r="B48" s="34"/>
      <c r="C48" s="35">
        <f>C5*(C10+C22+C27+C30+C34+C38+C42+C47)</f>
        <v>74.91</v>
      </c>
      <c r="D48" s="36">
        <f>D5*(D10+D22+D27+D30+D34+D38+D42+D47)</f>
        <v>59.279</v>
      </c>
      <c r="E48" s="36">
        <f>E5*(E10+E22+E27+E30+E34+E38+E42+E47)</f>
        <v>60</v>
      </c>
      <c r="F48" s="37">
        <f>F5*(F10+F22+F27+F30+F34+F38+F42+F47)</f>
        <v>82.092</v>
      </c>
      <c r="G48" s="35">
        <f>G5*(G10+G22+G27+G30+G34+G38+G42+G47)</f>
        <v>80.268</v>
      </c>
      <c r="H48" s="37">
        <f>H5*(H10+H22+H27+H30+H34+H38+H42+H47)</f>
        <v>87.59999999999999</v>
      </c>
      <c r="I48" s="37">
        <f>I5*(I10+I22+I27+I30+I34+I38+I42+I47)</f>
        <v>87.72499999999999</v>
      </c>
      <c r="J48" s="35">
        <f>J5*(J10+J22+J27+J30+J34+J38+J42+J47)</f>
        <v>79.15600000000001</v>
      </c>
      <c r="K48" s="35">
        <f>K5*(K10+K22+K27+K30+K34+K38+K42+K47)</f>
        <v>72.58</v>
      </c>
      <c r="L48" s="36">
        <f>L5*(L10+L22+L27+L30+L34+L38+L42+L47)</f>
        <v>62</v>
      </c>
      <c r="M48" s="38">
        <f>SUM(C48:L48)</f>
        <v>745.61</v>
      </c>
    </row>
    <row r="49" ht="10" customHeight="1" hidden="1">
      <c r="A49" s="39"/>
      <c r="B49" t="s" s="40">
        <v>77</v>
      </c>
      <c r="C49" s="41">
        <f>C10+C22+C27+C30+C34+C38+C42+C47</f>
        <v>68.09999999999999</v>
      </c>
      <c r="D49" s="41">
        <f>D10+D22+D27+D30+D34+D38+D42+D47</f>
        <v>53.89</v>
      </c>
      <c r="E49" s="41">
        <f>E10+E22+E27+E30+E34+E38+E42+E47</f>
        <v>60</v>
      </c>
      <c r="F49" s="41">
        <f>F10+F22+F27+F30+F34+F38+F42+F47</f>
        <v>68.41</v>
      </c>
      <c r="G49" s="41">
        <f>G10+G22+G27+G30+G34+G38+G42+G47</f>
        <v>66.89</v>
      </c>
      <c r="H49" s="41">
        <f>H10+H22+H27+H30+H34+H38+H42+H47</f>
        <v>73</v>
      </c>
      <c r="I49" s="41">
        <f>I10+I22+I27+I30+I34+I38+I42+I47</f>
        <v>79.75</v>
      </c>
      <c r="J49" s="41">
        <f>J10+J22+J27+J30+J34+J38+J42+J47</f>
        <v>71.95999999999999</v>
      </c>
      <c r="K49" s="41">
        <f>K10+K22+K27+K30+K34+K38+K42+K47</f>
        <v>72.58</v>
      </c>
      <c r="L49" s="42"/>
      <c r="M49" s="43">
        <f>SUM(C49:K49)</f>
        <v>614.58</v>
      </c>
    </row>
    <row r="50" ht="11.7" customHeight="1">
      <c r="A50" s="44"/>
      <c r="B50" t="s" s="45">
        <v>78</v>
      </c>
      <c r="C50" s="46">
        <f>C48-$C51</f>
        <v>0.349</v>
      </c>
      <c r="D50" s="46">
        <f>D48-$C51</f>
        <v>-15.282</v>
      </c>
      <c r="E50" s="46">
        <f>E48-$C51</f>
        <v>-14.561</v>
      </c>
      <c r="F50" s="46">
        <f>F48-$C51</f>
        <v>7.531</v>
      </c>
      <c r="G50" s="46">
        <f>G48-$C51</f>
        <v>5.707</v>
      </c>
      <c r="H50" s="46">
        <f>H48-$C51</f>
        <v>13.039</v>
      </c>
      <c r="I50" s="46">
        <f>I48-$C51</f>
        <v>13.164</v>
      </c>
      <c r="J50" s="46">
        <f>J48-$C51</f>
        <v>4.595</v>
      </c>
      <c r="K50" s="46">
        <f>K48-$C51</f>
        <v>-1.981</v>
      </c>
      <c r="L50" s="46">
        <f>L48-$C51</f>
        <v>-12.561</v>
      </c>
      <c r="M50" s="43">
        <f>SUMSQ(C50,D50,E50,F50,G50,H50,I50,J50,K50,L50)/10</f>
        <v>106.109338</v>
      </c>
    </row>
    <row r="51" ht="11.65" customHeight="1">
      <c r="A51" s="47"/>
      <c r="B51" t="s" s="48">
        <v>79</v>
      </c>
      <c r="C51" s="49">
        <f>SUM(C48:L48)/10</f>
        <v>74.56100000000001</v>
      </c>
      <c r="D51" s="50"/>
      <c r="E51" s="50"/>
      <c r="F51" s="50"/>
      <c r="G51" s="50"/>
      <c r="H51" s="50"/>
      <c r="I51" s="50"/>
      <c r="J51" s="50"/>
      <c r="K51" s="50"/>
      <c r="L51" s="50"/>
      <c r="M51" s="51"/>
    </row>
    <row r="52" ht="11.65" customHeight="1">
      <c r="A52" s="47"/>
      <c r="B52" t="s" s="48">
        <v>80</v>
      </c>
      <c r="C52" s="49">
        <f>SQRT(M50)</f>
        <v>10.3009386950899</v>
      </c>
      <c r="D52" s="50"/>
      <c r="E52" s="50"/>
      <c r="F52" s="50"/>
      <c r="G52" s="50"/>
      <c r="H52" s="50"/>
      <c r="I52" s="50"/>
      <c r="J52" s="50"/>
      <c r="K52" s="50"/>
      <c r="L52" s="50"/>
      <c r="M52" s="4"/>
    </row>
    <row r="53" ht="11.2" customHeight="1">
      <c r="A53" s="47"/>
      <c r="B53" t="s" s="48">
        <v>81</v>
      </c>
      <c r="C53" s="50">
        <f>C51+2/3*C52</f>
        <v>81.4282924633933</v>
      </c>
      <c r="D53" s="52">
        <v>100</v>
      </c>
      <c r="E53" s="47"/>
      <c r="F53" s="47"/>
      <c r="G53" s="47"/>
      <c r="H53" s="47"/>
      <c r="I53" s="47"/>
      <c r="J53" s="47"/>
      <c r="K53" s="47"/>
      <c r="L53" s="47"/>
      <c r="M53" s="4"/>
    </row>
    <row r="54" ht="11.2" customHeight="1">
      <c r="A54" s="47"/>
      <c r="B54" t="s" s="48">
        <v>82</v>
      </c>
      <c r="C54" s="50">
        <f>C51-2/3*C52</f>
        <v>67.69370753660669</v>
      </c>
      <c r="D54" s="50">
        <f>C53</f>
        <v>81.4282924633933</v>
      </c>
      <c r="E54" s="47"/>
      <c r="F54" s="47"/>
      <c r="G54" s="47"/>
      <c r="H54" s="47"/>
      <c r="I54" s="47"/>
      <c r="J54" s="47"/>
      <c r="K54" s="47"/>
      <c r="L54" s="47"/>
      <c r="M54" s="4"/>
    </row>
    <row r="55" ht="11.2" customHeight="1">
      <c r="A55" s="47"/>
      <c r="B55" t="s" s="48">
        <v>83</v>
      </c>
      <c r="C55" s="52">
        <v>0</v>
      </c>
      <c r="D55" s="50">
        <f>C54</f>
        <v>67.69370753660669</v>
      </c>
      <c r="E55" s="47"/>
      <c r="F55" s="47"/>
      <c r="G55" s="47"/>
      <c r="H55" s="47"/>
      <c r="I55" s="47"/>
      <c r="J55" s="47"/>
      <c r="K55" s="47"/>
      <c r="L55" s="47"/>
      <c r="M55" s="4"/>
    </row>
  </sheetData>
  <mergeCells count="13">
    <mergeCell ref="A31:L31"/>
    <mergeCell ref="A35:L35"/>
    <mergeCell ref="A39:L39"/>
    <mergeCell ref="A43:L43"/>
    <mergeCell ref="A48:B48"/>
    <mergeCell ref="A1:L1"/>
    <mergeCell ref="A23:L23"/>
    <mergeCell ref="A28:L28"/>
    <mergeCell ref="B3:B4"/>
    <mergeCell ref="A3:A4"/>
    <mergeCell ref="C3:L3"/>
    <mergeCell ref="A6:L6"/>
    <mergeCell ref="A11:L11"/>
  </mergeCells>
  <pageMargins left="0.7" right="0.7" top="0.75" bottom="0.75" header="0.3" footer="0.3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