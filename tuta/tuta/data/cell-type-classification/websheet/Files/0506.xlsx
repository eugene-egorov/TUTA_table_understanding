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lParse\AppData\Local\Temp\2\"/>
    </mc:Choice>
  </mc:AlternateContent>
  <bookViews>
    <workbookView xWindow="480" yWindow="30" windowWidth="16275" windowHeight="9525" activeTab="2"/>
  </bookViews>
  <sheets>
    <sheet name="chart1" sheetId="1" r:id="rId1"/>
    <sheet name="chart2grwth" sheetId="2" r:id="rId2"/>
    <sheet name="chart3ag" sheetId="3" r:id="rId3"/>
    <sheet name="chart 4 agavgvalue" sheetId="4" r:id="rId4"/>
    <sheet name="chart5municiplaties" sheetId="5" r:id="rId5"/>
  </sheets>
  <definedNames>
    <definedName name="CNTYNAME" localSheetId="4">#REF!</definedName>
    <definedName name="CNTYNAME">#REF!</definedName>
    <definedName name="_xlnm.Database" localSheetId="4">#REF!</definedName>
    <definedName name="_xlnm.Database">#REF!</definedName>
    <definedName name="_xlnm.Print_Area" localSheetId="0">chart1!$A$1:$M$47</definedName>
    <definedName name="_xlnm.Print_Area" localSheetId="1">chart2grwth!$A$1:$M$61</definedName>
    <definedName name="_xlnm.Print_Area" localSheetId="2">chart3ag!$A$1:$M$62</definedName>
    <definedName name="_xlnm.Print_Area" localSheetId="4">chart5municiplaties!$A$2:$N$57</definedName>
    <definedName name="SUM_CY_GAG" localSheetId="4">#REF!</definedName>
    <definedName name="SUM_CY_GAG">#REF!</definedName>
    <definedName name="SUM_CY_GCO" localSheetId="4">#REF!</definedName>
    <definedName name="SUM_CY_GCO">#REF!</definedName>
    <definedName name="SUM_CY_GIN" localSheetId="4">#REF!</definedName>
    <definedName name="SUM_CY_GIN">#REF!</definedName>
    <definedName name="SUM_CY_GMI" localSheetId="4">#REF!</definedName>
    <definedName name="SUM_CY_GMI">#REF!</definedName>
    <definedName name="SUM_CY_GRE" localSheetId="4">#REF!</definedName>
    <definedName name="SUM_CY_GRE">#REF!</definedName>
  </definedNames>
  <calcPr calcId="145621"/>
</workbook>
</file>

<file path=xl/sharedStrings.xml><?xml version="1.0" encoding="utf-8"?>
<sst xmlns="http://schemas.openxmlformats.org/spreadsheetml/2006/main" count="377" uniqueCount="116">
  <si>
    <t>Tax</t>
  </si>
  <si>
    <r>
      <t xml:space="preserve">Residential &amp; Recreational </t>
    </r>
    <r>
      <rPr>
        <b/>
        <vertAlign val="superscript"/>
        <sz val="10"/>
        <rFont val="Arial"/>
        <family val="2"/>
      </rPr>
      <t>(1)</t>
    </r>
  </si>
  <si>
    <r>
      <t xml:space="preserve">Commercial &amp; Industrial </t>
    </r>
    <r>
      <rPr>
        <b/>
        <vertAlign val="superscript"/>
        <sz val="10"/>
        <rFont val="Arial"/>
        <family val="2"/>
      </rPr>
      <t>(1)</t>
    </r>
  </si>
  <si>
    <r>
      <t xml:space="preserve">Total Agricultural Land </t>
    </r>
    <r>
      <rPr>
        <b/>
        <vertAlign val="superscript"/>
        <sz val="10"/>
        <rFont val="Arial"/>
        <family val="2"/>
      </rPr>
      <t>(1)</t>
    </r>
  </si>
  <si>
    <t>Year</t>
  </si>
  <si>
    <t>Value</t>
  </si>
  <si>
    <t>Amnt Value Chg</t>
  </si>
  <si>
    <t>Ann.%chg</t>
  </si>
  <si>
    <t>Cmltv%chg</t>
  </si>
  <si>
    <t>--</t>
  </si>
  <si>
    <t xml:space="preserve">Rate Annual %chg: </t>
  </si>
  <si>
    <t xml:space="preserve">Residential &amp; Recreational </t>
  </si>
  <si>
    <t xml:space="preserve"> Commercial &amp; Industrial </t>
  </si>
  <si>
    <t xml:space="preserve"> Agricultural Land </t>
  </si>
  <si>
    <t>Cnty#</t>
  </si>
  <si>
    <t>County</t>
  </si>
  <si>
    <t>CHART 1</t>
  </si>
  <si>
    <t>EXHIBIT</t>
  </si>
  <si>
    <t>(1)  Residential &amp; Recreational excludes Agric. dwelling &amp; farm home site land. Commercial &amp; Industrial excludes minerals. Agricultural land includes irrigated, dry, grass, waste, &amp; other agland, excludes farm site land.</t>
  </si>
  <si>
    <t>Source: 2003 - 2013 Certificate of Taxes Levied Reports CTL     NE Dept. of Revenue, Property Assessment Division                Prepared as of 03/01/2014</t>
  </si>
  <si>
    <t>DUNDY</t>
  </si>
  <si>
    <t>29B</t>
  </si>
  <si>
    <t>Page 1</t>
  </si>
  <si>
    <t>Growth</t>
  </si>
  <si>
    <t>% growth</t>
  </si>
  <si>
    <t xml:space="preserve">Value </t>
  </si>
  <si>
    <t>of value</t>
  </si>
  <si>
    <t>Exclud. Growth</t>
  </si>
  <si>
    <t>w/o grwth</t>
  </si>
  <si>
    <t>Rate Ann%chg</t>
  </si>
  <si>
    <t>Resid &amp; Rec.  w/o growth</t>
  </si>
  <si>
    <t>C &amp; I  w/o growth</t>
  </si>
  <si>
    <r>
      <t xml:space="preserve">Ag Improvements &amp; Site Land </t>
    </r>
    <r>
      <rPr>
        <b/>
        <vertAlign val="superscript"/>
        <sz val="10"/>
        <rFont val="Arial"/>
        <family val="2"/>
      </rPr>
      <t>(1)</t>
    </r>
  </si>
  <si>
    <t>Agric. Dwelling &amp;</t>
  </si>
  <si>
    <t>Agoutbldg &amp;</t>
  </si>
  <si>
    <t>Ag Imprv&amp;Site</t>
  </si>
  <si>
    <t>Homesite Value</t>
  </si>
  <si>
    <t>Farmsite Value</t>
  </si>
  <si>
    <t>Total Value</t>
  </si>
  <si>
    <t>(1) Residential &amp; Recreational excludes AgDwelling</t>
  </si>
  <si>
    <t>&amp; farm home site land;  Comm. &amp; Indust. excludes</t>
  </si>
  <si>
    <t>minerals; Agric. land incudes irrigated, dry, grass,</t>
  </si>
  <si>
    <t>waste &amp; other agland, excludes farm site land.</t>
  </si>
  <si>
    <t xml:space="preserve">Real property growth is value attributable to new </t>
  </si>
  <si>
    <t xml:space="preserve">construction, additions to existing buildings, </t>
  </si>
  <si>
    <t>and any improvements to real property which</t>
  </si>
  <si>
    <t>increase the value of such property.</t>
  </si>
  <si>
    <t>Sources:</t>
  </si>
  <si>
    <t>Value; 2003 - 2013 CTL</t>
  </si>
  <si>
    <t>Ag Imprv+Site  w/o growth</t>
  </si>
  <si>
    <t>Growth Value; 2003-2013 Abstract of Asmnt Rpt.</t>
  </si>
  <si>
    <t>NE Dept. of Revenue, Property Assessment Division</t>
  </si>
  <si>
    <t>CHART 2</t>
  </si>
  <si>
    <t>Prepared as of 03/01/2014</t>
  </si>
  <si>
    <t xml:space="preserve">Irrigated Land </t>
  </si>
  <si>
    <t>Dryland</t>
  </si>
  <si>
    <t>Grassland</t>
  </si>
  <si>
    <t>Value Chg</t>
  </si>
  <si>
    <t>Ann%chg</t>
  </si>
  <si>
    <t xml:space="preserve">Rate Ann.%chg: </t>
  </si>
  <si>
    <t xml:space="preserve">Irrigated </t>
  </si>
  <si>
    <t xml:space="preserve">Dryland </t>
  </si>
  <si>
    <t xml:space="preserve">Grassland </t>
  </si>
  <si>
    <r>
      <t xml:space="preserve">Waste Land </t>
    </r>
    <r>
      <rPr>
        <b/>
        <vertAlign val="superscript"/>
        <sz val="10"/>
        <rFont val="Arial"/>
        <family val="2"/>
      </rPr>
      <t>(1)</t>
    </r>
  </si>
  <si>
    <r>
      <t xml:space="preserve">Other Agland </t>
    </r>
    <r>
      <rPr>
        <b/>
        <vertAlign val="superscript"/>
        <sz val="10"/>
        <rFont val="Arial"/>
        <family val="2"/>
      </rPr>
      <t>(1)</t>
    </r>
  </si>
  <si>
    <t xml:space="preserve">Total Agricultural </t>
  </si>
  <si>
    <t>Total Agric Land</t>
  </si>
  <si>
    <t>Source: 2003 - 2013 Certificate of Taxes Levied Reports CTL     NE Dept. of Revenue, Property Assessment Division         Prepared as of 03/01/2014</t>
  </si>
  <si>
    <t>CHART 3</t>
  </si>
  <si>
    <t xml:space="preserve">  </t>
  </si>
  <si>
    <t xml:space="preserve"> </t>
  </si>
  <si>
    <t>Page 3</t>
  </si>
  <si>
    <r>
      <t xml:space="preserve">AGRICULTURAL LAND - AVERAGE VALUE PER ACRE -  Cumulative % Change 2003-2013     </t>
    </r>
    <r>
      <rPr>
        <sz val="12"/>
        <rFont val="Arial"/>
        <family val="2"/>
      </rPr>
      <t>(from County Abstract Reports)</t>
    </r>
    <r>
      <rPr>
        <vertAlign val="superscript"/>
        <sz val="12"/>
        <rFont val="Arial"/>
        <family val="2"/>
      </rPr>
      <t>(1)</t>
    </r>
  </si>
  <si>
    <t>IRRIGATED LAND</t>
  </si>
  <si>
    <t>DRYLAND</t>
  </si>
  <si>
    <t>GRASSLAND</t>
  </si>
  <si>
    <t xml:space="preserve">Tax </t>
  </si>
  <si>
    <t>Avg Value</t>
  </si>
  <si>
    <t>Acres</t>
  </si>
  <si>
    <t xml:space="preserve"> per Acre</t>
  </si>
  <si>
    <t>AvgVal/acre</t>
  </si>
  <si>
    <t>AvgVal/Acre</t>
  </si>
  <si>
    <t>Rate Annual %chg Average Value/Acre:</t>
  </si>
  <si>
    <r>
      <t xml:space="preserve">WASTE LAND </t>
    </r>
    <r>
      <rPr>
        <b/>
        <vertAlign val="superscript"/>
        <sz val="10"/>
        <rFont val="Arial"/>
        <family val="2"/>
      </rPr>
      <t>(2)</t>
    </r>
  </si>
  <si>
    <r>
      <t xml:space="preserve">OTHER AGLAND </t>
    </r>
    <r>
      <rPr>
        <b/>
        <vertAlign val="superscript"/>
        <sz val="10"/>
        <rFont val="Arial"/>
        <family val="2"/>
      </rPr>
      <t>(2)</t>
    </r>
  </si>
  <si>
    <r>
      <t xml:space="preserve">TOTAL AGRICULTURAL LAND </t>
    </r>
    <r>
      <rPr>
        <b/>
        <vertAlign val="superscript"/>
        <sz val="10"/>
        <rFont val="Arial"/>
        <family val="2"/>
      </rPr>
      <t>(1)</t>
    </r>
  </si>
  <si>
    <t>(1) Valuations from County Abstracts vs Certificate of Taxes Levied Reports (CTL) will vary due to different reporting dates. Source: 2003 - 2013 County Abstract Reports</t>
  </si>
  <si>
    <t>Agland Assessment Level 1998 to 2006 = 80%; 2007 &amp; forward = 75%    NE Dept. of Revenue, Property Assessment Division    Prepared as of 03/01/2014</t>
  </si>
  <si>
    <t>CHART 4</t>
  </si>
  <si>
    <t>Page 4</t>
  </si>
  <si>
    <t>2013 County and Municipal Valuations by Property Type</t>
  </si>
  <si>
    <t>Pop.</t>
  </si>
  <si>
    <t>County:</t>
  </si>
  <si>
    <t>Personal Prop</t>
  </si>
  <si>
    <t>StateAsd PP</t>
  </si>
  <si>
    <t>StateAsdReal</t>
  </si>
  <si>
    <t>Residential</t>
  </si>
  <si>
    <t>Commercial</t>
  </si>
  <si>
    <t>Industrial</t>
  </si>
  <si>
    <t>Recreation</t>
  </si>
  <si>
    <t>Agland</t>
  </si>
  <si>
    <t>Agdwell&amp;HS</t>
  </si>
  <si>
    <t>AgImprv&amp;FS</t>
  </si>
  <si>
    <t>Minerals</t>
  </si>
  <si>
    <t>cnty sectorvalue % of total value:</t>
  </si>
  <si>
    <t>Municipality:</t>
  </si>
  <si>
    <t>StateAsd Real</t>
  </si>
  <si>
    <t xml:space="preserve">  %sector of county sector</t>
  </si>
  <si>
    <t xml:space="preserve"> %sector of municipality</t>
  </si>
  <si>
    <t>Total Municipalities</t>
  </si>
  <si>
    <t>%all municip.sect of cnty</t>
  </si>
  <si>
    <t>Sources: 2013 Certificate of Taxes Levied CTL, 2010 US Census; Dec. 2013 Municipality Pop. per  Research Division        NE Dept. of Revenue, Property Assessment  Division     Prepared as of 03/01/2014</t>
  </si>
  <si>
    <t>CHART 5</t>
  </si>
  <si>
    <t>BENKELMAN</t>
  </si>
  <si>
    <t>HAIGLER</t>
  </si>
  <si>
    <t>Page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</si>
</sst>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5" formatCode="&quot;$&quot;#,##0_);\(&quot;$&quot;#,##0\)"/>
    <numFmt numFmtId="44" formatCode="_(&quot;$&quot;* #,##0.00_);_(&quot;$&quot;* \(#,##0.00\);_(&quot;$&quot;* &quot;-&quot;??_);_(@_)"/>
  </numFmts>
  <fonts count="19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i/>
      <sz val="9"/>
      <name val="Arial"/>
      <family val="2"/>
    </font>
    <font>
      <sz val="9"/>
      <name val="Arial"/>
      <family val="2"/>
    </font>
    <font>
      <i/>
      <sz val="10"/>
      <name val="Arial"/>
      <family val="2"/>
    </font>
    <font>
      <sz val="12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vertAlign val="superscript"/>
      <sz val="12"/>
      <name val="Arial"/>
      <family val="2"/>
    </font>
    <font>
      <sz val="10"/>
      <color indexed="10"/>
      <name val="Arial"/>
      <family val="2"/>
    </font>
    <font>
      <sz val="10"/>
      <name val="MS Sans Serif"/>
      <family val="2"/>
    </font>
    <font>
      <i/>
      <sz val="9"/>
      <name val="Arial"/>
      <family val="2"/>
    </font>
    <font>
      <i/>
      <sz val="8"/>
      <name val="Arial"/>
      <family val="2"/>
    </font>
    <font>
      <sz val="10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CC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2">
    <xf numFmtId="0" fontId="0" fillId="0" borderId="0"/>
    <xf numFmtId="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5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2" fontId="5" fillId="0" borderId="0" applyFont="0" applyFill="0" applyBorder="0" applyAlignment="0" applyProtection="0"/>
    <xf numFmtId="0" fontId="5" fillId="0" borderId="0" applyProtection="0"/>
    <xf numFmtId="0" fontId="1" fillId="0" borderId="0" applyProtection="0"/>
    <xf numFmtId="0" fontId="10" fillId="0" borderId="0"/>
    <xf numFmtId="0" fontId="15" fillId="0" borderId="0"/>
    <xf numFmtId="0" fontId="5" fillId="0" borderId="0"/>
    <xf numFmtId="0" fontId="18" fillId="0" borderId="0"/>
  </cellStyleXfs>
  <cellXfs count="230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Continuous"/>
    </xf>
    <xf numFmtId="0" fontId="4" fillId="0" borderId="3" xfId="0" applyFont="1" applyBorder="1" applyAlignment="1">
      <alignment horizontal="centerContinuous"/>
    </xf>
    <xf numFmtId="0" fontId="4" fillId="2" borderId="4" xfId="0" applyFont="1" applyFill="1" applyBorder="1" applyAlignment="1">
      <alignment horizontal="centerContinuous"/>
    </xf>
    <xf numFmtId="0" fontId="2" fillId="0" borderId="3" xfId="0" applyFont="1" applyBorder="1" applyAlignment="1">
      <alignment horizontal="centerContinuous"/>
    </xf>
    <xf numFmtId="0" fontId="4" fillId="3" borderId="4" xfId="0" applyFont="1" applyFill="1" applyBorder="1" applyAlignment="1">
      <alignment horizontal="centerContinuous"/>
    </xf>
    <xf numFmtId="0" fontId="4" fillId="4" borderId="4" xfId="0" applyFont="1" applyFill="1" applyBorder="1" applyAlignment="1">
      <alignment horizontal="centerContinuous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5" borderId="8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4" fillId="6" borderId="8" xfId="0" applyFont="1" applyFill="1" applyBorder="1" applyAlignment="1">
      <alignment horizontal="center"/>
    </xf>
    <xf numFmtId="0" fontId="4" fillId="7" borderId="8" xfId="0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37" fontId="5" fillId="0" borderId="10" xfId="0" applyNumberFormat="1" applyFont="1" applyFill="1" applyBorder="1" applyAlignment="1">
      <alignment horizontal="right"/>
    </xf>
    <xf numFmtId="0" fontId="0" fillId="0" borderId="11" xfId="0" quotePrefix="1" applyBorder="1" applyAlignment="1">
      <alignment horizontal="center"/>
    </xf>
    <xf numFmtId="0" fontId="0" fillId="5" borderId="12" xfId="0" quotePrefix="1" applyFill="1" applyBorder="1" applyAlignment="1">
      <alignment horizontal="center"/>
    </xf>
    <xf numFmtId="37" fontId="5" fillId="0" borderId="13" xfId="0" applyNumberFormat="1" applyFont="1" applyFill="1" applyBorder="1" applyAlignment="1">
      <alignment horizontal="right"/>
    </xf>
    <xf numFmtId="0" fontId="0" fillId="6" borderId="12" xfId="0" quotePrefix="1" applyFill="1" applyBorder="1" applyAlignment="1">
      <alignment horizontal="center"/>
    </xf>
    <xf numFmtId="0" fontId="0" fillId="0" borderId="14" xfId="0" quotePrefix="1" applyBorder="1" applyAlignment="1">
      <alignment horizontal="center"/>
    </xf>
    <xf numFmtId="0" fontId="0" fillId="7" borderId="15" xfId="0" quotePrefix="1" applyFill="1" applyBorder="1" applyAlignment="1">
      <alignment horizontal="center"/>
    </xf>
    <xf numFmtId="3" fontId="0" fillId="0" borderId="0" xfId="0" applyNumberFormat="1"/>
    <xf numFmtId="3" fontId="5" fillId="0" borderId="11" xfId="0" applyNumberFormat="1" applyFont="1" applyFill="1" applyBorder="1" applyAlignment="1">
      <alignment horizontal="right"/>
    </xf>
    <xf numFmtId="10" fontId="4" fillId="0" borderId="16" xfId="0" applyNumberFormat="1" applyFont="1" applyFill="1" applyBorder="1" applyAlignment="1">
      <alignment horizontal="right"/>
    </xf>
    <xf numFmtId="10" fontId="4" fillId="5" borderId="12" xfId="0" applyNumberFormat="1" applyFont="1" applyFill="1" applyBorder="1" applyAlignment="1"/>
    <xf numFmtId="10" fontId="4" fillId="6" borderId="12" xfId="0" applyNumberFormat="1" applyFont="1" applyFill="1" applyBorder="1" applyAlignment="1"/>
    <xf numFmtId="10" fontId="4" fillId="7" borderId="12" xfId="0" applyNumberFormat="1" applyFont="1" applyFill="1" applyBorder="1" applyAlignment="1"/>
    <xf numFmtId="0" fontId="2" fillId="0" borderId="9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37" fontId="5" fillId="0" borderId="17" xfId="0" applyNumberFormat="1" applyFont="1" applyFill="1" applyBorder="1" applyAlignment="1">
      <alignment horizontal="right"/>
    </xf>
    <xf numFmtId="3" fontId="5" fillId="0" borderId="18" xfId="0" applyNumberFormat="1" applyFont="1" applyFill="1" applyBorder="1" applyAlignment="1">
      <alignment horizontal="right"/>
    </xf>
    <xf numFmtId="10" fontId="4" fillId="0" borderId="19" xfId="0" applyNumberFormat="1" applyFont="1" applyFill="1" applyBorder="1" applyAlignment="1">
      <alignment horizontal="right"/>
    </xf>
    <xf numFmtId="10" fontId="4" fillId="5" borderId="20" xfId="0" applyNumberFormat="1" applyFont="1" applyFill="1" applyBorder="1" applyAlignment="1"/>
    <xf numFmtId="10" fontId="4" fillId="6" borderId="20" xfId="0" applyNumberFormat="1" applyFont="1" applyFill="1" applyBorder="1" applyAlignment="1"/>
    <xf numFmtId="10" fontId="4" fillId="7" borderId="20" xfId="0" applyNumberFormat="1" applyFont="1" applyFill="1" applyBorder="1" applyAlignment="1"/>
    <xf numFmtId="0" fontId="2" fillId="0" borderId="0" xfId="0" applyFont="1" applyFill="1" applyBorder="1"/>
    <xf numFmtId="37" fontId="5" fillId="0" borderId="0" xfId="0" applyNumberFormat="1" applyFont="1" applyFill="1" applyBorder="1" applyAlignment="1">
      <alignment horizontal="right"/>
    </xf>
    <xf numFmtId="3" fontId="5" fillId="0" borderId="0" xfId="0" applyNumberFormat="1" applyFont="1" applyFill="1" applyBorder="1" applyAlignment="1">
      <alignment horizontal="right"/>
    </xf>
    <xf numFmtId="10" fontId="4" fillId="0" borderId="0" xfId="0" applyNumberFormat="1" applyFont="1" applyFill="1" applyBorder="1" applyAlignment="1">
      <alignment horizontal="right"/>
    </xf>
    <xf numFmtId="10" fontId="4" fillId="0" borderId="0" xfId="0" applyNumberFormat="1" applyFont="1" applyFill="1" applyBorder="1"/>
    <xf numFmtId="37" fontId="2" fillId="0" borderId="0" xfId="0" applyNumberFormat="1" applyFont="1" applyFill="1" applyBorder="1" applyAlignment="1">
      <alignment horizontal="left"/>
    </xf>
    <xf numFmtId="10" fontId="6" fillId="0" borderId="11" xfId="0" applyNumberFormat="1" applyFont="1" applyFill="1" applyBorder="1" applyAlignment="1">
      <alignment horizontal="right"/>
    </xf>
    <xf numFmtId="0" fontId="4" fillId="0" borderId="0" xfId="0" applyFont="1"/>
    <xf numFmtId="0" fontId="4" fillId="0" borderId="0" xfId="0" applyFont="1" applyBorder="1"/>
    <xf numFmtId="10" fontId="6" fillId="0" borderId="0" xfId="0" applyNumberFormat="1" applyFont="1" applyFill="1" applyBorder="1" applyAlignment="1">
      <alignment horizontal="right"/>
    </xf>
    <xf numFmtId="0" fontId="2" fillId="0" borderId="0" xfId="0" applyFont="1"/>
    <xf numFmtId="0" fontId="2" fillId="0" borderId="11" xfId="0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quotePrefix="1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Fill="1" applyBorder="1" applyAlignment="1">
      <alignment horizontal="center"/>
    </xf>
    <xf numFmtId="37" fontId="2" fillId="0" borderId="0" xfId="0" applyNumberFormat="1" applyFont="1" applyFill="1" applyBorder="1" applyAlignment="1">
      <alignment horizontal="center"/>
    </xf>
    <xf numFmtId="0" fontId="0" fillId="0" borderId="0" xfId="0" applyBorder="1"/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Continuous"/>
    </xf>
    <xf numFmtId="0" fontId="2" fillId="0" borderId="0" xfId="0" applyFont="1" applyBorder="1" applyAlignment="1">
      <alignment horizontal="centerContinuous"/>
    </xf>
    <xf numFmtId="0" fontId="5" fillId="0" borderId="0" xfId="0" applyFont="1" applyBorder="1" applyAlignment="1">
      <alignment horizontal="centerContinuous"/>
    </xf>
    <xf numFmtId="0" fontId="4" fillId="0" borderId="0" xfId="0" applyFont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/>
    </xf>
    <xf numFmtId="0" fontId="4" fillId="6" borderId="23" xfId="0" applyFont="1" applyFill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4" fillId="0" borderId="7" xfId="0" applyFont="1" applyFill="1" applyBorder="1" applyAlignment="1">
      <alignment horizontal="center"/>
    </xf>
    <xf numFmtId="37" fontId="5" fillId="0" borderId="24" xfId="0" applyNumberFormat="1" applyFont="1" applyFill="1" applyBorder="1" applyAlignment="1">
      <alignment horizontal="right"/>
    </xf>
    <xf numFmtId="37" fontId="5" fillId="0" borderId="11" xfId="0" applyNumberFormat="1" applyFont="1" applyFill="1" applyBorder="1" applyAlignment="1">
      <alignment horizontal="right"/>
    </xf>
    <xf numFmtId="10" fontId="5" fillId="0" borderId="11" xfId="0" applyNumberFormat="1" applyFont="1" applyFill="1" applyBorder="1" applyAlignment="1">
      <alignment horizontal="right"/>
    </xf>
    <xf numFmtId="10" fontId="4" fillId="0" borderId="11" xfId="0" quotePrefix="1" applyNumberFormat="1" applyFont="1" applyFill="1" applyBorder="1" applyAlignment="1">
      <alignment horizontal="center"/>
    </xf>
    <xf numFmtId="10" fontId="4" fillId="6" borderId="12" xfId="0" quotePrefix="1" applyNumberFormat="1" applyFont="1" applyFill="1" applyBorder="1" applyAlignment="1">
      <alignment horizontal="center"/>
    </xf>
    <xf numFmtId="10" fontId="4" fillId="0" borderId="11" xfId="0" applyNumberFormat="1" applyFont="1" applyFill="1" applyBorder="1" applyAlignment="1">
      <alignment horizontal="right"/>
    </xf>
    <xf numFmtId="10" fontId="4" fillId="5" borderId="12" xfId="0" applyNumberFormat="1" applyFont="1" applyFill="1" applyBorder="1"/>
    <xf numFmtId="10" fontId="4" fillId="6" borderId="12" xfId="0" applyNumberFormat="1" applyFont="1" applyFill="1" applyBorder="1"/>
    <xf numFmtId="37" fontId="5" fillId="0" borderId="25" xfId="0" applyNumberFormat="1" applyFont="1" applyFill="1" applyBorder="1" applyAlignment="1">
      <alignment horizontal="right"/>
    </xf>
    <xf numFmtId="37" fontId="5" fillId="0" borderId="26" xfId="0" applyNumberFormat="1" applyFont="1" applyFill="1" applyBorder="1" applyAlignment="1">
      <alignment horizontal="right"/>
    </xf>
    <xf numFmtId="10" fontId="5" fillId="0" borderId="26" xfId="0" applyNumberFormat="1" applyFont="1" applyFill="1" applyBorder="1" applyAlignment="1">
      <alignment horizontal="right"/>
    </xf>
    <xf numFmtId="3" fontId="5" fillId="0" borderId="26" xfId="0" applyNumberFormat="1" applyFont="1" applyFill="1" applyBorder="1" applyAlignment="1">
      <alignment horizontal="right"/>
    </xf>
    <xf numFmtId="10" fontId="4" fillId="0" borderId="26" xfId="0" applyNumberFormat="1" applyFont="1" applyFill="1" applyBorder="1" applyAlignment="1">
      <alignment horizontal="right"/>
    </xf>
    <xf numFmtId="0" fontId="6" fillId="0" borderId="27" xfId="0" applyFont="1" applyBorder="1" applyAlignment="1">
      <alignment horizontal="center"/>
    </xf>
    <xf numFmtId="10" fontId="2" fillId="0" borderId="28" xfId="0" applyNumberFormat="1" applyFont="1" applyFill="1" applyBorder="1" applyAlignment="1">
      <alignment horizontal="center"/>
    </xf>
    <xf numFmtId="10" fontId="2" fillId="0" borderId="29" xfId="0" applyNumberFormat="1" applyFont="1" applyFill="1" applyBorder="1" applyAlignment="1">
      <alignment horizontal="center"/>
    </xf>
    <xf numFmtId="0" fontId="5" fillId="0" borderId="29" xfId="0" applyFont="1" applyBorder="1" applyAlignment="1">
      <alignment horizontal="right"/>
    </xf>
    <xf numFmtId="10" fontId="2" fillId="8" borderId="30" xfId="0" applyNumberFormat="1" applyFont="1" applyFill="1" applyBorder="1" applyAlignment="1">
      <alignment horizontal="right"/>
    </xf>
    <xf numFmtId="10" fontId="5" fillId="5" borderId="20" xfId="0" applyNumberFormat="1" applyFont="1" applyFill="1" applyBorder="1" applyAlignment="1">
      <alignment horizontal="right"/>
    </xf>
    <xf numFmtId="0" fontId="5" fillId="0" borderId="29" xfId="0" applyFont="1" applyBorder="1"/>
    <xf numFmtId="3" fontId="5" fillId="0" borderId="29" xfId="0" applyNumberFormat="1" applyFont="1" applyFill="1" applyBorder="1" applyAlignment="1">
      <alignment horizontal="right"/>
    </xf>
    <xf numFmtId="0" fontId="5" fillId="6" borderId="20" xfId="0" applyFont="1" applyFill="1" applyBorder="1"/>
    <xf numFmtId="0" fontId="2" fillId="0" borderId="7" xfId="0" applyFont="1" applyFill="1" applyBorder="1"/>
    <xf numFmtId="37" fontId="5" fillId="0" borderId="7" xfId="0" applyNumberFormat="1" applyFont="1" applyFill="1" applyBorder="1" applyAlignment="1">
      <alignment horizontal="right"/>
    </xf>
    <xf numFmtId="0" fontId="2" fillId="0" borderId="31" xfId="0" applyFont="1" applyBorder="1" applyAlignment="1">
      <alignment horizontal="centerContinuous"/>
    </xf>
    <xf numFmtId="0" fontId="0" fillId="0" borderId="3" xfId="0" applyBorder="1"/>
    <xf numFmtId="0" fontId="4" fillId="9" borderId="4" xfId="0" applyFont="1" applyFill="1" applyBorder="1" applyAlignment="1">
      <alignment horizontal="centerContinuous"/>
    </xf>
    <xf numFmtId="0" fontId="5" fillId="0" borderId="32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4" fillId="10" borderId="23" xfId="0" applyFont="1" applyFill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4" fillId="10" borderId="8" xfId="0" applyFont="1" applyFill="1" applyBorder="1" applyAlignment="1">
      <alignment horizontal="center"/>
    </xf>
    <xf numFmtId="3" fontId="0" fillId="0" borderId="11" xfId="0" applyNumberFormat="1" applyBorder="1"/>
    <xf numFmtId="10" fontId="4" fillId="10" borderId="12" xfId="0" quotePrefix="1" applyNumberFormat="1" applyFont="1" applyFill="1" applyBorder="1" applyAlignment="1">
      <alignment horizontal="center"/>
    </xf>
    <xf numFmtId="10" fontId="4" fillId="10" borderId="12" xfId="0" applyNumberFormat="1" applyFont="1" applyFill="1" applyBorder="1"/>
    <xf numFmtId="0" fontId="4" fillId="0" borderId="0" xfId="0" applyFont="1" applyFill="1" applyAlignment="1">
      <alignment horizontal="left"/>
    </xf>
    <xf numFmtId="37" fontId="4" fillId="0" borderId="0" xfId="0" applyNumberFormat="1" applyFont="1" applyFill="1" applyBorder="1" applyAlignment="1">
      <alignment horizontal="left"/>
    </xf>
    <xf numFmtId="0" fontId="4" fillId="0" borderId="0" xfId="0" applyFont="1" applyAlignment="1">
      <alignment horizontal="left"/>
    </xf>
    <xf numFmtId="37" fontId="5" fillId="0" borderId="33" xfId="0" applyNumberFormat="1" applyFont="1" applyFill="1" applyBorder="1" applyAlignment="1">
      <alignment horizontal="right"/>
    </xf>
    <xf numFmtId="3" fontId="0" fillId="0" borderId="26" xfId="0" applyNumberFormat="1" applyBorder="1"/>
    <xf numFmtId="10" fontId="2" fillId="0" borderId="34" xfId="0" applyNumberFormat="1" applyFont="1" applyFill="1" applyBorder="1" applyAlignment="1">
      <alignment horizontal="center"/>
    </xf>
    <xf numFmtId="10" fontId="2" fillId="0" borderId="30" xfId="0" applyNumberFormat="1" applyFont="1" applyFill="1" applyBorder="1" applyAlignment="1">
      <alignment horizontal="center"/>
    </xf>
    <xf numFmtId="10" fontId="2" fillId="8" borderId="30" xfId="0" applyNumberFormat="1" applyFont="1" applyFill="1" applyBorder="1"/>
    <xf numFmtId="0" fontId="5" fillId="10" borderId="20" xfId="0" applyFont="1" applyFill="1" applyBorder="1"/>
    <xf numFmtId="0" fontId="0" fillId="0" borderId="0" xfId="0" applyFill="1"/>
    <xf numFmtId="0" fontId="0" fillId="0" borderId="0" xfId="0" quotePrefix="1" applyFill="1"/>
    <xf numFmtId="0" fontId="7" fillId="0" borderId="0" xfId="0" applyFont="1" applyFill="1" applyBorder="1" applyAlignment="1">
      <alignment horizontal="center"/>
    </xf>
    <xf numFmtId="44" fontId="0" fillId="0" borderId="0" xfId="2" applyFont="1"/>
    <xf numFmtId="0" fontId="4" fillId="11" borderId="4" xfId="0" applyFont="1" applyFill="1" applyBorder="1" applyAlignment="1">
      <alignment horizontal="centerContinuous"/>
    </xf>
    <xf numFmtId="0" fontId="0" fillId="10" borderId="12" xfId="0" quotePrefix="1" applyFill="1" applyBorder="1" applyAlignment="1">
      <alignment horizontal="center"/>
    </xf>
    <xf numFmtId="3" fontId="5" fillId="0" borderId="0" xfId="0" applyNumberFormat="1" applyFont="1" applyFill="1"/>
    <xf numFmtId="10" fontId="4" fillId="0" borderId="18" xfId="0" applyNumberFormat="1" applyFont="1" applyFill="1" applyBorder="1" applyAlignment="1">
      <alignment horizontal="right"/>
    </xf>
    <xf numFmtId="10" fontId="4" fillId="5" borderId="20" xfId="0" applyNumberFormat="1" applyFont="1" applyFill="1" applyBorder="1"/>
    <xf numFmtId="10" fontId="4" fillId="6" borderId="20" xfId="0" applyNumberFormat="1" applyFont="1" applyFill="1" applyBorder="1"/>
    <xf numFmtId="10" fontId="4" fillId="10" borderId="20" xfId="0" applyNumberFormat="1" applyFont="1" applyFill="1" applyBorder="1"/>
    <xf numFmtId="3" fontId="0" fillId="0" borderId="0" xfId="0" applyNumberFormat="1" applyFill="1" applyBorder="1"/>
    <xf numFmtId="0" fontId="4" fillId="8" borderId="4" xfId="0" applyFont="1" applyFill="1" applyBorder="1" applyAlignment="1">
      <alignment horizontal="centerContinuous"/>
    </xf>
    <xf numFmtId="0" fontId="4" fillId="8" borderId="8" xfId="0" applyFont="1" applyFill="1" applyBorder="1" applyAlignment="1">
      <alignment horizontal="center"/>
    </xf>
    <xf numFmtId="3" fontId="5" fillId="0" borderId="11" xfId="0" quotePrefix="1" applyNumberFormat="1" applyFont="1" applyFill="1" applyBorder="1" applyAlignment="1">
      <alignment horizontal="center"/>
    </xf>
    <xf numFmtId="10" fontId="4" fillId="8" borderId="12" xfId="0" quotePrefix="1" applyNumberFormat="1" applyFont="1" applyFill="1" applyBorder="1" applyAlignment="1">
      <alignment horizontal="center"/>
    </xf>
    <xf numFmtId="0" fontId="0" fillId="8" borderId="12" xfId="0" quotePrefix="1" applyFill="1" applyBorder="1" applyAlignment="1">
      <alignment horizontal="center"/>
    </xf>
    <xf numFmtId="0" fontId="0" fillId="7" borderId="12" xfId="0" quotePrefix="1" applyFill="1" applyBorder="1" applyAlignment="1">
      <alignment horizontal="center"/>
    </xf>
    <xf numFmtId="10" fontId="4" fillId="8" borderId="12" xfId="0" applyNumberFormat="1" applyFont="1" applyFill="1" applyBorder="1"/>
    <xf numFmtId="10" fontId="4" fillId="7" borderId="12" xfId="0" applyNumberFormat="1" applyFont="1" applyFill="1" applyBorder="1"/>
    <xf numFmtId="10" fontId="4" fillId="8" borderId="20" xfId="0" applyNumberFormat="1" applyFont="1" applyFill="1" applyBorder="1"/>
    <xf numFmtId="10" fontId="4" fillId="7" borderId="20" xfId="0" applyNumberFormat="1" applyFont="1" applyFill="1" applyBorder="1"/>
    <xf numFmtId="0" fontId="2" fillId="0" borderId="0" xfId="0" applyFont="1" applyAlignment="1">
      <alignment horizontal="right"/>
    </xf>
    <xf numFmtId="0" fontId="7" fillId="0" borderId="0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quotePrefix="1"/>
    <xf numFmtId="0" fontId="2" fillId="0" borderId="0" xfId="0" applyFont="1" applyFill="1" applyAlignment="1">
      <alignment horizontal="center"/>
    </xf>
    <xf numFmtId="37" fontId="0" fillId="0" borderId="0" xfId="0" applyNumberFormat="1"/>
    <xf numFmtId="0" fontId="11" fillId="0" borderId="0" xfId="0" applyFont="1"/>
    <xf numFmtId="0" fontId="12" fillId="0" borderId="0" xfId="0" applyFont="1"/>
    <xf numFmtId="0" fontId="11" fillId="0" borderId="0" xfId="0" applyFont="1" applyBorder="1"/>
    <xf numFmtId="0" fontId="2" fillId="0" borderId="1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4" xfId="0" applyFont="1" applyFill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0" xfId="0" applyFont="1" applyBorder="1" applyAlignment="1"/>
    <xf numFmtId="0" fontId="6" fillId="5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centerContinuous"/>
    </xf>
    <xf numFmtId="0" fontId="6" fillId="6" borderId="0" xfId="0" applyFont="1" applyFill="1" applyBorder="1" applyAlignment="1">
      <alignment horizontal="center"/>
    </xf>
    <xf numFmtId="0" fontId="6" fillId="10" borderId="0" xfId="0" applyFont="1" applyFill="1" applyBorder="1" applyAlignment="1">
      <alignment horizontal="center"/>
    </xf>
    <xf numFmtId="0" fontId="6" fillId="5" borderId="7" xfId="0" applyFont="1" applyFill="1" applyBorder="1" applyAlignment="1">
      <alignment horizontal="center"/>
    </xf>
    <xf numFmtId="0" fontId="6" fillId="6" borderId="7" xfId="0" applyFont="1" applyFill="1" applyBorder="1" applyAlignment="1">
      <alignment horizontal="center"/>
    </xf>
    <xf numFmtId="0" fontId="6" fillId="10" borderId="7" xfId="0" applyFont="1" applyFill="1" applyBorder="1" applyAlignment="1">
      <alignment horizontal="center"/>
    </xf>
    <xf numFmtId="0" fontId="2" fillId="0" borderId="9" xfId="0" applyFont="1" applyBorder="1"/>
    <xf numFmtId="37" fontId="2" fillId="5" borderId="11" xfId="0" applyNumberFormat="1" applyFont="1" applyFill="1" applyBorder="1" applyAlignment="1">
      <alignment horizontal="right"/>
    </xf>
    <xf numFmtId="10" fontId="4" fillId="0" borderId="11" xfId="0" quotePrefix="1" applyNumberFormat="1" applyFont="1" applyBorder="1" applyAlignment="1">
      <alignment horizontal="center"/>
    </xf>
    <xf numFmtId="37" fontId="2" fillId="6" borderId="11" xfId="0" applyNumberFormat="1" applyFont="1" applyFill="1" applyBorder="1" applyAlignment="1">
      <alignment horizontal="right"/>
    </xf>
    <xf numFmtId="37" fontId="2" fillId="10" borderId="11" xfId="0" applyNumberFormat="1" applyFont="1" applyFill="1" applyBorder="1" applyAlignment="1">
      <alignment horizontal="right"/>
    </xf>
    <xf numFmtId="10" fontId="4" fillId="0" borderId="12" xfId="0" quotePrefix="1" applyNumberFormat="1" applyFont="1" applyBorder="1" applyAlignment="1">
      <alignment horizontal="center"/>
    </xf>
    <xf numFmtId="10" fontId="4" fillId="10" borderId="35" xfId="0" applyNumberFormat="1" applyFont="1" applyFill="1" applyBorder="1"/>
    <xf numFmtId="0" fontId="2" fillId="0" borderId="9" xfId="0" applyFont="1" applyFill="1" applyBorder="1"/>
    <xf numFmtId="0" fontId="2" fillId="0" borderId="27" xfId="0" applyFont="1" applyFill="1" applyBorder="1"/>
    <xf numFmtId="37" fontId="5" fillId="0" borderId="36" xfId="0" applyNumberFormat="1" applyFont="1" applyFill="1" applyBorder="1" applyAlignment="1">
      <alignment horizontal="right"/>
    </xf>
    <xf numFmtId="37" fontId="5" fillId="0" borderId="30" xfId="0" applyNumberFormat="1" applyFont="1" applyFill="1" applyBorder="1" applyAlignment="1">
      <alignment horizontal="right"/>
    </xf>
    <xf numFmtId="37" fontId="2" fillId="5" borderId="30" xfId="0" applyNumberFormat="1" applyFont="1" applyFill="1" applyBorder="1" applyAlignment="1">
      <alignment horizontal="right"/>
    </xf>
    <xf numFmtId="10" fontId="4" fillId="0" borderId="30" xfId="0" quotePrefix="1" applyNumberFormat="1" applyFont="1" applyBorder="1" applyAlignment="1">
      <alignment horizontal="center"/>
    </xf>
    <xf numFmtId="37" fontId="2" fillId="6" borderId="30" xfId="0" applyNumberFormat="1" applyFont="1" applyFill="1" applyBorder="1" applyAlignment="1">
      <alignment horizontal="right"/>
    </xf>
    <xf numFmtId="37" fontId="2" fillId="10" borderId="30" xfId="0" applyNumberFormat="1" applyFont="1" applyFill="1" applyBorder="1" applyAlignment="1">
      <alignment horizontal="right"/>
    </xf>
    <xf numFmtId="10" fontId="4" fillId="0" borderId="20" xfId="0" quotePrefix="1" applyNumberFormat="1" applyFont="1" applyBorder="1" applyAlignment="1">
      <alignment horizontal="center"/>
    </xf>
    <xf numFmtId="10" fontId="4" fillId="10" borderId="37" xfId="0" applyNumberFormat="1" applyFont="1" applyFill="1" applyBorder="1"/>
    <xf numFmtId="10" fontId="4" fillId="0" borderId="0" xfId="0" quotePrefix="1" applyNumberFormat="1" applyFont="1" applyFill="1" applyBorder="1" applyAlignment="1">
      <alignment horizontal="center"/>
    </xf>
    <xf numFmtId="0" fontId="0" fillId="0" borderId="0" xfId="0" applyFill="1" applyBorder="1"/>
    <xf numFmtId="37" fontId="2" fillId="0" borderId="0" xfId="0" applyNumberFormat="1" applyFont="1" applyFill="1" applyBorder="1" applyAlignment="1">
      <alignment horizontal="right"/>
    </xf>
    <xf numFmtId="10" fontId="2" fillId="0" borderId="11" xfId="0" applyNumberFormat="1" applyFont="1" applyFill="1" applyBorder="1" applyAlignment="1">
      <alignment horizontal="right"/>
    </xf>
    <xf numFmtId="37" fontId="14" fillId="0" borderId="0" xfId="0" applyNumberFormat="1" applyFont="1" applyFill="1" applyBorder="1" applyAlignment="1">
      <alignment horizontal="right"/>
    </xf>
    <xf numFmtId="10" fontId="2" fillId="0" borderId="0" xfId="0" applyNumberFormat="1" applyFont="1" applyFill="1" applyBorder="1" applyAlignment="1">
      <alignment horizontal="right"/>
    </xf>
    <xf numFmtId="0" fontId="4" fillId="0" borderId="4" xfId="0" applyFont="1" applyFill="1" applyBorder="1" applyAlignment="1">
      <alignment horizontal="centerContinuous"/>
    </xf>
    <xf numFmtId="0" fontId="6" fillId="8" borderId="0" xfId="0" applyFont="1" applyFill="1" applyBorder="1" applyAlignment="1">
      <alignment horizontal="center"/>
    </xf>
    <xf numFmtId="0" fontId="4" fillId="8" borderId="23" xfId="0" applyFont="1" applyFill="1" applyBorder="1" applyAlignment="1">
      <alignment horizontal="center"/>
    </xf>
    <xf numFmtId="0" fontId="6" fillId="7" borderId="0" xfId="0" applyFont="1" applyFill="1" applyBorder="1" applyAlignment="1">
      <alignment horizontal="center"/>
    </xf>
    <xf numFmtId="0" fontId="4" fillId="7" borderId="23" xfId="0" applyFont="1" applyFill="1" applyBorder="1" applyAlignment="1">
      <alignment horizontal="center"/>
    </xf>
    <xf numFmtId="0" fontId="6" fillId="8" borderId="7" xfId="0" applyFont="1" applyFill="1" applyBorder="1" applyAlignment="1">
      <alignment horizontal="center"/>
    </xf>
    <xf numFmtId="0" fontId="6" fillId="7" borderId="7" xfId="0" applyFont="1" applyFill="1" applyBorder="1" applyAlignment="1">
      <alignment horizontal="center"/>
    </xf>
    <xf numFmtId="37" fontId="2" fillId="8" borderId="11" xfId="0" applyNumberFormat="1" applyFont="1" applyFill="1" applyBorder="1" applyAlignment="1">
      <alignment horizontal="right"/>
    </xf>
    <xf numFmtId="37" fontId="2" fillId="7" borderId="11" xfId="0" applyNumberFormat="1" applyFont="1" applyFill="1" applyBorder="1" applyAlignment="1">
      <alignment horizontal="right"/>
    </xf>
    <xf numFmtId="10" fontId="4" fillId="12" borderId="12" xfId="0" applyNumberFormat="1" applyFont="1" applyFill="1" applyBorder="1"/>
    <xf numFmtId="10" fontId="4" fillId="13" borderId="12" xfId="0" applyNumberFormat="1" applyFont="1" applyFill="1" applyBorder="1"/>
    <xf numFmtId="37" fontId="2" fillId="8" borderId="30" xfId="0" applyNumberFormat="1" applyFont="1" applyFill="1" applyBorder="1" applyAlignment="1">
      <alignment horizontal="right"/>
    </xf>
    <xf numFmtId="10" fontId="4" fillId="12" borderId="20" xfId="0" applyNumberFormat="1" applyFont="1" applyFill="1" applyBorder="1"/>
    <xf numFmtId="37" fontId="2" fillId="7" borderId="30" xfId="0" applyNumberFormat="1" applyFont="1" applyFill="1" applyBorder="1" applyAlignment="1">
      <alignment horizontal="right"/>
    </xf>
    <xf numFmtId="10" fontId="4" fillId="13" borderId="20" xfId="0" applyNumberFormat="1" applyFont="1" applyFill="1" applyBorder="1"/>
    <xf numFmtId="0" fontId="2" fillId="0" borderId="26" xfId="0" applyFont="1" applyBorder="1" applyAlignment="1">
      <alignment horizontal="center"/>
    </xf>
    <xf numFmtId="37" fontId="2" fillId="0" borderId="0" xfId="0" applyNumberFormat="1" applyFont="1" applyFill="1" applyBorder="1"/>
    <xf numFmtId="37" fontId="2" fillId="5" borderId="11" xfId="0" applyNumberFormat="1" applyFont="1" applyFill="1" applyBorder="1" applyAlignment="1">
      <alignment horizontal="center"/>
    </xf>
    <xf numFmtId="37" fontId="7" fillId="0" borderId="0" xfId="0" applyNumberFormat="1" applyFont="1" applyFill="1" applyBorder="1" applyAlignment="1">
      <alignment horizontal="center"/>
    </xf>
    <xf numFmtId="37" fontId="5" fillId="0" borderId="0" xfId="0" applyNumberFormat="1" applyFont="1" applyFill="1" applyBorder="1" applyAlignment="1">
      <alignment horizontal="center"/>
    </xf>
    <xf numFmtId="14" fontId="4" fillId="0" borderId="0" xfId="0" quotePrefix="1" applyNumberFormat="1" applyFont="1" applyAlignment="1">
      <alignment horizontal="left"/>
    </xf>
    <xf numFmtId="0" fontId="4" fillId="0" borderId="0" xfId="0" applyFont="1" applyFill="1"/>
    <xf numFmtId="1" fontId="4" fillId="0" borderId="0" xfId="0" applyNumberFormat="1" applyFont="1" applyFill="1" applyBorder="1" applyAlignment="1">
      <alignment horizontal="center"/>
    </xf>
    <xf numFmtId="0" fontId="10" fillId="0" borderId="0" xfId="0" applyFont="1"/>
    <xf numFmtId="0" fontId="12" fillId="0" borderId="0" xfId="0" applyFont="1" applyAlignment="1">
      <alignment horizontal="left"/>
    </xf>
    <xf numFmtId="0" fontId="6" fillId="8" borderId="11" xfId="0" applyFont="1" applyFill="1" applyBorder="1" applyAlignment="1">
      <alignment horizontal="center"/>
    </xf>
    <xf numFmtId="0" fontId="2" fillId="8" borderId="11" xfId="0" applyFont="1" applyFill="1" applyBorder="1"/>
    <xf numFmtId="1" fontId="6" fillId="8" borderId="11" xfId="0" applyNumberFormat="1" applyFont="1" applyFill="1" applyBorder="1" applyAlignment="1">
      <alignment horizontal="center"/>
    </xf>
    <xf numFmtId="3" fontId="2" fillId="0" borderId="11" xfId="0" applyNumberFormat="1" applyFont="1" applyBorder="1"/>
    <xf numFmtId="1" fontId="2" fillId="0" borderId="11" xfId="0" applyNumberFormat="1" applyFont="1" applyBorder="1"/>
    <xf numFmtId="1" fontId="16" fillId="5" borderId="16" xfId="0" applyNumberFormat="1" applyFont="1" applyFill="1" applyBorder="1" applyAlignment="1">
      <alignment horizontal="left"/>
    </xf>
    <xf numFmtId="1" fontId="16" fillId="5" borderId="24" xfId="0" applyNumberFormat="1" applyFont="1" applyFill="1" applyBorder="1"/>
    <xf numFmtId="10" fontId="16" fillId="5" borderId="11" xfId="0" applyNumberFormat="1" applyFont="1" applyFill="1" applyBorder="1"/>
    <xf numFmtId="1" fontId="0" fillId="0" borderId="0" xfId="0" applyNumberFormat="1" applyBorder="1"/>
    <xf numFmtId="3" fontId="0" fillId="0" borderId="0" xfId="0" applyNumberFormat="1" applyBorder="1"/>
    <xf numFmtId="1" fontId="2" fillId="8" borderId="11" xfId="0" applyNumberFormat="1" applyFont="1" applyFill="1" applyBorder="1"/>
    <xf numFmtId="1" fontId="6" fillId="8" borderId="24" xfId="0" applyNumberFormat="1" applyFont="1" applyFill="1" applyBorder="1" applyAlignment="1">
      <alignment horizontal="center"/>
    </xf>
    <xf numFmtId="3" fontId="2" fillId="7" borderId="11" xfId="0" applyNumberFormat="1" applyFont="1" applyFill="1" applyBorder="1"/>
    <xf numFmtId="10" fontId="17" fillId="0" borderId="11" xfId="0" applyNumberFormat="1" applyFont="1" applyBorder="1"/>
    <xf numFmtId="3" fontId="17" fillId="0" borderId="11" xfId="0" applyNumberFormat="1" applyFont="1" applyBorder="1"/>
    <xf numFmtId="0" fontId="9" fillId="0" borderId="0" xfId="0" applyFont="1"/>
    <xf numFmtId="3" fontId="9" fillId="0" borderId="11" xfId="0" applyNumberFormat="1" applyFont="1" applyBorder="1"/>
    <xf numFmtId="3" fontId="5" fillId="0" borderId="11" xfId="0" applyNumberFormat="1" applyFont="1" applyBorder="1"/>
    <xf numFmtId="0" fontId="2" fillId="7" borderId="11" xfId="0" applyNumberFormat="1" applyFont="1" applyFill="1" applyBorder="1"/>
    <xf numFmtId="1" fontId="2" fillId="7" borderId="24" xfId="0" applyNumberFormat="1" applyFont="1" applyFill="1" applyBorder="1"/>
    <xf numFmtId="0" fontId="16" fillId="5" borderId="16" xfId="0" applyFont="1" applyFill="1" applyBorder="1"/>
    <xf numFmtId="0" fontId="17" fillId="0" borderId="0" xfId="0" applyFont="1"/>
    <xf numFmtId="1" fontId="2" fillId="0" borderId="11" xfId="0" applyNumberFormat="1" applyFont="1" applyFill="1" applyBorder="1" applyAlignment="1">
      <alignment horizontal="center"/>
    </xf>
    <xf numFmtId="1" fontId="2" fillId="5" borderId="11" xfId="0" applyNumberFormat="1" applyFont="1" applyFill="1" applyBorder="1" applyAlignment="1">
      <alignment horizontal="center"/>
    </xf>
    <xf numFmtId="0" fontId="6" fillId="0" borderId="0" xfId="0" applyFont="1"/>
  </cellXfs>
  <cellStyles count="12">
    <cellStyle name="Comma0" xfId="1"/>
    <cellStyle name="Currency 2" xfId="2"/>
    <cellStyle name="Currency0" xfId="3"/>
    <cellStyle name="Date" xfId="4"/>
    <cellStyle name="Fixed" xfId="5"/>
    <cellStyle name="Normal" xfId="0" builtinId="0"/>
    <cellStyle name="Normal 2" xfId="6"/>
    <cellStyle name="Normal 2 2" xfId="7"/>
    <cellStyle name="Normal 3" xfId="8"/>
    <cellStyle name="Normal 3 2" xfId="9"/>
    <cellStyle name="Normal 4" xfId="10"/>
    <cellStyle name="Normal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REAL PROPERTY VALUATIONS - Cumulative %Change 2003-2013</a:t>
            </a:r>
          </a:p>
        </c:rich>
      </c:tx>
      <c:layout>
        <c:manualLayout>
          <c:xMode val="edge"/>
          <c:yMode val="edge"/>
          <c:x val="0.22160840303522372"/>
          <c:y val="4.319908576021298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2701092353525517E-2"/>
          <c:y val="0.15165876777251186"/>
          <c:w val="0.88282025819265142"/>
          <c:h val="0.78436018957345788"/>
        </c:manualLayout>
      </c:layout>
      <c:lineChart>
        <c:grouping val="standard"/>
        <c:varyColors val="0"/>
        <c:ser>
          <c:idx val="0"/>
          <c:order val="0"/>
          <c:tx>
            <c:v>ResRec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chart1!$A$29:$A$39</c:f>
              <c:numCache>
                <c:formatCode>General</c:formatCode>
                <c:ptCount val="11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</c:numCache>
            </c:numRef>
          </c:cat>
          <c:val>
            <c:numRef>
              <c:f>chart1!$E$29:$E$39</c:f>
              <c:numCache>
                <c:formatCode>0.00%</c:formatCode>
                <c:ptCount val="11"/>
                <c:pt idx="0" formatCode="General">
                  <c:v>0</c:v>
                </c:pt>
                <c:pt idx="1">
                  <c:v>9.5370793957813352E-2</c:v>
                </c:pt>
                <c:pt idx="2">
                  <c:v>0.10207873262003841</c:v>
                </c:pt>
                <c:pt idx="3">
                  <c:v>8.9841673020962923E-2</c:v>
                </c:pt>
                <c:pt idx="4">
                  <c:v>7.2143269706630611E-2</c:v>
                </c:pt>
                <c:pt idx="5">
                  <c:v>6.6696929443258099E-2</c:v>
                </c:pt>
                <c:pt idx="6">
                  <c:v>0.14517444718494898</c:v>
                </c:pt>
                <c:pt idx="7">
                  <c:v>0.16568957413181587</c:v>
                </c:pt>
                <c:pt idx="8">
                  <c:v>0.1863047095530162</c:v>
                </c:pt>
                <c:pt idx="9">
                  <c:v>0.22492276602417727</c:v>
                </c:pt>
                <c:pt idx="10">
                  <c:v>0.38722108026859842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E9-4E93-9254-236AE15FF5F0}"/>
            </c:ext>
          </c:extLst>
        </c:ser>
        <c:ser>
          <c:idx val="1"/>
          <c:order val="1"/>
          <c:tx>
            <c:v>Comm&amp;Indust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chart1!$A$29:$A$39</c:f>
              <c:numCache>
                <c:formatCode>General</c:formatCode>
                <c:ptCount val="11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</c:numCache>
            </c:numRef>
          </c:cat>
          <c:val>
            <c:numRef>
              <c:f>chart1!$I$29:$I$39</c:f>
              <c:numCache>
                <c:formatCode>0.00%</c:formatCode>
                <c:ptCount val="11"/>
                <c:pt idx="0" formatCode="General">
                  <c:v>0</c:v>
                </c:pt>
                <c:pt idx="1">
                  <c:v>4.5936982151590401E-2</c:v>
                </c:pt>
                <c:pt idx="2">
                  <c:v>6.3335264259972365E-2</c:v>
                </c:pt>
                <c:pt idx="3">
                  <c:v>6.9283072262555381E-2</c:v>
                </c:pt>
                <c:pt idx="4">
                  <c:v>4.7374731134292782E-2</c:v>
                </c:pt>
                <c:pt idx="5">
                  <c:v>0.1155778297967304</c:v>
                </c:pt>
                <c:pt idx="6">
                  <c:v>0.23752771750226725</c:v>
                </c:pt>
                <c:pt idx="7">
                  <c:v>0.28535043944408306</c:v>
                </c:pt>
                <c:pt idx="8">
                  <c:v>0.37524464998789214</c:v>
                </c:pt>
                <c:pt idx="9">
                  <c:v>0.69754851453180566</c:v>
                </c:pt>
                <c:pt idx="10">
                  <c:v>0.82900592098078407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E9-4E93-9254-236AE15FF5F0}"/>
            </c:ext>
          </c:extLst>
        </c:ser>
        <c:ser>
          <c:idx val="2"/>
          <c:order val="2"/>
          <c:tx>
            <c:v>Total Agland</c:v>
          </c:tx>
          <c:spPr>
            <a:ln w="12700">
              <a:solidFill>
                <a:srgbClr val="00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chart1!$A$29:$A$39</c:f>
              <c:numCache>
                <c:formatCode>General</c:formatCode>
                <c:ptCount val="11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</c:numCache>
            </c:numRef>
          </c:cat>
          <c:val>
            <c:numRef>
              <c:f>chart1!$M$29:$M$39</c:f>
              <c:numCache>
                <c:formatCode>0.00%</c:formatCode>
                <c:ptCount val="11"/>
                <c:pt idx="0" formatCode="General">
                  <c:v>0</c:v>
                </c:pt>
                <c:pt idx="1">
                  <c:v>0.12725985215961516</c:v>
                </c:pt>
                <c:pt idx="2">
                  <c:v>9.3330282930107755E-2</c:v>
                </c:pt>
                <c:pt idx="3">
                  <c:v>0.1915263304490363</c:v>
                </c:pt>
                <c:pt idx="4">
                  <c:v>0.17695634751285902</c:v>
                </c:pt>
                <c:pt idx="5">
                  <c:v>0.30893346839372471</c:v>
                </c:pt>
                <c:pt idx="6">
                  <c:v>0.44488832701866143</c:v>
                </c:pt>
                <c:pt idx="7">
                  <c:v>0.54245657331337471</c:v>
                </c:pt>
                <c:pt idx="8">
                  <c:v>0.75074562302028913</c:v>
                </c:pt>
                <c:pt idx="9">
                  <c:v>0.79492495426947174</c:v>
                </c:pt>
                <c:pt idx="10">
                  <c:v>1.2227770887465859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E9-4E93-9254-236AE15FF5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838632"/>
        <c:axId val="1"/>
      </c:lineChart>
      <c:catAx>
        <c:axId val="122838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5"/>
          <c:min val="-0.60000000000000009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0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2838632"/>
        <c:crosses val="max"/>
        <c:crossBetween val="between"/>
        <c:majorUnit val="0.2"/>
        <c:minorUnit val="0.05"/>
      </c:valAx>
      <c:spPr>
        <a:solidFill>
          <a:srgbClr val="CC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75325816763176967"/>
          <c:y val="2.3297542352660461E-2"/>
          <c:w val="0.88098011581237157"/>
          <c:h val="0.1351253940147433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178" r="0.75000000000000178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REAL PROPERTY &amp; GROWTH VALUATIONS - Cumulative %Change 2003-2013</a:t>
            </a:r>
          </a:p>
        </c:rich>
      </c:tx>
      <c:layout>
        <c:manualLayout>
          <c:xMode val="edge"/>
          <c:yMode val="edge"/>
          <c:x val="0.19918260217472814"/>
          <c:y val="6.494613173353330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9640092197578312E-2"/>
          <c:y val="0.17925791606357747"/>
          <c:w val="0.85586365857893665"/>
          <c:h val="0.75386548262353947"/>
        </c:manualLayout>
      </c:layout>
      <c:lineChart>
        <c:grouping val="standard"/>
        <c:varyColors val="0"/>
        <c:ser>
          <c:idx val="0"/>
          <c:order val="0"/>
          <c:tx>
            <c:v>ResRec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chart2grwth!$A$47:$A$57</c:f>
              <c:numCache>
                <c:formatCode>General</c:formatCode>
                <c:ptCount val="11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</c:numCache>
            </c:numRef>
          </c:cat>
          <c:val>
            <c:numRef>
              <c:f>chart2grwth!$G$31:$G$41</c:f>
              <c:numCache>
                <c:formatCode>0.00%</c:formatCode>
                <c:ptCount val="11"/>
                <c:pt idx="0" formatCode="General">
                  <c:v>0</c:v>
                </c:pt>
                <c:pt idx="1">
                  <c:v>6.5287259186419505E-2</c:v>
                </c:pt>
                <c:pt idx="2">
                  <c:v>8.5545670093196302E-2</c:v>
                </c:pt>
                <c:pt idx="3">
                  <c:v>8.1779934514293995E-2</c:v>
                </c:pt>
                <c:pt idx="4">
                  <c:v>6.464599246242278E-2</c:v>
                </c:pt>
                <c:pt idx="5">
                  <c:v>6.0563265347778922E-2</c:v>
                </c:pt>
                <c:pt idx="6">
                  <c:v>0.13523090944862881</c:v>
                </c:pt>
                <c:pt idx="7">
                  <c:v>0.15918444375814314</c:v>
                </c:pt>
                <c:pt idx="8">
                  <c:v>0.16763221584803284</c:v>
                </c:pt>
                <c:pt idx="9">
                  <c:v>0.20941600066678132</c:v>
                </c:pt>
                <c:pt idx="10">
                  <c:v>0.37628932098345708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79-4104-8714-1E03302B1FF4}"/>
            </c:ext>
          </c:extLst>
        </c:ser>
        <c:ser>
          <c:idx val="1"/>
          <c:order val="1"/>
          <c:tx>
            <c:v>Comm&amp;Indust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chart2grwth!$A$47:$A$57</c:f>
              <c:numCache>
                <c:formatCode>General</c:formatCode>
                <c:ptCount val="11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</c:numCache>
            </c:numRef>
          </c:cat>
          <c:val>
            <c:numRef>
              <c:f>chart2grwth!$M$31:$M$41</c:f>
              <c:numCache>
                <c:formatCode>0.00%</c:formatCode>
                <c:ptCount val="11"/>
                <c:pt idx="0">
                  <c:v>0</c:v>
                </c:pt>
                <c:pt idx="1">
                  <c:v>2.8907871058416863E-2</c:v>
                </c:pt>
                <c:pt idx="2">
                  <c:v>4.854895611256986E-2</c:v>
                </c:pt>
                <c:pt idx="3">
                  <c:v>6.7250851111311585E-2</c:v>
                </c:pt>
                <c:pt idx="4">
                  <c:v>4.710812081269853E-2</c:v>
                </c:pt>
                <c:pt idx="5">
                  <c:v>5.1886214608251387E-2</c:v>
                </c:pt>
                <c:pt idx="6">
                  <c:v>0.11263324580854388</c:v>
                </c:pt>
                <c:pt idx="7">
                  <c:v>0.21862996006780402</c:v>
                </c:pt>
                <c:pt idx="8">
                  <c:v>0.27984326256962017</c:v>
                </c:pt>
                <c:pt idx="9">
                  <c:v>0.44174813752629305</c:v>
                </c:pt>
                <c:pt idx="10">
                  <c:v>0.80320620872050785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79-4104-8714-1E03302B1FF4}"/>
            </c:ext>
          </c:extLst>
        </c:ser>
        <c:ser>
          <c:idx val="2"/>
          <c:order val="2"/>
          <c:tx>
            <c:v>Ag Imprv+SiteLand</c:v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cat>
            <c:numRef>
              <c:f>chart2grwth!$A$47:$A$57</c:f>
              <c:numCache>
                <c:formatCode>General</c:formatCode>
                <c:ptCount val="11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</c:numCache>
            </c:numRef>
          </c:cat>
          <c:val>
            <c:numRef>
              <c:f>chart2grwth!$I$47:$I$57</c:f>
              <c:numCache>
                <c:formatCode>0.00%</c:formatCode>
                <c:ptCount val="11"/>
                <c:pt idx="0">
                  <c:v>0</c:v>
                </c:pt>
                <c:pt idx="1">
                  <c:v>-7.2744590198080376E-3</c:v>
                </c:pt>
                <c:pt idx="2">
                  <c:v>2.0743828768191832E-2</c:v>
                </c:pt>
                <c:pt idx="3">
                  <c:v>6.8985387938172632E-2</c:v>
                </c:pt>
                <c:pt idx="4">
                  <c:v>-3.9324267176352092E-3</c:v>
                </c:pt>
                <c:pt idx="5">
                  <c:v>1.3372970232418811E-2</c:v>
                </c:pt>
                <c:pt idx="6">
                  <c:v>3.6338407932947694E-2</c:v>
                </c:pt>
                <c:pt idx="7">
                  <c:v>6.935456861721756E-2</c:v>
                </c:pt>
                <c:pt idx="8">
                  <c:v>0.10310837502998277</c:v>
                </c:pt>
                <c:pt idx="9">
                  <c:v>0.14094497456694516</c:v>
                </c:pt>
                <c:pt idx="10">
                  <c:v>0.18283633138634375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F79-4104-8714-1E03302B1F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839944"/>
        <c:axId val="1"/>
      </c:lineChart>
      <c:catAx>
        <c:axId val="122839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25400" cmpd="sng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5"/>
          <c:min val="-0.60000000000000009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0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2839944"/>
        <c:crosses val="max"/>
        <c:crossBetween val="between"/>
        <c:majorUnit val="0.2"/>
        <c:minorUnit val="6.0000000000000012E-2"/>
      </c:valAx>
      <c:spPr>
        <a:solidFill>
          <a:srgbClr val="CC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76428619951917776"/>
          <c:y val="2.701137357830271E-2"/>
          <c:w val="0.87298087739032626"/>
          <c:h val="0.1645241844769403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3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178" r="0.75000000000000178" t="1" header="0.5" footer="0.5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AGRICULTURAL  LAND VALUATIONS - Cumulative %Change 2003-2013</a:t>
            </a:r>
          </a:p>
        </c:rich>
      </c:tx>
      <c:layout>
        <c:manualLayout>
          <c:xMode val="edge"/>
          <c:yMode val="edge"/>
          <c:x val="0.14539727083877549"/>
          <c:y val="6.248565083210751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3768602976476315E-2"/>
          <c:y val="0.19668626402993053"/>
          <c:w val="0.84013442150744122"/>
          <c:h val="0.77177979690005416"/>
        </c:manualLayout>
      </c:layout>
      <c:lineChart>
        <c:grouping val="standard"/>
        <c:varyColors val="0"/>
        <c:ser>
          <c:idx val="0"/>
          <c:order val="0"/>
          <c:tx>
            <c:v>Irrigated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chart3ag!$A$31:$A$41</c:f>
              <c:numCache>
                <c:formatCode>General</c:formatCode>
                <c:ptCount val="11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</c:numCache>
            </c:numRef>
          </c:cat>
          <c:val>
            <c:numRef>
              <c:f>chart3ag!$E$31:$E$41</c:f>
              <c:numCache>
                <c:formatCode>0.00%</c:formatCode>
                <c:ptCount val="11"/>
                <c:pt idx="0" formatCode="General">
                  <c:v>0</c:v>
                </c:pt>
                <c:pt idx="1">
                  <c:v>0.10354981378819665</c:v>
                </c:pt>
                <c:pt idx="2">
                  <c:v>8.1016121473383954E-2</c:v>
                </c:pt>
                <c:pt idx="3">
                  <c:v>9.2487661910675256E-2</c:v>
                </c:pt>
                <c:pt idx="4">
                  <c:v>9.268642883084989E-2</c:v>
                </c:pt>
                <c:pt idx="5">
                  <c:v>0.35681768801653785</c:v>
                </c:pt>
                <c:pt idx="6">
                  <c:v>0.48787723353052004</c:v>
                </c:pt>
                <c:pt idx="7">
                  <c:v>0.65373651724540482</c:v>
                </c:pt>
                <c:pt idx="8">
                  <c:v>0.83094310011009098</c:v>
                </c:pt>
                <c:pt idx="9">
                  <c:v>0.8234455582896375</c:v>
                </c:pt>
                <c:pt idx="10">
                  <c:v>1.4094545562250382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AB-4D30-B68B-7EC462AA668E}"/>
            </c:ext>
          </c:extLst>
        </c:ser>
        <c:ser>
          <c:idx val="1"/>
          <c:order val="1"/>
          <c:tx>
            <c:v>Dryland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chart3ag!$A$31:$A$41</c:f>
              <c:numCache>
                <c:formatCode>General</c:formatCode>
                <c:ptCount val="11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</c:numCache>
            </c:numRef>
          </c:cat>
          <c:val>
            <c:numRef>
              <c:f>chart3ag!$I$31:$I$41</c:f>
              <c:numCache>
                <c:formatCode>0.00%</c:formatCode>
                <c:ptCount val="11"/>
                <c:pt idx="0" formatCode="General">
                  <c:v>0</c:v>
                </c:pt>
                <c:pt idx="1">
                  <c:v>6.178970549659582E-2</c:v>
                </c:pt>
                <c:pt idx="2">
                  <c:v>-1.3758465938499814E-2</c:v>
                </c:pt>
                <c:pt idx="3">
                  <c:v>0.13132905638931175</c:v>
                </c:pt>
                <c:pt idx="4">
                  <c:v>0.12729258011114788</c:v>
                </c:pt>
                <c:pt idx="5">
                  <c:v>0.13688878434203341</c:v>
                </c:pt>
                <c:pt idx="6">
                  <c:v>0.23597918180812888</c:v>
                </c:pt>
                <c:pt idx="7">
                  <c:v>0.28647860502971129</c:v>
                </c:pt>
                <c:pt idx="8">
                  <c:v>0.69892103754573864</c:v>
                </c:pt>
                <c:pt idx="9">
                  <c:v>0.94485621241008089</c:v>
                </c:pt>
                <c:pt idx="10">
                  <c:v>1.3521301297104256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AB-4D30-B68B-7EC462AA668E}"/>
            </c:ext>
          </c:extLst>
        </c:ser>
        <c:ser>
          <c:idx val="2"/>
          <c:order val="2"/>
          <c:tx>
            <c:v>Total Agland</c:v>
          </c:tx>
          <c:spPr>
            <a:ln w="12700">
              <a:solidFill>
                <a:srgbClr val="00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chart3ag!$A$31:$A$41</c:f>
              <c:numCache>
                <c:formatCode>General</c:formatCode>
                <c:ptCount val="11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</c:numCache>
            </c:numRef>
          </c:cat>
          <c:val>
            <c:numRef>
              <c:f>chart3ag!$M$47:$M$57</c:f>
              <c:numCache>
                <c:formatCode>0.00%</c:formatCode>
                <c:ptCount val="11"/>
                <c:pt idx="0" formatCode="General">
                  <c:v>0</c:v>
                </c:pt>
                <c:pt idx="1">
                  <c:v>0.12725985215961516</c:v>
                </c:pt>
                <c:pt idx="2">
                  <c:v>9.3330282930107755E-2</c:v>
                </c:pt>
                <c:pt idx="3">
                  <c:v>0.1915263304490363</c:v>
                </c:pt>
                <c:pt idx="4">
                  <c:v>0.17695634751285902</c:v>
                </c:pt>
                <c:pt idx="5">
                  <c:v>0.30893346839372471</c:v>
                </c:pt>
                <c:pt idx="6">
                  <c:v>0.44488832701866143</c:v>
                </c:pt>
                <c:pt idx="7">
                  <c:v>0.54245657331337471</c:v>
                </c:pt>
                <c:pt idx="8">
                  <c:v>0.75074562302028913</c:v>
                </c:pt>
                <c:pt idx="9">
                  <c:v>0.79492495426947174</c:v>
                </c:pt>
                <c:pt idx="10">
                  <c:v>1.2227770887465859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AB-4D30-B68B-7EC462AA668E}"/>
            </c:ext>
          </c:extLst>
        </c:ser>
        <c:ser>
          <c:idx val="3"/>
          <c:order val="3"/>
          <c:tx>
            <c:v>Grassland</c:v>
          </c:tx>
          <c:spPr>
            <a:ln w="12700">
              <a:solidFill>
                <a:srgbClr val="FF9900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FF9900"/>
                </a:solidFill>
                <a:prstDash val="solid"/>
              </a:ln>
            </c:spPr>
          </c:marker>
          <c:cat>
            <c:numRef>
              <c:f>chart3ag!$A$31:$A$41</c:f>
              <c:numCache>
                <c:formatCode>General</c:formatCode>
                <c:ptCount val="11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</c:numCache>
            </c:numRef>
          </c:cat>
          <c:val>
            <c:numRef>
              <c:f>chart3ag!$M$31:$M$41</c:f>
              <c:numCache>
                <c:formatCode>0.00%</c:formatCode>
                <c:ptCount val="11"/>
                <c:pt idx="0" formatCode="General">
                  <c:v>0</c:v>
                </c:pt>
                <c:pt idx="1">
                  <c:v>0.19879159194363297</c:v>
                </c:pt>
                <c:pt idx="2">
                  <c:v>0.17237770458559273</c:v>
                </c:pt>
                <c:pt idx="3">
                  <c:v>0.36817860271484776</c:v>
                </c:pt>
                <c:pt idx="4">
                  <c:v>0.32638364165012884</c:v>
                </c:pt>
                <c:pt idx="5">
                  <c:v>0.33430354707727367</c:v>
                </c:pt>
                <c:pt idx="6">
                  <c:v>0.4982392291239906</c:v>
                </c:pt>
                <c:pt idx="7">
                  <c:v>0.52817584178412391</c:v>
                </c:pt>
                <c:pt idx="8">
                  <c:v>0.66362071192732541</c:v>
                </c:pt>
                <c:pt idx="9">
                  <c:v>0.66620035365505392</c:v>
                </c:pt>
                <c:pt idx="10">
                  <c:v>0.87923542184923664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2AB-4D30-B68B-7EC462AA6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843880"/>
        <c:axId val="1"/>
      </c:lineChart>
      <c:catAx>
        <c:axId val="122843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5"/>
          <c:min val="-0.60000000000000009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0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2843880"/>
        <c:crosses val="max"/>
        <c:crossBetween val="between"/>
        <c:majorUnit val="0.2"/>
        <c:minorUnit val="6.0000000000000012E-2"/>
      </c:valAx>
      <c:spPr>
        <a:solidFill>
          <a:srgbClr val="CC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75564090507643888"/>
          <c:y val="1.4965360099218367E-2"/>
          <c:w val="0.85453675162642584"/>
          <c:h val="0.1731695076576966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2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178" r="0.75000000000000178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76200</xdr:rowOff>
    </xdr:from>
    <xdr:to>
      <xdr:col>12</xdr:col>
      <xdr:colOff>333375</xdr:colOff>
      <xdr:row>25</xdr:row>
      <xdr:rowOff>9525</xdr:rowOff>
    </xdr:to>
    <xdr:graphicFrame macro="">
      <xdr:nvGraphicFramePr>
        <xdr:cNvPr id="1025" name="Chart 2">
          <a:extLst>
            <a:ext uri="{FF2B5EF4-FFF2-40B4-BE49-F238E27FC236}">
              <a16:creationId xmlns:a16="http://schemas.microsoft.com/office/drawing/2014/main" id="{0ED60FAA-1F58-4F69-BE83-7C2AAF28DA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1</xdr:row>
      <xdr:rowOff>47625</xdr:rowOff>
    </xdr:from>
    <xdr:to>
      <xdr:col>12</xdr:col>
      <xdr:colOff>514350</xdr:colOff>
      <xdr:row>26</xdr:row>
      <xdr:rowOff>0</xdr:rowOff>
    </xdr:to>
    <xdr:graphicFrame macro="">
      <xdr:nvGraphicFramePr>
        <xdr:cNvPr id="2049" name="Chart 1">
          <a:extLst>
            <a:ext uri="{FF2B5EF4-FFF2-40B4-BE49-F238E27FC236}">
              <a16:creationId xmlns:a16="http://schemas.microsoft.com/office/drawing/2014/main" id="{AA63850C-AAD7-42B6-A170-209F0628F1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276225</xdr:colOff>
      <xdr:row>0</xdr:row>
      <xdr:rowOff>66675</xdr:rowOff>
    </xdr:from>
    <xdr:to>
      <xdr:col>12</xdr:col>
      <xdr:colOff>266700</xdr:colOff>
      <xdr:row>27</xdr:row>
      <xdr:rowOff>28575</xdr:rowOff>
    </xdr:to>
    <xdr:graphicFrame macro="">
      <xdr:nvGraphicFramePr>
        <xdr:cNvPr id="3073" name="Chart 1">
          <a:extLst>
            <a:ext uri="{FF2B5EF4-FFF2-40B4-BE49-F238E27FC236}">
              <a16:creationId xmlns:a16="http://schemas.microsoft.com/office/drawing/2014/main" id="{8B46E1E7-11FB-4B8D-AC68-500DAF9B79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6:N58"/>
  <sheetViews>
    <sheetView zoomScale="80" zoomScaleNormal="80" workbookViewId="0">
      <selection sqref="A1:N58"/>
    </sheetView>
  </sheetViews>
  <sheetFormatPr defaultRowHeight="12.75" x14ac:dyDescent="0.2"/>
  <cols>
    <col min="1" max="1" width="8.42578125" customWidth="1"/>
    <col min="2" max="2" width="19.7109375" customWidth="1"/>
    <col min="3" max="3" width="13.7109375" customWidth="1"/>
    <col min="4" max="4" width="8.28515625" customWidth="1"/>
    <col min="5" max="5" width="8.7109375" bestFit="1" customWidth="1"/>
    <col min="6" max="6" width="15.7109375" customWidth="1"/>
    <col min="7" max="7" width="14" bestFit="1" customWidth="1"/>
    <col min="8" max="8" width="9.85546875" customWidth="1"/>
    <col min="9" max="9" width="8.7109375" bestFit="1" customWidth="1"/>
    <col min="10" max="10" width="15.28515625" customWidth="1"/>
    <col min="11" max="11" width="14.42578125" customWidth="1"/>
    <col min="12" max="12" width="8.28515625" bestFit="1" customWidth="1"/>
    <col min="13" max="13" width="8.7109375" bestFit="1" customWidth="1"/>
    <col min="14" max="14" width="16.42578125" bestFit="1" customWidth="1"/>
  </cols>
  <sheetData>
    <row r="26" spans="1:14" ht="6.6" customHeight="1" thickBot="1" x14ac:dyDescent="0.25"/>
    <row r="27" spans="1:14" ht="14.25" x14ac:dyDescent="0.2">
      <c r="A27" s="1" t="s">
        <v>0</v>
      </c>
      <c r="B27" s="2" t="s">
        <v>1</v>
      </c>
      <c r="C27" s="3"/>
      <c r="D27" s="3"/>
      <c r="E27" s="4"/>
      <c r="F27" s="5" t="s">
        <v>2</v>
      </c>
      <c r="G27" s="3"/>
      <c r="H27" s="3"/>
      <c r="I27" s="6"/>
      <c r="J27" s="5" t="s">
        <v>3</v>
      </c>
      <c r="K27" s="3"/>
      <c r="L27" s="3"/>
      <c r="M27" s="7"/>
    </row>
    <row r="28" spans="1:14" ht="13.5" thickBot="1" x14ac:dyDescent="0.25">
      <c r="A28" s="8" t="s">
        <v>4</v>
      </c>
      <c r="B28" s="9" t="s">
        <v>5</v>
      </c>
      <c r="C28" s="10" t="s">
        <v>6</v>
      </c>
      <c r="D28" s="10" t="s">
        <v>7</v>
      </c>
      <c r="E28" s="11" t="s">
        <v>8</v>
      </c>
      <c r="F28" s="12" t="s">
        <v>5</v>
      </c>
      <c r="G28" s="10" t="s">
        <v>6</v>
      </c>
      <c r="H28" s="10" t="s">
        <v>7</v>
      </c>
      <c r="I28" s="13" t="s">
        <v>8</v>
      </c>
      <c r="J28" s="12" t="s">
        <v>5</v>
      </c>
      <c r="K28" s="10" t="s">
        <v>6</v>
      </c>
      <c r="L28" s="10" t="s">
        <v>7</v>
      </c>
      <c r="M28" s="14" t="s">
        <v>8</v>
      </c>
    </row>
    <row r="29" spans="1:14" x14ac:dyDescent="0.2">
      <c r="A29" s="15">
        <v>2003</v>
      </c>
      <c r="B29" s="16">
        <v>22928057</v>
      </c>
      <c r="C29" s="17" t="s">
        <v>9</v>
      </c>
      <c r="D29" s="17" t="s">
        <v>9</v>
      </c>
      <c r="E29" s="18" t="s">
        <v>9</v>
      </c>
      <c r="F29" s="19">
        <v>4212140</v>
      </c>
      <c r="G29" s="17" t="s">
        <v>9</v>
      </c>
      <c r="H29" s="17" t="s">
        <v>9</v>
      </c>
      <c r="I29" s="20" t="s">
        <v>9</v>
      </c>
      <c r="J29" s="19">
        <v>175351681</v>
      </c>
      <c r="K29" s="17" t="s">
        <v>9</v>
      </c>
      <c r="L29" s="21" t="s">
        <v>9</v>
      </c>
      <c r="M29" s="22" t="s">
        <v>9</v>
      </c>
      <c r="N29" s="23"/>
    </row>
    <row r="30" spans="1:14" x14ac:dyDescent="0.2">
      <c r="A30" s="15">
        <v>2004</v>
      </c>
      <c r="B30" s="16">
        <v>25114724</v>
      </c>
      <c r="C30" s="24">
        <v>2186667</v>
      </c>
      <c r="D30" s="25">
        <v>9.5370793957813352E-2</v>
      </c>
      <c r="E30" s="26">
        <v>9.5370793957813352E-2</v>
      </c>
      <c r="F30" s="19">
        <v>4405633</v>
      </c>
      <c r="G30" s="24">
        <v>193493</v>
      </c>
      <c r="H30" s="25">
        <v>4.5936982151590401E-2</v>
      </c>
      <c r="I30" s="27">
        <v>4.5936982151590401E-2</v>
      </c>
      <c r="J30" s="19">
        <v>197666910</v>
      </c>
      <c r="K30" s="24">
        <v>22315229</v>
      </c>
      <c r="L30" s="25">
        <v>0.12725985215961516</v>
      </c>
      <c r="M30" s="28">
        <v>0.12725985215961516</v>
      </c>
      <c r="N30" s="23"/>
    </row>
    <row r="31" spans="1:14" x14ac:dyDescent="0.2">
      <c r="A31" s="29">
        <v>2005</v>
      </c>
      <c r="B31" s="16">
        <v>25268524</v>
      </c>
      <c r="C31" s="24">
        <v>153800</v>
      </c>
      <c r="D31" s="25">
        <v>6.1238976785092285E-3</v>
      </c>
      <c r="E31" s="26">
        <v>0.10207873262003841</v>
      </c>
      <c r="F31" s="19">
        <v>4478917</v>
      </c>
      <c r="G31" s="24">
        <v>73284</v>
      </c>
      <c r="H31" s="25">
        <v>1.6634159041390872E-2</v>
      </c>
      <c r="I31" s="27">
        <v>6.3335264259972365E-2</v>
      </c>
      <c r="J31" s="19">
        <v>191717303</v>
      </c>
      <c r="K31" s="24">
        <v>-5949607</v>
      </c>
      <c r="L31" s="25">
        <v>-3.0099155189910139E-2</v>
      </c>
      <c r="M31" s="28">
        <v>9.3330282930107755E-2</v>
      </c>
      <c r="N31" s="23"/>
    </row>
    <row r="32" spans="1:14" x14ac:dyDescent="0.2">
      <c r="A32" s="29">
        <v>2006</v>
      </c>
      <c r="B32" s="16">
        <v>24987952</v>
      </c>
      <c r="C32" s="24">
        <v>-280572</v>
      </c>
      <c r="D32" s="25">
        <v>-1.1103616499325406E-2</v>
      </c>
      <c r="E32" s="26">
        <v>8.9841673020962923E-2</v>
      </c>
      <c r="F32" s="19">
        <v>4503970</v>
      </c>
      <c r="G32" s="24">
        <v>25053</v>
      </c>
      <c r="H32" s="25">
        <v>5.5935396882773221E-3</v>
      </c>
      <c r="I32" s="27">
        <v>6.9283072262555381E-2</v>
      </c>
      <c r="J32" s="19">
        <v>208936145</v>
      </c>
      <c r="K32" s="24">
        <v>17218842</v>
      </c>
      <c r="L32" s="25">
        <v>8.9813708677093165E-2</v>
      </c>
      <c r="M32" s="28">
        <v>0.1915263304490363</v>
      </c>
      <c r="N32" s="23"/>
    </row>
    <row r="33" spans="1:14" x14ac:dyDescent="0.2">
      <c r="A33" s="29">
        <v>2007</v>
      </c>
      <c r="B33" s="16">
        <v>24582162</v>
      </c>
      <c r="C33" s="24">
        <v>-405790</v>
      </c>
      <c r="D33" s="25">
        <v>-1.6239426104228148E-2</v>
      </c>
      <c r="E33" s="26">
        <v>7.2143269706630611E-2</v>
      </c>
      <c r="F33" s="19">
        <v>4411689</v>
      </c>
      <c r="G33" s="24">
        <v>-92281</v>
      </c>
      <c r="H33" s="25">
        <v>-2.0488813202574618E-2</v>
      </c>
      <c r="I33" s="27">
        <v>4.7374731134292782E-2</v>
      </c>
      <c r="J33" s="19">
        <v>206381274</v>
      </c>
      <c r="K33" s="24">
        <v>-2554871</v>
      </c>
      <c r="L33" s="25">
        <v>-1.2227999133419447E-2</v>
      </c>
      <c r="M33" s="28">
        <v>0.17695634751285902</v>
      </c>
      <c r="N33" s="23"/>
    </row>
    <row r="34" spans="1:14" x14ac:dyDescent="0.2">
      <c r="A34" s="29">
        <v>2008</v>
      </c>
      <c r="B34" s="19">
        <v>24457288</v>
      </c>
      <c r="C34" s="24">
        <v>-124874</v>
      </c>
      <c r="D34" s="25">
        <v>-5.0798623815106253E-3</v>
      </c>
      <c r="E34" s="26">
        <v>6.6696929443258099E-2</v>
      </c>
      <c r="F34" s="19">
        <v>4698970</v>
      </c>
      <c r="G34" s="24">
        <v>287281</v>
      </c>
      <c r="H34" s="25">
        <v>6.5118144094019323E-2</v>
      </c>
      <c r="I34" s="27">
        <v>0.1155778297967304</v>
      </c>
      <c r="J34" s="19">
        <v>229523684</v>
      </c>
      <c r="K34" s="24">
        <v>23142410</v>
      </c>
      <c r="L34" s="25">
        <v>0.11213425303305377</v>
      </c>
      <c r="M34" s="28">
        <v>0.30893346839372471</v>
      </c>
      <c r="N34" s="23"/>
    </row>
    <row r="35" spans="1:14" x14ac:dyDescent="0.2">
      <c r="A35" s="29">
        <v>2009</v>
      </c>
      <c r="B35" s="19">
        <v>26256625</v>
      </c>
      <c r="C35" s="24">
        <v>1799337</v>
      </c>
      <c r="D35" s="25">
        <v>7.3570585585777129E-2</v>
      </c>
      <c r="E35" s="26">
        <v>0.14517444718494898</v>
      </c>
      <c r="F35" s="19">
        <v>5212640</v>
      </c>
      <c r="G35" s="24">
        <v>513670</v>
      </c>
      <c r="H35" s="25">
        <v>0.10931544572533981</v>
      </c>
      <c r="I35" s="27">
        <v>0.23752771750226725</v>
      </c>
      <c r="J35" s="19">
        <v>253363597</v>
      </c>
      <c r="K35" s="24">
        <v>23839913</v>
      </c>
      <c r="L35" s="25">
        <v>0.10386689767492578</v>
      </c>
      <c r="M35" s="28">
        <v>0.44488832701866143</v>
      </c>
      <c r="N35" s="23"/>
    </row>
    <row r="36" spans="1:14" x14ac:dyDescent="0.2">
      <c r="A36" s="29">
        <v>2010</v>
      </c>
      <c r="B36" s="19">
        <v>26726997</v>
      </c>
      <c r="C36" s="24">
        <v>470372</v>
      </c>
      <c r="D36" s="25">
        <v>1.7914412076952008E-2</v>
      </c>
      <c r="E36" s="26">
        <v>0.16568957413181587</v>
      </c>
      <c r="F36" s="19">
        <v>5414076</v>
      </c>
      <c r="G36" s="24">
        <v>201436</v>
      </c>
      <c r="H36" s="25">
        <v>3.8643758249178921E-2</v>
      </c>
      <c r="I36" s="27">
        <v>0.28535043944408306</v>
      </c>
      <c r="J36" s="19">
        <v>270472353</v>
      </c>
      <c r="K36" s="24">
        <v>17108756</v>
      </c>
      <c r="L36" s="25">
        <v>6.7526496318253637E-2</v>
      </c>
      <c r="M36" s="28">
        <v>0.54245657331337471</v>
      </c>
      <c r="N36" s="23"/>
    </row>
    <row r="37" spans="1:14" x14ac:dyDescent="0.2">
      <c r="A37" s="29">
        <v>2011</v>
      </c>
      <c r="B37" s="19">
        <v>27199662</v>
      </c>
      <c r="C37" s="24">
        <v>472665</v>
      </c>
      <c r="D37" s="25">
        <v>1.7684927341444306E-2</v>
      </c>
      <c r="E37" s="26">
        <v>0.1863047095530162</v>
      </c>
      <c r="F37" s="19">
        <v>5792723</v>
      </c>
      <c r="G37" s="24">
        <v>378647</v>
      </c>
      <c r="H37" s="25">
        <v>6.993751103604752E-2</v>
      </c>
      <c r="I37" s="27">
        <v>0.37524464998789214</v>
      </c>
      <c r="J37" s="19">
        <v>306996188</v>
      </c>
      <c r="K37" s="24">
        <v>36523835</v>
      </c>
      <c r="L37" s="25">
        <v>0.13503722134587265</v>
      </c>
      <c r="M37" s="28">
        <v>0.75074562302028913</v>
      </c>
      <c r="N37" s="23"/>
    </row>
    <row r="38" spans="1:14" x14ac:dyDescent="0.2">
      <c r="A38" s="29">
        <v>2012</v>
      </c>
      <c r="B38" s="19">
        <v>28085099</v>
      </c>
      <c r="C38" s="24">
        <v>885437</v>
      </c>
      <c r="D38" s="25">
        <v>3.2553235404175242E-2</v>
      </c>
      <c r="E38" s="26">
        <v>0.22492276602417727</v>
      </c>
      <c r="F38" s="19">
        <v>7150312</v>
      </c>
      <c r="G38" s="24">
        <v>1357589</v>
      </c>
      <c r="H38" s="25">
        <v>0.23436111134608026</v>
      </c>
      <c r="I38" s="27">
        <v>0.69754851453180566</v>
      </c>
      <c r="J38" s="19">
        <v>314743108</v>
      </c>
      <c r="K38" s="24">
        <v>7746920</v>
      </c>
      <c r="L38" s="25">
        <v>2.5234580437200737E-2</v>
      </c>
      <c r="M38" s="28">
        <v>0.79492495426947174</v>
      </c>
      <c r="N38" s="23"/>
    </row>
    <row r="39" spans="1:14" ht="13.5" thickBot="1" x14ac:dyDescent="0.25">
      <c r="A39" s="30">
        <v>2013</v>
      </c>
      <c r="B39" s="31">
        <v>31806284</v>
      </c>
      <c r="C39" s="32">
        <v>3721185</v>
      </c>
      <c r="D39" s="33">
        <v>0.13249677346695485</v>
      </c>
      <c r="E39" s="34">
        <v>0.38722108026859842</v>
      </c>
      <c r="F39" s="31">
        <v>7704029</v>
      </c>
      <c r="G39" s="32">
        <v>553717</v>
      </c>
      <c r="H39" s="33">
        <v>7.7439557882229476E-2</v>
      </c>
      <c r="I39" s="35">
        <v>0.82900592098078407</v>
      </c>
      <c r="J39" s="31">
        <v>389767699</v>
      </c>
      <c r="K39" s="32">
        <v>75024591</v>
      </c>
      <c r="L39" s="33">
        <v>0.23836770081078312</v>
      </c>
      <c r="M39" s="36">
        <v>1.2227770887465859</v>
      </c>
      <c r="N39" s="23"/>
    </row>
    <row r="40" spans="1:14" ht="6.6" customHeight="1" x14ac:dyDescent="0.2">
      <c r="A40" s="37"/>
      <c r="B40" s="38"/>
      <c r="C40" s="39"/>
      <c r="D40" s="40"/>
      <c r="E40" s="41"/>
      <c r="F40" s="38"/>
      <c r="G40" s="39"/>
      <c r="H40" s="40"/>
      <c r="I40" s="41"/>
      <c r="J40" s="38"/>
      <c r="K40" s="39"/>
      <c r="L40" s="40"/>
      <c r="M40" s="41"/>
      <c r="N40" s="23"/>
    </row>
    <row r="41" spans="1:14" ht="12.75" customHeight="1" x14ac:dyDescent="0.2">
      <c r="A41" s="42" t="s">
        <v>10</v>
      </c>
      <c r="C41" s="39" t="s">
        <v>11</v>
      </c>
      <c r="D41" s="43">
        <v>3.3271778980415535E-2</v>
      </c>
      <c r="E41" s="41"/>
      <c r="F41" s="38"/>
      <c r="G41" s="39" t="s">
        <v>12</v>
      </c>
      <c r="H41" s="43">
        <v>6.2237211283106213E-2</v>
      </c>
      <c r="I41" s="41"/>
      <c r="J41" s="38"/>
      <c r="K41" s="39" t="s">
        <v>13</v>
      </c>
      <c r="L41" s="43">
        <v>8.3152461911195449E-2</v>
      </c>
      <c r="M41" s="41"/>
      <c r="N41" s="23"/>
    </row>
    <row r="42" spans="1:14" s="44" customFormat="1" ht="11.25" x14ac:dyDescent="0.2">
      <c r="B42" s="45"/>
      <c r="C42" s="45"/>
      <c r="D42" s="45"/>
      <c r="H42" s="45"/>
      <c r="I42" s="45"/>
      <c r="J42" s="45"/>
      <c r="L42" s="46"/>
    </row>
    <row r="43" spans="1:14" x14ac:dyDescent="0.2">
      <c r="A43" s="47" t="s">
        <v>14</v>
      </c>
      <c r="B43" s="48">
        <v>29</v>
      </c>
    </row>
    <row r="44" spans="1:14" x14ac:dyDescent="0.2">
      <c r="A44" s="47" t="s">
        <v>15</v>
      </c>
      <c r="B44" s="49" t="s">
        <v>20</v>
      </c>
      <c r="C44" s="50"/>
      <c r="D44" s="51"/>
      <c r="E44" s="52"/>
      <c r="F44" s="53"/>
      <c r="G44" s="54"/>
      <c r="J44" s="55" t="s">
        <v>16</v>
      </c>
      <c r="K44" s="56" t="s">
        <v>17</v>
      </c>
      <c r="L44" s="57" t="s">
        <v>21</v>
      </c>
      <c r="M44" s="57" t="s">
        <v>22</v>
      </c>
    </row>
    <row r="45" spans="1:14" ht="6.6" customHeight="1" x14ac:dyDescent="0.2"/>
    <row r="46" spans="1:14" x14ac:dyDescent="0.2">
      <c r="A46" s="44" t="s">
        <v>18</v>
      </c>
    </row>
    <row r="47" spans="1:14" x14ac:dyDescent="0.2">
      <c r="A47" s="44" t="s">
        <v>19</v>
      </c>
    </row>
    <row r="58" spans="2:6" x14ac:dyDescent="0.2">
      <c r="B58" s="58"/>
      <c r="C58" s="58"/>
      <c r="D58" s="58"/>
      <c r="E58" s="58"/>
      <c r="F58" s="58"/>
    </row>
  </sheetData>
  <printOptions horizontalCentered="1"/>
  <pageMargins left="0.5" right="0.5" top="0.75" bottom="0.25" header="0" footer="0"/>
  <pageSetup scale="83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7:R61"/>
  <sheetViews>
    <sheetView topLeftCell="A14" zoomScale="80" zoomScaleNormal="80" workbookViewId="0">
      <selection sqref="A1:R61"/>
    </sheetView>
  </sheetViews>
  <sheetFormatPr defaultRowHeight="12.75" x14ac:dyDescent="0.2"/>
  <cols>
    <col min="1" max="1" width="13.85546875" customWidth="1"/>
    <col min="2" max="2" width="18.140625" customWidth="1"/>
    <col min="3" max="3" width="14" customWidth="1"/>
    <col min="4" max="4" width="16.140625" customWidth="1"/>
    <col min="5" max="5" width="16.140625" bestFit="1" customWidth="1"/>
    <col min="6" max="6" width="8.28515625" customWidth="1"/>
    <col min="7" max="7" width="13.7109375" customWidth="1"/>
    <col min="8" max="8" width="15.140625" customWidth="1"/>
    <col min="9" max="9" width="15.28515625" customWidth="1"/>
    <col min="10" max="10" width="9.28515625" customWidth="1"/>
    <col min="11" max="11" width="15.28515625" customWidth="1"/>
    <col min="12" max="12" width="10.7109375" customWidth="1"/>
    <col min="13" max="13" width="12.28515625" customWidth="1"/>
    <col min="14" max="14" width="15.140625" customWidth="1"/>
    <col min="15" max="15" width="12.5703125" customWidth="1"/>
    <col min="16" max="16" width="8.28515625" bestFit="1" customWidth="1"/>
    <col min="17" max="17" width="8.7109375" bestFit="1" customWidth="1"/>
    <col min="18" max="18" width="16.42578125" bestFit="1" customWidth="1"/>
  </cols>
  <sheetData>
    <row r="27" spans="1:18" ht="7.15" customHeight="1" thickBot="1" x14ac:dyDescent="0.25"/>
    <row r="28" spans="1:18" ht="14.25" x14ac:dyDescent="0.2">
      <c r="A28" s="1"/>
      <c r="B28" s="2" t="s">
        <v>1</v>
      </c>
      <c r="C28" s="5"/>
      <c r="D28" s="5"/>
      <c r="E28" s="3"/>
      <c r="F28" s="3"/>
      <c r="G28" s="4"/>
      <c r="H28" s="5" t="s">
        <v>2</v>
      </c>
      <c r="I28" s="5"/>
      <c r="J28" s="5"/>
      <c r="K28" s="3"/>
      <c r="L28" s="3"/>
      <c r="M28" s="6"/>
    </row>
    <row r="29" spans="1:18" x14ac:dyDescent="0.2">
      <c r="A29" s="59" t="s">
        <v>0</v>
      </c>
      <c r="B29" s="60"/>
      <c r="C29" s="61" t="s">
        <v>23</v>
      </c>
      <c r="D29" s="62" t="s">
        <v>24</v>
      </c>
      <c r="E29" s="63" t="s">
        <v>25</v>
      </c>
      <c r="F29" s="64" t="s">
        <v>7</v>
      </c>
      <c r="G29" s="65" t="s">
        <v>8</v>
      </c>
      <c r="H29" s="61"/>
      <c r="I29" s="61" t="s">
        <v>23</v>
      </c>
      <c r="J29" s="62" t="s">
        <v>24</v>
      </c>
      <c r="K29" s="63" t="s">
        <v>25</v>
      </c>
      <c r="L29" s="64" t="s">
        <v>7</v>
      </c>
      <c r="M29" s="66" t="s">
        <v>8</v>
      </c>
    </row>
    <row r="30" spans="1:18" ht="13.5" thickBot="1" x14ac:dyDescent="0.25">
      <c r="A30" s="8" t="s">
        <v>4</v>
      </c>
      <c r="B30" s="9" t="s">
        <v>5</v>
      </c>
      <c r="C30" s="12" t="s">
        <v>5</v>
      </c>
      <c r="D30" s="67" t="s">
        <v>26</v>
      </c>
      <c r="E30" s="10" t="s">
        <v>27</v>
      </c>
      <c r="F30" s="68" t="s">
        <v>28</v>
      </c>
      <c r="G30" s="11" t="s">
        <v>28</v>
      </c>
      <c r="H30" s="12" t="s">
        <v>5</v>
      </c>
      <c r="I30" s="12" t="s">
        <v>5</v>
      </c>
      <c r="J30" s="67" t="s">
        <v>26</v>
      </c>
      <c r="K30" s="10" t="s">
        <v>27</v>
      </c>
      <c r="L30" s="68" t="s">
        <v>28</v>
      </c>
      <c r="M30" s="13" t="s">
        <v>28</v>
      </c>
    </row>
    <row r="31" spans="1:18" x14ac:dyDescent="0.2">
      <c r="A31" s="15">
        <v>2003</v>
      </c>
      <c r="B31" s="69">
        <v>22928057</v>
      </c>
      <c r="C31" s="70">
        <v>486392</v>
      </c>
      <c r="D31" s="71">
        <v>2.1213834211943908E-2</v>
      </c>
      <c r="E31" s="24">
        <v>22441665</v>
      </c>
      <c r="F31" s="72" t="s">
        <v>9</v>
      </c>
      <c r="G31" s="18" t="s">
        <v>9</v>
      </c>
      <c r="H31" s="19">
        <v>4212140</v>
      </c>
      <c r="I31" s="70">
        <v>54993</v>
      </c>
      <c r="J31" s="71">
        <v>1.3055833851676345E-2</v>
      </c>
      <c r="K31" s="24">
        <v>4157147</v>
      </c>
      <c r="L31" s="72" t="s">
        <v>9</v>
      </c>
      <c r="M31" s="73" t="s">
        <v>9</v>
      </c>
      <c r="R31" s="23"/>
    </row>
    <row r="32" spans="1:18" x14ac:dyDescent="0.2">
      <c r="A32" s="15">
        <v>2004</v>
      </c>
      <c r="B32" s="69">
        <v>25114724</v>
      </c>
      <c r="C32" s="70">
        <v>689757</v>
      </c>
      <c r="D32" s="71">
        <v>2.7464247666030492E-2</v>
      </c>
      <c r="E32" s="24">
        <v>24424967</v>
      </c>
      <c r="F32" s="74">
        <v>6.5287259186419505E-2</v>
      </c>
      <c r="G32" s="75">
        <v>6.5287259186419505E-2</v>
      </c>
      <c r="H32" s="19">
        <v>4405633</v>
      </c>
      <c r="I32" s="70">
        <v>71729</v>
      </c>
      <c r="J32" s="71">
        <v>1.6281201815947902E-2</v>
      </c>
      <c r="K32" s="24">
        <v>4333904</v>
      </c>
      <c r="L32" s="74">
        <v>2.8907871058416863E-2</v>
      </c>
      <c r="M32" s="76">
        <v>2.8907871058416863E-2</v>
      </c>
      <c r="R32" s="23"/>
    </row>
    <row r="33" spans="1:18" x14ac:dyDescent="0.2">
      <c r="A33" s="29">
        <v>2005</v>
      </c>
      <c r="B33" s="69">
        <v>25268524</v>
      </c>
      <c r="C33" s="70">
        <v>379071</v>
      </c>
      <c r="D33" s="71">
        <v>1.5001707262363247E-2</v>
      </c>
      <c r="E33" s="24">
        <v>24889453</v>
      </c>
      <c r="F33" s="74">
        <v>-8.9696785041316791E-3</v>
      </c>
      <c r="G33" s="75">
        <v>8.5545670093196302E-2</v>
      </c>
      <c r="H33" s="19">
        <v>4478917</v>
      </c>
      <c r="I33" s="70">
        <v>62282</v>
      </c>
      <c r="J33" s="71">
        <v>1.3905593695976059E-2</v>
      </c>
      <c r="K33" s="24">
        <v>4416635</v>
      </c>
      <c r="L33" s="74">
        <v>2.4972574883109873E-3</v>
      </c>
      <c r="M33" s="76">
        <v>4.854895611256986E-2</v>
      </c>
      <c r="R33" s="23"/>
    </row>
    <row r="34" spans="1:18" x14ac:dyDescent="0.2">
      <c r="A34" s="29">
        <v>2006</v>
      </c>
      <c r="B34" s="69">
        <v>24987952</v>
      </c>
      <c r="C34" s="70">
        <v>184840</v>
      </c>
      <c r="D34" s="71">
        <v>7.3971648416805025E-3</v>
      </c>
      <c r="E34" s="24">
        <v>24803112</v>
      </c>
      <c r="F34" s="74">
        <v>-1.8418646059421596E-2</v>
      </c>
      <c r="G34" s="75">
        <v>8.1779934514293995E-2</v>
      </c>
      <c r="H34" s="19">
        <v>4503970</v>
      </c>
      <c r="I34" s="70">
        <v>8560</v>
      </c>
      <c r="J34" s="71">
        <v>1.9005455187312526E-3</v>
      </c>
      <c r="K34" s="24">
        <v>4495410</v>
      </c>
      <c r="L34" s="74">
        <v>3.682363392757669E-3</v>
      </c>
      <c r="M34" s="76">
        <v>6.7250851111311585E-2</v>
      </c>
      <c r="R34" s="23"/>
    </row>
    <row r="35" spans="1:18" x14ac:dyDescent="0.2">
      <c r="A35" s="29">
        <v>2007</v>
      </c>
      <c r="B35" s="69">
        <v>24582162</v>
      </c>
      <c r="C35" s="70">
        <v>171898</v>
      </c>
      <c r="D35" s="71">
        <v>6.992794205814769E-3</v>
      </c>
      <c r="E35" s="24">
        <v>24410264</v>
      </c>
      <c r="F35" s="74">
        <v>-2.3118661345275515E-2</v>
      </c>
      <c r="G35" s="75">
        <v>6.464599246242278E-2</v>
      </c>
      <c r="H35" s="19">
        <v>4411689</v>
      </c>
      <c r="I35" s="70">
        <v>1123</v>
      </c>
      <c r="J35" s="71">
        <v>2.5455103476242319E-4</v>
      </c>
      <c r="K35" s="24">
        <v>4410566</v>
      </c>
      <c r="L35" s="74">
        <v>-2.0738148788735273E-2</v>
      </c>
      <c r="M35" s="76">
        <v>4.710812081269853E-2</v>
      </c>
      <c r="R35" s="23"/>
    </row>
    <row r="36" spans="1:18" x14ac:dyDescent="0.2">
      <c r="A36" s="29">
        <v>2008</v>
      </c>
      <c r="B36" s="69">
        <v>24457288</v>
      </c>
      <c r="C36" s="70">
        <v>140633</v>
      </c>
      <c r="D36" s="71">
        <v>5.7501469500624925E-3</v>
      </c>
      <c r="E36" s="24">
        <v>24316655</v>
      </c>
      <c r="F36" s="74">
        <v>-1.0800799376393338E-2</v>
      </c>
      <c r="G36" s="75">
        <v>6.0563265347778922E-2</v>
      </c>
      <c r="H36" s="19">
        <v>4698970</v>
      </c>
      <c r="I36" s="70">
        <v>268278</v>
      </c>
      <c r="J36" s="71">
        <v>5.7092937388406394E-2</v>
      </c>
      <c r="K36" s="24">
        <v>4430692</v>
      </c>
      <c r="L36" s="74">
        <v>4.3074205820038541E-3</v>
      </c>
      <c r="M36" s="76">
        <v>5.1886214608251387E-2</v>
      </c>
      <c r="R36" s="23"/>
    </row>
    <row r="37" spans="1:18" ht="13.5" customHeight="1" x14ac:dyDescent="0.2">
      <c r="A37" s="29">
        <v>2009</v>
      </c>
      <c r="B37" s="19">
        <v>26256625</v>
      </c>
      <c r="C37" s="70">
        <v>227986</v>
      </c>
      <c r="D37" s="71">
        <v>8.6829895312135509E-3</v>
      </c>
      <c r="E37" s="24">
        <v>26028639</v>
      </c>
      <c r="F37" s="74">
        <v>6.4248783430117029E-2</v>
      </c>
      <c r="G37" s="75">
        <v>0.13523090944862881</v>
      </c>
      <c r="H37" s="19">
        <v>5212640</v>
      </c>
      <c r="I37" s="70">
        <v>526073</v>
      </c>
      <c r="J37" s="71">
        <v>0.10092256514932932</v>
      </c>
      <c r="K37" s="24">
        <v>4686567</v>
      </c>
      <c r="L37" s="74">
        <v>-2.6395146170330947E-3</v>
      </c>
      <c r="M37" s="76">
        <v>0.11263324580854388</v>
      </c>
      <c r="R37" s="23"/>
    </row>
    <row r="38" spans="1:18" ht="13.5" customHeight="1" x14ac:dyDescent="0.2">
      <c r="A38" s="29">
        <v>2010</v>
      </c>
      <c r="B38" s="77">
        <v>26726997</v>
      </c>
      <c r="C38" s="78">
        <v>149150</v>
      </c>
      <c r="D38" s="79">
        <v>5.5804997471283436E-3</v>
      </c>
      <c r="E38" s="80">
        <v>26577847</v>
      </c>
      <c r="F38" s="74">
        <v>1.2233940957758279E-2</v>
      </c>
      <c r="G38" s="75">
        <v>0.15918444375814314</v>
      </c>
      <c r="H38" s="77">
        <v>5414076</v>
      </c>
      <c r="I38" s="78">
        <v>281036</v>
      </c>
      <c r="J38" s="79">
        <v>5.1908395818603209E-2</v>
      </c>
      <c r="K38" s="80">
        <v>5133040</v>
      </c>
      <c r="L38" s="74">
        <v>-1.5270573068541085E-2</v>
      </c>
      <c r="M38" s="76">
        <v>0.21862996006780402</v>
      </c>
      <c r="R38" s="23"/>
    </row>
    <row r="39" spans="1:18" ht="13.5" customHeight="1" x14ac:dyDescent="0.2">
      <c r="A39" s="29">
        <v>2011</v>
      </c>
      <c r="B39" s="77">
        <v>27199662</v>
      </c>
      <c r="C39" s="78">
        <v>428124</v>
      </c>
      <c r="D39" s="79">
        <v>1.5740048534426641E-2</v>
      </c>
      <c r="E39" s="80">
        <v>26771538</v>
      </c>
      <c r="F39" s="81">
        <v>1.6665171923355251E-3</v>
      </c>
      <c r="G39" s="75">
        <v>0.16763221584803284</v>
      </c>
      <c r="H39" s="77">
        <v>5792723</v>
      </c>
      <c r="I39" s="78">
        <v>401844</v>
      </c>
      <c r="J39" s="79">
        <v>6.937048431281799E-2</v>
      </c>
      <c r="K39" s="80">
        <v>5390879</v>
      </c>
      <c r="L39" s="81">
        <v>-4.2845722889741479E-3</v>
      </c>
      <c r="M39" s="76">
        <v>0.27984326256962017</v>
      </c>
      <c r="R39" s="23"/>
    </row>
    <row r="40" spans="1:18" ht="13.5" customHeight="1" x14ac:dyDescent="0.2">
      <c r="A40" s="29">
        <v>2012</v>
      </c>
      <c r="B40" s="77">
        <v>28085099</v>
      </c>
      <c r="C40" s="78">
        <v>355540</v>
      </c>
      <c r="D40" s="79">
        <v>1.2659382115761814E-2</v>
      </c>
      <c r="E40" s="80">
        <v>27729559</v>
      </c>
      <c r="F40" s="81">
        <v>1.9481749442327629E-2</v>
      </c>
      <c r="G40" s="75">
        <v>0.20941600066678132</v>
      </c>
      <c r="H40" s="77">
        <v>7150312</v>
      </c>
      <c r="I40" s="78">
        <v>1077467</v>
      </c>
      <c r="J40" s="79">
        <v>0.15068810983352895</v>
      </c>
      <c r="K40" s="80">
        <v>6072845</v>
      </c>
      <c r="L40" s="81">
        <v>4.835756862532526E-2</v>
      </c>
      <c r="M40" s="76">
        <v>0.44174813752629305</v>
      </c>
      <c r="R40" s="23"/>
    </row>
    <row r="41" spans="1:18" ht="13.5" customHeight="1" x14ac:dyDescent="0.2">
      <c r="A41" s="29">
        <v>2013</v>
      </c>
      <c r="B41" s="77">
        <v>31806284</v>
      </c>
      <c r="C41" s="78">
        <v>250644</v>
      </c>
      <c r="D41" s="79">
        <v>7.8803295600328536E-3</v>
      </c>
      <c r="E41" s="80">
        <v>31555640</v>
      </c>
      <c r="F41" s="81">
        <v>0.12357232566636137</v>
      </c>
      <c r="G41" s="75">
        <v>0.37628932098345708</v>
      </c>
      <c r="H41" s="77">
        <v>7704029</v>
      </c>
      <c r="I41" s="78">
        <v>108672</v>
      </c>
      <c r="J41" s="79">
        <v>1.410586590471038E-2</v>
      </c>
      <c r="K41" s="80">
        <v>7595357</v>
      </c>
      <c r="L41" s="81">
        <v>6.2241339958312311E-2</v>
      </c>
      <c r="M41" s="76">
        <v>0.80320620872050785</v>
      </c>
      <c r="R41" s="23"/>
    </row>
    <row r="42" spans="1:18" ht="13.5" thickBot="1" x14ac:dyDescent="0.25">
      <c r="A42" s="82" t="s">
        <v>29</v>
      </c>
      <c r="B42" s="83">
        <v>3.3271778980415535E-2</v>
      </c>
      <c r="C42" s="84"/>
      <c r="D42" s="85"/>
      <c r="E42" s="85" t="s">
        <v>30</v>
      </c>
      <c r="F42" s="86">
        <v>2.2518279059009723E-2</v>
      </c>
      <c r="G42" s="87"/>
      <c r="H42" s="83">
        <v>6.2237211283106213E-2</v>
      </c>
      <c r="I42" s="84"/>
      <c r="J42" s="88"/>
      <c r="K42" s="89" t="s">
        <v>31</v>
      </c>
      <c r="L42" s="86">
        <v>1.0706101234184334E-2</v>
      </c>
      <c r="M42" s="90"/>
      <c r="R42" s="23"/>
    </row>
    <row r="43" spans="1:18" ht="6" customHeight="1" thickBot="1" x14ac:dyDescent="0.25">
      <c r="A43" s="91"/>
      <c r="B43" s="92"/>
      <c r="C43" s="38"/>
      <c r="D43" s="38"/>
      <c r="E43" s="39"/>
      <c r="F43" s="40"/>
      <c r="G43" s="41"/>
      <c r="H43" s="38"/>
      <c r="I43" s="38"/>
      <c r="J43" s="38"/>
      <c r="K43" s="39"/>
      <c r="L43" s="40"/>
      <c r="M43" s="41"/>
      <c r="R43" s="23"/>
    </row>
    <row r="44" spans="1:18" ht="14.25" x14ac:dyDescent="0.2">
      <c r="A44" s="1"/>
      <c r="B44" s="93" t="s">
        <v>32</v>
      </c>
      <c r="C44" s="3"/>
      <c r="D44" s="94"/>
      <c r="E44" s="94"/>
      <c r="F44" s="94"/>
      <c r="G44" s="94"/>
      <c r="H44" s="3"/>
      <c r="I44" s="95"/>
      <c r="L44" s="38"/>
      <c r="M44" s="39"/>
      <c r="N44" s="40"/>
      <c r="O44" s="39"/>
      <c r="P44" s="40"/>
      <c r="Q44" s="41"/>
      <c r="R44" s="23"/>
    </row>
    <row r="45" spans="1:18" x14ac:dyDescent="0.2">
      <c r="A45" s="59" t="s">
        <v>0</v>
      </c>
      <c r="B45" s="96" t="s">
        <v>33</v>
      </c>
      <c r="C45" s="62" t="s">
        <v>34</v>
      </c>
      <c r="D45" s="97" t="s">
        <v>35</v>
      </c>
      <c r="E45" s="97" t="s">
        <v>23</v>
      </c>
      <c r="F45" s="62" t="s">
        <v>24</v>
      </c>
      <c r="G45" s="63" t="s">
        <v>25</v>
      </c>
      <c r="H45" s="63" t="s">
        <v>7</v>
      </c>
      <c r="I45" s="98" t="s">
        <v>8</v>
      </c>
      <c r="N45" s="40"/>
      <c r="O45" s="39"/>
      <c r="P45" s="40"/>
      <c r="Q45" s="41"/>
      <c r="R45" s="23"/>
    </row>
    <row r="46" spans="1:18" ht="13.5" thickBot="1" x14ac:dyDescent="0.25">
      <c r="A46" s="8" t="s">
        <v>4</v>
      </c>
      <c r="B46" s="99" t="s">
        <v>36</v>
      </c>
      <c r="C46" s="67" t="s">
        <v>37</v>
      </c>
      <c r="D46" s="12" t="s">
        <v>38</v>
      </c>
      <c r="E46" s="12" t="s">
        <v>5</v>
      </c>
      <c r="F46" s="67" t="s">
        <v>26</v>
      </c>
      <c r="G46" s="10" t="s">
        <v>27</v>
      </c>
      <c r="H46" s="10" t="s">
        <v>28</v>
      </c>
      <c r="I46" s="100" t="s">
        <v>28</v>
      </c>
      <c r="N46" s="40"/>
      <c r="O46" s="39"/>
      <c r="P46" s="40"/>
      <c r="Q46" s="41"/>
      <c r="R46" s="23"/>
    </row>
    <row r="47" spans="1:18" x14ac:dyDescent="0.2">
      <c r="A47" s="15">
        <v>2003</v>
      </c>
      <c r="B47" s="69">
        <v>13691401</v>
      </c>
      <c r="C47" s="24">
        <v>10063905</v>
      </c>
      <c r="D47" s="101">
        <v>23755306</v>
      </c>
      <c r="E47" s="24">
        <v>358497</v>
      </c>
      <c r="F47" s="71">
        <v>1.5091238984671468E-2</v>
      </c>
      <c r="G47" s="24">
        <v>23396809</v>
      </c>
      <c r="H47" s="72" t="s">
        <v>9</v>
      </c>
      <c r="I47" s="102" t="s">
        <v>9</v>
      </c>
      <c r="N47" s="40"/>
      <c r="O47" s="39"/>
      <c r="P47" s="40"/>
      <c r="Q47" s="41"/>
      <c r="R47" s="23"/>
    </row>
    <row r="48" spans="1:18" x14ac:dyDescent="0.2">
      <c r="A48" s="15">
        <v>2004</v>
      </c>
      <c r="B48" s="69">
        <v>13798307</v>
      </c>
      <c r="C48" s="24">
        <v>10434528</v>
      </c>
      <c r="D48" s="101">
        <v>24232835</v>
      </c>
      <c r="E48" s="24">
        <v>650336</v>
      </c>
      <c r="F48" s="71">
        <v>2.6836975533403334E-2</v>
      </c>
      <c r="G48" s="24">
        <v>23582499</v>
      </c>
      <c r="H48" s="74">
        <v>-7.2744590198080376E-3</v>
      </c>
      <c r="I48" s="103">
        <v>-7.2744590198080376E-3</v>
      </c>
      <c r="K48" s="104" t="s">
        <v>39</v>
      </c>
      <c r="L48" s="38"/>
      <c r="M48" s="39"/>
      <c r="N48" s="40"/>
      <c r="O48" s="39"/>
      <c r="P48" s="40"/>
      <c r="Q48" s="41"/>
      <c r="R48" s="23"/>
    </row>
    <row r="49" spans="1:18" x14ac:dyDescent="0.2">
      <c r="A49" s="29">
        <v>2005</v>
      </c>
      <c r="B49" s="69">
        <v>14110595</v>
      </c>
      <c r="C49" s="24">
        <v>10551470</v>
      </c>
      <c r="D49" s="101">
        <v>24662065</v>
      </c>
      <c r="E49" s="24">
        <v>413983</v>
      </c>
      <c r="F49" s="71">
        <v>1.6786226133132E-2</v>
      </c>
      <c r="G49" s="24">
        <v>24248082</v>
      </c>
      <c r="H49" s="74">
        <v>6.2918762909911288E-4</v>
      </c>
      <c r="I49" s="103">
        <v>2.0743828768191832E-2</v>
      </c>
      <c r="K49" s="105" t="s">
        <v>40</v>
      </c>
      <c r="L49" s="38"/>
      <c r="M49" s="39"/>
      <c r="N49" s="40"/>
      <c r="O49" s="39"/>
      <c r="P49" s="40"/>
      <c r="Q49" s="41"/>
      <c r="R49" s="23"/>
    </row>
    <row r="50" spans="1:18" x14ac:dyDescent="0.2">
      <c r="A50" s="29">
        <v>2006</v>
      </c>
      <c r="B50" s="69">
        <v>15560729</v>
      </c>
      <c r="C50" s="24">
        <v>10047075</v>
      </c>
      <c r="D50" s="101">
        <v>25607804</v>
      </c>
      <c r="E50" s="24">
        <v>213729</v>
      </c>
      <c r="F50" s="71">
        <v>8.3462447619483491E-3</v>
      </c>
      <c r="G50" s="24">
        <v>25394075</v>
      </c>
      <c r="H50" s="74">
        <v>2.9681618307307193E-2</v>
      </c>
      <c r="I50" s="103">
        <v>6.8985387938172632E-2</v>
      </c>
      <c r="K50" s="106" t="s">
        <v>41</v>
      </c>
      <c r="L50" s="38"/>
      <c r="N50" s="40"/>
      <c r="O50" s="39"/>
      <c r="P50" s="40"/>
      <c r="Q50" s="41"/>
      <c r="R50" s="23"/>
    </row>
    <row r="51" spans="1:18" x14ac:dyDescent="0.2">
      <c r="A51" s="29">
        <v>2007</v>
      </c>
      <c r="B51" s="69">
        <v>15615454</v>
      </c>
      <c r="C51" s="24">
        <v>8340972</v>
      </c>
      <c r="D51" s="101">
        <v>23956426</v>
      </c>
      <c r="E51" s="24">
        <v>294536</v>
      </c>
      <c r="F51" s="71">
        <v>1.2294655304593432E-2</v>
      </c>
      <c r="G51" s="24">
        <v>23661890</v>
      </c>
      <c r="H51" s="74">
        <v>-7.5989100822546132E-2</v>
      </c>
      <c r="I51" s="103">
        <v>-3.9324267176352092E-3</v>
      </c>
      <c r="K51" s="104" t="s">
        <v>42</v>
      </c>
      <c r="L51" s="38"/>
      <c r="N51" s="40"/>
      <c r="O51" s="39"/>
      <c r="P51" s="40"/>
      <c r="Q51" s="41"/>
      <c r="R51" s="23"/>
    </row>
    <row r="52" spans="1:18" x14ac:dyDescent="0.2">
      <c r="A52" s="29">
        <v>2008</v>
      </c>
      <c r="B52" s="69">
        <v>15932366</v>
      </c>
      <c r="C52" s="24">
        <v>8694846</v>
      </c>
      <c r="D52" s="101">
        <v>24627212</v>
      </c>
      <c r="E52" s="24">
        <v>554227</v>
      </c>
      <c r="F52" s="71">
        <v>2.2504658667818346E-2</v>
      </c>
      <c r="G52" s="24">
        <v>24072985</v>
      </c>
      <c r="H52" s="74">
        <v>4.865458645626021E-3</v>
      </c>
      <c r="I52" s="103">
        <v>1.3372970232418811E-2</v>
      </c>
      <c r="K52" s="104" t="s">
        <v>43</v>
      </c>
      <c r="L52" s="38"/>
      <c r="N52" s="40"/>
      <c r="O52" s="39"/>
      <c r="P52" s="40"/>
      <c r="Q52" s="41"/>
      <c r="R52" s="23"/>
    </row>
    <row r="53" spans="1:18" x14ac:dyDescent="0.2">
      <c r="A53" s="29">
        <v>2009</v>
      </c>
      <c r="B53" s="107">
        <v>16048405</v>
      </c>
      <c r="C53" s="80">
        <v>9223013</v>
      </c>
      <c r="D53" s="108">
        <v>25271418</v>
      </c>
      <c r="E53" s="80">
        <v>652882</v>
      </c>
      <c r="F53" s="71">
        <v>2.5834798822923194E-2</v>
      </c>
      <c r="G53" s="24">
        <v>24618536</v>
      </c>
      <c r="H53" s="74">
        <v>-3.5229322750784784E-4</v>
      </c>
      <c r="I53" s="103">
        <v>3.6338407932947694E-2</v>
      </c>
      <c r="K53" s="104" t="s">
        <v>44</v>
      </c>
      <c r="L53" s="38"/>
      <c r="N53" s="40"/>
      <c r="O53" s="39"/>
      <c r="P53" s="40"/>
      <c r="Q53" s="41"/>
      <c r="R53" s="23"/>
    </row>
    <row r="54" spans="1:18" x14ac:dyDescent="0.2">
      <c r="A54" s="29">
        <v>2010</v>
      </c>
      <c r="B54" s="107">
        <v>16258182</v>
      </c>
      <c r="C54" s="80">
        <v>9567124</v>
      </c>
      <c r="D54" s="108">
        <v>25825306</v>
      </c>
      <c r="E54" s="80">
        <v>422461</v>
      </c>
      <c r="F54" s="79">
        <v>1.63584121713795E-2</v>
      </c>
      <c r="G54" s="80">
        <v>25402845</v>
      </c>
      <c r="H54" s="81">
        <v>5.200618342825084E-3</v>
      </c>
      <c r="I54" s="103">
        <v>6.935456861721756E-2</v>
      </c>
      <c r="K54" s="104" t="s">
        <v>45</v>
      </c>
      <c r="L54" s="38"/>
      <c r="N54" s="40"/>
      <c r="O54" s="39"/>
      <c r="P54" s="40"/>
      <c r="Q54" s="41"/>
      <c r="R54" s="23"/>
    </row>
    <row r="55" spans="1:18" x14ac:dyDescent="0.2">
      <c r="A55" s="29">
        <v>2011</v>
      </c>
      <c r="B55" s="107">
        <v>16417535</v>
      </c>
      <c r="C55" s="80">
        <v>10555243</v>
      </c>
      <c r="D55" s="108">
        <v>26972778</v>
      </c>
      <c r="E55" s="80">
        <v>768101</v>
      </c>
      <c r="F55" s="79">
        <v>2.8476896224778923E-2</v>
      </c>
      <c r="G55" s="80">
        <v>26204677</v>
      </c>
      <c r="H55" s="81">
        <v>1.4689893703486031E-2</v>
      </c>
      <c r="I55" s="103">
        <v>0.10310837502998277</v>
      </c>
      <c r="K55" s="104" t="s">
        <v>46</v>
      </c>
      <c r="L55" s="38"/>
      <c r="N55" s="40"/>
      <c r="O55" s="39"/>
      <c r="P55" s="40"/>
      <c r="Q55" s="41"/>
      <c r="R55" s="23"/>
    </row>
    <row r="56" spans="1:18" x14ac:dyDescent="0.2">
      <c r="A56" s="29">
        <v>2012</v>
      </c>
      <c r="B56" s="107">
        <v>16574407</v>
      </c>
      <c r="C56" s="80">
        <v>11784552</v>
      </c>
      <c r="D56" s="108">
        <v>28358959</v>
      </c>
      <c r="E56" s="80">
        <v>1255462</v>
      </c>
      <c r="F56" s="79">
        <v>4.4270383831790161E-2</v>
      </c>
      <c r="G56" s="80">
        <v>27103497</v>
      </c>
      <c r="H56" s="81">
        <v>4.8463306226744609E-3</v>
      </c>
      <c r="I56" s="103">
        <v>0.14094497456694516</v>
      </c>
      <c r="K56" s="104" t="s">
        <v>47</v>
      </c>
      <c r="L56" s="38"/>
      <c r="N56" s="40"/>
      <c r="O56" s="39"/>
      <c r="P56" s="40"/>
      <c r="Q56" s="41"/>
      <c r="R56" s="23"/>
    </row>
    <row r="57" spans="1:18" x14ac:dyDescent="0.2">
      <c r="A57" s="29">
        <v>2013</v>
      </c>
      <c r="B57" s="107">
        <v>16963297</v>
      </c>
      <c r="C57" s="80">
        <v>12394376</v>
      </c>
      <c r="D57" s="108">
        <v>29357673</v>
      </c>
      <c r="E57" s="80">
        <v>1259034</v>
      </c>
      <c r="F57" s="79">
        <v>4.2886028466901989E-2</v>
      </c>
      <c r="G57" s="80">
        <v>28098639</v>
      </c>
      <c r="H57" s="81">
        <v>-9.1794624760379948E-3</v>
      </c>
      <c r="I57" s="103">
        <v>0.18283633138634375</v>
      </c>
      <c r="K57" s="106" t="s">
        <v>48</v>
      </c>
      <c r="L57" s="38"/>
      <c r="N57" s="40"/>
      <c r="O57" s="39"/>
      <c r="P57" s="40"/>
      <c r="Q57" s="41"/>
      <c r="R57" s="23"/>
    </row>
    <row r="58" spans="1:18" ht="13.5" thickBot="1" x14ac:dyDescent="0.25">
      <c r="A58" s="82" t="s">
        <v>29</v>
      </c>
      <c r="B58" s="109">
        <v>2.1659640823835327E-2</v>
      </c>
      <c r="C58" s="110">
        <v>2.1047188564494907E-2</v>
      </c>
      <c r="D58" s="110">
        <v>2.1400579618462562E-2</v>
      </c>
      <c r="E58" s="84"/>
      <c r="F58" s="88"/>
      <c r="G58" s="89" t="s">
        <v>49</v>
      </c>
      <c r="H58" s="111">
        <v>-3.2882208294882113E-3</v>
      </c>
      <c r="I58" s="112"/>
      <c r="J58" s="44"/>
      <c r="K58" s="104" t="s">
        <v>50</v>
      </c>
      <c r="L58" s="38"/>
      <c r="N58" s="40"/>
      <c r="O58" s="39"/>
      <c r="P58" s="40"/>
      <c r="Q58" s="41"/>
      <c r="R58" s="23"/>
    </row>
    <row r="59" spans="1:18" s="44" customFormat="1" ht="5.45" customHeight="1" x14ac:dyDescent="0.2">
      <c r="L59" s="38"/>
      <c r="M59"/>
    </row>
    <row r="60" spans="1:18" x14ac:dyDescent="0.2">
      <c r="A60" s="47" t="s">
        <v>14</v>
      </c>
      <c r="B60" s="48">
        <v>29</v>
      </c>
      <c r="C60" s="97"/>
      <c r="E60" s="46"/>
      <c r="F60" s="113"/>
      <c r="G60" s="114"/>
      <c r="J60" s="44"/>
      <c r="K60" s="44" t="s">
        <v>51</v>
      </c>
      <c r="L60" s="38"/>
    </row>
    <row r="61" spans="1:18" x14ac:dyDescent="0.2">
      <c r="A61" s="47" t="s">
        <v>15</v>
      </c>
      <c r="B61" s="49" t="s">
        <v>20</v>
      </c>
      <c r="C61" s="115"/>
      <c r="D61" s="51"/>
      <c r="E61" s="52"/>
      <c r="G61" s="53"/>
      <c r="H61" s="54"/>
      <c r="I61" s="55" t="s">
        <v>52</v>
      </c>
      <c r="J61" s="44"/>
      <c r="K61" s="44" t="s">
        <v>53</v>
      </c>
      <c r="L61" s="38"/>
      <c r="O61" s="113"/>
    </row>
  </sheetData>
  <printOptions horizontalCentered="1"/>
  <pageMargins left="0.25" right="0.25" top="0.75" bottom="0.25" header="0" footer="0"/>
  <pageSetup scale="71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5:Q64"/>
  <sheetViews>
    <sheetView tabSelected="1" topLeftCell="A25" zoomScale="80" zoomScaleNormal="80" workbookViewId="0">
      <selection activeCell="E55" sqref="E55"/>
    </sheetView>
  </sheetViews>
  <sheetFormatPr defaultRowHeight="12.75" x14ac:dyDescent="0.2"/>
  <cols>
    <col min="1" max="1" width="7.85546875" customWidth="1"/>
    <col min="2" max="2" width="17.7109375" customWidth="1"/>
    <col min="3" max="3" width="14.7109375" customWidth="1"/>
    <col min="4" max="5" width="8.7109375" customWidth="1"/>
    <col min="6" max="6" width="17.7109375" customWidth="1"/>
    <col min="7" max="7" width="14.7109375" customWidth="1"/>
    <col min="9" max="9" width="9.5703125" customWidth="1"/>
    <col min="10" max="10" width="17.7109375" customWidth="1"/>
    <col min="11" max="11" width="15.5703125" customWidth="1"/>
    <col min="12" max="13" width="8.7109375" customWidth="1"/>
    <col min="14" max="14" width="16.42578125" bestFit="1" customWidth="1"/>
    <col min="15" max="15" width="12" bestFit="1" customWidth="1"/>
  </cols>
  <sheetData>
    <row r="15" spans="13:13" x14ac:dyDescent="0.2">
      <c r="M15" s="116"/>
    </row>
    <row r="28" spans="1:14" ht="13.5" thickBot="1" x14ac:dyDescent="0.25"/>
    <row r="29" spans="1:14" ht="13.5" customHeight="1" x14ac:dyDescent="0.2">
      <c r="A29" s="1" t="s">
        <v>0</v>
      </c>
      <c r="B29" s="5" t="s">
        <v>54</v>
      </c>
      <c r="C29" s="3"/>
      <c r="D29" s="3"/>
      <c r="E29" s="4"/>
      <c r="F29" s="2" t="s">
        <v>55</v>
      </c>
      <c r="G29" s="3"/>
      <c r="H29" s="3"/>
      <c r="I29" s="6"/>
      <c r="J29" s="2" t="s">
        <v>56</v>
      </c>
      <c r="K29" s="3"/>
      <c r="L29" s="3"/>
      <c r="M29" s="117"/>
    </row>
    <row r="30" spans="1:14" ht="13.5" thickBot="1" x14ac:dyDescent="0.25">
      <c r="A30" s="8" t="s">
        <v>4</v>
      </c>
      <c r="B30" s="12" t="s">
        <v>5</v>
      </c>
      <c r="C30" s="10" t="s">
        <v>57</v>
      </c>
      <c r="D30" s="10" t="s">
        <v>58</v>
      </c>
      <c r="E30" s="11" t="s">
        <v>8</v>
      </c>
      <c r="F30" s="9" t="s">
        <v>5</v>
      </c>
      <c r="G30" s="10" t="s">
        <v>57</v>
      </c>
      <c r="H30" s="10" t="s">
        <v>58</v>
      </c>
      <c r="I30" s="13" t="s">
        <v>8</v>
      </c>
      <c r="J30" s="9" t="s">
        <v>5</v>
      </c>
      <c r="K30" s="10" t="s">
        <v>57</v>
      </c>
      <c r="L30" s="10" t="s">
        <v>58</v>
      </c>
      <c r="M30" s="100" t="s">
        <v>8</v>
      </c>
    </row>
    <row r="31" spans="1:14" x14ac:dyDescent="0.2">
      <c r="A31" s="15">
        <v>2003</v>
      </c>
      <c r="B31" s="16">
        <v>83595399</v>
      </c>
      <c r="C31" s="17" t="s">
        <v>9</v>
      </c>
      <c r="D31" s="17" t="s">
        <v>9</v>
      </c>
      <c r="E31" s="18" t="s">
        <v>9</v>
      </c>
      <c r="F31" s="16">
        <v>33414045</v>
      </c>
      <c r="G31" s="17" t="s">
        <v>9</v>
      </c>
      <c r="H31" s="17" t="s">
        <v>9</v>
      </c>
      <c r="I31" s="20" t="s">
        <v>9</v>
      </c>
      <c r="J31" s="19">
        <v>58299181</v>
      </c>
      <c r="K31" s="17" t="s">
        <v>9</v>
      </c>
      <c r="L31" s="17" t="s">
        <v>9</v>
      </c>
      <c r="M31" s="118" t="s">
        <v>9</v>
      </c>
      <c r="N31" s="23"/>
    </row>
    <row r="32" spans="1:14" x14ac:dyDescent="0.2">
      <c r="A32" s="15">
        <v>2004</v>
      </c>
      <c r="B32" s="19">
        <v>92251687</v>
      </c>
      <c r="C32" s="24">
        <v>8656288</v>
      </c>
      <c r="D32" s="74">
        <v>0.10354981378819665</v>
      </c>
      <c r="E32" s="75">
        <v>0.10354981378819665</v>
      </c>
      <c r="F32" s="19">
        <v>35478689</v>
      </c>
      <c r="G32" s="24">
        <v>2064644</v>
      </c>
      <c r="H32" s="74">
        <v>6.178970549659582E-2</v>
      </c>
      <c r="I32" s="76">
        <v>6.178970549659582E-2</v>
      </c>
      <c r="J32" s="19">
        <v>69888568</v>
      </c>
      <c r="K32" s="24">
        <v>11589387</v>
      </c>
      <c r="L32" s="74">
        <v>0.19879159194363297</v>
      </c>
      <c r="M32" s="103">
        <v>0.19879159194363297</v>
      </c>
      <c r="N32" s="23"/>
    </row>
    <row r="33" spans="1:14" x14ac:dyDescent="0.2">
      <c r="A33" s="29">
        <v>2005</v>
      </c>
      <c r="B33" s="19">
        <v>90367974</v>
      </c>
      <c r="C33" s="24">
        <v>-1883713</v>
      </c>
      <c r="D33" s="74">
        <v>-2.0419279703795552E-2</v>
      </c>
      <c r="E33" s="75">
        <v>8.1016121473383954E-2</v>
      </c>
      <c r="F33" s="19">
        <v>32954319</v>
      </c>
      <c r="G33" s="24">
        <v>-2524370</v>
      </c>
      <c r="H33" s="74">
        <v>-7.1151727167821782E-2</v>
      </c>
      <c r="I33" s="76">
        <v>-1.3758465938499814E-2</v>
      </c>
      <c r="J33" s="19">
        <v>68348660</v>
      </c>
      <c r="K33" s="24">
        <v>-1539908</v>
      </c>
      <c r="L33" s="74">
        <v>-2.2033760943563761E-2</v>
      </c>
      <c r="M33" s="103">
        <v>0.17237770458559273</v>
      </c>
      <c r="N33" s="23"/>
    </row>
    <row r="34" spans="1:14" x14ac:dyDescent="0.2">
      <c r="A34" s="29">
        <v>2006</v>
      </c>
      <c r="B34" s="19">
        <v>91326942</v>
      </c>
      <c r="C34" s="24">
        <v>958968</v>
      </c>
      <c r="D34" s="74">
        <v>1.0611812543235727E-2</v>
      </c>
      <c r="E34" s="75">
        <v>9.2487661910675256E-2</v>
      </c>
      <c r="F34" s="19">
        <v>37802280</v>
      </c>
      <c r="G34" s="24">
        <v>4847961</v>
      </c>
      <c r="H34" s="74">
        <v>0.14711155159965528</v>
      </c>
      <c r="I34" s="76">
        <v>0.13132905638931175</v>
      </c>
      <c r="J34" s="19">
        <v>79763692</v>
      </c>
      <c r="K34" s="24">
        <v>11415032</v>
      </c>
      <c r="L34" s="74">
        <v>0.16701178925819468</v>
      </c>
      <c r="M34" s="103">
        <v>0.36817860271484776</v>
      </c>
      <c r="N34" s="23"/>
    </row>
    <row r="35" spans="1:14" x14ac:dyDescent="0.2">
      <c r="A35" s="29">
        <v>2007</v>
      </c>
      <c r="B35" s="19">
        <v>91343558</v>
      </c>
      <c r="C35" s="24">
        <v>16616</v>
      </c>
      <c r="D35" s="74">
        <v>1.8193973909692499E-4</v>
      </c>
      <c r="E35" s="75">
        <v>9.268642883084989E-2</v>
      </c>
      <c r="F35" s="19">
        <v>37667405</v>
      </c>
      <c r="G35" s="24">
        <v>-134875</v>
      </c>
      <c r="H35" s="74">
        <v>-3.5679064860638034E-3</v>
      </c>
      <c r="I35" s="76">
        <v>0.12729258011114788</v>
      </c>
      <c r="J35" s="19">
        <v>77327080</v>
      </c>
      <c r="K35" s="24">
        <v>-2436612</v>
      </c>
      <c r="L35" s="74">
        <v>-3.0547883866759828E-2</v>
      </c>
      <c r="M35" s="103">
        <v>0.32638364165012884</v>
      </c>
      <c r="N35" s="23"/>
    </row>
    <row r="36" spans="1:14" x14ac:dyDescent="0.2">
      <c r="A36" s="29">
        <v>2008</v>
      </c>
      <c r="B36" s="19">
        <v>113423716</v>
      </c>
      <c r="C36" s="24">
        <v>22080158</v>
      </c>
      <c r="D36" s="74">
        <v>0.24172649372821672</v>
      </c>
      <c r="E36" s="75">
        <v>0.35681768801653785</v>
      </c>
      <c r="F36" s="19">
        <v>37988053</v>
      </c>
      <c r="G36" s="24">
        <v>320648</v>
      </c>
      <c r="H36" s="74">
        <v>8.512611898802161E-3</v>
      </c>
      <c r="I36" s="76">
        <v>0.13688878434203341</v>
      </c>
      <c r="J36" s="19">
        <v>77788804</v>
      </c>
      <c r="K36" s="24">
        <v>461724</v>
      </c>
      <c r="L36" s="74">
        <v>5.971051797119457E-3</v>
      </c>
      <c r="M36" s="103">
        <v>0.33430354707727367</v>
      </c>
      <c r="N36" s="23"/>
    </row>
    <row r="37" spans="1:14" x14ac:dyDescent="0.2">
      <c r="A37" s="29">
        <v>2009</v>
      </c>
      <c r="B37" s="19">
        <v>124379691</v>
      </c>
      <c r="C37" s="24">
        <v>10955975</v>
      </c>
      <c r="D37" s="74">
        <v>9.6593335030568037E-2</v>
      </c>
      <c r="E37" s="75">
        <v>0.48787723353052004</v>
      </c>
      <c r="F37" s="19">
        <v>41299064</v>
      </c>
      <c r="G37" s="24">
        <v>3311011</v>
      </c>
      <c r="H37" s="74">
        <v>8.7159270837070799E-2</v>
      </c>
      <c r="I37" s="76">
        <v>0.23597918180812888</v>
      </c>
      <c r="J37" s="19">
        <v>87346120</v>
      </c>
      <c r="K37" s="24">
        <v>9557316</v>
      </c>
      <c r="L37" s="74">
        <v>0.12286235947270767</v>
      </c>
      <c r="M37" s="103">
        <v>0.4982392291239906</v>
      </c>
      <c r="N37" s="23"/>
    </row>
    <row r="38" spans="1:14" x14ac:dyDescent="0.2">
      <c r="A38" s="29">
        <v>2010</v>
      </c>
      <c r="B38" s="19">
        <v>138244764</v>
      </c>
      <c r="C38" s="24">
        <v>13865073</v>
      </c>
      <c r="D38" s="74">
        <v>0.1114737694596781</v>
      </c>
      <c r="E38" s="75">
        <v>0.65373651724540482</v>
      </c>
      <c r="F38" s="19">
        <v>42986454</v>
      </c>
      <c r="G38" s="24">
        <v>1687390</v>
      </c>
      <c r="H38" s="74">
        <v>4.0857826705225087E-2</v>
      </c>
      <c r="I38" s="76">
        <v>0.28647860502971129</v>
      </c>
      <c r="J38" s="19">
        <v>89091400</v>
      </c>
      <c r="K38" s="24">
        <v>1745280</v>
      </c>
      <c r="L38" s="74">
        <v>1.9981196646170429E-2</v>
      </c>
      <c r="M38" s="103">
        <v>0.52817584178412391</v>
      </c>
      <c r="N38" s="23"/>
    </row>
    <row r="39" spans="1:14" x14ac:dyDescent="0.2">
      <c r="A39" s="29">
        <v>2011</v>
      </c>
      <c r="B39" s="19">
        <v>153058419</v>
      </c>
      <c r="C39" s="24">
        <v>14813655</v>
      </c>
      <c r="D39" s="74">
        <v>0.10715526990953524</v>
      </c>
      <c r="E39" s="75">
        <v>0.83094310011009098</v>
      </c>
      <c r="F39" s="19">
        <v>56767824</v>
      </c>
      <c r="G39" s="24">
        <v>13781370</v>
      </c>
      <c r="H39" s="74">
        <v>0.32059797256130967</v>
      </c>
      <c r="I39" s="76">
        <v>0.69892103754573864</v>
      </c>
      <c r="J39" s="19">
        <v>96987725</v>
      </c>
      <c r="K39" s="24">
        <v>7896325</v>
      </c>
      <c r="L39" s="74">
        <v>8.8631731008829137E-2</v>
      </c>
      <c r="M39" s="103">
        <v>0.66362071192732541</v>
      </c>
      <c r="N39" s="119"/>
    </row>
    <row r="40" spans="1:14" x14ac:dyDescent="0.2">
      <c r="A40" s="29">
        <v>2012</v>
      </c>
      <c r="B40" s="19">
        <v>152431659</v>
      </c>
      <c r="C40" s="24">
        <v>-626760</v>
      </c>
      <c r="D40" s="74">
        <v>-4.0949070563704179E-3</v>
      </c>
      <c r="E40" s="75">
        <v>0.8234455582896375</v>
      </c>
      <c r="F40" s="19">
        <v>64985513</v>
      </c>
      <c r="G40" s="24">
        <v>8217689</v>
      </c>
      <c r="H40" s="74">
        <v>0.14475962650955232</v>
      </c>
      <c r="I40" s="76">
        <v>0.94485621241008089</v>
      </c>
      <c r="J40" s="19">
        <v>97138116</v>
      </c>
      <c r="K40" s="24">
        <v>150391</v>
      </c>
      <c r="L40" s="74">
        <v>1.5506189056398632E-3</v>
      </c>
      <c r="M40" s="103">
        <v>0.66620035365505392</v>
      </c>
      <c r="N40" s="119"/>
    </row>
    <row r="41" spans="1:14" ht="13.5" thickBot="1" x14ac:dyDescent="0.25">
      <c r="A41" s="30">
        <v>2013</v>
      </c>
      <c r="B41" s="31">
        <v>201419315</v>
      </c>
      <c r="C41" s="32">
        <v>48987656</v>
      </c>
      <c r="D41" s="120">
        <v>0.3213745512013354</v>
      </c>
      <c r="E41" s="121">
        <v>1.4094545562250382</v>
      </c>
      <c r="F41" s="31">
        <v>78594182</v>
      </c>
      <c r="G41" s="32">
        <v>13608669</v>
      </c>
      <c r="H41" s="120">
        <v>0.20941081129881978</v>
      </c>
      <c r="I41" s="122">
        <v>1.3521301297104256</v>
      </c>
      <c r="J41" s="31">
        <v>109557886</v>
      </c>
      <c r="K41" s="32">
        <v>12419770</v>
      </c>
      <c r="L41" s="120">
        <v>0.12785681369401894</v>
      </c>
      <c r="M41" s="123">
        <v>0.87923542184923664</v>
      </c>
      <c r="N41" s="119"/>
    </row>
    <row r="42" spans="1:14" ht="4.9000000000000004" customHeight="1" x14ac:dyDescent="0.2">
      <c r="A42" s="37"/>
      <c r="B42" s="38"/>
      <c r="C42" s="39"/>
      <c r="D42" s="40"/>
      <c r="E42" s="41"/>
      <c r="F42" s="38"/>
      <c r="G42" s="39"/>
      <c r="H42" s="40"/>
      <c r="I42" s="41"/>
      <c r="J42" s="38"/>
      <c r="K42" s="39"/>
      <c r="L42" s="40"/>
      <c r="M42" s="41"/>
      <c r="N42" s="124"/>
    </row>
    <row r="43" spans="1:14" x14ac:dyDescent="0.2">
      <c r="A43" s="42" t="s">
        <v>59</v>
      </c>
      <c r="C43" s="39" t="s">
        <v>60</v>
      </c>
      <c r="D43" s="43">
        <v>9.1922648019635539E-2</v>
      </c>
      <c r="E43" s="41"/>
      <c r="F43" s="38"/>
      <c r="G43" s="39" t="s">
        <v>61</v>
      </c>
      <c r="H43" s="43">
        <v>8.9296565954602697E-2</v>
      </c>
      <c r="I43" s="41"/>
      <c r="J43" s="38"/>
      <c r="K43" s="39" t="s">
        <v>62</v>
      </c>
      <c r="L43" s="43">
        <v>6.5118968422465812E-2</v>
      </c>
      <c r="M43" s="41"/>
      <c r="N43" s="124"/>
    </row>
    <row r="44" spans="1:14" ht="6.6" customHeight="1" thickBot="1" x14ac:dyDescent="0.25">
      <c r="A44" s="37"/>
      <c r="B44" s="38"/>
      <c r="C44" s="39"/>
      <c r="D44" s="40"/>
      <c r="E44" s="41"/>
      <c r="F44" s="38"/>
      <c r="G44" s="39"/>
      <c r="H44" s="40"/>
      <c r="I44" s="41"/>
      <c r="J44" s="38"/>
      <c r="K44" s="39"/>
      <c r="L44" s="40"/>
      <c r="M44" s="41"/>
      <c r="N44" s="124"/>
    </row>
    <row r="45" spans="1:14" ht="13.5" customHeight="1" x14ac:dyDescent="0.2">
      <c r="A45" s="1" t="s">
        <v>0</v>
      </c>
      <c r="B45" s="2" t="s">
        <v>63</v>
      </c>
      <c r="C45" s="3"/>
      <c r="D45" s="3"/>
      <c r="E45" s="125"/>
      <c r="F45" s="2" t="s">
        <v>64</v>
      </c>
      <c r="G45" s="3"/>
      <c r="H45" s="3"/>
      <c r="I45" s="125"/>
      <c r="J45" s="2" t="s">
        <v>65</v>
      </c>
      <c r="K45" s="3"/>
      <c r="L45" s="3"/>
      <c r="M45" s="7"/>
    </row>
    <row r="46" spans="1:14" s="44" customFormat="1" ht="13.5" thickBot="1" x14ac:dyDescent="0.25">
      <c r="A46" s="8" t="s">
        <v>4</v>
      </c>
      <c r="B46" s="9" t="s">
        <v>5</v>
      </c>
      <c r="C46" s="10" t="s">
        <v>57</v>
      </c>
      <c r="D46" s="10" t="s">
        <v>58</v>
      </c>
      <c r="E46" s="126" t="s">
        <v>8</v>
      </c>
      <c r="F46" s="9" t="s">
        <v>5</v>
      </c>
      <c r="G46" s="10" t="s">
        <v>57</v>
      </c>
      <c r="H46" s="10" t="s">
        <v>58</v>
      </c>
      <c r="I46" s="126" t="s">
        <v>8</v>
      </c>
      <c r="J46" s="9" t="s">
        <v>5</v>
      </c>
      <c r="K46" s="10" t="s">
        <v>57</v>
      </c>
      <c r="L46" s="10" t="s">
        <v>58</v>
      </c>
      <c r="M46" s="14" t="s">
        <v>8</v>
      </c>
    </row>
    <row r="47" spans="1:14" x14ac:dyDescent="0.2">
      <c r="A47" s="15">
        <v>2003</v>
      </c>
      <c r="B47" s="19">
        <v>43056</v>
      </c>
      <c r="C47" s="127" t="s">
        <v>9</v>
      </c>
      <c r="D47" s="72" t="s">
        <v>9</v>
      </c>
      <c r="E47" s="128" t="s">
        <v>9</v>
      </c>
      <c r="F47" s="19">
        <v>0</v>
      </c>
      <c r="G47" s="17" t="s">
        <v>9</v>
      </c>
      <c r="H47" s="17" t="s">
        <v>9</v>
      </c>
      <c r="I47" s="129" t="s">
        <v>9</v>
      </c>
      <c r="J47" s="19">
        <v>175351681</v>
      </c>
      <c r="K47" s="17" t="s">
        <v>9</v>
      </c>
      <c r="L47" s="17" t="s">
        <v>9</v>
      </c>
      <c r="M47" s="130" t="s">
        <v>9</v>
      </c>
    </row>
    <row r="48" spans="1:14" x14ac:dyDescent="0.2">
      <c r="A48" s="15">
        <v>2004</v>
      </c>
      <c r="B48" s="19">
        <v>47966</v>
      </c>
      <c r="C48" s="24">
        <v>4910</v>
      </c>
      <c r="D48" s="74">
        <v>0.11403753251579339</v>
      </c>
      <c r="E48" s="131">
        <v>0.11403753251579339</v>
      </c>
      <c r="F48" s="19">
        <v>0</v>
      </c>
      <c r="G48" s="24">
        <v>0</v>
      </c>
      <c r="H48" s="74" t="s">
        <v>69</v>
      </c>
      <c r="I48" s="131" t="s">
        <v>70</v>
      </c>
      <c r="J48" s="19">
        <v>197666910</v>
      </c>
      <c r="K48" s="24">
        <v>22315229</v>
      </c>
      <c r="L48" s="74">
        <v>0.12725985215961516</v>
      </c>
      <c r="M48" s="132">
        <v>0.12725985215961516</v>
      </c>
    </row>
    <row r="49" spans="1:17" x14ac:dyDescent="0.2">
      <c r="A49" s="29">
        <v>2005</v>
      </c>
      <c r="B49" s="19">
        <v>46350</v>
      </c>
      <c r="C49" s="24">
        <v>-1616</v>
      </c>
      <c r="D49" s="74">
        <v>-3.3690530792644793E-2</v>
      </c>
      <c r="E49" s="131">
        <v>7.6505016722408031E-2</v>
      </c>
      <c r="F49" s="19">
        <v>0</v>
      </c>
      <c r="G49" s="24">
        <v>0</v>
      </c>
      <c r="H49" s="74" t="s">
        <v>69</v>
      </c>
      <c r="I49" s="131" t="s">
        <v>70</v>
      </c>
      <c r="J49" s="19">
        <v>191717303</v>
      </c>
      <c r="K49" s="24">
        <v>-5949607</v>
      </c>
      <c r="L49" s="74">
        <v>-3.0099155189910139E-2</v>
      </c>
      <c r="M49" s="132">
        <v>9.3330282930107755E-2</v>
      </c>
    </row>
    <row r="50" spans="1:17" x14ac:dyDescent="0.2">
      <c r="A50" s="29">
        <v>2006</v>
      </c>
      <c r="B50" s="19">
        <v>43231</v>
      </c>
      <c r="C50" s="24">
        <v>-3119</v>
      </c>
      <c r="D50" s="74">
        <v>-6.7292340884573892E-2</v>
      </c>
      <c r="E50" s="131">
        <v>4.064474173169825E-3</v>
      </c>
      <c r="F50" s="19">
        <v>0</v>
      </c>
      <c r="G50" s="24">
        <v>0</v>
      </c>
      <c r="H50" s="74" t="s">
        <v>69</v>
      </c>
      <c r="I50" s="131" t="s">
        <v>70</v>
      </c>
      <c r="J50" s="19">
        <v>208936145</v>
      </c>
      <c r="K50" s="24">
        <v>17218842</v>
      </c>
      <c r="L50" s="74">
        <v>8.9813708677093165E-2</v>
      </c>
      <c r="M50" s="132">
        <v>0.1915263304490363</v>
      </c>
    </row>
    <row r="51" spans="1:17" x14ac:dyDescent="0.2">
      <c r="A51" s="29">
        <v>2007</v>
      </c>
      <c r="B51" s="19">
        <v>43231</v>
      </c>
      <c r="C51" s="24">
        <v>0</v>
      </c>
      <c r="D51" s="74">
        <v>0</v>
      </c>
      <c r="E51" s="131">
        <v>4.064474173169825E-3</v>
      </c>
      <c r="F51" s="19">
        <v>0</v>
      </c>
      <c r="G51" s="24">
        <v>0</v>
      </c>
      <c r="H51" s="74" t="s">
        <v>69</v>
      </c>
      <c r="I51" s="131" t="s">
        <v>70</v>
      </c>
      <c r="J51" s="19">
        <v>206381274</v>
      </c>
      <c r="K51" s="24">
        <v>-2554871</v>
      </c>
      <c r="L51" s="74">
        <v>-1.2227999133419447E-2</v>
      </c>
      <c r="M51" s="132">
        <v>0.17695634751285902</v>
      </c>
    </row>
    <row r="52" spans="1:17" x14ac:dyDescent="0.2">
      <c r="A52" s="29">
        <v>2008</v>
      </c>
      <c r="B52" s="19">
        <v>323111</v>
      </c>
      <c r="C52" s="24">
        <v>279880</v>
      </c>
      <c r="D52" s="74">
        <v>6.4740579676620946</v>
      </c>
      <c r="E52" s="131">
        <v>6.5044360832404307</v>
      </c>
      <c r="F52" s="19">
        <v>0</v>
      </c>
      <c r="G52" s="24">
        <v>0</v>
      </c>
      <c r="H52" s="74" t="s">
        <v>69</v>
      </c>
      <c r="I52" s="131" t="s">
        <v>70</v>
      </c>
      <c r="J52" s="19">
        <v>229523684</v>
      </c>
      <c r="K52" s="24">
        <v>23142410</v>
      </c>
      <c r="L52" s="74">
        <v>0.11213425303305377</v>
      </c>
      <c r="M52" s="132">
        <v>0.30893346839372471</v>
      </c>
    </row>
    <row r="53" spans="1:17" x14ac:dyDescent="0.2">
      <c r="A53" s="29">
        <v>2009</v>
      </c>
      <c r="B53" s="19">
        <v>338722</v>
      </c>
      <c r="C53" s="24">
        <v>15611</v>
      </c>
      <c r="D53" s="74">
        <v>4.8314665857863086E-2</v>
      </c>
      <c r="E53" s="131">
        <v>6.8670104050538834</v>
      </c>
      <c r="F53" s="19">
        <v>0</v>
      </c>
      <c r="G53" s="24">
        <v>0</v>
      </c>
      <c r="H53" s="74" t="s">
        <v>69</v>
      </c>
      <c r="I53" s="131" t="s">
        <v>70</v>
      </c>
      <c r="J53" s="19">
        <v>253363597</v>
      </c>
      <c r="K53" s="24">
        <v>23839913</v>
      </c>
      <c r="L53" s="74">
        <v>0.10386689767492578</v>
      </c>
      <c r="M53" s="132">
        <v>0.44488832701866143</v>
      </c>
    </row>
    <row r="54" spans="1:17" x14ac:dyDescent="0.2">
      <c r="A54" s="29">
        <v>2010</v>
      </c>
      <c r="B54" s="19">
        <v>0</v>
      </c>
      <c r="C54" s="24">
        <v>-338722</v>
      </c>
      <c r="D54" s="74">
        <v>-1</v>
      </c>
      <c r="E54" s="131">
        <v>-1</v>
      </c>
      <c r="F54" s="19">
        <v>149735</v>
      </c>
      <c r="G54" s="24">
        <v>149735</v>
      </c>
      <c r="H54" s="74" t="s">
        <v>69</v>
      </c>
      <c r="I54" s="131" t="s">
        <v>70</v>
      </c>
      <c r="J54" s="19">
        <v>270472353</v>
      </c>
      <c r="K54" s="24">
        <v>17108756</v>
      </c>
      <c r="L54" s="74">
        <v>6.7526496318253637E-2</v>
      </c>
      <c r="M54" s="132">
        <v>0.54245657331337471</v>
      </c>
    </row>
    <row r="55" spans="1:17" x14ac:dyDescent="0.2">
      <c r="A55" s="29">
        <v>2011</v>
      </c>
      <c r="B55" s="19">
        <v>0</v>
      </c>
      <c r="C55" s="24">
        <v>0</v>
      </c>
      <c r="D55" s="74" t="s">
        <v>69</v>
      </c>
      <c r="E55" s="131"/>
      <c r="F55" s="19">
        <v>182220</v>
      </c>
      <c r="G55" s="24">
        <v>32485</v>
      </c>
      <c r="H55" s="74">
        <v>0.21694994490266137</v>
      </c>
      <c r="I55" s="131" t="s">
        <v>70</v>
      </c>
      <c r="J55" s="19">
        <v>306996188</v>
      </c>
      <c r="K55" s="24">
        <v>36523835</v>
      </c>
      <c r="L55" s="74">
        <v>0.13503722134587265</v>
      </c>
      <c r="M55" s="132">
        <v>0.75074562302028913</v>
      </c>
      <c r="Q55" s="58"/>
    </row>
    <row r="56" spans="1:17" x14ac:dyDescent="0.2">
      <c r="A56" s="29">
        <v>2012</v>
      </c>
      <c r="B56" s="19">
        <v>0</v>
      </c>
      <c r="C56" s="24">
        <v>0</v>
      </c>
      <c r="D56" s="74" t="s">
        <v>69</v>
      </c>
      <c r="E56" s="131"/>
      <c r="F56" s="19">
        <v>187820</v>
      </c>
      <c r="G56" s="24">
        <v>5600</v>
      </c>
      <c r="H56" s="74">
        <v>3.0732082098562177E-2</v>
      </c>
      <c r="I56" s="131" t="s">
        <v>70</v>
      </c>
      <c r="J56" s="19">
        <v>314743108</v>
      </c>
      <c r="K56" s="24">
        <v>7746920</v>
      </c>
      <c r="L56" s="74">
        <v>2.5234580437200737E-2</v>
      </c>
      <c r="M56" s="132">
        <v>0.79492495426947174</v>
      </c>
      <c r="Q56" s="58"/>
    </row>
    <row r="57" spans="1:17" ht="13.5" thickBot="1" x14ac:dyDescent="0.25">
      <c r="A57" s="30">
        <v>2013</v>
      </c>
      <c r="B57" s="31">
        <v>0</v>
      </c>
      <c r="C57" s="32">
        <v>0</v>
      </c>
      <c r="D57" s="120" t="s">
        <v>69</v>
      </c>
      <c r="E57" s="133"/>
      <c r="F57" s="31">
        <v>196316</v>
      </c>
      <c r="G57" s="32">
        <v>8496</v>
      </c>
      <c r="H57" s="120">
        <v>4.523479927590246E-2</v>
      </c>
      <c r="I57" s="133" t="s">
        <v>70</v>
      </c>
      <c r="J57" s="31">
        <v>389767699</v>
      </c>
      <c r="K57" s="32">
        <v>75024591</v>
      </c>
      <c r="L57" s="120">
        <v>0.23836770081078312</v>
      </c>
      <c r="M57" s="134">
        <v>1.2227770887465859</v>
      </c>
      <c r="Q57" s="58"/>
    </row>
    <row r="58" spans="1:17" ht="3.75" customHeight="1" x14ac:dyDescent="0.2">
      <c r="Q58" s="58"/>
    </row>
    <row r="59" spans="1:17" ht="13.15" customHeight="1" x14ac:dyDescent="0.2">
      <c r="A59" s="135" t="s">
        <v>14</v>
      </c>
      <c r="B59" s="48">
        <v>29</v>
      </c>
      <c r="J59" s="42" t="s">
        <v>59</v>
      </c>
      <c r="K59" t="s">
        <v>66</v>
      </c>
      <c r="L59" s="43">
        <v>8.3152461911195449E-2</v>
      </c>
      <c r="Q59" s="46"/>
    </row>
    <row r="60" spans="1:17" x14ac:dyDescent="0.2">
      <c r="A60" s="135" t="s">
        <v>15</v>
      </c>
      <c r="B60" s="49" t="s">
        <v>20</v>
      </c>
      <c r="C60" s="136"/>
      <c r="D60" s="58"/>
      <c r="E60" s="137"/>
      <c r="F60" s="52"/>
      <c r="G60" s="138"/>
      <c r="L60" s="46"/>
      <c r="Q60" s="58"/>
    </row>
    <row r="61" spans="1:17" ht="9.75" customHeight="1" x14ac:dyDescent="0.2">
      <c r="F61" s="53"/>
      <c r="G61" s="54"/>
      <c r="Q61" s="58"/>
    </row>
    <row r="62" spans="1:17" ht="13.15" customHeight="1" x14ac:dyDescent="0.2">
      <c r="A62" s="44" t="s">
        <v>67</v>
      </c>
      <c r="J62" s="139" t="s">
        <v>68</v>
      </c>
      <c r="K62" s="56" t="s">
        <v>17</v>
      </c>
      <c r="L62" s="57" t="s">
        <v>21</v>
      </c>
      <c r="M62" s="57" t="s">
        <v>71</v>
      </c>
    </row>
    <row r="63" spans="1:17" ht="13.15" customHeight="1" x14ac:dyDescent="0.2">
      <c r="A63" s="44"/>
      <c r="J63" s="139"/>
      <c r="K63" s="56"/>
      <c r="L63" s="57"/>
      <c r="M63" s="57"/>
    </row>
    <row r="64" spans="1:17" x14ac:dyDescent="0.2">
      <c r="B64" s="140"/>
    </row>
  </sheetData>
  <printOptions horizontalCentered="1"/>
  <pageMargins left="0.1" right="0.1" top="0.75" bottom="0.25" header="0" footer="0"/>
  <pageSetup scale="71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R41"/>
  <sheetViews>
    <sheetView zoomScale="80" zoomScaleNormal="80" workbookViewId="0">
      <selection activeCell="F31" sqref="F31:F34"/>
    </sheetView>
  </sheetViews>
  <sheetFormatPr defaultRowHeight="12.75" x14ac:dyDescent="0.2"/>
  <cols>
    <col min="1" max="1" width="8.5703125" customWidth="1"/>
    <col min="2" max="2" width="17" customWidth="1"/>
    <col min="3" max="3" width="14.5703125" customWidth="1"/>
    <col min="4" max="4" width="10" customWidth="1"/>
    <col min="5" max="5" width="10.28515625" customWidth="1"/>
    <col min="6" max="6" width="10.28515625" bestFit="1" customWidth="1"/>
    <col min="7" max="7" width="15.5703125" bestFit="1" customWidth="1"/>
    <col min="8" max="8" width="11.7109375" customWidth="1"/>
    <col min="9" max="9" width="10.28515625" customWidth="1"/>
    <col min="11" max="11" width="10.28515625" bestFit="1" customWidth="1"/>
    <col min="12" max="12" width="15.5703125" bestFit="1" customWidth="1"/>
    <col min="13" max="13" width="12.7109375" customWidth="1"/>
    <col min="14" max="14" width="10.28515625" customWidth="1"/>
    <col min="15" max="15" width="9.85546875" bestFit="1" customWidth="1"/>
    <col min="16" max="16" width="10.28515625" bestFit="1" customWidth="1"/>
    <col min="17" max="16384" width="9.140625" style="58"/>
  </cols>
  <sheetData>
    <row r="2" spans="1:16" s="143" customFormat="1" ht="15.95" customHeight="1" x14ac:dyDescent="0.25">
      <c r="A2" s="141"/>
      <c r="B2" s="141"/>
      <c r="C2" s="142" t="s">
        <v>72</v>
      </c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</row>
    <row r="3" spans="1:16" ht="13.5" thickBot="1" x14ac:dyDescent="0.25"/>
    <row r="4" spans="1:16" x14ac:dyDescent="0.2">
      <c r="A4" s="144"/>
      <c r="B4" s="145"/>
      <c r="C4" s="145" t="s">
        <v>73</v>
      </c>
      <c r="D4" s="145"/>
      <c r="E4" s="146"/>
      <c r="F4" s="147"/>
      <c r="G4" s="148"/>
      <c r="H4" s="145" t="s">
        <v>74</v>
      </c>
      <c r="I4" s="146"/>
      <c r="J4" s="146"/>
      <c r="K4" s="147"/>
      <c r="L4" s="148"/>
      <c r="M4" s="145" t="s">
        <v>75</v>
      </c>
      <c r="N4" s="146"/>
      <c r="O4" s="146"/>
      <c r="P4" s="147"/>
    </row>
    <row r="5" spans="1:16" x14ac:dyDescent="0.2">
      <c r="A5" s="59" t="s">
        <v>76</v>
      </c>
      <c r="B5" s="149"/>
      <c r="C5" s="149"/>
      <c r="D5" s="150" t="s">
        <v>77</v>
      </c>
      <c r="E5" s="63" t="s">
        <v>58</v>
      </c>
      <c r="F5" s="65" t="s">
        <v>8</v>
      </c>
      <c r="G5" s="60"/>
      <c r="H5" s="151"/>
      <c r="I5" s="152" t="s">
        <v>77</v>
      </c>
      <c r="J5" s="63" t="s">
        <v>58</v>
      </c>
      <c r="K5" s="66" t="s">
        <v>8</v>
      </c>
      <c r="L5" s="60"/>
      <c r="M5" s="151"/>
      <c r="N5" s="153" t="s">
        <v>77</v>
      </c>
      <c r="O5" s="63" t="s">
        <v>58</v>
      </c>
      <c r="P5" s="98" t="s">
        <v>8</v>
      </c>
    </row>
    <row r="6" spans="1:16" ht="13.5" thickBot="1" x14ac:dyDescent="0.25">
      <c r="A6" s="8" t="s">
        <v>4</v>
      </c>
      <c r="B6" s="12" t="s">
        <v>5</v>
      </c>
      <c r="C6" s="12" t="s">
        <v>78</v>
      </c>
      <c r="D6" s="154" t="s">
        <v>79</v>
      </c>
      <c r="E6" s="10" t="s">
        <v>80</v>
      </c>
      <c r="F6" s="11" t="s">
        <v>81</v>
      </c>
      <c r="G6" s="9" t="s">
        <v>5</v>
      </c>
      <c r="H6" s="12" t="s">
        <v>78</v>
      </c>
      <c r="I6" s="155" t="s">
        <v>79</v>
      </c>
      <c r="J6" s="10" t="s">
        <v>80</v>
      </c>
      <c r="K6" s="13" t="s">
        <v>81</v>
      </c>
      <c r="L6" s="9" t="s">
        <v>5</v>
      </c>
      <c r="M6" s="12" t="s">
        <v>78</v>
      </c>
      <c r="N6" s="156" t="s">
        <v>79</v>
      </c>
      <c r="O6" s="10" t="s">
        <v>80</v>
      </c>
      <c r="P6" s="100" t="s">
        <v>81</v>
      </c>
    </row>
    <row r="7" spans="1:16" x14ac:dyDescent="0.2">
      <c r="A7" s="157">
        <v>2003</v>
      </c>
      <c r="B7" s="19">
        <v>83534109</v>
      </c>
      <c r="C7" s="70">
        <v>119256</v>
      </c>
      <c r="D7" s="158">
        <v>700</v>
      </c>
      <c r="E7" s="159"/>
      <c r="F7" s="75"/>
      <c r="G7" s="19">
        <v>33429746</v>
      </c>
      <c r="H7" s="70">
        <v>101000</v>
      </c>
      <c r="I7" s="160">
        <v>331</v>
      </c>
      <c r="J7" s="159"/>
      <c r="K7" s="76"/>
      <c r="L7" s="19">
        <v>58299801</v>
      </c>
      <c r="M7" s="70">
        <v>352915</v>
      </c>
      <c r="N7" s="161">
        <v>165</v>
      </c>
      <c r="O7" s="162"/>
      <c r="P7" s="163"/>
    </row>
    <row r="8" spans="1:16" x14ac:dyDescent="0.2">
      <c r="A8" s="157">
        <v>2004</v>
      </c>
      <c r="B8" s="19">
        <v>92117793</v>
      </c>
      <c r="C8" s="70">
        <v>119242.72</v>
      </c>
      <c r="D8" s="158">
        <v>772.52341275006142</v>
      </c>
      <c r="E8" s="159">
        <v>0.10360487535723061</v>
      </c>
      <c r="F8" s="75">
        <v>0.10360487535723061</v>
      </c>
      <c r="G8" s="19">
        <v>35603078</v>
      </c>
      <c r="H8" s="70">
        <v>101093.15</v>
      </c>
      <c r="I8" s="160">
        <v>352.18091433494754</v>
      </c>
      <c r="J8" s="159">
        <v>6.3990677749086233E-2</v>
      </c>
      <c r="K8" s="76">
        <v>6.3990677749086233E-2</v>
      </c>
      <c r="L8" s="19">
        <v>69859188</v>
      </c>
      <c r="M8" s="70">
        <v>352909.65</v>
      </c>
      <c r="N8" s="161">
        <v>197.95204806669355</v>
      </c>
      <c r="O8" s="162">
        <v>0.19970938222238516</v>
      </c>
      <c r="P8" s="163">
        <v>0.19970938222238516</v>
      </c>
    </row>
    <row r="9" spans="1:16" x14ac:dyDescent="0.2">
      <c r="A9" s="157">
        <v>2005</v>
      </c>
      <c r="B9" s="19">
        <v>90252017</v>
      </c>
      <c r="C9" s="70">
        <v>119458.68</v>
      </c>
      <c r="D9" s="158">
        <v>755.50823933430377</v>
      </c>
      <c r="E9" s="159">
        <v>-2.2025446911940607E-2</v>
      </c>
      <c r="F9" s="75">
        <v>7.9297484763291098E-2</v>
      </c>
      <c r="G9" s="19">
        <v>32956767</v>
      </c>
      <c r="H9" s="70">
        <v>100754.26</v>
      </c>
      <c r="I9" s="160">
        <v>327.10048190518199</v>
      </c>
      <c r="J9" s="159">
        <v>-7.1214626940040215E-2</v>
      </c>
      <c r="K9" s="76">
        <v>-1.1781021434495487E-2</v>
      </c>
      <c r="L9" s="19">
        <v>68368708</v>
      </c>
      <c r="M9" s="70">
        <v>352909.46</v>
      </c>
      <c r="N9" s="161">
        <v>193.72874844443103</v>
      </c>
      <c r="O9" s="162">
        <v>-2.1334963004977912E-2</v>
      </c>
      <c r="P9" s="163">
        <v>0.17411362693594565</v>
      </c>
    </row>
    <row r="10" spans="1:16" x14ac:dyDescent="0.2">
      <c r="A10" s="157">
        <v>2006</v>
      </c>
      <c r="B10" s="19">
        <v>91314937</v>
      </c>
      <c r="C10" s="70">
        <v>119503.46</v>
      </c>
      <c r="D10" s="158">
        <v>764.1196079176284</v>
      </c>
      <c r="E10" s="159">
        <v>1.1398113395708715E-2</v>
      </c>
      <c r="F10" s="75">
        <v>9.1599439882326286E-2</v>
      </c>
      <c r="G10" s="19">
        <v>37992693</v>
      </c>
      <c r="H10" s="70">
        <v>100790.74</v>
      </c>
      <c r="I10" s="160">
        <v>376.94626510332199</v>
      </c>
      <c r="J10" s="159">
        <v>0.15238676173087695</v>
      </c>
      <c r="K10" s="76">
        <v>0.13881046859009666</v>
      </c>
      <c r="L10" s="19">
        <v>79650611</v>
      </c>
      <c r="M10" s="70">
        <v>352705.25</v>
      </c>
      <c r="N10" s="161">
        <v>225.82768756631776</v>
      </c>
      <c r="O10" s="162">
        <v>0.16569011764969904</v>
      </c>
      <c r="P10" s="163">
        <v>0.36865265191707736</v>
      </c>
    </row>
    <row r="11" spans="1:16" x14ac:dyDescent="0.2">
      <c r="A11" s="157">
        <v>2007</v>
      </c>
      <c r="B11" s="19">
        <v>91303923</v>
      </c>
      <c r="C11" s="70">
        <v>119521.67</v>
      </c>
      <c r="D11" s="158">
        <v>763.9110380569482</v>
      </c>
      <c r="E11" s="159">
        <v>-2.7295446749310939E-4</v>
      </c>
      <c r="F11" s="75">
        <v>9.1301482938497436E-2</v>
      </c>
      <c r="G11" s="19">
        <v>37615651</v>
      </c>
      <c r="H11" s="70">
        <v>99704</v>
      </c>
      <c r="I11" s="160">
        <v>377.27323878680897</v>
      </c>
      <c r="J11" s="159">
        <v>8.6742783722066805E-4</v>
      </c>
      <c r="K11" s="76">
        <v>0.13979830449187</v>
      </c>
      <c r="L11" s="19">
        <v>77379969</v>
      </c>
      <c r="M11" s="70">
        <v>353734.42</v>
      </c>
      <c r="N11" s="161">
        <v>218.75159618337398</v>
      </c>
      <c r="O11" s="162">
        <v>-3.1334029317666302E-2</v>
      </c>
      <c r="P11" s="163">
        <v>0.3257672495962059</v>
      </c>
    </row>
    <row r="12" spans="1:16" x14ac:dyDescent="0.2">
      <c r="A12" s="157">
        <v>2008</v>
      </c>
      <c r="B12" s="19">
        <v>113418531</v>
      </c>
      <c r="C12" s="70">
        <v>122787.12000000001</v>
      </c>
      <c r="D12" s="158">
        <v>923.70055588892376</v>
      </c>
      <c r="E12" s="159">
        <v>0.20917294013503118</v>
      </c>
      <c r="F12" s="75">
        <v>0.31957222269846253</v>
      </c>
      <c r="G12" s="19">
        <v>37969222</v>
      </c>
      <c r="H12" s="70">
        <v>96879.83</v>
      </c>
      <c r="I12" s="160">
        <v>391.92081571571708</v>
      </c>
      <c r="J12" s="159">
        <v>3.882485006360395E-2</v>
      </c>
      <c r="K12" s="76">
        <v>0.18405080276651686</v>
      </c>
      <c r="L12" s="19">
        <v>77801826</v>
      </c>
      <c r="M12" s="70">
        <v>353287.81000000006</v>
      </c>
      <c r="N12" s="161">
        <v>220.22222051760005</v>
      </c>
      <c r="O12" s="162">
        <v>6.722805044097991E-3</v>
      </c>
      <c r="P12" s="163">
        <v>0.33468012434909122</v>
      </c>
    </row>
    <row r="13" spans="1:16" x14ac:dyDescent="0.2">
      <c r="A13" s="157">
        <v>2009</v>
      </c>
      <c r="B13" s="19">
        <v>124381077</v>
      </c>
      <c r="C13" s="70">
        <v>122803.47</v>
      </c>
      <c r="D13" s="158">
        <v>1012.8465995301273</v>
      </c>
      <c r="E13" s="159">
        <v>9.650967845896094E-2</v>
      </c>
      <c r="F13" s="75">
        <v>0.44692371361446753</v>
      </c>
      <c r="G13" s="19">
        <v>41299064</v>
      </c>
      <c r="H13" s="70">
        <v>97145.73</v>
      </c>
      <c r="I13" s="160">
        <v>425.12485108712451</v>
      </c>
      <c r="J13" s="159">
        <v>8.4721285626972773E-2</v>
      </c>
      <c r="K13" s="76">
        <v>0.28436510902454537</v>
      </c>
      <c r="L13" s="19">
        <v>87339247</v>
      </c>
      <c r="M13" s="70">
        <v>352998.40000000002</v>
      </c>
      <c r="N13" s="161">
        <v>247.42108462814559</v>
      </c>
      <c r="O13" s="162">
        <v>0.12350644747209705</v>
      </c>
      <c r="P13" s="163">
        <v>0.49952172501906422</v>
      </c>
    </row>
    <row r="14" spans="1:16" x14ac:dyDescent="0.2">
      <c r="A14" s="157">
        <v>2010</v>
      </c>
      <c r="B14" s="19">
        <v>138362829</v>
      </c>
      <c r="C14" s="70">
        <v>127880.31</v>
      </c>
      <c r="D14" s="158">
        <v>1081.971329284391</v>
      </c>
      <c r="E14" s="159">
        <v>6.8247975346248491E-2</v>
      </c>
      <c r="F14" s="75">
        <v>0.54567332754913001</v>
      </c>
      <c r="G14" s="19">
        <v>42994419</v>
      </c>
      <c r="H14" s="70">
        <v>106912.67</v>
      </c>
      <c r="I14" s="160">
        <v>402.14521814860672</v>
      </c>
      <c r="J14" s="159">
        <v>-5.4053845310982257E-2</v>
      </c>
      <c r="K14" s="76">
        <v>0.21494023609850971</v>
      </c>
      <c r="L14" s="19">
        <v>89206682</v>
      </c>
      <c r="M14" s="70">
        <v>342243.34</v>
      </c>
      <c r="N14" s="161">
        <v>260.65279166571946</v>
      </c>
      <c r="O14" s="162">
        <v>5.3478494193249876E-2</v>
      </c>
      <c r="P14" s="163">
        <v>0.57971388888314823</v>
      </c>
    </row>
    <row r="15" spans="1:16" x14ac:dyDescent="0.2">
      <c r="A15" s="157">
        <v>2011</v>
      </c>
      <c r="B15" s="19">
        <v>153117184</v>
      </c>
      <c r="C15" s="70">
        <v>127906.01</v>
      </c>
      <c r="D15" s="158">
        <v>1197.1070319526034</v>
      </c>
      <c r="E15" s="159">
        <v>0.10641289612023491</v>
      </c>
      <c r="F15" s="75">
        <v>0.71015290278943344</v>
      </c>
      <c r="G15" s="19">
        <v>56787275</v>
      </c>
      <c r="H15" s="70">
        <v>106913.37</v>
      </c>
      <c r="I15" s="160">
        <v>531.15223100721641</v>
      </c>
      <c r="J15" s="159">
        <v>0.32079708283622332</v>
      </c>
      <c r="K15" s="76">
        <v>0.6046895196592641</v>
      </c>
      <c r="L15" s="19">
        <v>96916582</v>
      </c>
      <c r="M15" s="70">
        <v>341597.33</v>
      </c>
      <c r="N15" s="161">
        <v>283.7158651093672</v>
      </c>
      <c r="O15" s="162">
        <v>8.8481973648782325E-2</v>
      </c>
      <c r="P15" s="163">
        <v>0.71949009157192245</v>
      </c>
    </row>
    <row r="16" spans="1:16" x14ac:dyDescent="0.2">
      <c r="A16" s="164">
        <v>2012</v>
      </c>
      <c r="B16" s="19">
        <v>152415994</v>
      </c>
      <c r="C16" s="70">
        <v>127090.96</v>
      </c>
      <c r="D16" s="158">
        <v>1199.2669974323901</v>
      </c>
      <c r="E16" s="159">
        <v>1.8043211025697363E-3</v>
      </c>
      <c r="F16" s="75">
        <v>0.71323856776055727</v>
      </c>
      <c r="G16" s="19">
        <v>64813737</v>
      </c>
      <c r="H16" s="70">
        <v>107195.96</v>
      </c>
      <c r="I16" s="160">
        <v>604.62854197117122</v>
      </c>
      <c r="J16" s="159">
        <v>0.13833380841613471</v>
      </c>
      <c r="K16" s="76">
        <v>0.82667233223918801</v>
      </c>
      <c r="L16" s="19">
        <v>97079045</v>
      </c>
      <c r="M16" s="70">
        <v>342118.26</v>
      </c>
      <c r="N16" s="161">
        <v>283.75873594119179</v>
      </c>
      <c r="O16" s="162">
        <v>1.5110480976473001E-4</v>
      </c>
      <c r="P16" s="163">
        <v>0.71974991479510175</v>
      </c>
    </row>
    <row r="17" spans="1:18" ht="13.5" thickBot="1" x14ac:dyDescent="0.25">
      <c r="A17" s="165">
        <v>2013</v>
      </c>
      <c r="B17" s="166">
        <v>201550746</v>
      </c>
      <c r="C17" s="167">
        <v>126953.96</v>
      </c>
      <c r="D17" s="168">
        <v>1587.5892803973975</v>
      </c>
      <c r="E17" s="169">
        <v>0.3237996908081342</v>
      </c>
      <c r="F17" s="121">
        <v>1.2679846862819963</v>
      </c>
      <c r="G17" s="166">
        <v>78551720</v>
      </c>
      <c r="H17" s="167">
        <v>107301.81</v>
      </c>
      <c r="I17" s="170">
        <v>732.06332679756292</v>
      </c>
      <c r="J17" s="169">
        <v>0.21076541377113456</v>
      </c>
      <c r="K17" s="122">
        <v>1.2116716821678639</v>
      </c>
      <c r="L17" s="166">
        <v>109526080</v>
      </c>
      <c r="M17" s="167">
        <v>342045.87</v>
      </c>
      <c r="N17" s="171">
        <v>320.20874861023759</v>
      </c>
      <c r="O17" s="172">
        <v>0.12845423964885427</v>
      </c>
      <c r="P17" s="173">
        <v>0.94065908248628849</v>
      </c>
    </row>
    <row r="18" spans="1:18" s="175" customFormat="1" ht="12.75" customHeight="1" x14ac:dyDescent="0.2">
      <c r="A18" s="37"/>
      <c r="B18" s="38"/>
      <c r="C18" s="38"/>
      <c r="D18" s="38"/>
      <c r="E18" s="174"/>
      <c r="F18" s="41"/>
      <c r="G18" s="38"/>
      <c r="H18" s="39"/>
      <c r="I18" s="39"/>
      <c r="J18" s="40"/>
      <c r="K18" s="41"/>
      <c r="L18" s="38"/>
      <c r="M18" s="39"/>
      <c r="N18" s="40"/>
      <c r="O18" s="40"/>
      <c r="P18" s="41"/>
    </row>
    <row r="19" spans="1:18" s="175" customFormat="1" ht="12.75" customHeight="1" x14ac:dyDescent="0.2">
      <c r="A19" s="42" t="s">
        <v>82</v>
      </c>
      <c r="B19" s="37"/>
      <c r="C19" s="176"/>
      <c r="D19" s="177">
        <v>8.5335508239387847E-2</v>
      </c>
      <c r="E19" s="174"/>
      <c r="F19" s="41"/>
      <c r="G19" s="178"/>
      <c r="H19" s="39"/>
      <c r="I19" s="177">
        <v>8.261007830087462E-2</v>
      </c>
      <c r="J19" s="40"/>
      <c r="K19" s="41"/>
      <c r="L19" s="38"/>
      <c r="M19" s="39"/>
      <c r="N19" s="177">
        <v>6.8550187646154948E-2</v>
      </c>
      <c r="O19" s="40"/>
      <c r="P19" s="41"/>
      <c r="Q19" s="179"/>
      <c r="R19" s="179"/>
    </row>
    <row r="20" spans="1:18" s="175" customFormat="1" ht="12.75" customHeight="1" thickBot="1" x14ac:dyDescent="0.25">
      <c r="A20" s="37"/>
      <c r="B20" s="38"/>
      <c r="C20" s="38"/>
      <c r="D20" s="38"/>
      <c r="E20" s="174"/>
      <c r="F20" s="41"/>
      <c r="G20" s="38"/>
      <c r="H20" s="39"/>
      <c r="I20" s="39"/>
      <c r="J20" s="40"/>
      <c r="K20" s="41"/>
      <c r="L20" s="38"/>
      <c r="M20" s="39"/>
      <c r="N20" s="40"/>
      <c r="O20" s="40"/>
      <c r="P20" s="41"/>
    </row>
    <row r="21" spans="1:18" ht="14.25" x14ac:dyDescent="0.2">
      <c r="A21" s="1"/>
      <c r="B21" s="2"/>
      <c r="C21" s="145" t="s">
        <v>83</v>
      </c>
      <c r="D21" s="5"/>
      <c r="E21" s="3"/>
      <c r="F21" s="180"/>
      <c r="G21" s="2"/>
      <c r="H21" s="145" t="s">
        <v>84</v>
      </c>
      <c r="I21" s="5"/>
      <c r="J21" s="3"/>
      <c r="K21" s="180"/>
      <c r="L21" s="2" t="s">
        <v>85</v>
      </c>
      <c r="M21" s="3"/>
      <c r="N21" s="3"/>
      <c r="O21" s="3"/>
      <c r="P21" s="180"/>
    </row>
    <row r="22" spans="1:18" x14ac:dyDescent="0.2">
      <c r="A22" s="59" t="s">
        <v>76</v>
      </c>
      <c r="B22" s="60"/>
      <c r="C22" s="149"/>
      <c r="D22" s="181" t="s">
        <v>77</v>
      </c>
      <c r="E22" s="63" t="s">
        <v>58</v>
      </c>
      <c r="F22" s="182" t="s">
        <v>8</v>
      </c>
      <c r="G22" s="60"/>
      <c r="H22" s="149"/>
      <c r="I22" s="181" t="s">
        <v>77</v>
      </c>
      <c r="J22" s="63" t="s">
        <v>58</v>
      </c>
      <c r="K22" s="182" t="s">
        <v>8</v>
      </c>
      <c r="L22" s="60"/>
      <c r="M22" s="151"/>
      <c r="N22" s="183" t="s">
        <v>77</v>
      </c>
      <c r="O22" s="63" t="s">
        <v>58</v>
      </c>
      <c r="P22" s="184" t="s">
        <v>8</v>
      </c>
    </row>
    <row r="23" spans="1:18" ht="13.5" thickBot="1" x14ac:dyDescent="0.25">
      <c r="A23" s="8" t="s">
        <v>4</v>
      </c>
      <c r="B23" s="9" t="s">
        <v>5</v>
      </c>
      <c r="C23" s="12" t="s">
        <v>78</v>
      </c>
      <c r="D23" s="185" t="s">
        <v>79</v>
      </c>
      <c r="E23" s="10" t="s">
        <v>80</v>
      </c>
      <c r="F23" s="126" t="s">
        <v>81</v>
      </c>
      <c r="G23" s="9" t="s">
        <v>5</v>
      </c>
      <c r="H23" s="12" t="s">
        <v>78</v>
      </c>
      <c r="I23" s="185" t="s">
        <v>79</v>
      </c>
      <c r="J23" s="10" t="s">
        <v>80</v>
      </c>
      <c r="K23" s="126" t="s">
        <v>81</v>
      </c>
      <c r="L23" s="9" t="s">
        <v>5</v>
      </c>
      <c r="M23" s="12" t="s">
        <v>78</v>
      </c>
      <c r="N23" s="186" t="s">
        <v>79</v>
      </c>
      <c r="O23" s="10" t="s">
        <v>80</v>
      </c>
      <c r="P23" s="14" t="s">
        <v>81</v>
      </c>
    </row>
    <row r="24" spans="1:18" x14ac:dyDescent="0.2">
      <c r="A24" s="157">
        <v>2003</v>
      </c>
      <c r="B24" s="19">
        <v>43056</v>
      </c>
      <c r="C24" s="70">
        <v>4306</v>
      </c>
      <c r="D24" s="187">
        <v>10</v>
      </c>
      <c r="E24" s="159"/>
      <c r="F24" s="131"/>
      <c r="G24" s="19">
        <v>0</v>
      </c>
      <c r="H24" s="70">
        <v>0</v>
      </c>
      <c r="I24" s="187" t="s">
        <v>70</v>
      </c>
      <c r="J24" s="159"/>
      <c r="K24" s="131"/>
      <c r="L24" s="19">
        <v>175306712</v>
      </c>
      <c r="M24" s="70">
        <v>577496</v>
      </c>
      <c r="N24" s="188">
        <v>304</v>
      </c>
      <c r="O24" s="159" t="s">
        <v>70</v>
      </c>
      <c r="P24" s="132"/>
    </row>
    <row r="25" spans="1:18" x14ac:dyDescent="0.2">
      <c r="A25" s="157">
        <v>2004</v>
      </c>
      <c r="B25" s="19">
        <v>47966</v>
      </c>
      <c r="C25" s="70">
        <v>4305.6000000000004</v>
      </c>
      <c r="D25" s="187">
        <v>11.140375325157933</v>
      </c>
      <c r="E25" s="159">
        <v>0.11403753251579332</v>
      </c>
      <c r="F25" s="189">
        <v>0.11403753251579332</v>
      </c>
      <c r="G25" s="19">
        <v>0</v>
      </c>
      <c r="H25" s="70">
        <v>0</v>
      </c>
      <c r="I25" s="187" t="s">
        <v>70</v>
      </c>
      <c r="J25" s="159" t="s">
        <v>70</v>
      </c>
      <c r="K25" s="189" t="s">
        <v>70</v>
      </c>
      <c r="L25" s="19">
        <v>197628025</v>
      </c>
      <c r="M25" s="70">
        <v>577551.12</v>
      </c>
      <c r="N25" s="188">
        <v>342.18274046460164</v>
      </c>
      <c r="O25" s="159">
        <v>0.1256011199493475</v>
      </c>
      <c r="P25" s="190">
        <v>0.1256011199493475</v>
      </c>
    </row>
    <row r="26" spans="1:18" x14ac:dyDescent="0.2">
      <c r="A26" s="157">
        <v>2005</v>
      </c>
      <c r="B26" s="19">
        <v>46350</v>
      </c>
      <c r="C26" s="70">
        <v>4305.6000000000004</v>
      </c>
      <c r="D26" s="187">
        <v>10.765050167224079</v>
      </c>
      <c r="E26" s="159">
        <v>-3.3690530792644884E-2</v>
      </c>
      <c r="F26" s="189">
        <v>7.6505016722407865E-2</v>
      </c>
      <c r="G26" s="19">
        <v>0</v>
      </c>
      <c r="H26" s="70">
        <v>0</v>
      </c>
      <c r="I26" s="187" t="s">
        <v>70</v>
      </c>
      <c r="J26" s="159" t="s">
        <v>70</v>
      </c>
      <c r="K26" s="189" t="s">
        <v>70</v>
      </c>
      <c r="L26" s="19">
        <v>191623842</v>
      </c>
      <c r="M26" s="70">
        <v>577428</v>
      </c>
      <c r="N26" s="188">
        <v>331.8575510713024</v>
      </c>
      <c r="O26" s="159">
        <v>-3.0174489161201187E-2</v>
      </c>
      <c r="P26" s="190">
        <v>9.1636681155599989E-2</v>
      </c>
    </row>
    <row r="27" spans="1:18" x14ac:dyDescent="0.2">
      <c r="A27" s="157">
        <v>2006</v>
      </c>
      <c r="B27" s="19">
        <v>43056</v>
      </c>
      <c r="C27" s="70">
        <v>4305.6000000000004</v>
      </c>
      <c r="D27" s="187">
        <v>10</v>
      </c>
      <c r="E27" s="159">
        <v>-7.1067961165048404E-2</v>
      </c>
      <c r="F27" s="189">
        <v>0</v>
      </c>
      <c r="G27" s="19">
        <v>0</v>
      </c>
      <c r="H27" s="70">
        <v>0</v>
      </c>
      <c r="I27" s="187" t="s">
        <v>70</v>
      </c>
      <c r="J27" s="159" t="s">
        <v>70</v>
      </c>
      <c r="K27" s="189" t="s">
        <v>70</v>
      </c>
      <c r="L27" s="19">
        <v>209001297</v>
      </c>
      <c r="M27" s="70">
        <v>577305.05000000005</v>
      </c>
      <c r="N27" s="188">
        <v>362.02922008044095</v>
      </c>
      <c r="O27" s="159">
        <v>9.0917530463713675E-2</v>
      </c>
      <c r="P27" s="190">
        <v>0.19088559236987154</v>
      </c>
    </row>
    <row r="28" spans="1:18" x14ac:dyDescent="0.2">
      <c r="A28" s="157">
        <v>2007</v>
      </c>
      <c r="B28" s="19">
        <v>43231</v>
      </c>
      <c r="C28" s="70">
        <v>4323.1000000000004</v>
      </c>
      <c r="D28" s="187">
        <v>10</v>
      </c>
      <c r="E28" s="159">
        <v>0</v>
      </c>
      <c r="F28" s="189">
        <v>0</v>
      </c>
      <c r="G28" s="19">
        <v>0</v>
      </c>
      <c r="H28" s="70">
        <v>0</v>
      </c>
      <c r="I28" s="187" t="s">
        <v>70</v>
      </c>
      <c r="J28" s="159" t="s">
        <v>70</v>
      </c>
      <c r="K28" s="189" t="s">
        <v>70</v>
      </c>
      <c r="L28" s="19">
        <v>206342774</v>
      </c>
      <c r="M28" s="70">
        <v>577283.18999999994</v>
      </c>
      <c r="N28" s="188">
        <v>357.43769708589645</v>
      </c>
      <c r="O28" s="159">
        <v>-1.2682741447014395E-2</v>
      </c>
      <c r="P28" s="190">
        <v>0.17578189830886989</v>
      </c>
    </row>
    <row r="29" spans="1:18" x14ac:dyDescent="0.2">
      <c r="A29" s="157">
        <v>2008</v>
      </c>
      <c r="B29" s="19">
        <v>325811</v>
      </c>
      <c r="C29" s="70">
        <v>4344.1000000000004</v>
      </c>
      <c r="D29" s="187">
        <v>75.000805690476739</v>
      </c>
      <c r="E29" s="159">
        <v>6.5000805690476735</v>
      </c>
      <c r="F29" s="189">
        <v>6.5000805690476735</v>
      </c>
      <c r="G29" s="19">
        <v>0</v>
      </c>
      <c r="H29" s="70">
        <v>0</v>
      </c>
      <c r="I29" s="187" t="s">
        <v>70</v>
      </c>
      <c r="J29" s="159" t="s">
        <v>70</v>
      </c>
      <c r="K29" s="189" t="s">
        <v>70</v>
      </c>
      <c r="L29" s="19">
        <v>229515390</v>
      </c>
      <c r="M29" s="70">
        <v>577298.86</v>
      </c>
      <c r="N29" s="188">
        <v>397.56771735180632</v>
      </c>
      <c r="O29" s="159">
        <v>0.11227137090765825</v>
      </c>
      <c r="P29" s="190">
        <v>0.30778854392041555</v>
      </c>
    </row>
    <row r="30" spans="1:18" x14ac:dyDescent="0.2">
      <c r="A30" s="157">
        <v>2009</v>
      </c>
      <c r="B30" s="19">
        <v>340342</v>
      </c>
      <c r="C30" s="70">
        <v>4308.1000000000004</v>
      </c>
      <c r="D30" s="187">
        <v>79.000487453865972</v>
      </c>
      <c r="E30" s="159">
        <v>5.3328517294809474E-2</v>
      </c>
      <c r="F30" s="189">
        <v>6.9000487453865968</v>
      </c>
      <c r="G30" s="19">
        <v>0</v>
      </c>
      <c r="H30" s="70">
        <v>0</v>
      </c>
      <c r="I30" s="187" t="s">
        <v>70</v>
      </c>
      <c r="J30" s="159" t="s">
        <v>70</v>
      </c>
      <c r="K30" s="189" t="s">
        <v>70</v>
      </c>
      <c r="L30" s="19">
        <v>253359730</v>
      </c>
      <c r="M30" s="70">
        <v>577255.69999999995</v>
      </c>
      <c r="N30" s="188">
        <v>438.90381680076962</v>
      </c>
      <c r="O30" s="159">
        <v>0.10397247473789509</v>
      </c>
      <c r="P30" s="190">
        <v>0.44376255526568953</v>
      </c>
    </row>
    <row r="31" spans="1:18" x14ac:dyDescent="0.2">
      <c r="A31" s="157">
        <v>2010</v>
      </c>
      <c r="B31" s="19">
        <v>0</v>
      </c>
      <c r="C31" s="70">
        <v>0</v>
      </c>
      <c r="D31" s="187" t="s">
        <v>70</v>
      </c>
      <c r="E31" s="159" t="s">
        <v>70</v>
      </c>
      <c r="F31" s="189"/>
      <c r="G31" s="19">
        <v>131560</v>
      </c>
      <c r="H31" s="70">
        <v>469.18</v>
      </c>
      <c r="I31" s="187">
        <v>280.4041092970715</v>
      </c>
      <c r="J31" s="159" t="s">
        <v>70</v>
      </c>
      <c r="K31" s="189" t="s">
        <v>70</v>
      </c>
      <c r="L31" s="19">
        <v>270695490</v>
      </c>
      <c r="M31" s="70">
        <v>577505.5</v>
      </c>
      <c r="N31" s="188">
        <v>468.73231510349251</v>
      </c>
      <c r="O31" s="159">
        <v>6.7961355451740937E-2</v>
      </c>
      <c r="P31" s="190">
        <v>0.54188261547201488</v>
      </c>
    </row>
    <row r="32" spans="1:18" x14ac:dyDescent="0.2">
      <c r="A32" s="157">
        <v>2011</v>
      </c>
      <c r="B32" s="19">
        <v>0</v>
      </c>
      <c r="C32" s="70">
        <v>0</v>
      </c>
      <c r="D32" s="187" t="s">
        <v>70</v>
      </c>
      <c r="E32" s="159" t="s">
        <v>70</v>
      </c>
      <c r="F32" s="189"/>
      <c r="G32" s="19">
        <v>182220</v>
      </c>
      <c r="H32" s="70">
        <v>485.18</v>
      </c>
      <c r="I32" s="187">
        <v>375.57195267735688</v>
      </c>
      <c r="J32" s="159">
        <v>0.3393953234810147</v>
      </c>
      <c r="K32" s="189" t="s">
        <v>70</v>
      </c>
      <c r="L32" s="19">
        <v>307003261</v>
      </c>
      <c r="M32" s="70">
        <v>576901.89</v>
      </c>
      <c r="N32" s="188">
        <v>532.15852872314213</v>
      </c>
      <c r="O32" s="159">
        <v>0.1353143608322494</v>
      </c>
      <c r="P32" s="190">
        <v>0.75052147606296749</v>
      </c>
    </row>
    <row r="33" spans="1:16" x14ac:dyDescent="0.2">
      <c r="A33" s="164">
        <v>2012</v>
      </c>
      <c r="B33" s="19">
        <v>0</v>
      </c>
      <c r="C33" s="70">
        <v>0</v>
      </c>
      <c r="D33" s="187" t="s">
        <v>70</v>
      </c>
      <c r="E33" s="159" t="s">
        <v>70</v>
      </c>
      <c r="F33" s="189"/>
      <c r="G33" s="19">
        <v>182220</v>
      </c>
      <c r="H33" s="70">
        <v>485.18</v>
      </c>
      <c r="I33" s="187">
        <v>375.57195267735688</v>
      </c>
      <c r="J33" s="159">
        <v>0</v>
      </c>
      <c r="K33" s="189" t="s">
        <v>70</v>
      </c>
      <c r="L33" s="19">
        <v>314490996</v>
      </c>
      <c r="M33" s="70">
        <v>576890.36</v>
      </c>
      <c r="N33" s="188">
        <v>545.14864141602231</v>
      </c>
      <c r="O33" s="159">
        <v>2.4410231146813684E-2</v>
      </c>
      <c r="P33" s="190">
        <v>0.79325210992112605</v>
      </c>
    </row>
    <row r="34" spans="1:16" ht="13.5" thickBot="1" x14ac:dyDescent="0.25">
      <c r="A34" s="165">
        <v>2013</v>
      </c>
      <c r="B34" s="166">
        <v>0</v>
      </c>
      <c r="C34" s="167">
        <v>0</v>
      </c>
      <c r="D34" s="191" t="s">
        <v>70</v>
      </c>
      <c r="E34" s="169" t="s">
        <v>70</v>
      </c>
      <c r="F34" s="192"/>
      <c r="G34" s="166">
        <v>196316</v>
      </c>
      <c r="H34" s="167">
        <v>485.18</v>
      </c>
      <c r="I34" s="191">
        <v>404.62508759635597</v>
      </c>
      <c r="J34" s="169">
        <v>7.735704093952353E-2</v>
      </c>
      <c r="K34" s="192" t="s">
        <v>70</v>
      </c>
      <c r="L34" s="166">
        <v>389824862</v>
      </c>
      <c r="M34" s="167">
        <v>576786.81999999995</v>
      </c>
      <c r="N34" s="193">
        <v>675.85605024747281</v>
      </c>
      <c r="O34" s="169">
        <v>0.23976471534797977</v>
      </c>
      <c r="P34" s="194">
        <v>1.223210691603529</v>
      </c>
    </row>
    <row r="35" spans="1:16" s="175" customFormat="1" ht="12.75" customHeight="1" x14ac:dyDescent="0.2">
      <c r="A35" s="37"/>
      <c r="B35" s="38"/>
      <c r="C35" s="38"/>
      <c r="D35" s="38"/>
      <c r="E35" s="174"/>
      <c r="F35" s="41"/>
      <c r="G35" s="38"/>
      <c r="H35" s="38"/>
      <c r="I35" s="38"/>
      <c r="J35" s="174"/>
      <c r="K35" s="41"/>
      <c r="L35" s="38"/>
      <c r="M35" s="38"/>
      <c r="N35" s="38"/>
      <c r="O35" s="174"/>
      <c r="P35" s="41"/>
    </row>
    <row r="36" spans="1:16" s="175" customFormat="1" x14ac:dyDescent="0.2">
      <c r="A36" s="42"/>
      <c r="B36" s="195">
        <v>29</v>
      </c>
      <c r="C36" s="97"/>
      <c r="D36" s="97"/>
      <c r="E36"/>
      <c r="F36" s="41"/>
      <c r="G36" s="196"/>
      <c r="H36" s="176"/>
      <c r="I36" s="179"/>
      <c r="J36" s="113"/>
      <c r="K36" s="42" t="s">
        <v>82</v>
      </c>
      <c r="L36" s="38"/>
      <c r="M36" s="38"/>
      <c r="N36" s="177">
        <v>8.3173589390943048E-2</v>
      </c>
      <c r="O36" s="174"/>
      <c r="P36" s="41"/>
    </row>
    <row r="37" spans="1:16" x14ac:dyDescent="0.2">
      <c r="B37" s="197" t="s">
        <v>20</v>
      </c>
      <c r="C37" s="198"/>
      <c r="D37" s="51"/>
      <c r="E37" s="199"/>
      <c r="F37" s="58"/>
    </row>
    <row r="38" spans="1:16" ht="9.9499999999999993" customHeight="1" x14ac:dyDescent="0.2">
      <c r="G38" s="200"/>
      <c r="H38" s="44"/>
      <c r="J38" s="44"/>
    </row>
    <row r="39" spans="1:16" x14ac:dyDescent="0.2">
      <c r="B39" s="201" t="s">
        <v>86</v>
      </c>
      <c r="G39" s="53"/>
      <c r="H39" s="54"/>
    </row>
    <row r="40" spans="1:16" x14ac:dyDescent="0.2">
      <c r="B40" s="44" t="s">
        <v>87</v>
      </c>
      <c r="J40" s="201"/>
      <c r="M40" s="139" t="s">
        <v>88</v>
      </c>
      <c r="N40" s="56" t="s">
        <v>17</v>
      </c>
      <c r="O40" s="57" t="s">
        <v>21</v>
      </c>
      <c r="P40" s="57" t="s">
        <v>89</v>
      </c>
    </row>
    <row r="41" spans="1:16" x14ac:dyDescent="0.2">
      <c r="N41" s="44"/>
    </row>
  </sheetData>
  <printOptions horizontalCentered="1"/>
  <pageMargins left="0.25" right="0.25" top="1" bottom="0.25" header="0" footer="0"/>
  <pageSetup scale="73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7"/>
  <sheetViews>
    <sheetView topLeftCell="A12" zoomScale="80" zoomScaleNormal="80" workbookViewId="0">
      <selection activeCell="A14" sqref="A14:IV52"/>
    </sheetView>
  </sheetViews>
  <sheetFormatPr defaultRowHeight="12.75" x14ac:dyDescent="0.2"/>
  <cols>
    <col min="1" max="1" width="12" customWidth="1"/>
    <col min="2" max="2" width="24.7109375" customWidth="1"/>
    <col min="3" max="3" width="17.140625" bestFit="1" customWidth="1"/>
    <col min="4" max="4" width="16.28515625" customWidth="1"/>
    <col min="5" max="5" width="17.28515625" customWidth="1"/>
    <col min="6" max="6" width="18.85546875" bestFit="1" customWidth="1"/>
    <col min="7" max="7" width="18.42578125" bestFit="1" customWidth="1"/>
    <col min="8" max="8" width="17.140625" bestFit="1" customWidth="1"/>
    <col min="9" max="9" width="18.85546875" bestFit="1" customWidth="1"/>
    <col min="10" max="10" width="18" bestFit="1" customWidth="1"/>
    <col min="11" max="11" width="17.140625" bestFit="1" customWidth="1"/>
    <col min="12" max="12" width="17.42578125" bestFit="1" customWidth="1"/>
    <col min="13" max="13" width="14.85546875" bestFit="1" customWidth="1"/>
    <col min="14" max="14" width="19" customWidth="1"/>
    <col min="15" max="15" width="16.140625" customWidth="1"/>
  </cols>
  <sheetData>
    <row r="1" spans="1:15" x14ac:dyDescent="0.2">
      <c r="A1" s="202"/>
    </row>
    <row r="2" spans="1:15" s="203" customFormat="1" ht="15.75" x14ac:dyDescent="0.25">
      <c r="B2" s="204" t="s">
        <v>90</v>
      </c>
      <c r="C2" s="204"/>
      <c r="D2" s="204"/>
      <c r="E2" s="204"/>
      <c r="F2" s="142"/>
    </row>
    <row r="3" spans="1:15" ht="12.75" customHeight="1" x14ac:dyDescent="0.2">
      <c r="A3" s="205" t="s">
        <v>91</v>
      </c>
      <c r="B3" s="206" t="s">
        <v>92</v>
      </c>
      <c r="C3" s="207" t="s">
        <v>93</v>
      </c>
      <c r="D3" s="207" t="s">
        <v>94</v>
      </c>
      <c r="E3" s="207" t="s">
        <v>95</v>
      </c>
      <c r="F3" s="207" t="s">
        <v>96</v>
      </c>
      <c r="G3" s="207" t="s">
        <v>97</v>
      </c>
      <c r="H3" s="207" t="s">
        <v>98</v>
      </c>
      <c r="I3" s="207" t="s">
        <v>99</v>
      </c>
      <c r="J3" s="207" t="s">
        <v>100</v>
      </c>
      <c r="K3" s="207" t="s">
        <v>101</v>
      </c>
      <c r="L3" s="207" t="s">
        <v>102</v>
      </c>
      <c r="M3" s="207" t="s">
        <v>103</v>
      </c>
      <c r="N3" s="207" t="s">
        <v>38</v>
      </c>
    </row>
    <row r="4" spans="1:15" ht="12.75" customHeight="1" x14ac:dyDescent="0.2">
      <c r="A4" s="208">
        <v>2008</v>
      </c>
      <c r="B4" s="209" t="s">
        <v>20</v>
      </c>
      <c r="C4" s="208">
        <v>36074806</v>
      </c>
      <c r="D4" s="208">
        <v>10295081</v>
      </c>
      <c r="E4" s="208">
        <v>17836887</v>
      </c>
      <c r="F4" s="208">
        <v>31579872</v>
      </c>
      <c r="G4" s="208">
        <v>7704029</v>
      </c>
      <c r="H4" s="208">
        <v>0</v>
      </c>
      <c r="I4" s="208">
        <v>226412</v>
      </c>
      <c r="J4" s="208">
        <v>389767699</v>
      </c>
      <c r="K4" s="208">
        <v>16963297</v>
      </c>
      <c r="L4" s="208">
        <v>12394376</v>
      </c>
      <c r="M4" s="208">
        <v>44490578</v>
      </c>
      <c r="N4" s="208">
        <v>567333037</v>
      </c>
      <c r="O4" s="23"/>
    </row>
    <row r="5" spans="1:15" x14ac:dyDescent="0.2">
      <c r="A5" s="210" t="s">
        <v>104</v>
      </c>
      <c r="B5" s="211"/>
      <c r="C5" s="212">
        <v>6.3586647784095118E-2</v>
      </c>
      <c r="D5" s="212">
        <v>1.8146450723968682E-2</v>
      </c>
      <c r="E5" s="212">
        <v>3.1439887749741602E-2</v>
      </c>
      <c r="F5" s="212">
        <v>5.5663728252088374E-2</v>
      </c>
      <c r="G5" s="212">
        <v>1.3579376658088043E-2</v>
      </c>
      <c r="H5" s="212" t="s">
        <v>70</v>
      </c>
      <c r="I5" s="212">
        <v>3.990812895318839E-4</v>
      </c>
      <c r="J5" s="212">
        <v>0.68701745461722508</v>
      </c>
      <c r="K5" s="212">
        <v>2.9900069084113641E-2</v>
      </c>
      <c r="L5" s="212">
        <v>2.1846737615599143E-2</v>
      </c>
      <c r="M5" s="212">
        <v>7.8420566225548397E-2</v>
      </c>
      <c r="N5" s="212">
        <v>1</v>
      </c>
      <c r="O5" s="58"/>
    </row>
    <row r="6" spans="1:15" s="58" customFormat="1" ht="6" customHeight="1" x14ac:dyDescent="0.2">
      <c r="A6" s="47"/>
      <c r="B6" s="213"/>
      <c r="C6" s="213"/>
      <c r="D6" s="213"/>
      <c r="E6" s="213"/>
      <c r="F6" s="214"/>
      <c r="G6" s="214"/>
      <c r="H6" s="214"/>
      <c r="I6" s="214"/>
      <c r="J6" s="214"/>
      <c r="K6" s="214"/>
      <c r="L6" s="214"/>
      <c r="M6" s="214"/>
      <c r="N6" s="214"/>
    </row>
    <row r="7" spans="1:15" s="58" customFormat="1" ht="12.75" customHeight="1" x14ac:dyDescent="0.2">
      <c r="A7" s="205" t="s">
        <v>91</v>
      </c>
      <c r="B7" s="215" t="s">
        <v>105</v>
      </c>
      <c r="C7" s="207" t="s">
        <v>93</v>
      </c>
      <c r="D7" s="207" t="s">
        <v>94</v>
      </c>
      <c r="E7" s="207" t="s">
        <v>106</v>
      </c>
      <c r="F7" s="207" t="s">
        <v>96</v>
      </c>
      <c r="G7" s="207" t="s">
        <v>97</v>
      </c>
      <c r="H7" s="207" t="s">
        <v>98</v>
      </c>
      <c r="I7" s="207" t="s">
        <v>99</v>
      </c>
      <c r="J7" s="207" t="s">
        <v>100</v>
      </c>
      <c r="K7" s="207" t="s">
        <v>101</v>
      </c>
      <c r="L7" s="207" t="s">
        <v>102</v>
      </c>
      <c r="M7" s="207" t="s">
        <v>103</v>
      </c>
      <c r="N7" s="216" t="s">
        <v>38</v>
      </c>
    </row>
    <row r="8" spans="1:15" x14ac:dyDescent="0.2">
      <c r="A8" s="217">
        <v>953</v>
      </c>
      <c r="B8" s="217" t="s">
        <v>113</v>
      </c>
      <c r="C8" s="217">
        <v>4501264</v>
      </c>
      <c r="D8" s="217">
        <v>1880122</v>
      </c>
      <c r="E8" s="217">
        <v>683787</v>
      </c>
      <c r="F8" s="217">
        <v>22034738</v>
      </c>
      <c r="G8" s="217">
        <v>4831334</v>
      </c>
      <c r="H8" s="217">
        <v>0</v>
      </c>
      <c r="I8" s="217">
        <v>0</v>
      </c>
      <c r="J8" s="217">
        <v>0</v>
      </c>
      <c r="K8" s="217">
        <v>0</v>
      </c>
      <c r="L8" s="217">
        <v>0</v>
      </c>
      <c r="M8" s="217">
        <v>0</v>
      </c>
      <c r="N8" s="217">
        <v>33931245</v>
      </c>
      <c r="O8" s="23"/>
    </row>
    <row r="9" spans="1:15" s="220" customFormat="1" x14ac:dyDescent="0.2">
      <c r="A9" s="218">
        <v>0.47460159362549803</v>
      </c>
      <c r="B9" s="219" t="s">
        <v>107</v>
      </c>
      <c r="C9" s="218">
        <v>0.12477583386034009</v>
      </c>
      <c r="D9" s="218">
        <v>0.1826233324439118</v>
      </c>
      <c r="E9" s="218">
        <v>3.8335557095809374E-2</v>
      </c>
      <c r="F9" s="218">
        <v>0.69774627332245043</v>
      </c>
      <c r="G9" s="218">
        <v>0.62711783665404164</v>
      </c>
      <c r="H9" s="218" t="s">
        <v>69</v>
      </c>
      <c r="I9" s="218" t="s">
        <v>69</v>
      </c>
      <c r="J9" s="218" t="s">
        <v>69</v>
      </c>
      <c r="K9" s="218" t="s">
        <v>69</v>
      </c>
      <c r="L9" s="218" t="s">
        <v>69</v>
      </c>
      <c r="M9" s="218" t="s">
        <v>69</v>
      </c>
      <c r="N9" s="218">
        <v>5.9808336174859492E-2</v>
      </c>
    </row>
    <row r="10" spans="1:15" s="220" customFormat="1" x14ac:dyDescent="0.2">
      <c r="A10" s="221"/>
      <c r="B10" s="219" t="s">
        <v>108</v>
      </c>
      <c r="C10" s="218">
        <v>0.13265838020385046</v>
      </c>
      <c r="D10" s="218">
        <v>5.540975581650482E-2</v>
      </c>
      <c r="E10" s="218">
        <v>2.0152134117094732E-2</v>
      </c>
      <c r="F10" s="218">
        <v>0.64939373724718918</v>
      </c>
      <c r="G10" s="218">
        <v>0.14238599261536086</v>
      </c>
      <c r="H10" s="218" t="s">
        <v>69</v>
      </c>
      <c r="I10" s="218" t="s">
        <v>69</v>
      </c>
      <c r="J10" s="218" t="s">
        <v>69</v>
      </c>
      <c r="K10" s="218" t="s">
        <v>69</v>
      </c>
      <c r="L10" s="218" t="s">
        <v>69</v>
      </c>
      <c r="M10" s="218" t="s">
        <v>69</v>
      </c>
      <c r="N10" s="218">
        <v>1</v>
      </c>
    </row>
    <row r="11" spans="1:15" x14ac:dyDescent="0.2">
      <c r="A11" s="217">
        <v>158</v>
      </c>
      <c r="B11" s="217" t="s">
        <v>114</v>
      </c>
      <c r="C11" s="217">
        <v>32472</v>
      </c>
      <c r="D11" s="217">
        <v>662635</v>
      </c>
      <c r="E11" s="217">
        <v>401114</v>
      </c>
      <c r="F11" s="217">
        <v>2481670</v>
      </c>
      <c r="G11" s="217">
        <v>582001</v>
      </c>
      <c r="H11" s="217">
        <v>0</v>
      </c>
      <c r="I11" s="217">
        <v>0</v>
      </c>
      <c r="J11" s="217">
        <v>0</v>
      </c>
      <c r="K11" s="217">
        <v>0</v>
      </c>
      <c r="L11" s="217">
        <v>0</v>
      </c>
      <c r="M11" s="217">
        <v>0</v>
      </c>
      <c r="N11" s="217">
        <v>4159892</v>
      </c>
      <c r="O11" s="23"/>
    </row>
    <row r="12" spans="1:15" x14ac:dyDescent="0.2">
      <c r="A12" s="218">
        <v>7.8685258964143426E-2</v>
      </c>
      <c r="B12" s="219" t="s">
        <v>107</v>
      </c>
      <c r="C12" s="218">
        <v>9.0012958073842453E-4</v>
      </c>
      <c r="D12" s="218">
        <v>6.4364233753964634E-2</v>
      </c>
      <c r="E12" s="218">
        <v>2.248789264628968E-2</v>
      </c>
      <c r="F12" s="218">
        <v>7.8583915729614109E-2</v>
      </c>
      <c r="G12" s="218">
        <v>7.5545016769796691E-2</v>
      </c>
      <c r="H12" s="218" t="s">
        <v>69</v>
      </c>
      <c r="I12" s="218" t="s">
        <v>69</v>
      </c>
      <c r="J12" s="218" t="s">
        <v>69</v>
      </c>
      <c r="K12" s="218" t="s">
        <v>69</v>
      </c>
      <c r="L12" s="218" t="s">
        <v>69</v>
      </c>
      <c r="M12" s="218" t="s">
        <v>69</v>
      </c>
      <c r="N12" s="218">
        <v>7.3323634068572672E-3</v>
      </c>
    </row>
    <row r="13" spans="1:15" x14ac:dyDescent="0.2">
      <c r="A13" s="222"/>
      <c r="B13" s="219" t="s">
        <v>108</v>
      </c>
      <c r="C13" s="218">
        <v>7.8059718858085742E-3</v>
      </c>
      <c r="D13" s="218">
        <v>0.15929139506506418</v>
      </c>
      <c r="E13" s="218">
        <v>9.6424137934350215E-2</v>
      </c>
      <c r="F13" s="218">
        <v>0.59657077635669387</v>
      </c>
      <c r="G13" s="218">
        <v>0.13990771875808314</v>
      </c>
      <c r="H13" s="218" t="s">
        <v>69</v>
      </c>
      <c r="I13" s="218" t="s">
        <v>69</v>
      </c>
      <c r="J13" s="218" t="s">
        <v>69</v>
      </c>
      <c r="K13" s="218" t="s">
        <v>69</v>
      </c>
      <c r="L13" s="218" t="s">
        <v>69</v>
      </c>
      <c r="M13" s="218" t="s">
        <v>69</v>
      </c>
      <c r="N13" s="218">
        <v>1</v>
      </c>
    </row>
    <row r="14" spans="1:15" x14ac:dyDescent="0.2">
      <c r="A14" s="217"/>
      <c r="B14" s="217"/>
      <c r="C14" s="217"/>
      <c r="D14" s="217"/>
      <c r="E14" s="217"/>
      <c r="F14" s="217"/>
      <c r="G14" s="217"/>
      <c r="H14" s="217"/>
      <c r="I14" s="217"/>
      <c r="J14" s="217"/>
      <c r="K14" s="217"/>
      <c r="L14" s="217"/>
      <c r="M14" s="217"/>
      <c r="N14" s="217"/>
      <c r="O14" s="23"/>
    </row>
    <row r="15" spans="1:15" x14ac:dyDescent="0.2">
      <c r="A15" s="218"/>
      <c r="B15" s="219"/>
      <c r="C15" s="218"/>
      <c r="D15" s="218"/>
      <c r="E15" s="218"/>
      <c r="F15" s="218"/>
      <c r="G15" s="218"/>
      <c r="H15" s="218"/>
      <c r="I15" s="218"/>
      <c r="J15" s="218"/>
      <c r="K15" s="218"/>
      <c r="L15" s="218"/>
      <c r="M15" s="218"/>
      <c r="N15" s="218"/>
    </row>
    <row r="16" spans="1:15" x14ac:dyDescent="0.2">
      <c r="A16" s="222"/>
      <c r="B16" s="219"/>
      <c r="C16" s="218"/>
      <c r="D16" s="218"/>
      <c r="E16" s="218"/>
      <c r="F16" s="218"/>
      <c r="G16" s="218"/>
      <c r="H16" s="218"/>
      <c r="I16" s="218"/>
      <c r="J16" s="218"/>
      <c r="K16" s="218"/>
      <c r="L16" s="218"/>
      <c r="M16" s="218"/>
      <c r="N16" s="218"/>
    </row>
    <row r="17" spans="1:15" x14ac:dyDescent="0.2">
      <c r="A17" s="217"/>
      <c r="B17" s="217"/>
      <c r="C17" s="217"/>
      <c r="D17" s="217"/>
      <c r="E17" s="217"/>
      <c r="F17" s="217"/>
      <c r="G17" s="217"/>
      <c r="H17" s="217"/>
      <c r="I17" s="217"/>
      <c r="J17" s="217"/>
      <c r="K17" s="217"/>
      <c r="L17" s="217"/>
      <c r="M17" s="217"/>
      <c r="N17" s="217"/>
      <c r="O17" s="23"/>
    </row>
    <row r="18" spans="1:15" x14ac:dyDescent="0.2">
      <c r="A18" s="218"/>
      <c r="B18" s="219"/>
      <c r="C18" s="218"/>
      <c r="D18" s="218"/>
      <c r="E18" s="218"/>
      <c r="F18" s="218"/>
      <c r="G18" s="218"/>
      <c r="H18" s="218"/>
      <c r="I18" s="218"/>
      <c r="J18" s="218"/>
      <c r="K18" s="218"/>
      <c r="L18" s="218"/>
      <c r="M18" s="218"/>
      <c r="N18" s="218"/>
    </row>
    <row r="19" spans="1:15" x14ac:dyDescent="0.2">
      <c r="A19" s="222"/>
      <c r="B19" s="219"/>
      <c r="C19" s="218"/>
      <c r="D19" s="218"/>
      <c r="E19" s="218"/>
      <c r="F19" s="218"/>
      <c r="G19" s="218"/>
      <c r="H19" s="218"/>
      <c r="I19" s="218"/>
      <c r="J19" s="218"/>
      <c r="K19" s="218"/>
      <c r="L19" s="218"/>
      <c r="M19" s="218"/>
      <c r="N19" s="218"/>
    </row>
    <row r="20" spans="1:15" x14ac:dyDescent="0.2">
      <c r="A20" s="217"/>
      <c r="B20" s="217"/>
      <c r="C20" s="217"/>
      <c r="D20" s="217"/>
      <c r="E20" s="217"/>
      <c r="F20" s="217"/>
      <c r="G20" s="217"/>
      <c r="H20" s="217"/>
      <c r="I20" s="217"/>
      <c r="J20" s="217"/>
      <c r="K20" s="217"/>
      <c r="L20" s="217"/>
      <c r="M20" s="217"/>
      <c r="N20" s="217"/>
      <c r="O20" s="23"/>
    </row>
    <row r="21" spans="1:15" x14ac:dyDescent="0.2">
      <c r="A21" s="218"/>
      <c r="B21" s="219"/>
      <c r="C21" s="218"/>
      <c r="D21" s="218"/>
      <c r="E21" s="218"/>
      <c r="F21" s="218"/>
      <c r="G21" s="218"/>
      <c r="H21" s="218"/>
      <c r="I21" s="218"/>
      <c r="J21" s="218"/>
      <c r="K21" s="218"/>
      <c r="L21" s="218"/>
      <c r="M21" s="218"/>
      <c r="N21" s="218"/>
      <c r="O21" s="23"/>
    </row>
    <row r="22" spans="1:15" x14ac:dyDescent="0.2">
      <c r="A22" s="222"/>
      <c r="B22" s="219"/>
      <c r="C22" s="218"/>
      <c r="D22" s="218"/>
      <c r="E22" s="218"/>
      <c r="F22" s="218"/>
      <c r="G22" s="218"/>
      <c r="H22" s="218"/>
      <c r="I22" s="218"/>
      <c r="J22" s="218"/>
      <c r="K22" s="218"/>
      <c r="L22" s="218"/>
      <c r="M22" s="218"/>
      <c r="N22" s="218"/>
    </row>
    <row r="23" spans="1:15" x14ac:dyDescent="0.2">
      <c r="A23" s="217"/>
      <c r="B23" s="217"/>
      <c r="C23" s="217"/>
      <c r="D23" s="217"/>
      <c r="E23" s="217"/>
      <c r="F23" s="217"/>
      <c r="G23" s="217"/>
      <c r="H23" s="217"/>
      <c r="I23" s="217"/>
      <c r="J23" s="217"/>
      <c r="K23" s="217"/>
      <c r="L23" s="217"/>
      <c r="M23" s="217"/>
      <c r="N23" s="217"/>
      <c r="O23" s="23"/>
    </row>
    <row r="24" spans="1:15" x14ac:dyDescent="0.2">
      <c r="A24" s="218"/>
      <c r="B24" s="219"/>
      <c r="C24" s="218"/>
      <c r="D24" s="218"/>
      <c r="E24" s="218"/>
      <c r="F24" s="218"/>
      <c r="G24" s="218"/>
      <c r="H24" s="218"/>
      <c r="I24" s="218"/>
      <c r="J24" s="218"/>
      <c r="K24" s="218"/>
      <c r="L24" s="218"/>
      <c r="M24" s="218"/>
      <c r="N24" s="218"/>
    </row>
    <row r="25" spans="1:15" x14ac:dyDescent="0.2">
      <c r="A25" s="222"/>
      <c r="B25" s="219"/>
      <c r="C25" s="218"/>
      <c r="D25" s="218"/>
      <c r="E25" s="218"/>
      <c r="F25" s="218"/>
      <c r="G25" s="218"/>
      <c r="H25" s="218"/>
      <c r="I25" s="218"/>
      <c r="J25" s="218"/>
      <c r="K25" s="218"/>
      <c r="L25" s="218"/>
      <c r="M25" s="218"/>
      <c r="N25" s="218"/>
    </row>
    <row r="26" spans="1:15" x14ac:dyDescent="0.2">
      <c r="A26" s="217"/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3"/>
    </row>
    <row r="27" spans="1:15" x14ac:dyDescent="0.2">
      <c r="A27" s="218"/>
      <c r="B27" s="219"/>
      <c r="C27" s="218"/>
      <c r="D27" s="218"/>
      <c r="E27" s="218"/>
      <c r="F27" s="218"/>
      <c r="G27" s="218"/>
      <c r="H27" s="218"/>
      <c r="I27" s="218"/>
      <c r="J27" s="218"/>
      <c r="K27" s="218"/>
      <c r="L27" s="218"/>
      <c r="M27" s="218"/>
      <c r="N27" s="218"/>
    </row>
    <row r="28" spans="1:15" x14ac:dyDescent="0.2">
      <c r="A28" s="222"/>
      <c r="B28" s="219"/>
      <c r="C28" s="218"/>
      <c r="D28" s="218"/>
      <c r="E28" s="218"/>
      <c r="F28" s="218"/>
      <c r="G28" s="218"/>
      <c r="H28" s="218"/>
      <c r="I28" s="218"/>
      <c r="J28" s="218"/>
      <c r="K28" s="218"/>
      <c r="L28" s="218"/>
      <c r="M28" s="218"/>
      <c r="N28" s="218"/>
    </row>
    <row r="29" spans="1:15" x14ac:dyDescent="0.2">
      <c r="A29" s="217"/>
      <c r="B29" s="217"/>
      <c r="C29" s="217"/>
      <c r="D29" s="217"/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3"/>
    </row>
    <row r="30" spans="1:15" x14ac:dyDescent="0.2">
      <c r="A30" s="218"/>
      <c r="B30" s="219"/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8"/>
    </row>
    <row r="31" spans="1:15" x14ac:dyDescent="0.2">
      <c r="A31" s="222"/>
      <c r="B31" s="219"/>
      <c r="C31" s="218"/>
      <c r="D31" s="218"/>
      <c r="E31" s="218"/>
      <c r="F31" s="218"/>
      <c r="G31" s="218"/>
      <c r="H31" s="218"/>
      <c r="I31" s="218"/>
      <c r="J31" s="218"/>
      <c r="K31" s="218"/>
      <c r="L31" s="218"/>
      <c r="M31" s="218"/>
      <c r="N31" s="218"/>
    </row>
    <row r="32" spans="1:15" x14ac:dyDescent="0.2">
      <c r="A32" s="223"/>
      <c r="B32" s="217"/>
      <c r="C32" s="217"/>
      <c r="D32" s="217"/>
      <c r="E32" s="217"/>
      <c r="F32" s="217"/>
      <c r="G32" s="217"/>
      <c r="H32" s="217"/>
      <c r="I32" s="217"/>
      <c r="J32" s="217"/>
      <c r="K32" s="217"/>
      <c r="L32" s="217"/>
      <c r="M32" s="217"/>
      <c r="N32" s="217"/>
      <c r="O32" s="23"/>
    </row>
    <row r="33" spans="1:15" x14ac:dyDescent="0.2">
      <c r="A33" s="218"/>
      <c r="B33" s="219"/>
      <c r="C33" s="218"/>
      <c r="D33" s="218"/>
      <c r="E33" s="218"/>
      <c r="F33" s="218"/>
      <c r="G33" s="218"/>
      <c r="H33" s="218"/>
      <c r="I33" s="218"/>
      <c r="J33" s="218"/>
      <c r="K33" s="218"/>
      <c r="L33" s="218"/>
      <c r="M33" s="218"/>
      <c r="N33" s="218"/>
    </row>
    <row r="34" spans="1:15" x14ac:dyDescent="0.2">
      <c r="A34" s="222"/>
      <c r="B34" s="219"/>
      <c r="C34" s="218"/>
      <c r="D34" s="218"/>
      <c r="E34" s="218"/>
      <c r="F34" s="218"/>
      <c r="G34" s="218"/>
      <c r="H34" s="218"/>
      <c r="I34" s="218"/>
      <c r="J34" s="218"/>
      <c r="K34" s="218"/>
      <c r="L34" s="218"/>
      <c r="M34" s="218"/>
      <c r="N34" s="218"/>
    </row>
    <row r="35" spans="1:15" x14ac:dyDescent="0.2">
      <c r="A35" s="223"/>
      <c r="B35" s="217"/>
      <c r="C35" s="217"/>
      <c r="D35" s="217"/>
      <c r="E35" s="217"/>
      <c r="F35" s="217"/>
      <c r="G35" s="217"/>
      <c r="H35" s="217"/>
      <c r="I35" s="217"/>
      <c r="J35" s="217"/>
      <c r="K35" s="217"/>
      <c r="L35" s="217"/>
      <c r="M35" s="217"/>
      <c r="N35" s="217"/>
      <c r="O35" s="23"/>
    </row>
    <row r="36" spans="1:15" x14ac:dyDescent="0.2">
      <c r="A36" s="218"/>
      <c r="B36" s="219"/>
      <c r="C36" s="218"/>
      <c r="D36" s="218"/>
      <c r="E36" s="218"/>
      <c r="F36" s="218"/>
      <c r="G36" s="218"/>
      <c r="H36" s="218"/>
      <c r="I36" s="218"/>
      <c r="J36" s="218"/>
      <c r="K36" s="218"/>
      <c r="L36" s="218"/>
      <c r="M36" s="218"/>
      <c r="N36" s="218"/>
    </row>
    <row r="37" spans="1:15" x14ac:dyDescent="0.2">
      <c r="A37" s="222"/>
      <c r="B37" s="219"/>
      <c r="C37" s="218"/>
      <c r="D37" s="218"/>
      <c r="E37" s="218"/>
      <c r="F37" s="218"/>
      <c r="G37" s="218"/>
      <c r="H37" s="218"/>
      <c r="I37" s="218"/>
      <c r="J37" s="218"/>
      <c r="K37" s="218"/>
      <c r="L37" s="218"/>
      <c r="M37" s="218"/>
      <c r="N37" s="218"/>
    </row>
    <row r="38" spans="1:15" x14ac:dyDescent="0.2">
      <c r="A38" s="223"/>
      <c r="B38" s="217"/>
      <c r="C38" s="217"/>
      <c r="D38" s="217"/>
      <c r="E38" s="217"/>
      <c r="F38" s="217"/>
      <c r="G38" s="217"/>
      <c r="H38" s="217"/>
      <c r="I38" s="217"/>
      <c r="J38" s="217"/>
      <c r="K38" s="217"/>
      <c r="L38" s="217"/>
      <c r="M38" s="217"/>
      <c r="N38" s="217"/>
      <c r="O38" s="23"/>
    </row>
    <row r="39" spans="1:15" x14ac:dyDescent="0.2">
      <c r="A39" s="218"/>
      <c r="B39" s="219"/>
      <c r="C39" s="218"/>
      <c r="D39" s="218"/>
      <c r="E39" s="218"/>
      <c r="F39" s="218"/>
      <c r="G39" s="218"/>
      <c r="H39" s="218"/>
      <c r="I39" s="218"/>
      <c r="J39" s="218"/>
      <c r="K39" s="218"/>
      <c r="L39" s="218"/>
      <c r="M39" s="218"/>
      <c r="N39" s="218"/>
    </row>
    <row r="40" spans="1:15" x14ac:dyDescent="0.2">
      <c r="A40" s="222"/>
      <c r="B40" s="219"/>
      <c r="C40" s="218"/>
      <c r="D40" s="218"/>
      <c r="E40" s="218"/>
      <c r="F40" s="218"/>
      <c r="G40" s="218"/>
      <c r="H40" s="218"/>
      <c r="I40" s="218"/>
      <c r="J40" s="218"/>
      <c r="K40" s="218"/>
      <c r="L40" s="218"/>
      <c r="M40" s="218"/>
      <c r="N40" s="218"/>
    </row>
    <row r="41" spans="1:15" x14ac:dyDescent="0.2">
      <c r="A41" s="223"/>
      <c r="B41" s="217"/>
      <c r="C41" s="217"/>
      <c r="D41" s="217"/>
      <c r="E41" s="217"/>
      <c r="F41" s="217"/>
      <c r="G41" s="217"/>
      <c r="H41" s="217"/>
      <c r="I41" s="217"/>
      <c r="J41" s="217"/>
      <c r="K41" s="217"/>
      <c r="L41" s="217"/>
      <c r="M41" s="217"/>
      <c r="N41" s="217"/>
      <c r="O41" s="23"/>
    </row>
    <row r="42" spans="1:15" x14ac:dyDescent="0.2">
      <c r="A42" s="218"/>
      <c r="B42" s="219"/>
      <c r="C42" s="218"/>
      <c r="D42" s="218"/>
      <c r="E42" s="218"/>
      <c r="F42" s="218"/>
      <c r="G42" s="218"/>
      <c r="H42" s="218"/>
      <c r="I42" s="218"/>
      <c r="J42" s="218"/>
      <c r="K42" s="218"/>
      <c r="L42" s="218"/>
      <c r="M42" s="218"/>
      <c r="N42" s="218"/>
    </row>
    <row r="43" spans="1:15" x14ac:dyDescent="0.2">
      <c r="A43" s="222"/>
      <c r="B43" s="219"/>
      <c r="C43" s="218"/>
      <c r="D43" s="218"/>
      <c r="E43" s="218"/>
      <c r="F43" s="218"/>
      <c r="G43" s="218"/>
      <c r="H43" s="218"/>
      <c r="I43" s="218"/>
      <c r="J43" s="218"/>
      <c r="K43" s="218"/>
      <c r="L43" s="218"/>
      <c r="M43" s="218"/>
      <c r="N43" s="218"/>
    </row>
    <row r="44" spans="1:15" x14ac:dyDescent="0.2">
      <c r="A44" s="223"/>
      <c r="B44" s="217"/>
      <c r="C44" s="217"/>
      <c r="D44" s="217"/>
      <c r="E44" s="217"/>
      <c r="F44" s="217"/>
      <c r="G44" s="217"/>
      <c r="H44" s="217"/>
      <c r="I44" s="217"/>
      <c r="J44" s="217"/>
      <c r="K44" s="217"/>
      <c r="L44" s="217"/>
      <c r="M44" s="217"/>
      <c r="N44" s="217"/>
      <c r="O44" s="23"/>
    </row>
    <row r="45" spans="1:15" x14ac:dyDescent="0.2">
      <c r="A45" s="218"/>
      <c r="B45" s="219"/>
      <c r="C45" s="218"/>
      <c r="D45" s="218"/>
      <c r="E45" s="218"/>
      <c r="F45" s="218"/>
      <c r="G45" s="218"/>
      <c r="H45" s="218"/>
      <c r="I45" s="218"/>
      <c r="J45" s="218"/>
      <c r="K45" s="218"/>
      <c r="L45" s="218"/>
      <c r="M45" s="218"/>
      <c r="N45" s="218"/>
    </row>
    <row r="46" spans="1:15" x14ac:dyDescent="0.2">
      <c r="A46" s="222"/>
      <c r="B46" s="219"/>
      <c r="C46" s="218"/>
      <c r="D46" s="218"/>
      <c r="E46" s="218"/>
      <c r="F46" s="218"/>
      <c r="G46" s="218"/>
      <c r="H46" s="218"/>
      <c r="I46" s="218"/>
      <c r="J46" s="218"/>
      <c r="K46" s="218"/>
      <c r="L46" s="218"/>
      <c r="M46" s="218"/>
      <c r="N46" s="218"/>
      <c r="O46" s="23"/>
    </row>
    <row r="47" spans="1:15" x14ac:dyDescent="0.2">
      <c r="A47" s="223"/>
      <c r="B47" s="217"/>
      <c r="C47" s="217"/>
      <c r="D47" s="217"/>
      <c r="E47" s="217"/>
      <c r="F47" s="217"/>
      <c r="G47" s="217"/>
      <c r="H47" s="217"/>
      <c r="I47" s="217"/>
      <c r="J47" s="217"/>
      <c r="K47" s="217"/>
      <c r="L47" s="217"/>
      <c r="M47" s="217"/>
      <c r="N47" s="217"/>
      <c r="O47" s="23"/>
    </row>
    <row r="48" spans="1:15" x14ac:dyDescent="0.2">
      <c r="A48" s="218"/>
      <c r="B48" s="219"/>
      <c r="C48" s="218"/>
      <c r="D48" s="218"/>
      <c r="E48" s="218"/>
      <c r="F48" s="218"/>
      <c r="G48" s="218"/>
      <c r="H48" s="218"/>
      <c r="I48" s="218"/>
      <c r="J48" s="218"/>
      <c r="K48" s="218"/>
      <c r="L48" s="218"/>
      <c r="M48" s="218"/>
      <c r="N48" s="218"/>
    </row>
    <row r="49" spans="1:15" x14ac:dyDescent="0.2">
      <c r="A49" s="222"/>
      <c r="B49" s="219"/>
      <c r="C49" s="218"/>
      <c r="D49" s="218"/>
      <c r="E49" s="218"/>
      <c r="F49" s="218"/>
      <c r="G49" s="218"/>
      <c r="H49" s="218"/>
      <c r="I49" s="218"/>
      <c r="J49" s="218"/>
      <c r="K49" s="218"/>
      <c r="L49" s="218"/>
      <c r="M49" s="218"/>
      <c r="N49" s="218"/>
    </row>
    <row r="50" spans="1:15" x14ac:dyDescent="0.2">
      <c r="A50" s="223"/>
      <c r="B50" s="217"/>
      <c r="C50" s="217"/>
      <c r="D50" s="217"/>
      <c r="E50" s="217"/>
      <c r="F50" s="217"/>
      <c r="G50" s="217"/>
      <c r="H50" s="217"/>
      <c r="I50" s="217"/>
      <c r="J50" s="217"/>
      <c r="K50" s="217"/>
      <c r="L50" s="217"/>
      <c r="M50" s="217"/>
      <c r="N50" s="217"/>
      <c r="O50" s="23"/>
    </row>
    <row r="51" spans="1:15" x14ac:dyDescent="0.2">
      <c r="A51" s="218"/>
      <c r="B51" s="219"/>
      <c r="C51" s="218"/>
      <c r="D51" s="218"/>
      <c r="E51" s="218"/>
      <c r="F51" s="218"/>
      <c r="G51" s="218"/>
      <c r="H51" s="218"/>
      <c r="I51" s="218"/>
      <c r="J51" s="218"/>
      <c r="K51" s="218"/>
      <c r="L51" s="218"/>
      <c r="M51" s="218"/>
      <c r="N51" s="218"/>
    </row>
    <row r="52" spans="1:15" x14ac:dyDescent="0.2">
      <c r="A52" s="222"/>
      <c r="B52" s="219"/>
      <c r="C52" s="218"/>
      <c r="D52" s="218"/>
      <c r="E52" s="218"/>
      <c r="F52" s="218"/>
      <c r="G52" s="218"/>
      <c r="H52" s="218"/>
      <c r="I52" s="218"/>
      <c r="J52" s="218"/>
      <c r="K52" s="218"/>
      <c r="L52" s="218"/>
      <c r="M52" s="218"/>
      <c r="N52" s="218"/>
    </row>
    <row r="53" spans="1:15" x14ac:dyDescent="0.2">
      <c r="A53" s="217">
        <v>1111</v>
      </c>
      <c r="B53" s="224" t="s">
        <v>109</v>
      </c>
      <c r="C53" s="217">
        <v>4533736</v>
      </c>
      <c r="D53" s="217">
        <v>2542757</v>
      </c>
      <c r="E53" s="217">
        <v>1084901</v>
      </c>
      <c r="F53" s="217">
        <v>24516408</v>
      </c>
      <c r="G53" s="217">
        <v>5413335</v>
      </c>
      <c r="H53" s="217">
        <v>0</v>
      </c>
      <c r="I53" s="217">
        <v>0</v>
      </c>
      <c r="J53" s="217">
        <v>0</v>
      </c>
      <c r="K53" s="217">
        <v>0</v>
      </c>
      <c r="L53" s="217">
        <v>0</v>
      </c>
      <c r="M53" s="217">
        <v>0</v>
      </c>
      <c r="N53" s="217">
        <v>38091137</v>
      </c>
      <c r="O53" s="23"/>
    </row>
    <row r="54" spans="1:15" x14ac:dyDescent="0.2">
      <c r="A54" s="212">
        <v>0.55328685258964139</v>
      </c>
      <c r="B54" s="225" t="s">
        <v>110</v>
      </c>
      <c r="C54" s="212">
        <v>0.12567596344107851</v>
      </c>
      <c r="D54" s="212">
        <v>0.24698756619787643</v>
      </c>
      <c r="E54" s="212">
        <v>6.0823449742099057E-2</v>
      </c>
      <c r="F54" s="212">
        <v>0.77633018905206452</v>
      </c>
      <c r="G54" s="212">
        <v>0.70266285342383838</v>
      </c>
      <c r="H54" s="212" t="s">
        <v>69</v>
      </c>
      <c r="I54" s="212" t="s">
        <v>69</v>
      </c>
      <c r="J54" s="212" t="s">
        <v>69</v>
      </c>
      <c r="K54" s="212" t="s">
        <v>69</v>
      </c>
      <c r="L54" s="212" t="s">
        <v>69</v>
      </c>
      <c r="M54" s="212" t="s">
        <v>69</v>
      </c>
      <c r="N54" s="212">
        <v>6.7140699581716756E-2</v>
      </c>
    </row>
    <row r="55" spans="1:15" ht="2.25" customHeight="1" x14ac:dyDescent="0.2"/>
    <row r="56" spans="1:15" x14ac:dyDescent="0.2">
      <c r="A56" s="55" t="s">
        <v>14</v>
      </c>
      <c r="B56" s="55" t="s">
        <v>15</v>
      </c>
      <c r="D56" s="44" t="s">
        <v>111</v>
      </c>
      <c r="E56" s="226"/>
    </row>
    <row r="57" spans="1:15" x14ac:dyDescent="0.2">
      <c r="A57" s="227">
        <v>29</v>
      </c>
      <c r="B57" s="228" t="s">
        <v>20</v>
      </c>
      <c r="D57" s="51"/>
      <c r="E57" s="52"/>
      <c r="F57" s="58"/>
      <c r="K57" s="55" t="s">
        <v>112</v>
      </c>
      <c r="L57" s="56" t="s">
        <v>17</v>
      </c>
      <c r="M57" s="57" t="s">
        <v>21</v>
      </c>
      <c r="N57" s="57" t="s">
        <v>115</v>
      </c>
    </row>
    <row r="58" spans="1:15" x14ac:dyDescent="0.2">
      <c r="J58" s="229"/>
      <c r="K58" s="44"/>
      <c r="L58" s="44"/>
      <c r="M58" s="44"/>
    </row>
    <row r="59" spans="1:15" x14ac:dyDescent="0.2">
      <c r="K59" s="44"/>
      <c r="L59" s="44"/>
      <c r="M59" s="44"/>
    </row>
    <row r="62" spans="1:15" x14ac:dyDescent="0.2">
      <c r="B62" s="229"/>
      <c r="C62" s="229"/>
      <c r="D62" s="229"/>
      <c r="E62" s="229"/>
      <c r="F62" s="229"/>
      <c r="G62" s="229"/>
    </row>
    <row r="63" spans="1:15" x14ac:dyDescent="0.2">
      <c r="B63" s="44"/>
      <c r="C63" s="44"/>
      <c r="D63" s="44"/>
      <c r="E63" s="44"/>
      <c r="F63" s="44"/>
      <c r="G63" s="44"/>
    </row>
    <row r="64" spans="1:15" x14ac:dyDescent="0.2">
      <c r="B64" s="44"/>
      <c r="C64" s="44"/>
      <c r="D64" s="44"/>
      <c r="E64" s="44"/>
      <c r="F64" s="44"/>
      <c r="G64" s="44"/>
    </row>
    <row r="65" spans="2:7" x14ac:dyDescent="0.2">
      <c r="B65" s="44"/>
      <c r="C65" s="44"/>
      <c r="D65" s="44"/>
      <c r="E65" s="44"/>
      <c r="F65" s="44"/>
      <c r="G65" s="44"/>
    </row>
    <row r="66" spans="2:7" x14ac:dyDescent="0.2">
      <c r="B66" s="44"/>
      <c r="C66" s="44"/>
      <c r="D66" s="44"/>
      <c r="E66" s="44"/>
      <c r="F66" s="44"/>
      <c r="G66" s="44"/>
    </row>
    <row r="67" spans="2:7" x14ac:dyDescent="0.2">
      <c r="B67" s="44"/>
      <c r="C67" s="44"/>
      <c r="D67" s="44"/>
      <c r="E67" s="44"/>
      <c r="F67" s="44"/>
      <c r="G67" s="44"/>
    </row>
  </sheetData>
  <printOptions horizontalCentered="1"/>
  <pageMargins left="0.01" right="0.01" top="0.75" bottom="0.5" header="0" footer="0"/>
  <pageSetup scale="1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chart1</vt:lpstr>
      <vt:lpstr>chart2grwth</vt:lpstr>
      <vt:lpstr>chart3ag</vt:lpstr>
      <vt:lpstr>chart 4 agavgvalue</vt:lpstr>
      <vt:lpstr>chart5municiplaties</vt:lpstr>
      <vt:lpstr>chart1!Print_Area</vt:lpstr>
      <vt:lpstr>chart2grwth!Print_Area</vt:lpstr>
      <vt:lpstr>chart3ag!Print_Area</vt:lpstr>
      <vt:lpstr>chart5municiplaties!Print_Area</vt:lpstr>
    </vt:vector>
  </TitlesOfParts>
  <Company>Nebraska Department of Revenue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Thompson, Elaine</dc:creator>
  <cp:lastModifiedBy>xlParse</cp:lastModifiedBy>
  <dcterms:created xsi:type="dcterms:W3CDTF">2014-01-28T15:31:44Z</dcterms:created>
  <dcterms:modified xsi:type="dcterms:W3CDTF">2017-10-20T01:04:26Z</dcterms:modified>
</cp:coreProperties>
</file>