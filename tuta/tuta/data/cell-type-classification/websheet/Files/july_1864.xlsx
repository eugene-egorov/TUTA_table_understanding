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lParse\AppData\Local\Temp\2\"/>
    </mc:Choice>
  </mc:AlternateContent>
  <bookViews>
    <workbookView xWindow="360" yWindow="120" windowWidth="11355" windowHeight="8955"/>
  </bookViews>
  <sheets>
    <sheet name="Sheet1" sheetId="1" r:id="rId1"/>
    <sheet name="Chart1" sheetId="4" r:id="rId2"/>
  </sheets>
  <calcPr calcId="101716"/>
</workbook>
</file>

<file path=xl/calcChain.xml><?xml version="1.0" encoding="utf-8"?>
<calcChain xmlns="http://schemas.openxmlformats.org/spreadsheetml/2006/main">
  <c r="G27" i="1" l="1"/>
  <c r="G28" i="1"/>
  <c r="H27" i="1"/>
  <c r="H28" i="1"/>
  <c r="I27" i="1"/>
  <c r="I28" i="1"/>
  <c r="J27" i="1"/>
  <c r="J28" i="1"/>
  <c r="K27" i="1"/>
  <c r="K28" i="1"/>
  <c r="L27" i="1"/>
  <c r="L28" i="1"/>
  <c r="M21" i="1"/>
  <c r="M22" i="1"/>
  <c r="M23" i="1"/>
  <c r="M24" i="1"/>
  <c r="M25" i="1"/>
  <c r="M26" i="1"/>
  <c r="M27" i="1"/>
  <c r="M28" i="1"/>
  <c r="N27" i="1"/>
  <c r="N28" i="1"/>
  <c r="O27" i="1"/>
  <c r="O28" i="1"/>
  <c r="F27" i="1"/>
  <c r="F28" i="1"/>
  <c r="D27" i="1"/>
  <c r="D28" i="1"/>
  <c r="G19" i="1"/>
  <c r="G20" i="1"/>
  <c r="H19" i="1"/>
  <c r="H20" i="1"/>
  <c r="I19" i="1"/>
  <c r="I20" i="1"/>
  <c r="J19" i="1"/>
  <c r="J20" i="1"/>
  <c r="K19" i="1"/>
  <c r="K20" i="1"/>
  <c r="L19" i="1"/>
  <c r="L20" i="1"/>
  <c r="M15" i="1"/>
  <c r="M16" i="1"/>
  <c r="M17" i="1"/>
  <c r="M18" i="1"/>
  <c r="M19" i="1"/>
  <c r="M20" i="1"/>
  <c r="F19" i="1"/>
  <c r="F20" i="1"/>
  <c r="D19" i="1"/>
  <c r="D20" i="1"/>
  <c r="G13" i="1"/>
  <c r="G14" i="1"/>
  <c r="H13" i="1"/>
  <c r="H14" i="1"/>
  <c r="I13" i="1"/>
  <c r="I14" i="1"/>
  <c r="J13" i="1"/>
  <c r="J14" i="1"/>
  <c r="K13" i="1"/>
  <c r="K14" i="1"/>
  <c r="L13" i="1"/>
  <c r="L14" i="1"/>
  <c r="M8" i="1"/>
  <c r="M9" i="1"/>
  <c r="M10" i="1"/>
  <c r="M11" i="1"/>
  <c r="M12" i="1"/>
  <c r="M13" i="1"/>
  <c r="M14" i="1"/>
  <c r="F13" i="1"/>
  <c r="F14" i="1"/>
  <c r="D13" i="1"/>
  <c r="D14" i="1"/>
  <c r="G6" i="1"/>
  <c r="G7" i="1"/>
  <c r="H6" i="1"/>
  <c r="H7" i="1"/>
  <c r="I6" i="1"/>
  <c r="I7" i="1"/>
  <c r="J6" i="1"/>
  <c r="J7" i="1"/>
  <c r="K6" i="1"/>
  <c r="K7" i="1"/>
  <c r="L6" i="1"/>
  <c r="L7" i="1"/>
  <c r="M2" i="1"/>
  <c r="M3" i="1"/>
  <c r="M4" i="1"/>
  <c r="M5" i="1"/>
  <c r="M6" i="1"/>
  <c r="M7" i="1"/>
  <c r="F6" i="1"/>
  <c r="F7" i="1"/>
  <c r="D6" i="1"/>
  <c r="D7" i="1"/>
</calcChain>
</file>

<file path=xl/sharedStrings.xml><?xml version="1.0" encoding="utf-8"?>
<sst xmlns="http://schemas.openxmlformats.org/spreadsheetml/2006/main" count="64" uniqueCount="32">
  <si>
    <t>tree</t>
  </si>
  <si>
    <t>spp</t>
  </si>
  <si>
    <t>dbh</t>
  </si>
  <si>
    <t>cc</t>
  </si>
  <si>
    <t>ht</t>
  </si>
  <si>
    <t>hc</t>
  </si>
  <si>
    <t>Rmean</t>
  </si>
  <si>
    <t>ab</t>
  </si>
  <si>
    <t>int</t>
  </si>
  <si>
    <t>sm</t>
  </si>
  <si>
    <t>elm</t>
  </si>
  <si>
    <t>rth90</t>
  </si>
  <si>
    <t>rch90</t>
  </si>
  <si>
    <t>sp</t>
  </si>
  <si>
    <t>dom</t>
  </si>
  <si>
    <t>cod</t>
  </si>
  <si>
    <t>sup</t>
  </si>
  <si>
    <t>mean</t>
  </si>
  <si>
    <t>Team</t>
  </si>
  <si>
    <t>hwmx</t>
  </si>
  <si>
    <t>rmx0</t>
  </si>
  <si>
    <t>rmx90</t>
  </si>
  <si>
    <t>rmx180</t>
  </si>
  <si>
    <t>rmx270</t>
  </si>
  <si>
    <t>hg</t>
  </si>
  <si>
    <t>hrmax</t>
  </si>
  <si>
    <t>rad</t>
  </si>
  <si>
    <t>close</t>
  </si>
  <si>
    <t>hgt</t>
  </si>
  <si>
    <t>ELM</t>
  </si>
  <si>
    <t>SHAPE</t>
  </si>
  <si>
    <t>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</si>
</sst>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/>
    <xf numFmtId="2" fontId="2" fillId="0" borderId="0" xfId="0" applyNumberFormat="1" applyFon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8801331853496109E-2"/>
          <c:y val="3.4257748776508973E-2"/>
          <c:w val="0.89456159822419534"/>
          <c:h val="0.85970636215334417"/>
        </c:manualLayout>
      </c:layout>
      <c:scatterChart>
        <c:scatterStyle val="smoothMarker"/>
        <c:varyColors val="0"/>
        <c:ser>
          <c:idx val="0"/>
          <c:order val="0"/>
          <c:spPr>
            <a:ln w="38100">
              <a:pattFill prst="pct75">
                <a:fgClr>
                  <a:srgbClr val="00FF00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diamond"/>
            <c:size val="9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Sheet1!$G$31:$G$35</c:f>
              <c:numCache>
                <c:formatCode>0.0</c:formatCode>
                <c:ptCount val="5"/>
                <c:pt idx="0">
                  <c:v>0</c:v>
                </c:pt>
                <c:pt idx="1">
                  <c:v>11.93</c:v>
                </c:pt>
                <c:pt idx="2">
                  <c:v>33.659999999999997</c:v>
                </c:pt>
                <c:pt idx="3">
                  <c:v>32.22</c:v>
                </c:pt>
                <c:pt idx="4">
                  <c:v>0</c:v>
                </c:pt>
              </c:numCache>
            </c:numRef>
          </c:xVal>
          <c:yVal>
            <c:numRef>
              <c:f>Sheet1!$H$31:$H$35</c:f>
              <c:numCache>
                <c:formatCode>0.0</c:formatCode>
                <c:ptCount val="5"/>
                <c:pt idx="0">
                  <c:v>62.9</c:v>
                </c:pt>
                <c:pt idx="1">
                  <c:v>62.9</c:v>
                </c:pt>
                <c:pt idx="2">
                  <c:v>21.3</c:v>
                </c:pt>
                <c:pt idx="3">
                  <c:v>8.6</c:v>
                </c:pt>
                <c:pt idx="4">
                  <c:v>8.6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99-4628-AC7E-B5A4438185F2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</c:dLbls>
        <c:axId val="115656072"/>
        <c:axId val="1"/>
      </c:scatterChart>
      <c:valAx>
        <c:axId val="115656072"/>
        <c:scaling>
          <c:orientation val="minMax"/>
          <c:max val="7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radius (ft)</a:t>
                </a:r>
              </a:p>
            </c:rich>
          </c:tx>
          <c:layout>
            <c:manualLayout>
              <c:xMode val="edge"/>
              <c:yMode val="edge"/>
              <c:x val="0.49167591564927859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height (ft)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4110929853181076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656072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6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203BC34E-A5B8-4E43-AE64-84606573450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tabSelected="1" workbookViewId="0">
      <selection activeCell="Q19" sqref="Q19"/>
    </sheetView>
  </sheetViews>
  <sheetFormatPr defaultRowHeight="12.75" x14ac:dyDescent="0.2"/>
  <cols>
    <col min="1" max="3" width="6.7109375" style="3" customWidth="1"/>
    <col min="4" max="4" width="6.7109375" style="5" customWidth="1"/>
    <col min="5" max="5" width="6.7109375" style="3" customWidth="1"/>
    <col min="6" max="8" width="7.7109375" style="8" customWidth="1"/>
    <col min="9" max="15" width="7.7109375" style="9" customWidth="1"/>
  </cols>
  <sheetData>
    <row r="1" spans="1:15" s="1" customFormat="1" x14ac:dyDescent="0.2">
      <c r="A1" s="2" t="s">
        <v>18</v>
      </c>
      <c r="B1" s="2" t="s">
        <v>0</v>
      </c>
      <c r="C1" s="2" t="s">
        <v>1</v>
      </c>
      <c r="D1" s="4" t="s">
        <v>2</v>
      </c>
      <c r="E1" s="2" t="s">
        <v>3</v>
      </c>
      <c r="F1" s="6" t="s">
        <v>4</v>
      </c>
      <c r="G1" s="6" t="s">
        <v>5</v>
      </c>
      <c r="H1" s="6" t="s">
        <v>19</v>
      </c>
      <c r="I1" s="7" t="s">
        <v>20</v>
      </c>
      <c r="J1" s="7" t="s">
        <v>21</v>
      </c>
      <c r="K1" s="7" t="s">
        <v>22</v>
      </c>
      <c r="L1" s="7" t="s">
        <v>23</v>
      </c>
      <c r="M1" s="7" t="s">
        <v>6</v>
      </c>
      <c r="N1" s="7" t="s">
        <v>11</v>
      </c>
      <c r="O1" s="7" t="s">
        <v>12</v>
      </c>
    </row>
    <row r="2" spans="1:15" x14ac:dyDescent="0.2">
      <c r="A2" s="3">
        <v>1</v>
      </c>
      <c r="B2" s="3">
        <v>1</v>
      </c>
      <c r="C2" s="3" t="s">
        <v>13</v>
      </c>
      <c r="D2" s="5">
        <v>13.15</v>
      </c>
      <c r="E2" s="3" t="s">
        <v>14</v>
      </c>
      <c r="F2" s="8">
        <v>42</v>
      </c>
      <c r="G2" s="8">
        <v>16</v>
      </c>
      <c r="H2" s="8">
        <v>16</v>
      </c>
      <c r="I2" s="9">
        <v>11</v>
      </c>
      <c r="J2" s="9">
        <v>13</v>
      </c>
      <c r="K2" s="9">
        <v>13</v>
      </c>
      <c r="L2" s="9">
        <v>8</v>
      </c>
      <c r="M2" s="9">
        <f>AVERAGE(I2:L2)</f>
        <v>11.25</v>
      </c>
    </row>
    <row r="3" spans="1:15" x14ac:dyDescent="0.2">
      <c r="A3" s="3">
        <v>2</v>
      </c>
      <c r="B3" s="3">
        <v>1</v>
      </c>
      <c r="C3" s="3" t="s">
        <v>13</v>
      </c>
      <c r="D3" s="5">
        <v>13.2</v>
      </c>
      <c r="E3" s="3" t="s">
        <v>15</v>
      </c>
      <c r="F3" s="8">
        <v>43</v>
      </c>
      <c r="G3" s="8">
        <v>20</v>
      </c>
      <c r="H3" s="8">
        <v>32</v>
      </c>
      <c r="I3" s="9">
        <v>9</v>
      </c>
      <c r="J3" s="9">
        <v>17.5</v>
      </c>
      <c r="K3" s="9">
        <v>12.3</v>
      </c>
      <c r="L3" s="9">
        <v>8.3000000000000007</v>
      </c>
      <c r="M3" s="9">
        <f>AVERAGE(I3:L3)</f>
        <v>11.774999999999999</v>
      </c>
    </row>
    <row r="4" spans="1:15" x14ac:dyDescent="0.2">
      <c r="A4" s="3">
        <v>3</v>
      </c>
      <c r="B4" s="3">
        <v>1</v>
      </c>
      <c r="C4" s="3" t="s">
        <v>13</v>
      </c>
      <c r="D4" s="5">
        <v>13.2</v>
      </c>
      <c r="E4" s="3" t="s">
        <v>14</v>
      </c>
      <c r="F4" s="8">
        <v>44</v>
      </c>
      <c r="G4" s="8">
        <v>13.5</v>
      </c>
      <c r="H4" s="8">
        <v>20</v>
      </c>
      <c r="I4" s="9">
        <v>18.329999999999998</v>
      </c>
      <c r="J4" s="9">
        <v>13.8</v>
      </c>
      <c r="K4" s="9">
        <v>15.65</v>
      </c>
      <c r="L4" s="9">
        <v>10.65</v>
      </c>
      <c r="M4" s="9">
        <f>AVERAGE(I4:L4)</f>
        <v>14.607499999999998</v>
      </c>
    </row>
    <row r="5" spans="1:15" x14ac:dyDescent="0.2">
      <c r="A5" s="3">
        <v>4</v>
      </c>
      <c r="B5" s="3">
        <v>1</v>
      </c>
      <c r="C5" s="3" t="s">
        <v>13</v>
      </c>
      <c r="D5" s="5">
        <v>13.3</v>
      </c>
      <c r="E5" s="3" t="s">
        <v>15</v>
      </c>
      <c r="F5" s="8">
        <v>42</v>
      </c>
      <c r="G5" s="8">
        <v>7.5</v>
      </c>
      <c r="H5" s="8">
        <v>20</v>
      </c>
      <c r="I5" s="9">
        <v>10.67</v>
      </c>
      <c r="J5" s="9">
        <v>13</v>
      </c>
      <c r="K5" s="9">
        <v>12.33</v>
      </c>
      <c r="L5" s="9">
        <v>7.16</v>
      </c>
      <c r="M5" s="9">
        <f>AVERAGE(I5:L5)</f>
        <v>10.79</v>
      </c>
    </row>
    <row r="6" spans="1:15" s="1" customFormat="1" x14ac:dyDescent="0.2">
      <c r="A6" s="2"/>
      <c r="B6" s="2"/>
      <c r="C6" s="2" t="s">
        <v>17</v>
      </c>
      <c r="D6" s="6">
        <f>AVERAGE(D2:D5)</f>
        <v>13.212499999999999</v>
      </c>
      <c r="F6" s="6">
        <f>AVERAGE(F2:F5)</f>
        <v>42.75</v>
      </c>
      <c r="G6" s="6">
        <f t="shared" ref="G6:M6" si="0">AVERAGE(G2:G5)</f>
        <v>14.25</v>
      </c>
      <c r="H6" s="6">
        <f t="shared" si="0"/>
        <v>22</v>
      </c>
      <c r="I6" s="7">
        <f t="shared" si="0"/>
        <v>12.25</v>
      </c>
      <c r="J6" s="7">
        <f t="shared" si="0"/>
        <v>14.324999999999999</v>
      </c>
      <c r="K6" s="7">
        <f t="shared" si="0"/>
        <v>13.32</v>
      </c>
      <c r="L6" s="7">
        <f t="shared" si="0"/>
        <v>8.5274999999999999</v>
      </c>
      <c r="M6" s="7">
        <f t="shared" si="0"/>
        <v>12.105624999999998</v>
      </c>
      <c r="N6" s="7"/>
      <c r="O6" s="7"/>
    </row>
    <row r="7" spans="1:15" s="1" customFormat="1" x14ac:dyDescent="0.2">
      <c r="A7" s="2"/>
      <c r="B7" s="2"/>
      <c r="C7" s="2" t="s">
        <v>31</v>
      </c>
      <c r="D7" s="7">
        <f>STDEV(D2:D5)/D6</f>
        <v>4.7618003376329295E-3</v>
      </c>
      <c r="F7" s="7">
        <f>STDEV(F2:F5)/F6</f>
        <v>2.2395955736990367E-2</v>
      </c>
      <c r="G7" s="7">
        <f t="shared" ref="G7:M7" si="1">STDEV(G2:G5)/G6</f>
        <v>0.36744510110888906</v>
      </c>
      <c r="H7" s="7">
        <f t="shared" si="1"/>
        <v>0.31491832864888675</v>
      </c>
      <c r="I7" s="7">
        <f t="shared" si="1"/>
        <v>0.33851411930447617</v>
      </c>
      <c r="J7" s="7">
        <f t="shared" si="1"/>
        <v>0.15008726003490497</v>
      </c>
      <c r="K7" s="7">
        <f t="shared" si="1"/>
        <v>0.11911333588471325</v>
      </c>
      <c r="L7" s="7">
        <f t="shared" si="1"/>
        <v>0.17531515684550014</v>
      </c>
      <c r="M7" s="7">
        <f t="shared" si="1"/>
        <v>0.14173372333834897</v>
      </c>
      <c r="N7" s="7"/>
      <c r="O7" s="7"/>
    </row>
    <row r="8" spans="1:15" x14ac:dyDescent="0.2">
      <c r="A8" s="3">
        <v>5</v>
      </c>
      <c r="B8" s="3">
        <v>3</v>
      </c>
      <c r="C8" s="3" t="s">
        <v>7</v>
      </c>
      <c r="D8" s="5">
        <v>8.8000000000000007</v>
      </c>
      <c r="E8" s="3" t="s">
        <v>8</v>
      </c>
      <c r="F8" s="8">
        <v>62</v>
      </c>
      <c r="G8" s="8">
        <v>18</v>
      </c>
      <c r="H8" s="8">
        <v>20.5</v>
      </c>
      <c r="I8" s="9">
        <v>18.2</v>
      </c>
      <c r="J8" s="9">
        <v>12.1</v>
      </c>
      <c r="K8" s="9">
        <v>13.2</v>
      </c>
      <c r="L8" s="9">
        <v>23.1</v>
      </c>
      <c r="M8" s="9">
        <f>AVERAGE(I8:L8)</f>
        <v>16.649999999999999</v>
      </c>
    </row>
    <row r="9" spans="1:15" x14ac:dyDescent="0.2">
      <c r="A9" s="3">
        <v>1</v>
      </c>
      <c r="B9" s="3">
        <v>3</v>
      </c>
      <c r="C9" s="3" t="s">
        <v>7</v>
      </c>
      <c r="D9" s="5">
        <v>8.85</v>
      </c>
      <c r="E9" s="3" t="s">
        <v>8</v>
      </c>
      <c r="F9" s="8">
        <v>58</v>
      </c>
      <c r="G9" s="8">
        <v>22</v>
      </c>
      <c r="H9" s="8">
        <v>32</v>
      </c>
      <c r="I9" s="9">
        <v>16.5</v>
      </c>
      <c r="J9" s="9">
        <v>13</v>
      </c>
      <c r="K9" s="9">
        <v>12</v>
      </c>
      <c r="L9" s="9">
        <v>20</v>
      </c>
      <c r="M9" s="9">
        <f>AVERAGE(I9:L9)</f>
        <v>15.375</v>
      </c>
    </row>
    <row r="10" spans="1:15" x14ac:dyDescent="0.2">
      <c r="A10" s="3">
        <v>2</v>
      </c>
      <c r="B10" s="3">
        <v>3</v>
      </c>
      <c r="C10" s="3" t="s">
        <v>7</v>
      </c>
      <c r="D10" s="5">
        <v>9</v>
      </c>
      <c r="E10" s="3" t="s">
        <v>16</v>
      </c>
      <c r="F10" s="8">
        <v>48</v>
      </c>
      <c r="G10" s="8">
        <v>23.5</v>
      </c>
      <c r="H10" s="8">
        <v>35</v>
      </c>
      <c r="I10" s="9">
        <v>17.899999999999999</v>
      </c>
      <c r="J10" s="9">
        <v>20.6</v>
      </c>
      <c r="K10" s="9">
        <v>15.4</v>
      </c>
      <c r="L10" s="9">
        <v>24.4</v>
      </c>
      <c r="M10" s="9">
        <f>AVERAGE(I10:L10)</f>
        <v>19.574999999999999</v>
      </c>
    </row>
    <row r="11" spans="1:15" x14ac:dyDescent="0.2">
      <c r="A11" s="3">
        <v>3</v>
      </c>
      <c r="B11" s="3">
        <v>3</v>
      </c>
      <c r="C11" s="3" t="s">
        <v>7</v>
      </c>
      <c r="D11" s="5">
        <v>8.9</v>
      </c>
      <c r="E11" s="3" t="s">
        <v>16</v>
      </c>
      <c r="F11" s="8">
        <v>56</v>
      </c>
      <c r="G11" s="8">
        <v>19</v>
      </c>
      <c r="H11" s="8">
        <v>29</v>
      </c>
      <c r="I11" s="9">
        <v>15.67</v>
      </c>
      <c r="J11" s="9">
        <v>13.6</v>
      </c>
      <c r="K11" s="9">
        <v>20.9</v>
      </c>
      <c r="L11" s="9">
        <v>25</v>
      </c>
      <c r="M11" s="9">
        <f>AVERAGE(I11:L11)</f>
        <v>18.7925</v>
      </c>
    </row>
    <row r="12" spans="1:15" x14ac:dyDescent="0.2">
      <c r="A12" s="3">
        <v>6</v>
      </c>
      <c r="B12" s="3">
        <v>3</v>
      </c>
      <c r="C12" s="3" t="s">
        <v>7</v>
      </c>
      <c r="D12" s="5">
        <v>8.9</v>
      </c>
      <c r="E12" s="3" t="s">
        <v>16</v>
      </c>
      <c r="F12" s="8">
        <v>59</v>
      </c>
      <c r="G12" s="8">
        <v>13</v>
      </c>
      <c r="H12" s="8">
        <v>28</v>
      </c>
      <c r="I12" s="9">
        <v>16.64</v>
      </c>
      <c r="J12" s="9">
        <v>12.67</v>
      </c>
      <c r="K12" s="9">
        <v>12.9</v>
      </c>
      <c r="L12" s="9">
        <v>21.83</v>
      </c>
      <c r="M12" s="9">
        <f>AVERAGE(I12:L12)</f>
        <v>16.009999999999998</v>
      </c>
    </row>
    <row r="13" spans="1:15" s="1" customFormat="1" x14ac:dyDescent="0.2">
      <c r="A13" s="2"/>
      <c r="B13" s="2"/>
      <c r="C13" s="2" t="s">
        <v>17</v>
      </c>
      <c r="D13" s="6">
        <f>AVERAGE(D8:D12)</f>
        <v>8.8899999999999988</v>
      </c>
      <c r="F13" s="6">
        <f>AVERAGE(F8:F12)</f>
        <v>56.6</v>
      </c>
      <c r="G13" s="6">
        <f t="shared" ref="G13:M13" si="2">AVERAGE(G8:G12)</f>
        <v>19.100000000000001</v>
      </c>
      <c r="H13" s="6">
        <f t="shared" si="2"/>
        <v>28.9</v>
      </c>
      <c r="I13" s="7">
        <f t="shared" si="2"/>
        <v>16.981999999999999</v>
      </c>
      <c r="J13" s="7">
        <f t="shared" si="2"/>
        <v>14.394</v>
      </c>
      <c r="K13" s="7">
        <f t="shared" si="2"/>
        <v>14.88</v>
      </c>
      <c r="L13" s="7">
        <f t="shared" si="2"/>
        <v>22.866</v>
      </c>
      <c r="M13" s="7">
        <f t="shared" si="2"/>
        <v>17.2805</v>
      </c>
      <c r="N13" s="7"/>
      <c r="O13" s="7"/>
    </row>
    <row r="14" spans="1:15" s="1" customFormat="1" x14ac:dyDescent="0.2">
      <c r="A14" s="2"/>
      <c r="B14" s="2"/>
      <c r="C14" s="2" t="s">
        <v>31</v>
      </c>
      <c r="D14" s="7">
        <f>STDEV(D8:D12)/D13</f>
        <v>8.3421805254368601E-3</v>
      </c>
      <c r="F14" s="7">
        <f>STDEV(F8:F12)/F13</f>
        <v>9.3154956370771091E-2</v>
      </c>
      <c r="G14" s="7">
        <f t="shared" ref="G14:M14" si="3">STDEV(G8:G12)/G13</f>
        <v>0.21299314771526701</v>
      </c>
      <c r="H14" s="7">
        <f t="shared" si="3"/>
        <v>0.18809658027580448</v>
      </c>
      <c r="I14" s="7">
        <f t="shared" si="3"/>
        <v>6.1738130480391125E-2</v>
      </c>
      <c r="J14" s="7">
        <f t="shared" si="3"/>
        <v>0.24395628727818053</v>
      </c>
      <c r="K14" s="7">
        <f t="shared" si="3"/>
        <v>0.24125314471695322</v>
      </c>
      <c r="L14" s="7">
        <f t="shared" si="3"/>
        <v>8.8144400465867648E-2</v>
      </c>
      <c r="M14" s="7">
        <f t="shared" si="3"/>
        <v>0.10509784062903167</v>
      </c>
      <c r="N14" s="7"/>
      <c r="O14" s="7"/>
    </row>
    <row r="15" spans="1:15" x14ac:dyDescent="0.2">
      <c r="A15" s="3">
        <v>5</v>
      </c>
      <c r="B15" s="3">
        <v>4</v>
      </c>
      <c r="C15" s="3" t="s">
        <v>9</v>
      </c>
      <c r="D15" s="5">
        <v>10.4</v>
      </c>
      <c r="E15" s="3" t="s">
        <v>8</v>
      </c>
      <c r="F15" s="8">
        <v>63</v>
      </c>
      <c r="G15" s="8">
        <v>15</v>
      </c>
      <c r="H15" s="8">
        <v>20</v>
      </c>
      <c r="I15" s="9">
        <v>16.899999999999999</v>
      </c>
      <c r="J15" s="9">
        <v>15.4</v>
      </c>
      <c r="K15" s="9">
        <v>2.2999999999999998</v>
      </c>
      <c r="L15" s="9">
        <v>10.1</v>
      </c>
      <c r="M15" s="9">
        <f>AVERAGE(I15:L15)</f>
        <v>11.174999999999999</v>
      </c>
    </row>
    <row r="16" spans="1:15" x14ac:dyDescent="0.2">
      <c r="A16" s="3">
        <v>1</v>
      </c>
      <c r="B16" s="3">
        <v>4</v>
      </c>
      <c r="C16" s="3" t="s">
        <v>9</v>
      </c>
      <c r="D16" s="5">
        <v>10.5</v>
      </c>
      <c r="E16" s="3" t="s">
        <v>8</v>
      </c>
      <c r="F16" s="8">
        <v>65</v>
      </c>
      <c r="G16" s="8">
        <v>21</v>
      </c>
      <c r="H16" s="8">
        <v>43</v>
      </c>
      <c r="I16" s="9">
        <v>15</v>
      </c>
      <c r="J16" s="9">
        <v>11</v>
      </c>
      <c r="K16" s="9">
        <v>7</v>
      </c>
      <c r="L16" s="9">
        <v>10</v>
      </c>
      <c r="M16" s="9">
        <f>AVERAGE(I16:L16)</f>
        <v>10.75</v>
      </c>
    </row>
    <row r="17" spans="1:15" x14ac:dyDescent="0.2">
      <c r="A17" s="3">
        <v>2</v>
      </c>
      <c r="B17" s="3">
        <v>4</v>
      </c>
      <c r="C17" s="3" t="s">
        <v>9</v>
      </c>
      <c r="D17" s="5">
        <v>10.4</v>
      </c>
      <c r="E17" s="3" t="s">
        <v>8</v>
      </c>
      <c r="F17" s="8">
        <v>61</v>
      </c>
      <c r="G17" s="8">
        <v>21.5</v>
      </c>
      <c r="H17" s="8">
        <v>44</v>
      </c>
      <c r="I17" s="9">
        <v>16</v>
      </c>
      <c r="J17" s="9">
        <v>8</v>
      </c>
      <c r="K17" s="9">
        <v>13</v>
      </c>
      <c r="L17" s="9">
        <v>16</v>
      </c>
      <c r="M17" s="9">
        <f>AVERAGE(I17:L17)</f>
        <v>13.25</v>
      </c>
    </row>
    <row r="18" spans="1:15" x14ac:dyDescent="0.2">
      <c r="A18" s="3">
        <v>6</v>
      </c>
      <c r="B18" s="3">
        <v>4</v>
      </c>
      <c r="C18" s="3" t="s">
        <v>9</v>
      </c>
      <c r="D18" s="5">
        <v>10.6</v>
      </c>
      <c r="E18" s="3" t="s">
        <v>8</v>
      </c>
      <c r="F18" s="8">
        <v>72</v>
      </c>
      <c r="G18" s="8">
        <v>34</v>
      </c>
      <c r="H18" s="8">
        <v>45</v>
      </c>
      <c r="I18" s="9">
        <v>19.829999999999998</v>
      </c>
      <c r="J18" s="9">
        <v>11.83</v>
      </c>
      <c r="K18" s="9">
        <v>10.33</v>
      </c>
      <c r="L18" s="9">
        <v>16.25</v>
      </c>
      <c r="M18" s="9">
        <f>AVERAGE(I18:L18)</f>
        <v>14.559999999999999</v>
      </c>
    </row>
    <row r="19" spans="1:15" s="1" customFormat="1" x14ac:dyDescent="0.2">
      <c r="A19" s="2"/>
      <c r="B19" s="2"/>
      <c r="C19" s="2" t="s">
        <v>17</v>
      </c>
      <c r="D19" s="6">
        <f>AVERAGE(D15:D18)</f>
        <v>10.475</v>
      </c>
      <c r="F19" s="6">
        <f t="shared" ref="F19:M19" si="4">AVERAGE(F15:F18)</f>
        <v>65.25</v>
      </c>
      <c r="G19" s="6">
        <f t="shared" si="4"/>
        <v>22.875</v>
      </c>
      <c r="H19" s="6">
        <f t="shared" si="4"/>
        <v>38</v>
      </c>
      <c r="I19" s="7">
        <f t="shared" si="4"/>
        <v>16.932499999999997</v>
      </c>
      <c r="J19" s="7">
        <f t="shared" si="4"/>
        <v>11.557499999999999</v>
      </c>
      <c r="K19" s="7">
        <f t="shared" si="4"/>
        <v>8.1575000000000006</v>
      </c>
      <c r="L19" s="7">
        <f t="shared" si="4"/>
        <v>13.0875</v>
      </c>
      <c r="M19" s="7">
        <f t="shared" si="4"/>
        <v>12.43375</v>
      </c>
      <c r="N19" s="7"/>
      <c r="O19" s="7"/>
    </row>
    <row r="20" spans="1:15" s="1" customFormat="1" x14ac:dyDescent="0.2">
      <c r="A20" s="2"/>
      <c r="B20" s="2"/>
      <c r="C20" s="2" t="s">
        <v>31</v>
      </c>
      <c r="D20" s="7">
        <f>STDEV(D15:D18)/D19</f>
        <v>9.1401155871874157E-3</v>
      </c>
      <c r="F20" s="7">
        <f>STDEV(F15:F18)/F19</f>
        <v>7.3366061897037399E-2</v>
      </c>
      <c r="G20" s="7">
        <f t="shared" ref="G20:M20" si="5">STDEV(G15:G18)/G19</f>
        <v>0.34898600965205401</v>
      </c>
      <c r="H20" s="7">
        <f t="shared" si="5"/>
        <v>0.3165196237310301</v>
      </c>
      <c r="I20" s="7">
        <f t="shared" si="5"/>
        <v>0.12294227326245608</v>
      </c>
      <c r="J20" s="7">
        <f t="shared" si="5"/>
        <v>0.26341602488364274</v>
      </c>
      <c r="K20" s="7">
        <f t="shared" si="5"/>
        <v>0.56540492131846343</v>
      </c>
      <c r="L20" s="7">
        <f t="shared" si="5"/>
        <v>0.26812798545539374</v>
      </c>
      <c r="M20" s="7">
        <f t="shared" si="5"/>
        <v>0.14392082824825125</v>
      </c>
      <c r="N20" s="7"/>
      <c r="O20" s="7"/>
    </row>
    <row r="21" spans="1:15" x14ac:dyDescent="0.2">
      <c r="A21" s="3">
        <v>5</v>
      </c>
      <c r="B21" s="3">
        <v>5</v>
      </c>
      <c r="C21" s="3" t="s">
        <v>10</v>
      </c>
      <c r="D21" s="5">
        <v>37.5</v>
      </c>
      <c r="F21" s="8">
        <v>61.5</v>
      </c>
      <c r="G21" s="8">
        <v>9.5</v>
      </c>
      <c r="H21" s="8">
        <v>19</v>
      </c>
      <c r="I21" s="9">
        <v>2</v>
      </c>
      <c r="J21" s="9">
        <v>32.5</v>
      </c>
      <c r="K21" s="9">
        <v>32.9</v>
      </c>
      <c r="L21" s="9">
        <v>27</v>
      </c>
      <c r="M21" s="9">
        <f t="shared" ref="M21:M26" si="6">AVERAGE(I21:L21)</f>
        <v>23.6</v>
      </c>
      <c r="N21" s="9">
        <v>11.4</v>
      </c>
      <c r="O21" s="9">
        <v>32.5</v>
      </c>
    </row>
    <row r="22" spans="1:15" x14ac:dyDescent="0.2">
      <c r="A22" s="3">
        <v>1</v>
      </c>
      <c r="B22" s="3">
        <v>5</v>
      </c>
      <c r="C22" s="3" t="s">
        <v>10</v>
      </c>
      <c r="D22" s="5">
        <v>37.950000000000003</v>
      </c>
      <c r="F22" s="8">
        <v>64</v>
      </c>
      <c r="G22" s="8">
        <v>12</v>
      </c>
      <c r="H22" s="8">
        <v>35</v>
      </c>
      <c r="I22" s="9">
        <v>15</v>
      </c>
      <c r="J22" s="9">
        <v>31.33</v>
      </c>
      <c r="K22" s="9">
        <v>32.6</v>
      </c>
      <c r="L22" s="9">
        <v>26</v>
      </c>
      <c r="M22" s="9">
        <f t="shared" si="6"/>
        <v>26.232500000000002</v>
      </c>
      <c r="N22" s="9">
        <v>6</v>
      </c>
      <c r="O22" s="9">
        <v>32.6</v>
      </c>
    </row>
    <row r="23" spans="1:15" x14ac:dyDescent="0.2">
      <c r="A23" s="3">
        <v>2</v>
      </c>
      <c r="B23" s="3">
        <v>5</v>
      </c>
      <c r="C23" s="3" t="s">
        <v>10</v>
      </c>
      <c r="D23" s="5">
        <v>37.700000000000003</v>
      </c>
      <c r="F23" s="8">
        <v>63</v>
      </c>
      <c r="G23" s="8">
        <v>12</v>
      </c>
      <c r="H23" s="8">
        <v>12</v>
      </c>
      <c r="I23" s="9">
        <v>20</v>
      </c>
      <c r="J23" s="9">
        <v>38.299999999999997</v>
      </c>
      <c r="K23" s="9">
        <v>34</v>
      </c>
      <c r="L23" s="9">
        <v>28</v>
      </c>
      <c r="M23" s="9">
        <f t="shared" si="6"/>
        <v>30.074999999999999</v>
      </c>
      <c r="N23" s="9">
        <v>19.5</v>
      </c>
      <c r="O23" s="9">
        <v>38.700000000000003</v>
      </c>
    </row>
    <row r="24" spans="1:15" x14ac:dyDescent="0.2">
      <c r="A24" s="3">
        <v>3</v>
      </c>
      <c r="B24" s="3">
        <v>5</v>
      </c>
      <c r="C24" s="3" t="s">
        <v>10</v>
      </c>
      <c r="D24" s="5">
        <v>37.9</v>
      </c>
      <c r="F24" s="8">
        <v>61</v>
      </c>
      <c r="G24" s="8">
        <v>9</v>
      </c>
      <c r="H24" s="8">
        <v>16</v>
      </c>
      <c r="I24" s="9">
        <v>17.329999999999998</v>
      </c>
      <c r="J24" s="9">
        <v>39.67</v>
      </c>
      <c r="K24" s="9">
        <v>32</v>
      </c>
      <c r="L24" s="9">
        <v>29.33</v>
      </c>
      <c r="M24" s="9">
        <f t="shared" si="6"/>
        <v>29.5825</v>
      </c>
      <c r="N24" s="9">
        <v>9</v>
      </c>
      <c r="O24" s="9">
        <v>32.64</v>
      </c>
    </row>
    <row r="25" spans="1:15" x14ac:dyDescent="0.2">
      <c r="A25" s="3">
        <v>6</v>
      </c>
      <c r="B25" s="3">
        <v>5</v>
      </c>
      <c r="C25" s="3" t="s">
        <v>10</v>
      </c>
      <c r="D25" s="5">
        <v>36.200000000000003</v>
      </c>
      <c r="F25" s="8">
        <v>64</v>
      </c>
      <c r="G25" s="8">
        <v>4</v>
      </c>
      <c r="H25" s="8">
        <v>29</v>
      </c>
      <c r="I25" s="9">
        <v>21.25</v>
      </c>
      <c r="J25" s="9">
        <v>30.5</v>
      </c>
      <c r="K25" s="9">
        <v>32.25</v>
      </c>
      <c r="L25" s="9">
        <v>27.35</v>
      </c>
      <c r="M25" s="9">
        <f t="shared" si="6"/>
        <v>27.837499999999999</v>
      </c>
      <c r="N25" s="9">
        <v>10.67</v>
      </c>
      <c r="O25" s="9">
        <v>36.85</v>
      </c>
    </row>
    <row r="26" spans="1:15" x14ac:dyDescent="0.2">
      <c r="A26" s="3">
        <v>4</v>
      </c>
      <c r="B26" s="3">
        <v>5</v>
      </c>
      <c r="C26" s="3" t="s">
        <v>10</v>
      </c>
      <c r="D26" s="5">
        <v>37.4</v>
      </c>
      <c r="F26" s="8">
        <v>64</v>
      </c>
      <c r="G26" s="8">
        <v>5</v>
      </c>
      <c r="H26" s="8">
        <v>16.5</v>
      </c>
      <c r="I26" s="9">
        <v>17.649999999999999</v>
      </c>
      <c r="J26" s="9">
        <v>29.65</v>
      </c>
      <c r="K26" s="9">
        <v>33.25</v>
      </c>
      <c r="L26" s="9">
        <v>27.16</v>
      </c>
      <c r="M26" s="9">
        <f t="shared" si="6"/>
        <v>26.927499999999998</v>
      </c>
      <c r="N26" s="9">
        <v>15</v>
      </c>
      <c r="O26" s="9">
        <v>20</v>
      </c>
    </row>
    <row r="27" spans="1:15" s="1" customFormat="1" x14ac:dyDescent="0.2">
      <c r="A27" s="2"/>
      <c r="B27" s="2"/>
      <c r="C27" s="2" t="s">
        <v>17</v>
      </c>
      <c r="D27" s="6">
        <f>AVERAGE(D21:D26)</f>
        <v>37.44166666666667</v>
      </c>
      <c r="F27" s="6">
        <f>AVERAGE(F21:F26)</f>
        <v>62.916666666666664</v>
      </c>
      <c r="G27" s="6">
        <f t="shared" ref="G27:O27" si="7">AVERAGE(G21:G26)</f>
        <v>8.5833333333333339</v>
      </c>
      <c r="H27" s="6">
        <f t="shared" si="7"/>
        <v>21.25</v>
      </c>
      <c r="I27" s="7">
        <f t="shared" si="7"/>
        <v>15.538333333333332</v>
      </c>
      <c r="J27" s="7">
        <f t="shared" si="7"/>
        <v>33.658333333333339</v>
      </c>
      <c r="K27" s="7">
        <f t="shared" si="7"/>
        <v>32.833333333333336</v>
      </c>
      <c r="L27" s="7">
        <f t="shared" si="7"/>
        <v>27.473333333333333</v>
      </c>
      <c r="M27" s="7">
        <f t="shared" si="7"/>
        <v>27.375833333333333</v>
      </c>
      <c r="N27" s="7">
        <f t="shared" si="7"/>
        <v>11.928333333333333</v>
      </c>
      <c r="O27" s="7">
        <f t="shared" si="7"/>
        <v>32.214999999999996</v>
      </c>
    </row>
    <row r="28" spans="1:15" s="1" customFormat="1" x14ac:dyDescent="0.2">
      <c r="A28" s="2"/>
      <c r="B28" s="2"/>
      <c r="C28" s="2" t="s">
        <v>31</v>
      </c>
      <c r="D28" s="7">
        <f>STDEV(D21:D26)/D27</f>
        <v>1.72349044151635E-2</v>
      </c>
      <c r="F28" s="7">
        <f>STDEV(F21:F26)/F27</f>
        <v>2.1569486607492389E-2</v>
      </c>
      <c r="G28" s="7">
        <f t="shared" ref="G28:O28" si="8">STDEV(G21:G26)/G27</f>
        <v>0.39751324280730888</v>
      </c>
      <c r="H28" s="7">
        <f t="shared" si="8"/>
        <v>0.41554566619330963</v>
      </c>
      <c r="I28" s="7">
        <f t="shared" si="8"/>
        <v>0.44937118504373014</v>
      </c>
      <c r="J28" s="7">
        <f t="shared" si="8"/>
        <v>0.12639282034435345</v>
      </c>
      <c r="K28" s="7">
        <f t="shared" si="8"/>
        <v>2.2082093453686329E-2</v>
      </c>
      <c r="L28" s="7">
        <f t="shared" si="8"/>
        <v>4.0638990888401137E-2</v>
      </c>
      <c r="M28" s="7">
        <f t="shared" si="8"/>
        <v>8.6647651958889182E-2</v>
      </c>
      <c r="N28" s="7">
        <f t="shared" si="8"/>
        <v>0.3973910345489437</v>
      </c>
      <c r="O28" s="7">
        <f t="shared" si="8"/>
        <v>0.20267695443893657</v>
      </c>
    </row>
    <row r="30" spans="1:15" x14ac:dyDescent="0.2">
      <c r="G30" s="8" t="s">
        <v>26</v>
      </c>
      <c r="H30" s="8" t="s">
        <v>28</v>
      </c>
    </row>
    <row r="31" spans="1:15" x14ac:dyDescent="0.2">
      <c r="G31" s="8">
        <v>0</v>
      </c>
      <c r="H31" s="8">
        <v>62.9</v>
      </c>
      <c r="I31" s="9" t="s">
        <v>27</v>
      </c>
    </row>
    <row r="32" spans="1:15" x14ac:dyDescent="0.2">
      <c r="G32" s="8">
        <v>11.93</v>
      </c>
      <c r="H32" s="8">
        <v>62.9</v>
      </c>
      <c r="I32" s="3" t="s">
        <v>4</v>
      </c>
    </row>
    <row r="33" spans="6:9" x14ac:dyDescent="0.2">
      <c r="F33" s="4" t="s">
        <v>29</v>
      </c>
      <c r="G33" s="8">
        <v>33.659999999999997</v>
      </c>
      <c r="H33" s="8">
        <v>21.3</v>
      </c>
      <c r="I33" s="3" t="s">
        <v>25</v>
      </c>
    </row>
    <row r="34" spans="6:9" x14ac:dyDescent="0.2">
      <c r="F34" s="6" t="s">
        <v>30</v>
      </c>
      <c r="G34" s="8">
        <v>32.22</v>
      </c>
      <c r="H34" s="8">
        <v>8.6</v>
      </c>
      <c r="I34" s="3" t="s">
        <v>5</v>
      </c>
    </row>
    <row r="35" spans="6:9" x14ac:dyDescent="0.2">
      <c r="G35" s="8">
        <v>0</v>
      </c>
      <c r="H35" s="8">
        <v>8.6</v>
      </c>
      <c r="I35" s="3" t="s">
        <v>24</v>
      </c>
    </row>
  </sheetData>
  <phoneticPr fontId="1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>Department of Forestry, Michigan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MacFarlane</dc:creator>
  <cp:lastModifiedBy>xlParse</cp:lastModifiedBy>
  <cp:lastPrinted>2003-02-25T20:15:28Z</cp:lastPrinted>
  <dcterms:created xsi:type="dcterms:W3CDTF">2003-02-25T19:47:43Z</dcterms:created>
  <dcterms:modified xsi:type="dcterms:W3CDTF">2017-10-10T09:33:55Z</dcterms:modified>
</cp:coreProperties>
</file>