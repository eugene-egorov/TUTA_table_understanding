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72" windowWidth="16608" windowHeight="6216" activeTab="1"/>
  </bookViews>
  <sheets>
    <sheet name="Figure1" sheetId="4" r:id="rId1"/>
    <sheet name="Figure 2-5" sheetId="3" r:id="rId2"/>
    <sheet name="Figure6" sheetId="6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Z13" i="3" l="1"/>
  <c r="Y13" i="3"/>
  <c r="X13" i="3"/>
  <c r="Z12" i="3"/>
  <c r="Y12" i="3"/>
  <c r="X12" i="3"/>
  <c r="Z11" i="3"/>
  <c r="Y11" i="3"/>
  <c r="X11" i="3"/>
  <c r="Z10" i="3"/>
  <c r="Y10" i="3"/>
  <c r="X10" i="3"/>
  <c r="Z9" i="3"/>
  <c r="Y9" i="3"/>
  <c r="X9" i="3"/>
  <c r="Z8" i="3"/>
  <c r="Y8" i="3"/>
  <c r="X8" i="3"/>
  <c r="Z7" i="3"/>
  <c r="Y7" i="3"/>
  <c r="X7" i="3"/>
  <c r="Z6" i="3"/>
  <c r="Y6" i="3"/>
  <c r="X6" i="3"/>
  <c r="Z5" i="3"/>
  <c r="Y5" i="3"/>
  <c r="X5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Q6" i="3"/>
  <c r="P6" i="3"/>
  <c r="O6" i="3"/>
  <c r="Q5" i="3"/>
  <c r="P5" i="3"/>
  <c r="O5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</calcChain>
</file>

<file path=xl/sharedStrings.xml><?xml version="1.0" encoding="utf-8"?>
<sst xmlns="http://schemas.openxmlformats.org/spreadsheetml/2006/main" count="186" uniqueCount="67">
  <si>
    <t>Raw materials</t>
  </si>
  <si>
    <t>Other manufactured goods</t>
  </si>
  <si>
    <t>Czech Republic</t>
  </si>
  <si>
    <t>Denmark</t>
  </si>
  <si>
    <t>Hungary</t>
  </si>
  <si>
    <t>Poland</t>
  </si>
  <si>
    <t>Romania</t>
  </si>
  <si>
    <t>Sweden</t>
  </si>
  <si>
    <t>United Kingdom</t>
  </si>
  <si>
    <t>Norway</t>
  </si>
  <si>
    <t>Switzerland</t>
  </si>
  <si>
    <t>Turkey</t>
  </si>
  <si>
    <t>Russia</t>
  </si>
  <si>
    <t>Extra-Euro area-19</t>
  </si>
  <si>
    <t>United States</t>
  </si>
  <si>
    <t>Mexico</t>
  </si>
  <si>
    <t>Brazil</t>
  </si>
  <si>
    <t>China (except Hong Kong)</t>
  </si>
  <si>
    <t>Japan</t>
  </si>
  <si>
    <t>South Korea</t>
  </si>
  <si>
    <t>India</t>
  </si>
  <si>
    <t>Saudi Arabia</t>
  </si>
  <si>
    <t>United Arab Emirates</t>
  </si>
  <si>
    <t>Exports</t>
  </si>
  <si>
    <t>Imports</t>
  </si>
  <si>
    <t>Others</t>
  </si>
  <si>
    <t>Growth (%)
2014-2015</t>
  </si>
  <si>
    <t>Share (%) of 
extra EA19</t>
  </si>
  <si>
    <t>Balance</t>
  </si>
  <si>
    <t>Food and drink</t>
  </si>
  <si>
    <t>Energy products</t>
  </si>
  <si>
    <t>Chemicals</t>
  </si>
  <si>
    <t>Other</t>
  </si>
  <si>
    <t>Machinery and vehicles</t>
  </si>
  <si>
    <t>Growth (%)
2015-2016</t>
  </si>
  <si>
    <r>
      <t>Source:</t>
    </r>
    <r>
      <rPr>
        <sz val="9"/>
        <color theme="1"/>
        <rFont val="Arial"/>
        <family val="2"/>
      </rPr>
      <t xml:space="preserve"> Eurostat (online data code: TET00069)</t>
    </r>
  </si>
  <si>
    <t>(billion EUR)</t>
  </si>
  <si>
    <t>Figure 1: Euro area trade, 2008-2016</t>
  </si>
  <si>
    <t>Table 1: Euro area total trade by main partner countries, 2014-2016 (bn EUR)</t>
  </si>
  <si>
    <t>Table 2: Euro area exports by main partner countries, 2014-2016 (bn EUR)</t>
  </si>
  <si>
    <t>Table 3: Euro area imports by main partner countries, 2014-2016 (bn EUR)</t>
  </si>
  <si>
    <t>Table 4: Euro area trade balance by main partner countries, 2014-2016 (bn EUR)</t>
  </si>
  <si>
    <t>Balance pos</t>
  </si>
  <si>
    <t>Imports pos</t>
  </si>
  <si>
    <t>Exports pos</t>
  </si>
  <si>
    <t>Balance 2016</t>
  </si>
  <si>
    <t>Imports 2016</t>
  </si>
  <si>
    <t>Exports 2016</t>
  </si>
  <si>
    <t>Balance 2014</t>
  </si>
  <si>
    <t>Imports 2014</t>
  </si>
  <si>
    <t>Exports 2014</t>
  </si>
  <si>
    <t>China 
(except 
Hong Kong)</t>
  </si>
  <si>
    <t>United 
States</t>
  </si>
  <si>
    <t>United 
Kingdom</t>
  </si>
  <si>
    <t>Czech 
Republic</t>
  </si>
  <si>
    <t>Share (%) of 
extra EA19 2014</t>
  </si>
  <si>
    <t>Share (%) of 
extra EA19 2015</t>
  </si>
  <si>
    <t>Share (%) of 
extra EA19 2016</t>
  </si>
  <si>
    <t>Detailed tables with more countries below</t>
  </si>
  <si>
    <t>Figure 2: Euro area total trade by main partner countries, 2014-2016 (bn EUR)</t>
  </si>
  <si>
    <t>Figure 3: Euro area exports by main partner countries, 2014-2016 (bn EUR)</t>
  </si>
  <si>
    <t>Figure 4: Euro area imports by main partner countries, 2014-2016 (bn EUR)</t>
  </si>
  <si>
    <t>Figure 5: Euro area trade balance by main partner countries, 2014-2016 (bn EUR)</t>
  </si>
  <si>
    <t>Figure 2: Euro area trade by product, 2014 and 2016</t>
  </si>
  <si>
    <t>Note: The labels show the countries' share in the total EA-19 trade for that year</t>
  </si>
  <si>
    <t>Note: The labels show the countries' share in the total EA-19 exports for that year</t>
  </si>
  <si>
    <t>Note: The labels show the countries' share in the total EA-19 imports for that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</si>
</sst>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#,##0.0_i"/>
    <numFmt numFmtId="166" formatCode="0.0%"/>
    <numFmt numFmtId="167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 style="thin">
        <color rgb="FF000000"/>
      </top>
      <bottom/>
      <diagonal/>
    </border>
    <border>
      <left/>
      <right style="hair">
        <color rgb="FFA6A6A6"/>
      </right>
      <top style="thin">
        <color rgb="FF000000"/>
      </top>
      <bottom style="thin">
        <color indexed="64"/>
      </bottom>
      <diagonal/>
    </border>
    <border>
      <left/>
      <right/>
      <top/>
      <bottom style="hair">
        <color rgb="FFC0C0C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5" fontId="18" fillId="0" borderId="0" applyFill="0" applyBorder="0" applyProtection="0">
      <alignment horizontal="right"/>
    </xf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0" fontId="19" fillId="0" borderId="11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13" xfId="0" applyFont="1" applyBorder="1" applyAlignment="1">
      <alignment horizontal="left"/>
    </xf>
    <xf numFmtId="0" fontId="19" fillId="33" borderId="17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19" fillId="34" borderId="17" xfId="0" applyFont="1" applyFill="1" applyBorder="1" applyAlignment="1">
      <alignment horizontal="center" wrapText="1"/>
    </xf>
    <xf numFmtId="0" fontId="19" fillId="0" borderId="12" xfId="0" applyFont="1" applyFill="1" applyBorder="1" applyAlignment="1">
      <alignment horizontal="left"/>
    </xf>
    <xf numFmtId="0" fontId="19" fillId="34" borderId="17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left"/>
    </xf>
    <xf numFmtId="0" fontId="19" fillId="34" borderId="18" xfId="0" applyFont="1" applyFill="1" applyBorder="1" applyAlignment="1">
      <alignment horizontal="left"/>
    </xf>
    <xf numFmtId="0" fontId="20" fillId="0" borderId="0" xfId="0" applyFont="1"/>
    <xf numFmtId="0" fontId="19" fillId="0" borderId="0" xfId="0" applyFont="1" applyFill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/>
    <xf numFmtId="3" fontId="18" fillId="0" borderId="14" xfId="0" applyNumberFormat="1" applyFont="1" applyBorder="1"/>
    <xf numFmtId="3" fontId="18" fillId="0" borderId="11" xfId="0" applyNumberFormat="1" applyFont="1" applyBorder="1"/>
    <xf numFmtId="3" fontId="18" fillId="0" borderId="15" xfId="0" applyNumberFormat="1" applyFont="1" applyBorder="1"/>
    <xf numFmtId="3" fontId="18" fillId="0" borderId="12" xfId="0" applyNumberFormat="1" applyFont="1" applyBorder="1"/>
    <xf numFmtId="3" fontId="18" fillId="0" borderId="16" xfId="0" applyNumberFormat="1" applyFont="1" applyBorder="1"/>
    <xf numFmtId="3" fontId="18" fillId="0" borderId="13" xfId="0" applyNumberFormat="1" applyFont="1" applyBorder="1"/>
    <xf numFmtId="3" fontId="18" fillId="0" borderId="0" xfId="0" applyNumberFormat="1" applyFont="1"/>
    <xf numFmtId="164" fontId="18" fillId="0" borderId="11" xfId="0" applyNumberFormat="1" applyFont="1" applyBorder="1"/>
    <xf numFmtId="3" fontId="18" fillId="0" borderId="0" xfId="0" applyNumberFormat="1" applyFont="1" applyBorder="1"/>
    <xf numFmtId="3" fontId="18" fillId="0" borderId="15" xfId="0" applyNumberFormat="1" applyFont="1" applyFill="1" applyBorder="1" applyAlignment="1"/>
    <xf numFmtId="3" fontId="18" fillId="0" borderId="12" xfId="0" applyNumberFormat="1" applyFont="1" applyFill="1" applyBorder="1" applyAlignment="1"/>
    <xf numFmtId="164" fontId="18" fillId="0" borderId="12" xfId="0" applyNumberFormat="1" applyFont="1" applyBorder="1"/>
    <xf numFmtId="164" fontId="18" fillId="0" borderId="13" xfId="0" applyNumberFormat="1" applyFont="1" applyBorder="1"/>
    <xf numFmtId="1" fontId="18" fillId="0" borderId="14" xfId="0" applyNumberFormat="1" applyFont="1" applyBorder="1"/>
    <xf numFmtId="1" fontId="18" fillId="0" borderId="11" xfId="0" applyNumberFormat="1" applyFont="1" applyBorder="1"/>
    <xf numFmtId="1" fontId="18" fillId="0" borderId="15" xfId="0" applyNumberFormat="1" applyFont="1" applyBorder="1"/>
    <xf numFmtId="1" fontId="18" fillId="0" borderId="12" xfId="0" applyNumberFormat="1" applyFont="1" applyBorder="1"/>
    <xf numFmtId="1" fontId="18" fillId="0" borderId="16" xfId="0" applyNumberFormat="1" applyFont="1" applyBorder="1"/>
    <xf numFmtId="1" fontId="18" fillId="0" borderId="13" xfId="0" applyNumberFormat="1" applyFont="1" applyBorder="1"/>
    <xf numFmtId="167" fontId="18" fillId="0" borderId="14" xfId="0" applyNumberFormat="1" applyFont="1" applyBorder="1"/>
    <xf numFmtId="167" fontId="18" fillId="0" borderId="11" xfId="0" applyNumberFormat="1" applyFont="1" applyBorder="1"/>
    <xf numFmtId="167" fontId="18" fillId="0" borderId="15" xfId="0" applyNumberFormat="1" applyFont="1" applyBorder="1"/>
    <xf numFmtId="167" fontId="18" fillId="0" borderId="12" xfId="0" applyNumberFormat="1" applyFont="1" applyBorder="1"/>
    <xf numFmtId="167" fontId="18" fillId="0" borderId="16" xfId="0" applyNumberFormat="1" applyFont="1" applyBorder="1"/>
    <xf numFmtId="167" fontId="18" fillId="0" borderId="13" xfId="0" applyNumberFormat="1" applyFont="1" applyBorder="1"/>
    <xf numFmtId="1" fontId="18" fillId="0" borderId="0" xfId="0" applyNumberFormat="1" applyFont="1" applyBorder="1"/>
    <xf numFmtId="0" fontId="18" fillId="0" borderId="0" xfId="0" applyFont="1" applyAlignment="1">
      <alignment wrapText="1"/>
    </xf>
    <xf numFmtId="0" fontId="18" fillId="0" borderId="0" xfId="0" applyNumberFormat="1" applyFont="1"/>
    <xf numFmtId="166" fontId="18" fillId="0" borderId="0" xfId="0" applyNumberFormat="1" applyFont="1"/>
    <xf numFmtId="1" fontId="18" fillId="0" borderId="0" xfId="0" applyNumberFormat="1" applyFont="1"/>
    <xf numFmtId="166" fontId="18" fillId="0" borderId="0" xfId="43" applyNumberFormat="1" applyFont="1"/>
    <xf numFmtId="3" fontId="18" fillId="0" borderId="20" xfId="0" applyNumberFormat="1" applyFont="1" applyBorder="1"/>
    <xf numFmtId="3" fontId="18" fillId="0" borderId="19" xfId="0" applyNumberFormat="1" applyFont="1" applyBorder="1"/>
    <xf numFmtId="164" fontId="18" fillId="0" borderId="19" xfId="0" applyNumberFormat="1" applyFont="1" applyBorder="1"/>
    <xf numFmtId="0" fontId="19" fillId="34" borderId="21" xfId="0" applyFont="1" applyFill="1" applyBorder="1" applyAlignment="1">
      <alignment horizontal="center"/>
    </xf>
    <xf numFmtId="0" fontId="19" fillId="34" borderId="22" xfId="0" applyFont="1" applyFill="1" applyBorder="1" applyAlignment="1">
      <alignment horizontal="center"/>
    </xf>
    <xf numFmtId="3" fontId="18" fillId="0" borderId="20" xfId="0" applyNumberFormat="1" applyFont="1" applyFill="1" applyBorder="1" applyAlignment="1"/>
    <xf numFmtId="3" fontId="18" fillId="0" borderId="19" xfId="0" applyNumberFormat="1" applyFont="1" applyFill="1" applyBorder="1" applyAlignment="1"/>
    <xf numFmtId="0" fontId="19" fillId="34" borderId="22" xfId="0" applyFont="1" applyFill="1" applyBorder="1" applyAlignment="1">
      <alignment horizontal="center" wrapText="1"/>
    </xf>
    <xf numFmtId="0" fontId="19" fillId="0" borderId="11" xfId="0" applyFont="1" applyFill="1" applyBorder="1" applyAlignment="1">
      <alignment horizontal="left"/>
    </xf>
    <xf numFmtId="3" fontId="18" fillId="0" borderId="14" xfId="0" applyNumberFormat="1" applyFont="1" applyFill="1" applyBorder="1" applyAlignment="1"/>
    <xf numFmtId="3" fontId="18" fillId="0" borderId="11" xfId="0" applyNumberFormat="1" applyFont="1" applyFill="1" applyBorder="1" applyAlignment="1"/>
    <xf numFmtId="0" fontId="19" fillId="0" borderId="13" xfId="0" applyFont="1" applyFill="1" applyBorder="1" applyAlignment="1">
      <alignment horizontal="left"/>
    </xf>
    <xf numFmtId="3" fontId="18" fillId="0" borderId="16" xfId="0" applyNumberFormat="1" applyFont="1" applyFill="1" applyBorder="1" applyAlignment="1"/>
    <xf numFmtId="3" fontId="18" fillId="0" borderId="13" xfId="0" applyNumberFormat="1" applyFont="1" applyFill="1" applyBorder="1" applyAlignment="1"/>
    <xf numFmtId="164" fontId="18" fillId="0" borderId="0" xfId="0" applyNumberFormat="1" applyFont="1" applyBorder="1"/>
    <xf numFmtId="0" fontId="21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NumberCellStyle" xfId="42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Figure1!$A$6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3"/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numRef>
              <c:f>Figure1!$B$3:$J$3</c:f>
              <c:numCache>
                <c:formatCode>General</c:formatCode>
                <c:ptCount val="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</c:numCache>
            </c:numRef>
          </c:cat>
          <c:val>
            <c:numRef>
              <c:f>Figure1!$B$6:$J$6</c:f>
              <c:numCache>
                <c:formatCode>#,##0</c:formatCode>
                <c:ptCount val="9"/>
                <c:pt idx="0">
                  <c:v>-62.492999999999938</c:v>
                </c:pt>
                <c:pt idx="1">
                  <c:v>11.653700000000072</c:v>
                </c:pt>
                <c:pt idx="2">
                  <c:v>-13.525000000000091</c:v>
                </c:pt>
                <c:pt idx="3">
                  <c:v>-21.665400000000091</c:v>
                </c:pt>
                <c:pt idx="4">
                  <c:v>80.87039999999979</c:v>
                </c:pt>
                <c:pt idx="5">
                  <c:v>152.05690000000004</c:v>
                </c:pt>
                <c:pt idx="6">
                  <c:v>182.02089999999998</c:v>
                </c:pt>
                <c:pt idx="7">
                  <c:v>238.69840000000022</c:v>
                </c:pt>
                <c:pt idx="8">
                  <c:v>271.93889999999988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axId val="151819008"/>
        <c:axId val="151820544"/>
      </c:barChart>
      <c:lineChart>
        <c:grouping val="standard"/>
        <c:varyColors val="0"/>
        <c:ser>
          <c:idx val="0"/>
          <c:order val="0"/>
          <c:tx>
            <c:strRef>
              <c:f>Figure1!$A$4</c:f>
              <c:strCache>
                <c:ptCount val="1"/>
                <c:pt idx="0">
                  <c:v>Exports</c:v>
                </c:pt>
              </c:strCache>
            </c:strRef>
          </c:tx>
          <c:spPr>
            <a:ln>
              <a:solidFill>
                <a:schemeClr val="accent2"/>
              </a:solidFill>
              <a:round/>
            </a:ln>
            <a:effectLst/>
            <a:extLst/>
          </c:spPr>
          <c:marker>
            <c:symbol val="none"/>
          </c:marker>
          <c:cat>
            <c:numRef>
              <c:f>Figure1!$B$3:$J$3</c:f>
              <c:numCache>
                <c:formatCode>General</c:formatCode>
                <c:ptCount val="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</c:numCache>
            </c:numRef>
          </c:cat>
          <c:val>
            <c:numRef>
              <c:f>Figure1!$B$4:$J$4</c:f>
              <c:numCache>
                <c:formatCode>#,##0</c:formatCode>
                <c:ptCount val="9"/>
                <c:pt idx="0">
                  <c:v>1566.4232</c:v>
                </c:pt>
                <c:pt idx="1">
                  <c:v>1286.2536</c:v>
                </c:pt>
                <c:pt idx="2">
                  <c:v>1546.1683</c:v>
                </c:pt>
                <c:pt idx="3">
                  <c:v>1747.0962</c:v>
                </c:pt>
                <c:pt idx="4">
                  <c:v>1879.4141999999999</c:v>
                </c:pt>
                <c:pt idx="5">
                  <c:v>1897.1311000000001</c:v>
                </c:pt>
                <c:pt idx="6">
                  <c:v>1939.2873</c:v>
                </c:pt>
                <c:pt idx="7">
                  <c:v>2041.6648</c:v>
                </c:pt>
                <c:pt idx="8">
                  <c:v>2047.7249999999999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Figure1!$A$5</c:f>
              <c:strCache>
                <c:ptCount val="1"/>
                <c:pt idx="0">
                  <c:v>Imports</c:v>
                </c:pt>
              </c:strCache>
            </c:strRef>
          </c:tx>
          <c:spPr>
            <a:ln>
              <a:solidFill>
                <a:schemeClr val="accent1"/>
              </a:solidFill>
              <a:round/>
            </a:ln>
            <a:effectLst/>
            <a:extLst/>
          </c:spPr>
          <c:marker>
            <c:symbol val="none"/>
          </c:marker>
          <c:cat>
            <c:numRef>
              <c:f>Figure1!$B$3:$J$3</c:f>
              <c:numCache>
                <c:formatCode>General</c:formatCode>
                <c:ptCount val="9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</c:numCache>
            </c:numRef>
          </c:cat>
          <c:val>
            <c:numRef>
              <c:f>Figure1!$B$5:$J$5</c:f>
              <c:numCache>
                <c:formatCode>#,##0</c:formatCode>
                <c:ptCount val="9"/>
                <c:pt idx="0">
                  <c:v>1628.9161999999999</c:v>
                </c:pt>
                <c:pt idx="1">
                  <c:v>1274.5998999999999</c:v>
                </c:pt>
                <c:pt idx="2">
                  <c:v>1559.6933000000001</c:v>
                </c:pt>
                <c:pt idx="3">
                  <c:v>1768.7616</c:v>
                </c:pt>
                <c:pt idx="4">
                  <c:v>1798.5438000000001</c:v>
                </c:pt>
                <c:pt idx="5">
                  <c:v>1745.0742</c:v>
                </c:pt>
                <c:pt idx="6">
                  <c:v>1757.2664</c:v>
                </c:pt>
                <c:pt idx="7">
                  <c:v>1802.9663999999998</c:v>
                </c:pt>
                <c:pt idx="8">
                  <c:v>1775.7861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819008"/>
        <c:axId val="151820544"/>
      </c:lineChart>
      <c:catAx>
        <c:axId val="15181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crossAx val="151820544"/>
        <c:crosses val="autoZero"/>
        <c:auto val="1"/>
        <c:lblAlgn val="ctr"/>
        <c:lblOffset val="100"/>
        <c:noMultiLvlLbl val="0"/>
      </c:catAx>
      <c:valAx>
        <c:axId val="15182054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1819008"/>
        <c:crosses val="autoZero"/>
        <c:crossBetween val="between"/>
      </c:valAx>
    </c:plotArea>
    <c:legend>
      <c:legendPos val="b"/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'Figure 2-5'!$AC$4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'Figure 2-5'!$AB$5:$AB$13</c:f>
              <c:strCache>
                <c:ptCount val="9"/>
                <c:pt idx="0">
                  <c:v>United Kingdom</c:v>
                </c:pt>
                <c:pt idx="1">
                  <c:v>United States</c:v>
                </c:pt>
                <c:pt idx="2">
                  <c:v>Switzerland</c:v>
                </c:pt>
                <c:pt idx="3">
                  <c:v>Poland</c:v>
                </c:pt>
                <c:pt idx="4">
                  <c:v>Turkey</c:v>
                </c:pt>
                <c:pt idx="5">
                  <c:v>Sweden</c:v>
                </c:pt>
                <c:pt idx="6">
                  <c:v>Czech Republic</c:v>
                </c:pt>
                <c:pt idx="7">
                  <c:v>Russia</c:v>
                </c:pt>
                <c:pt idx="8">
                  <c:v>China (except Hong Kong)</c:v>
                </c:pt>
              </c:strCache>
            </c:strRef>
          </c:cat>
          <c:val>
            <c:numRef>
              <c:f>'Figure 2-5'!$AC$5:$AC$13</c:f>
              <c:numCache>
                <c:formatCode>#,##0</c:formatCode>
                <c:ptCount val="9"/>
                <c:pt idx="0">
                  <c:v>93.414799999999985</c:v>
                </c:pt>
                <c:pt idx="1">
                  <c:v>84.860700000000008</c:v>
                </c:pt>
                <c:pt idx="2">
                  <c:v>24.856399999999994</c:v>
                </c:pt>
                <c:pt idx="3">
                  <c:v>16.951499999999996</c:v>
                </c:pt>
                <c:pt idx="4">
                  <c:v>19.698</c:v>
                </c:pt>
                <c:pt idx="5">
                  <c:v>8.731899999999996</c:v>
                </c:pt>
                <c:pt idx="6">
                  <c:v>-12.05680000000001</c:v>
                </c:pt>
                <c:pt idx="7">
                  <c:v>-54.086200000000005</c:v>
                </c:pt>
                <c:pt idx="8">
                  <c:v>-86.506499999999988</c:v>
                </c:pt>
              </c:numCache>
            </c:numRef>
          </c:val>
        </c:ser>
        <c:ser>
          <c:idx val="1"/>
          <c:order val="1"/>
          <c:tx>
            <c:strRef>
              <c:f>'Figure 2-5'!$AD$4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'Figure 2-5'!$AB$5:$AB$13</c:f>
              <c:strCache>
                <c:ptCount val="9"/>
                <c:pt idx="0">
                  <c:v>United Kingdom</c:v>
                </c:pt>
                <c:pt idx="1">
                  <c:v>United States</c:v>
                </c:pt>
                <c:pt idx="2">
                  <c:v>Switzerland</c:v>
                </c:pt>
                <c:pt idx="3">
                  <c:v>Poland</c:v>
                </c:pt>
                <c:pt idx="4">
                  <c:v>Turkey</c:v>
                </c:pt>
                <c:pt idx="5">
                  <c:v>Sweden</c:v>
                </c:pt>
                <c:pt idx="6">
                  <c:v>Czech Republic</c:v>
                </c:pt>
                <c:pt idx="7">
                  <c:v>Russia</c:v>
                </c:pt>
                <c:pt idx="8">
                  <c:v>China (except Hong Kong)</c:v>
                </c:pt>
              </c:strCache>
            </c:strRef>
          </c:cat>
          <c:val>
            <c:numRef>
              <c:f>'Figure 2-5'!$AD$5:$AD$13</c:f>
              <c:numCache>
                <c:formatCode>#,##0</c:formatCode>
                <c:ptCount val="9"/>
                <c:pt idx="0">
                  <c:v>114.47929999999999</c:v>
                </c:pt>
                <c:pt idx="1">
                  <c:v>98.250100000000003</c:v>
                </c:pt>
                <c:pt idx="2">
                  <c:v>25.203699999999998</c:v>
                </c:pt>
                <c:pt idx="3">
                  <c:v>15.328300000000013</c:v>
                </c:pt>
                <c:pt idx="4">
                  <c:v>19.182700000000004</c:v>
                </c:pt>
                <c:pt idx="5">
                  <c:v>11.348399999999998</c:v>
                </c:pt>
                <c:pt idx="6">
                  <c:v>-13.502499999999998</c:v>
                </c:pt>
                <c:pt idx="7">
                  <c:v>-43.153700000000008</c:v>
                </c:pt>
                <c:pt idx="8">
                  <c:v>-118.05799999999999</c:v>
                </c:pt>
              </c:numCache>
            </c:numRef>
          </c:val>
        </c:ser>
        <c:ser>
          <c:idx val="0"/>
          <c:order val="2"/>
          <c:tx>
            <c:strRef>
              <c:f>'Figure 2-5'!$AE$4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'Figure 2-5'!$AB$5:$AB$13</c:f>
              <c:strCache>
                <c:ptCount val="9"/>
                <c:pt idx="0">
                  <c:v>United Kingdom</c:v>
                </c:pt>
                <c:pt idx="1">
                  <c:v>United States</c:v>
                </c:pt>
                <c:pt idx="2">
                  <c:v>Switzerland</c:v>
                </c:pt>
                <c:pt idx="3">
                  <c:v>Poland</c:v>
                </c:pt>
                <c:pt idx="4">
                  <c:v>Turkey</c:v>
                </c:pt>
                <c:pt idx="5">
                  <c:v>Sweden</c:v>
                </c:pt>
                <c:pt idx="6">
                  <c:v>Czech Republic</c:v>
                </c:pt>
                <c:pt idx="7">
                  <c:v>Russia</c:v>
                </c:pt>
                <c:pt idx="8">
                  <c:v>China (except Hong Kong)</c:v>
                </c:pt>
              </c:strCache>
            </c:strRef>
          </c:cat>
          <c:val>
            <c:numRef>
              <c:f>'Figure 2-5'!$AE$5:$AE$13</c:f>
              <c:numCache>
                <c:formatCode>#,##0</c:formatCode>
                <c:ptCount val="9"/>
                <c:pt idx="0">
                  <c:v>117.95579999999998</c:v>
                </c:pt>
                <c:pt idx="1">
                  <c:v>98.69</c:v>
                </c:pt>
                <c:pt idx="2">
                  <c:v>26.459699999999998</c:v>
                </c:pt>
                <c:pt idx="3">
                  <c:v>14.706599999999995</c:v>
                </c:pt>
                <c:pt idx="4">
                  <c:v>14.630500000000005</c:v>
                </c:pt>
                <c:pt idx="5">
                  <c:v>12.808500000000002</c:v>
                </c:pt>
                <c:pt idx="6">
                  <c:v>-15.9696</c:v>
                </c:pt>
                <c:pt idx="7">
                  <c:v>-33.427700000000002</c:v>
                </c:pt>
                <c:pt idx="8">
                  <c:v>-105.42269999999999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154734976"/>
        <c:axId val="154736512"/>
      </c:barChart>
      <c:catAx>
        <c:axId val="154734976"/>
        <c:scaling>
          <c:orientation val="maxMin"/>
        </c:scaling>
        <c:delete val="0"/>
        <c:axPos val="l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crossAx val="154736512"/>
        <c:crosses val="autoZero"/>
        <c:auto val="1"/>
        <c:lblAlgn val="ctr"/>
        <c:lblOffset val="100"/>
        <c:noMultiLvlLbl val="0"/>
      </c:catAx>
      <c:valAx>
        <c:axId val="154736512"/>
        <c:scaling>
          <c:orientation val="minMax"/>
        </c:scaling>
        <c:delete val="0"/>
        <c:axPos val="t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4734976"/>
        <c:crosses val="autoZero"/>
        <c:crossBetween val="between"/>
      </c:valAx>
    </c:plotArea>
    <c:legend>
      <c:legendPos val="b"/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'Figure 2-5'!$T$4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2-5'!$X$5</c:f>
                  <c:strCache>
                    <c:ptCount val="1"/>
                    <c:pt idx="0">
                      <c:v>12.4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2-5'!$X$6</c:f>
                  <c:strCache>
                    <c:ptCount val="1"/>
                    <c:pt idx="0">
                      <c:v>8.9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2-5'!$X$7</c:f>
                  <c:strCache>
                    <c:ptCount val="1"/>
                    <c:pt idx="0">
                      <c:v>9.0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2-5'!$X$8</c:f>
                  <c:strCache>
                    <c:ptCount val="1"/>
                    <c:pt idx="0">
                      <c:v>4.9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2-5'!$X$9</c:f>
                  <c:strCache>
                    <c:ptCount val="1"/>
                    <c:pt idx="0">
                      <c:v>4.6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2-5'!$X$10</c:f>
                  <c:strCache>
                    <c:ptCount val="1"/>
                    <c:pt idx="0">
                      <c:v>4.7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2-5'!$X$11</c:f>
                  <c:strCache>
                    <c:ptCount val="1"/>
                    <c:pt idx="0">
                      <c:v>7.6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2-5'!$X$12</c:f>
                  <c:strCache>
                    <c:ptCount val="1"/>
                    <c:pt idx="0">
                      <c:v>3.1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2-5'!$X$13</c:f>
                  <c:strCache>
                    <c:ptCount val="1"/>
                    <c:pt idx="0">
                      <c:v>2.5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2-5'!$S$5:$S$13</c:f>
              <c:strCache>
                <c:ptCount val="9"/>
                <c:pt idx="0">
                  <c:v>China 
(except 
Hong Kong)</c:v>
                </c:pt>
                <c:pt idx="1">
                  <c:v>United 
States</c:v>
                </c:pt>
                <c:pt idx="2">
                  <c:v>United 
Kingdom</c:v>
                </c:pt>
                <c:pt idx="3">
                  <c:v>Poland</c:v>
                </c:pt>
                <c:pt idx="4">
                  <c:v>Czech 
Republic</c:v>
                </c:pt>
                <c:pt idx="5">
                  <c:v>Switzerland</c:v>
                </c:pt>
                <c:pt idx="6">
                  <c:v>Russia</c:v>
                </c:pt>
                <c:pt idx="7">
                  <c:v>Sweden</c:v>
                </c:pt>
                <c:pt idx="8">
                  <c:v>Turkey</c:v>
                </c:pt>
              </c:strCache>
            </c:strRef>
          </c:cat>
          <c:val>
            <c:numRef>
              <c:f>'Figure 2-5'!$T$5:$T$13</c:f>
              <c:numCache>
                <c:formatCode>#,##0</c:formatCode>
                <c:ptCount val="9"/>
                <c:pt idx="0">
                  <c:v>218.4639</c:v>
                </c:pt>
                <c:pt idx="1">
                  <c:v>156.75389999999999</c:v>
                </c:pt>
                <c:pt idx="2">
                  <c:v>158.86250000000001</c:v>
                </c:pt>
                <c:pt idx="3">
                  <c:v>86.36</c:v>
                </c:pt>
                <c:pt idx="4">
                  <c:v>81.286600000000007</c:v>
                </c:pt>
                <c:pt idx="5">
                  <c:v>83.36460000000001</c:v>
                </c:pt>
                <c:pt idx="6">
                  <c:v>134.0967</c:v>
                </c:pt>
                <c:pt idx="7">
                  <c:v>53.760100000000001</c:v>
                </c:pt>
                <c:pt idx="8">
                  <c:v>38.549800000000005</c:v>
                </c:pt>
              </c:numCache>
            </c:numRef>
          </c:val>
        </c:ser>
        <c:ser>
          <c:idx val="1"/>
          <c:order val="1"/>
          <c:tx>
            <c:strRef>
              <c:f>'Figure 2-5'!$U$4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2-5'!$Y$5</c:f>
                  <c:strCache>
                    <c:ptCount val="1"/>
                    <c:pt idx="0">
                      <c:v>13.8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2-5'!$Y$6</c:f>
                  <c:strCache>
                    <c:ptCount val="1"/>
                    <c:pt idx="0">
                      <c:v>10.2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2-5'!$Y$7</c:f>
                  <c:strCache>
                    <c:ptCount val="1"/>
                    <c:pt idx="0">
                      <c:v>8.9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2-5'!$Y$8</c:f>
                  <c:strCache>
                    <c:ptCount val="1"/>
                    <c:pt idx="0">
                      <c:v>5.4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2-5'!$Y$9</c:f>
                  <c:strCache>
                    <c:ptCount val="1"/>
                    <c:pt idx="0">
                      <c:v>4.9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2-5'!$Y$10</c:f>
                  <c:strCache>
                    <c:ptCount val="1"/>
                    <c:pt idx="0">
                      <c:v>4.9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2-5'!$Y$11</c:f>
                  <c:strCache>
                    <c:ptCount val="1"/>
                    <c:pt idx="0">
                      <c:v>5.6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2-5'!$Y$12</c:f>
                  <c:strCache>
                    <c:ptCount val="1"/>
                    <c:pt idx="0">
                      <c:v>3.0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2-5'!$Y$13</c:f>
                  <c:strCache>
                    <c:ptCount val="1"/>
                    <c:pt idx="0">
                      <c:v>2.7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2-5'!$S$5:$S$13</c:f>
              <c:strCache>
                <c:ptCount val="9"/>
                <c:pt idx="0">
                  <c:v>China 
(except 
Hong Kong)</c:v>
                </c:pt>
                <c:pt idx="1">
                  <c:v>United 
States</c:v>
                </c:pt>
                <c:pt idx="2">
                  <c:v>United 
Kingdom</c:v>
                </c:pt>
                <c:pt idx="3">
                  <c:v>Poland</c:v>
                </c:pt>
                <c:pt idx="4">
                  <c:v>Czech 
Republic</c:v>
                </c:pt>
                <c:pt idx="5">
                  <c:v>Switzerland</c:v>
                </c:pt>
                <c:pt idx="6">
                  <c:v>Russia</c:v>
                </c:pt>
                <c:pt idx="7">
                  <c:v>Sweden</c:v>
                </c:pt>
                <c:pt idx="8">
                  <c:v>Turkey</c:v>
                </c:pt>
              </c:strCache>
            </c:strRef>
          </c:cat>
          <c:val>
            <c:numRef>
              <c:f>'Figure 2-5'!$U$5:$U$13</c:f>
              <c:numCache>
                <c:formatCode>#,##0</c:formatCode>
                <c:ptCount val="9"/>
                <c:pt idx="0">
                  <c:v>249.31279999999998</c:v>
                </c:pt>
                <c:pt idx="1">
                  <c:v>184.17260000000002</c:v>
                </c:pt>
                <c:pt idx="2">
                  <c:v>161.066</c:v>
                </c:pt>
                <c:pt idx="3">
                  <c:v>97.350499999999997</c:v>
                </c:pt>
                <c:pt idx="4">
                  <c:v>88.346100000000007</c:v>
                </c:pt>
                <c:pt idx="5">
                  <c:v>88.797499999999999</c:v>
                </c:pt>
                <c:pt idx="6">
                  <c:v>100.14410000000001</c:v>
                </c:pt>
                <c:pt idx="7">
                  <c:v>54.2239</c:v>
                </c:pt>
                <c:pt idx="8">
                  <c:v>42.592599999999997</c:v>
                </c:pt>
              </c:numCache>
            </c:numRef>
          </c:val>
        </c:ser>
        <c:ser>
          <c:idx val="0"/>
          <c:order val="2"/>
          <c:tx>
            <c:strRef>
              <c:f>'Figure 2-5'!$V$4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2-5'!$Z$5</c:f>
                  <c:strCache>
                    <c:ptCount val="1"/>
                    <c:pt idx="0">
                      <c:v>13.8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2-5'!$Z$6</c:f>
                  <c:strCache>
                    <c:ptCount val="1"/>
                    <c:pt idx="0">
                      <c:v>10.2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2-5'!$Z$7</c:f>
                  <c:strCache>
                    <c:ptCount val="1"/>
                    <c:pt idx="0">
                      <c:v>8.8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2-5'!$Z$8</c:f>
                  <c:strCache>
                    <c:ptCount val="1"/>
                    <c:pt idx="0">
                      <c:v>5.7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2-5'!$Z$9</c:f>
                  <c:strCache>
                    <c:ptCount val="1"/>
                    <c:pt idx="0">
                      <c:v>5.3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2-5'!$Z$10</c:f>
                  <c:strCache>
                    <c:ptCount val="1"/>
                    <c:pt idx="0">
                      <c:v>5.1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2-5'!$Z$11</c:f>
                  <c:strCache>
                    <c:ptCount val="1"/>
                    <c:pt idx="0">
                      <c:v>5.0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2-5'!$Z$12</c:f>
                  <c:strCache>
                    <c:ptCount val="1"/>
                    <c:pt idx="0">
                      <c:v>3.1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2-5'!$Z$13</c:f>
                  <c:strCache>
                    <c:ptCount val="1"/>
                    <c:pt idx="0">
                      <c:v>2.8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2-5'!$S$5:$S$13</c:f>
              <c:strCache>
                <c:ptCount val="9"/>
                <c:pt idx="0">
                  <c:v>China 
(except 
Hong Kong)</c:v>
                </c:pt>
                <c:pt idx="1">
                  <c:v>United 
States</c:v>
                </c:pt>
                <c:pt idx="2">
                  <c:v>United 
Kingdom</c:v>
                </c:pt>
                <c:pt idx="3">
                  <c:v>Poland</c:v>
                </c:pt>
                <c:pt idx="4">
                  <c:v>Czech 
Republic</c:v>
                </c:pt>
                <c:pt idx="5">
                  <c:v>Switzerland</c:v>
                </c:pt>
                <c:pt idx="6">
                  <c:v>Russia</c:v>
                </c:pt>
                <c:pt idx="7">
                  <c:v>Sweden</c:v>
                </c:pt>
                <c:pt idx="8">
                  <c:v>Turkey</c:v>
                </c:pt>
              </c:strCache>
            </c:strRef>
          </c:cat>
          <c:val>
            <c:numRef>
              <c:f>'Figure 2-5'!$V$5:$V$13</c:f>
              <c:numCache>
                <c:formatCode>#,##0</c:formatCode>
                <c:ptCount val="9"/>
                <c:pt idx="0">
                  <c:v>244.59979999999999</c:v>
                </c:pt>
                <c:pt idx="1">
                  <c:v>180.5505</c:v>
                </c:pt>
                <c:pt idx="2">
                  <c:v>155.72720000000001</c:v>
                </c:pt>
                <c:pt idx="3">
                  <c:v>101.8361</c:v>
                </c:pt>
                <c:pt idx="4">
                  <c:v>93.670299999999997</c:v>
                </c:pt>
                <c:pt idx="5">
                  <c:v>91.249200000000002</c:v>
                </c:pt>
                <c:pt idx="6">
                  <c:v>89.577600000000004</c:v>
                </c:pt>
                <c:pt idx="7">
                  <c:v>55.168699999999994</c:v>
                </c:pt>
                <c:pt idx="8">
                  <c:v>45.6999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044288"/>
        <c:axId val="152045824"/>
      </c:barChart>
      <c:catAx>
        <c:axId val="152044288"/>
        <c:scaling>
          <c:orientation val="maxMin"/>
        </c:scaling>
        <c:delete val="0"/>
        <c:axPos val="l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crossAx val="152045824"/>
        <c:crosses val="autoZero"/>
        <c:auto val="1"/>
        <c:lblAlgn val="ctr"/>
        <c:lblOffset val="100"/>
        <c:noMultiLvlLbl val="0"/>
      </c:catAx>
      <c:valAx>
        <c:axId val="152045824"/>
        <c:scaling>
          <c:orientation val="minMax"/>
        </c:scaling>
        <c:delete val="0"/>
        <c:axPos val="t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2044288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'Figure 2-5'!$K$4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2-5'!$O$5</c:f>
                  <c:strCache>
                    <c:ptCount val="1"/>
                    <c:pt idx="0">
                      <c:v>12.5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2-5'!$O$6</c:f>
                  <c:strCache>
                    <c:ptCount val="1"/>
                    <c:pt idx="0">
                      <c:v>13.0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2-5'!$O$7</c:f>
                  <c:strCache>
                    <c:ptCount val="1"/>
                    <c:pt idx="0">
                      <c:v>6.8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2-5'!$O$8</c:f>
                  <c:strCache>
                    <c:ptCount val="1"/>
                    <c:pt idx="0">
                      <c:v>5.6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2-5'!$O$9</c:f>
                  <c:strCache>
                    <c:ptCount val="1"/>
                    <c:pt idx="0">
                      <c:v>5.3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2-5'!$O$10</c:f>
                  <c:strCache>
                    <c:ptCount val="1"/>
                    <c:pt idx="0">
                      <c:v>3.6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2-5'!$O$11</c:f>
                  <c:strCache>
                    <c:ptCount val="1"/>
                    <c:pt idx="0">
                      <c:v>3.2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2-5'!$O$12</c:f>
                  <c:strCache>
                    <c:ptCount val="1"/>
                    <c:pt idx="0">
                      <c:v>3.0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2-5'!$O$13</c:f>
                  <c:strCache>
                    <c:ptCount val="1"/>
                    <c:pt idx="0">
                      <c:v>4.1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2-5'!$J$5:$J$13</c:f>
              <c:strCache>
                <c:ptCount val="9"/>
                <c:pt idx="0">
                  <c:v>United 
States</c:v>
                </c:pt>
                <c:pt idx="1">
                  <c:v>United 
Kingdom</c:v>
                </c:pt>
                <c:pt idx="2">
                  <c:v>China 
(except 
Hong Kong)</c:v>
                </c:pt>
                <c:pt idx="3">
                  <c:v>Switzerland</c:v>
                </c:pt>
                <c:pt idx="4">
                  <c:v>Poland</c:v>
                </c:pt>
                <c:pt idx="5">
                  <c:v>Czech 
Republic</c:v>
                </c:pt>
                <c:pt idx="6">
                  <c:v>Sweden</c:v>
                </c:pt>
                <c:pt idx="7">
                  <c:v>Turkey</c:v>
                </c:pt>
                <c:pt idx="8">
                  <c:v>Russia</c:v>
                </c:pt>
              </c:strCache>
            </c:strRef>
          </c:cat>
          <c:val>
            <c:numRef>
              <c:f>'Figure 2-5'!$K$5:$K$13</c:f>
              <c:numCache>
                <c:formatCode>#,##0</c:formatCode>
                <c:ptCount val="9"/>
                <c:pt idx="0">
                  <c:v>241.6146</c:v>
                </c:pt>
                <c:pt idx="1">
                  <c:v>252.2773</c:v>
                </c:pt>
                <c:pt idx="2">
                  <c:v>131.95740000000001</c:v>
                </c:pt>
                <c:pt idx="3">
                  <c:v>108.221</c:v>
                </c:pt>
                <c:pt idx="4">
                  <c:v>103.3115</c:v>
                </c:pt>
                <c:pt idx="5">
                  <c:v>69.229799999999997</c:v>
                </c:pt>
                <c:pt idx="6">
                  <c:v>62.491999999999997</c:v>
                </c:pt>
                <c:pt idx="7">
                  <c:v>58.247800000000005</c:v>
                </c:pt>
                <c:pt idx="8">
                  <c:v>80.010499999999993</c:v>
                </c:pt>
              </c:numCache>
            </c:numRef>
          </c:val>
        </c:ser>
        <c:ser>
          <c:idx val="1"/>
          <c:order val="1"/>
          <c:tx>
            <c:strRef>
              <c:f>'Figure 2-5'!$L$4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2-5'!$P$5</c:f>
                  <c:strCache>
                    <c:ptCount val="1"/>
                    <c:pt idx="0">
                      <c:v>13.8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2-5'!$P$6</c:f>
                  <c:strCache>
                    <c:ptCount val="1"/>
                    <c:pt idx="0">
                      <c:v>13.5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2-5'!$P$7</c:f>
                  <c:strCache>
                    <c:ptCount val="1"/>
                    <c:pt idx="0">
                      <c:v>6.4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2-5'!$P$8</c:f>
                  <c:strCache>
                    <c:ptCount val="1"/>
                    <c:pt idx="0">
                      <c:v>5.6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2-5'!$P$9</c:f>
                  <c:strCache>
                    <c:ptCount val="1"/>
                    <c:pt idx="0">
                      <c:v>5.5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2-5'!$P$10</c:f>
                  <c:strCache>
                    <c:ptCount val="1"/>
                    <c:pt idx="0">
                      <c:v>3.7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2-5'!$P$11</c:f>
                  <c:strCache>
                    <c:ptCount val="1"/>
                    <c:pt idx="0">
                      <c:v>3.2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2-5'!$P$12</c:f>
                  <c:strCache>
                    <c:ptCount val="1"/>
                    <c:pt idx="0">
                      <c:v>3.0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2-5'!$P$13</c:f>
                  <c:strCache>
                    <c:ptCount val="1"/>
                    <c:pt idx="0">
                      <c:v>2.8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2-5'!$J$5:$J$13</c:f>
              <c:strCache>
                <c:ptCount val="9"/>
                <c:pt idx="0">
                  <c:v>United 
States</c:v>
                </c:pt>
                <c:pt idx="1">
                  <c:v>United 
Kingdom</c:v>
                </c:pt>
                <c:pt idx="2">
                  <c:v>China 
(except 
Hong Kong)</c:v>
                </c:pt>
                <c:pt idx="3">
                  <c:v>Switzerland</c:v>
                </c:pt>
                <c:pt idx="4">
                  <c:v>Poland</c:v>
                </c:pt>
                <c:pt idx="5">
                  <c:v>Czech 
Republic</c:v>
                </c:pt>
                <c:pt idx="6">
                  <c:v>Sweden</c:v>
                </c:pt>
                <c:pt idx="7">
                  <c:v>Turkey</c:v>
                </c:pt>
                <c:pt idx="8">
                  <c:v>Russia</c:v>
                </c:pt>
              </c:strCache>
            </c:strRef>
          </c:cat>
          <c:val>
            <c:numRef>
              <c:f>'Figure 2-5'!$L$5:$L$13</c:f>
              <c:numCache>
                <c:formatCode>#,##0</c:formatCode>
                <c:ptCount val="9"/>
                <c:pt idx="0">
                  <c:v>282.42270000000002</c:v>
                </c:pt>
                <c:pt idx="1">
                  <c:v>275.5453</c:v>
                </c:pt>
                <c:pt idx="2">
                  <c:v>131.25479999999999</c:v>
                </c:pt>
                <c:pt idx="3">
                  <c:v>114.0012</c:v>
                </c:pt>
                <c:pt idx="4">
                  <c:v>112.67880000000001</c:v>
                </c:pt>
                <c:pt idx="5">
                  <c:v>74.843600000000009</c:v>
                </c:pt>
                <c:pt idx="6">
                  <c:v>65.572299999999998</c:v>
                </c:pt>
                <c:pt idx="7">
                  <c:v>61.775300000000001</c:v>
                </c:pt>
                <c:pt idx="8">
                  <c:v>56.990400000000001</c:v>
                </c:pt>
              </c:numCache>
            </c:numRef>
          </c:val>
        </c:ser>
        <c:ser>
          <c:idx val="0"/>
          <c:order val="2"/>
          <c:tx>
            <c:strRef>
              <c:f>'Figure 2-5'!$M$4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2-5'!$Q$5</c:f>
                  <c:strCache>
                    <c:ptCount val="1"/>
                    <c:pt idx="0">
                      <c:v>13.6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2-5'!$Q$6</c:f>
                  <c:strCache>
                    <c:ptCount val="1"/>
                    <c:pt idx="0">
                      <c:v>13.4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2-5'!$Q$7</c:f>
                  <c:strCache>
                    <c:ptCount val="1"/>
                    <c:pt idx="0">
                      <c:v>6.8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2-5'!$Q$8</c:f>
                  <c:strCache>
                    <c:ptCount val="1"/>
                    <c:pt idx="0">
                      <c:v>5.7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2-5'!$Q$9</c:f>
                  <c:strCache>
                    <c:ptCount val="1"/>
                    <c:pt idx="0">
                      <c:v>5.7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2-5'!$Q$10</c:f>
                  <c:strCache>
                    <c:ptCount val="1"/>
                    <c:pt idx="0">
                      <c:v>3.8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2-5'!$Q$11</c:f>
                  <c:strCache>
                    <c:ptCount val="1"/>
                    <c:pt idx="0">
                      <c:v>3.3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2-5'!$Q$12</c:f>
                  <c:strCache>
                    <c:ptCount val="1"/>
                    <c:pt idx="0">
                      <c:v>2.9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2-5'!$Q$13</c:f>
                  <c:strCache>
                    <c:ptCount val="1"/>
                    <c:pt idx="0">
                      <c:v>2.7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2-5'!$J$5:$J$13</c:f>
              <c:strCache>
                <c:ptCount val="9"/>
                <c:pt idx="0">
                  <c:v>United 
States</c:v>
                </c:pt>
                <c:pt idx="1">
                  <c:v>United 
Kingdom</c:v>
                </c:pt>
                <c:pt idx="2">
                  <c:v>China 
(except 
Hong Kong)</c:v>
                </c:pt>
                <c:pt idx="3">
                  <c:v>Switzerland</c:v>
                </c:pt>
                <c:pt idx="4">
                  <c:v>Poland</c:v>
                </c:pt>
                <c:pt idx="5">
                  <c:v>Czech 
Republic</c:v>
                </c:pt>
                <c:pt idx="6">
                  <c:v>Sweden</c:v>
                </c:pt>
                <c:pt idx="7">
                  <c:v>Turkey</c:v>
                </c:pt>
                <c:pt idx="8">
                  <c:v>Russia</c:v>
                </c:pt>
              </c:strCache>
            </c:strRef>
          </c:cat>
          <c:val>
            <c:numRef>
              <c:f>'Figure 2-5'!$M$5:$M$13</c:f>
              <c:numCache>
                <c:formatCode>#,##0</c:formatCode>
                <c:ptCount val="9"/>
                <c:pt idx="0">
                  <c:v>279.2405</c:v>
                </c:pt>
                <c:pt idx="1">
                  <c:v>273.68299999999999</c:v>
                </c:pt>
                <c:pt idx="2">
                  <c:v>139.1771</c:v>
                </c:pt>
                <c:pt idx="3">
                  <c:v>117.7089</c:v>
                </c:pt>
                <c:pt idx="4">
                  <c:v>116.5427</c:v>
                </c:pt>
                <c:pt idx="5">
                  <c:v>77.700699999999998</c:v>
                </c:pt>
                <c:pt idx="6">
                  <c:v>67.977199999999996</c:v>
                </c:pt>
                <c:pt idx="7">
                  <c:v>60.330400000000004</c:v>
                </c:pt>
                <c:pt idx="8">
                  <c:v>56.149900000000002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5394816"/>
        <c:axId val="155396352"/>
      </c:barChart>
      <c:catAx>
        <c:axId val="155394816"/>
        <c:scaling>
          <c:orientation val="maxMin"/>
        </c:scaling>
        <c:delete val="0"/>
        <c:axPos val="l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crossAx val="155396352"/>
        <c:crosses val="autoZero"/>
        <c:auto val="1"/>
        <c:lblAlgn val="ctr"/>
        <c:lblOffset val="100"/>
        <c:noMultiLvlLbl val="0"/>
      </c:catAx>
      <c:valAx>
        <c:axId val="155396352"/>
        <c:scaling>
          <c:orientation val="minMax"/>
        </c:scaling>
        <c:delete val="0"/>
        <c:axPos val="t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5394816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'Figure 2-5'!$B$4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2-5'!$F$5</c:f>
                  <c:strCache>
                    <c:ptCount val="1"/>
                    <c:pt idx="0">
                      <c:v>10.8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2-5'!$F$6</c:f>
                  <c:strCache>
                    <c:ptCount val="1"/>
                    <c:pt idx="0">
                      <c:v>11.1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2-5'!$F$7</c:f>
                  <c:strCache>
                    <c:ptCount val="1"/>
                    <c:pt idx="0">
                      <c:v>9.5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2-5'!$F$8</c:f>
                  <c:strCache>
                    <c:ptCount val="1"/>
                    <c:pt idx="0">
                      <c:v>5.1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2-5'!$F$9</c:f>
                  <c:strCache>
                    <c:ptCount val="1"/>
                    <c:pt idx="0">
                      <c:v>5.2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2-5'!$F$10</c:f>
                  <c:strCache>
                    <c:ptCount val="1"/>
                    <c:pt idx="0">
                      <c:v>4.1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2-5'!$F$11</c:f>
                  <c:strCache>
                    <c:ptCount val="1"/>
                    <c:pt idx="0">
                      <c:v>5.8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2-5'!$F$12</c:f>
                  <c:strCache>
                    <c:ptCount val="1"/>
                    <c:pt idx="0">
                      <c:v>3.1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2-5'!$F$13</c:f>
                  <c:strCache>
                    <c:ptCount val="1"/>
                    <c:pt idx="0">
                      <c:v>2.6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2-5'!$A$5:$A$13</c:f>
              <c:strCache>
                <c:ptCount val="9"/>
                <c:pt idx="0">
                  <c:v>United 
States</c:v>
                </c:pt>
                <c:pt idx="1">
                  <c:v>United 
Kingdom</c:v>
                </c:pt>
                <c:pt idx="2">
                  <c:v>China 
(except 
Hong Kong)</c:v>
                </c:pt>
                <c:pt idx="3">
                  <c:v>Poland</c:v>
                </c:pt>
                <c:pt idx="4">
                  <c:v>Switzerland</c:v>
                </c:pt>
                <c:pt idx="5">
                  <c:v>Czech 
Republic</c:v>
                </c:pt>
                <c:pt idx="6">
                  <c:v>Russia</c:v>
                </c:pt>
                <c:pt idx="7">
                  <c:v>Sweden</c:v>
                </c:pt>
                <c:pt idx="8">
                  <c:v>Turkey</c:v>
                </c:pt>
              </c:strCache>
            </c:strRef>
          </c:cat>
          <c:val>
            <c:numRef>
              <c:f>'Figure 2-5'!$B$5:$B$13</c:f>
              <c:numCache>
                <c:formatCode>#,##0</c:formatCode>
                <c:ptCount val="9"/>
                <c:pt idx="0">
                  <c:v>398.36849999999998</c:v>
                </c:pt>
                <c:pt idx="1">
                  <c:v>411.13979999999998</c:v>
                </c:pt>
                <c:pt idx="2">
                  <c:v>350.42129999999997</c:v>
                </c:pt>
                <c:pt idx="3">
                  <c:v>189.67150000000001</c:v>
                </c:pt>
                <c:pt idx="4">
                  <c:v>191.5856</c:v>
                </c:pt>
                <c:pt idx="5">
                  <c:v>150.51640000000003</c:v>
                </c:pt>
                <c:pt idx="6">
                  <c:v>214.10720000000001</c:v>
                </c:pt>
                <c:pt idx="7">
                  <c:v>116.25210000000001</c:v>
                </c:pt>
                <c:pt idx="8">
                  <c:v>96.797600000000003</c:v>
                </c:pt>
              </c:numCache>
            </c:numRef>
          </c:val>
        </c:ser>
        <c:ser>
          <c:idx val="1"/>
          <c:order val="1"/>
          <c:tx>
            <c:strRef>
              <c:f>'Figure 2-5'!$C$4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2-5'!$G$5</c:f>
                  <c:strCache>
                    <c:ptCount val="1"/>
                    <c:pt idx="0">
                      <c:v>12.1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2-5'!$G$6</c:f>
                  <c:strCache>
                    <c:ptCount val="1"/>
                    <c:pt idx="0">
                      <c:v>11.4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2-5'!$G$7</c:f>
                  <c:strCache>
                    <c:ptCount val="1"/>
                    <c:pt idx="0">
                      <c:v>9.9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2-5'!$G$8</c:f>
                  <c:strCache>
                    <c:ptCount val="1"/>
                    <c:pt idx="0">
                      <c:v>5.5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2-5'!$G$9</c:f>
                  <c:strCache>
                    <c:ptCount val="1"/>
                    <c:pt idx="0">
                      <c:v>5.3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2-5'!$G$10</c:f>
                  <c:strCache>
                    <c:ptCount val="1"/>
                    <c:pt idx="0">
                      <c:v>4.2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2-5'!$G$11</c:f>
                  <c:strCache>
                    <c:ptCount val="1"/>
                    <c:pt idx="0">
                      <c:v>4.1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2-5'!$G$12</c:f>
                  <c:strCache>
                    <c:ptCount val="1"/>
                    <c:pt idx="0">
                      <c:v>3.1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2-5'!$G$13</c:f>
                  <c:strCache>
                    <c:ptCount val="1"/>
                    <c:pt idx="0">
                      <c:v>2.7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2-5'!$A$5:$A$13</c:f>
              <c:strCache>
                <c:ptCount val="9"/>
                <c:pt idx="0">
                  <c:v>United 
States</c:v>
                </c:pt>
                <c:pt idx="1">
                  <c:v>United 
Kingdom</c:v>
                </c:pt>
                <c:pt idx="2">
                  <c:v>China 
(except 
Hong Kong)</c:v>
                </c:pt>
                <c:pt idx="3">
                  <c:v>Poland</c:v>
                </c:pt>
                <c:pt idx="4">
                  <c:v>Switzerland</c:v>
                </c:pt>
                <c:pt idx="5">
                  <c:v>Czech 
Republic</c:v>
                </c:pt>
                <c:pt idx="6">
                  <c:v>Russia</c:v>
                </c:pt>
                <c:pt idx="7">
                  <c:v>Sweden</c:v>
                </c:pt>
                <c:pt idx="8">
                  <c:v>Turkey</c:v>
                </c:pt>
              </c:strCache>
            </c:strRef>
          </c:cat>
          <c:val>
            <c:numRef>
              <c:f>'Figure 2-5'!$C$5:$C$13</c:f>
              <c:numCache>
                <c:formatCode>#,##0</c:formatCode>
                <c:ptCount val="9"/>
                <c:pt idx="0">
                  <c:v>466.59530000000007</c:v>
                </c:pt>
                <c:pt idx="1">
                  <c:v>436.61129999999997</c:v>
                </c:pt>
                <c:pt idx="2">
                  <c:v>380.56759999999997</c:v>
                </c:pt>
                <c:pt idx="3">
                  <c:v>210.02929999999998</c:v>
                </c:pt>
                <c:pt idx="4">
                  <c:v>202.79870000000003</c:v>
                </c:pt>
                <c:pt idx="5">
                  <c:v>163.18970000000002</c:v>
                </c:pt>
                <c:pt idx="6">
                  <c:v>157.1345</c:v>
                </c:pt>
                <c:pt idx="7">
                  <c:v>119.79620000000001</c:v>
                </c:pt>
                <c:pt idx="8">
                  <c:v>104.36789999999999</c:v>
                </c:pt>
              </c:numCache>
            </c:numRef>
          </c:val>
        </c:ser>
        <c:ser>
          <c:idx val="0"/>
          <c:order val="2"/>
          <c:tx>
            <c:strRef>
              <c:f>'Figure 2-5'!$D$4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dLbls>
            <c:dLbl>
              <c:idx val="0"/>
              <c:layout/>
              <c:tx>
                <c:strRef>
                  <c:f>'Figure 2-5'!$H$5</c:f>
                  <c:strCache>
                    <c:ptCount val="1"/>
                    <c:pt idx="0">
                      <c:v>12.0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tx>
                <c:strRef>
                  <c:f>'Figure 2-5'!$H$6</c:f>
                  <c:strCache>
                    <c:ptCount val="1"/>
                    <c:pt idx="0">
                      <c:v>11.2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tx>
                <c:strRef>
                  <c:f>'Figure 2-5'!$H$7</c:f>
                  <c:strCache>
                    <c:ptCount val="1"/>
                    <c:pt idx="0">
                      <c:v>10.0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tx>
                <c:strRef>
                  <c:f>'Figure 2-5'!$H$8</c:f>
                  <c:strCache>
                    <c:ptCount val="1"/>
                    <c:pt idx="0">
                      <c:v>5.7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tx>
                <c:strRef>
                  <c:f>'Figure 2-5'!$H$9</c:f>
                  <c:strCache>
                    <c:ptCount val="1"/>
                    <c:pt idx="0">
                      <c:v>5.5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tx>
                <c:strRef>
                  <c:f>'Figure 2-5'!$H$10</c:f>
                  <c:strCache>
                    <c:ptCount val="1"/>
                    <c:pt idx="0">
                      <c:v>4.5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/>
              <c:tx>
                <c:strRef>
                  <c:f>'Figure 2-5'!$H$11</c:f>
                  <c:strCache>
                    <c:ptCount val="1"/>
                    <c:pt idx="0">
                      <c:v>3.8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tx>
                <c:strRef>
                  <c:f>'Figure 2-5'!$H$12</c:f>
                  <c:strCache>
                    <c:ptCount val="1"/>
                    <c:pt idx="0">
                      <c:v>3.2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/>
              <c:tx>
                <c:strRef>
                  <c:f>'Figure 2-5'!$H$13</c:f>
                  <c:strCache>
                    <c:ptCount val="1"/>
                    <c:pt idx="0">
                      <c:v>2.8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'Figure 2-5'!$A$5:$A$13</c:f>
              <c:strCache>
                <c:ptCount val="9"/>
                <c:pt idx="0">
                  <c:v>United 
States</c:v>
                </c:pt>
                <c:pt idx="1">
                  <c:v>United 
Kingdom</c:v>
                </c:pt>
                <c:pt idx="2">
                  <c:v>China 
(except 
Hong Kong)</c:v>
                </c:pt>
                <c:pt idx="3">
                  <c:v>Poland</c:v>
                </c:pt>
                <c:pt idx="4">
                  <c:v>Switzerland</c:v>
                </c:pt>
                <c:pt idx="5">
                  <c:v>Czech 
Republic</c:v>
                </c:pt>
                <c:pt idx="6">
                  <c:v>Russia</c:v>
                </c:pt>
                <c:pt idx="7">
                  <c:v>Sweden</c:v>
                </c:pt>
                <c:pt idx="8">
                  <c:v>Turkey</c:v>
                </c:pt>
              </c:strCache>
            </c:strRef>
          </c:cat>
          <c:val>
            <c:numRef>
              <c:f>'Figure 2-5'!$D$5:$D$13</c:f>
              <c:numCache>
                <c:formatCode>#,##0</c:formatCode>
                <c:ptCount val="9"/>
                <c:pt idx="0">
                  <c:v>459.791</c:v>
                </c:pt>
                <c:pt idx="1">
                  <c:v>429.41020000000003</c:v>
                </c:pt>
                <c:pt idx="2">
                  <c:v>383.77690000000001</c:v>
                </c:pt>
                <c:pt idx="3">
                  <c:v>218.37879999999998</c:v>
                </c:pt>
                <c:pt idx="4">
                  <c:v>208.95809999999997</c:v>
                </c:pt>
                <c:pt idx="5">
                  <c:v>171.37100000000001</c:v>
                </c:pt>
                <c:pt idx="6">
                  <c:v>145.72749999999999</c:v>
                </c:pt>
                <c:pt idx="7">
                  <c:v>123.1459</c:v>
                </c:pt>
                <c:pt idx="8">
                  <c:v>106.0303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588288"/>
        <c:axId val="156499968"/>
      </c:barChart>
      <c:catAx>
        <c:axId val="156588288"/>
        <c:scaling>
          <c:orientation val="maxMin"/>
        </c:scaling>
        <c:delete val="0"/>
        <c:axPos val="l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crossAx val="156499968"/>
        <c:crosses val="autoZero"/>
        <c:auto val="1"/>
        <c:lblAlgn val="ctr"/>
        <c:lblOffset val="100"/>
        <c:noMultiLvlLbl val="0"/>
      </c:catAx>
      <c:valAx>
        <c:axId val="156499968"/>
        <c:scaling>
          <c:orientation val="minMax"/>
        </c:scaling>
        <c:delete val="0"/>
        <c:axPos val="t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6588288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165337946988836E-2"/>
          <c:y val="6.5865923009623795E-2"/>
          <c:w val="0.87566932410602227"/>
          <c:h val="0.83250218722659663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Figure6!$A$7</c:f>
              <c:strCache>
                <c:ptCount val="1"/>
                <c:pt idx="0">
                  <c:v>Exports 2016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Figure6!$B$3:$H$3</c:f>
              <c:strCache>
                <c:ptCount val="7"/>
                <c:pt idx="0">
                  <c:v>Food and drink</c:v>
                </c:pt>
                <c:pt idx="1">
                  <c:v>Raw materials</c:v>
                </c:pt>
                <c:pt idx="2">
                  <c:v>Energy products</c:v>
                </c:pt>
                <c:pt idx="3">
                  <c:v>Chemicals</c:v>
                </c:pt>
                <c:pt idx="4">
                  <c:v>Machinery and vehicles</c:v>
                </c:pt>
                <c:pt idx="5">
                  <c:v>Other manufactured goods</c:v>
                </c:pt>
                <c:pt idx="6">
                  <c:v>Other</c:v>
                </c:pt>
              </c:strCache>
            </c:strRef>
          </c:cat>
          <c:val>
            <c:numRef>
              <c:f>Figure6!$B$7:$H$7</c:f>
              <c:numCache>
                <c:formatCode>0</c:formatCode>
                <c:ptCount val="7"/>
                <c:pt idx="0">
                  <c:v>155.77449999999999</c:v>
                </c:pt>
                <c:pt idx="1">
                  <c:v>46.677800000000005</c:v>
                </c:pt>
                <c:pt idx="2">
                  <c:v>77.307500000000005</c:v>
                </c:pt>
                <c:pt idx="3">
                  <c:v>361.1293</c:v>
                </c:pt>
                <c:pt idx="4">
                  <c:v>869.75350000000003</c:v>
                </c:pt>
                <c:pt idx="5">
                  <c:v>486.59969999999998</c:v>
                </c:pt>
                <c:pt idx="6">
                  <c:v>50.482800000000005</c:v>
                </c:pt>
              </c:numCache>
            </c:numRef>
          </c:val>
        </c:ser>
        <c:ser>
          <c:idx val="4"/>
          <c:order val="4"/>
          <c:tx>
            <c:strRef>
              <c:f>Figure6!$A$8</c:f>
              <c:strCache>
                <c:ptCount val="1"/>
                <c:pt idx="0">
                  <c:v>Imports 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Figure6!$B$3:$H$3</c:f>
              <c:strCache>
                <c:ptCount val="7"/>
                <c:pt idx="0">
                  <c:v>Food and drink</c:v>
                </c:pt>
                <c:pt idx="1">
                  <c:v>Raw materials</c:v>
                </c:pt>
                <c:pt idx="2">
                  <c:v>Energy products</c:v>
                </c:pt>
                <c:pt idx="3">
                  <c:v>Chemicals</c:v>
                </c:pt>
                <c:pt idx="4">
                  <c:v>Machinery and vehicles</c:v>
                </c:pt>
                <c:pt idx="5">
                  <c:v>Other manufactured goods</c:v>
                </c:pt>
                <c:pt idx="6">
                  <c:v>Other</c:v>
                </c:pt>
              </c:strCache>
            </c:strRef>
          </c:cat>
          <c:val>
            <c:numRef>
              <c:f>Figure6!$B$8:$H$8</c:f>
              <c:numCache>
                <c:formatCode>0</c:formatCode>
                <c:ptCount val="7"/>
                <c:pt idx="0">
                  <c:v>128.37289999999999</c:v>
                </c:pt>
                <c:pt idx="1">
                  <c:v>73.251100000000008</c:v>
                </c:pt>
                <c:pt idx="2">
                  <c:v>235.10320000000002</c:v>
                </c:pt>
                <c:pt idx="3">
                  <c:v>216.0257</c:v>
                </c:pt>
                <c:pt idx="4">
                  <c:v>619.41930000000002</c:v>
                </c:pt>
                <c:pt idx="5">
                  <c:v>475.87420000000003</c:v>
                </c:pt>
                <c:pt idx="6">
                  <c:v>27.739900000000002</c:v>
                </c:pt>
              </c:numCache>
            </c:numRef>
          </c:val>
        </c:ser>
        <c:ser>
          <c:idx val="5"/>
          <c:order val="5"/>
          <c:tx>
            <c:strRef>
              <c:f>Figure6!$A$9</c:f>
              <c:strCache>
                <c:ptCount val="1"/>
                <c:pt idx="0">
                  <c:v>Balance 2016</c:v>
                </c:pt>
              </c:strCache>
            </c:strRef>
          </c:tx>
          <c:spPr>
            <a:solidFill>
              <a:srgbClr val="9BBB59">
                <a:lumMod val="60000"/>
                <a:lumOff val="40000"/>
              </a:srgbClr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Figure6!$B$3:$H$3</c:f>
              <c:strCache>
                <c:ptCount val="7"/>
                <c:pt idx="0">
                  <c:v>Food and drink</c:v>
                </c:pt>
                <c:pt idx="1">
                  <c:v>Raw materials</c:v>
                </c:pt>
                <c:pt idx="2">
                  <c:v>Energy products</c:v>
                </c:pt>
                <c:pt idx="3">
                  <c:v>Chemicals</c:v>
                </c:pt>
                <c:pt idx="4">
                  <c:v>Machinery and vehicles</c:v>
                </c:pt>
                <c:pt idx="5">
                  <c:v>Other manufactured goods</c:v>
                </c:pt>
                <c:pt idx="6">
                  <c:v>Other</c:v>
                </c:pt>
              </c:strCache>
            </c:strRef>
          </c:cat>
          <c:val>
            <c:numRef>
              <c:f>Figure6!$B$9:$H$9</c:f>
              <c:numCache>
                <c:formatCode>0</c:formatCode>
                <c:ptCount val="7"/>
                <c:pt idx="0">
                  <c:v>27.401600000000002</c:v>
                </c:pt>
                <c:pt idx="1">
                  <c:v>-26.573300000000003</c:v>
                </c:pt>
                <c:pt idx="2">
                  <c:v>-157.79570000000001</c:v>
                </c:pt>
                <c:pt idx="3">
                  <c:v>145.1036</c:v>
                </c:pt>
                <c:pt idx="4">
                  <c:v>250.33420000000001</c:v>
                </c:pt>
                <c:pt idx="5">
                  <c:v>10.725499999999954</c:v>
                </c:pt>
                <c:pt idx="6">
                  <c:v>22.742900000000002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555520"/>
        <c:axId val="155136000"/>
      </c:barChart>
      <c:scatterChart>
        <c:scatterStyle val="lineMarker"/>
        <c:varyColors val="0"/>
        <c:ser>
          <c:idx val="0"/>
          <c:order val="1"/>
          <c:tx>
            <c:strRef>
              <c:f>Figure6!$A$4</c:f>
              <c:strCache>
                <c:ptCount val="1"/>
                <c:pt idx="0">
                  <c:v>Exports 2014</c:v>
                </c:pt>
              </c:strCache>
            </c:strRef>
          </c:tx>
          <c:spPr>
            <a:solidFill>
              <a:srgbClr val="4F81BD">
                <a:lumMod val="100000"/>
              </a:srgbClr>
            </a:solidFill>
            <a:ln w="28575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marker>
            <c:symbol val="dash"/>
            <c:size val="12"/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Figure6!$B$10:$H$10</c:f>
              <c:numCache>
                <c:formatCode>0.000</c:formatCode>
                <c:ptCount val="7"/>
                <c:pt idx="0">
                  <c:v>0.28299999999999997</c:v>
                </c:pt>
                <c:pt idx="1">
                  <c:v>1.2829999999999999</c:v>
                </c:pt>
                <c:pt idx="2">
                  <c:v>2.2829999999999999</c:v>
                </c:pt>
                <c:pt idx="3">
                  <c:v>3.2829999999999999</c:v>
                </c:pt>
                <c:pt idx="4">
                  <c:v>4.2829999999999995</c:v>
                </c:pt>
                <c:pt idx="5">
                  <c:v>5.2829999999999995</c:v>
                </c:pt>
                <c:pt idx="6">
                  <c:v>6.2829999999999995</c:v>
                </c:pt>
              </c:numCache>
            </c:numRef>
          </c:xVal>
          <c:yVal>
            <c:numRef>
              <c:f>Figure6!$B$4:$H$4</c:f>
              <c:numCache>
                <c:formatCode>0</c:formatCode>
                <c:ptCount val="7"/>
                <c:pt idx="0">
                  <c:v>143.74039999999999</c:v>
                </c:pt>
                <c:pt idx="1">
                  <c:v>45.111800000000002</c:v>
                </c:pt>
                <c:pt idx="2">
                  <c:v>111.6157</c:v>
                </c:pt>
                <c:pt idx="3">
                  <c:v>326.71129999999999</c:v>
                </c:pt>
                <c:pt idx="4">
                  <c:v>799.95759999999996</c:v>
                </c:pt>
                <c:pt idx="5">
                  <c:v>465.21379999999999</c:v>
                </c:pt>
                <c:pt idx="6">
                  <c:v>46.936699999999995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Figure6!$A$5</c:f>
              <c:strCache>
                <c:ptCount val="1"/>
                <c:pt idx="0">
                  <c:v>Imports 2014</c:v>
                </c:pt>
              </c:strCache>
            </c:strRef>
          </c:tx>
          <c:spPr>
            <a:solidFill>
              <a:srgbClr val="4F81BD">
                <a:lumMod val="60000"/>
                <a:lumOff val="40000"/>
              </a:srgbClr>
            </a:solidFill>
            <a:ln w="28575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marker>
            <c:symbol val="dash"/>
            <c:size val="12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Figure6!$B$11:$H$11</c:f>
              <c:numCache>
                <c:formatCode>0.000</c:formatCode>
                <c:ptCount val="7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</c:numCache>
            </c:numRef>
          </c:xVal>
          <c:yVal>
            <c:numRef>
              <c:f>Figure6!$B$5:$H$5</c:f>
              <c:numCache>
                <c:formatCode>0</c:formatCode>
                <c:ptCount val="7"/>
                <c:pt idx="0">
                  <c:v>115.89830000000001</c:v>
                </c:pt>
                <c:pt idx="1">
                  <c:v>77.438600000000008</c:v>
                </c:pt>
                <c:pt idx="2">
                  <c:v>388.27879999999999</c:v>
                </c:pt>
                <c:pt idx="3">
                  <c:v>194.91079999999999</c:v>
                </c:pt>
                <c:pt idx="4">
                  <c:v>520.01670000000001</c:v>
                </c:pt>
                <c:pt idx="5">
                  <c:v>434.18299999999999</c:v>
                </c:pt>
                <c:pt idx="6">
                  <c:v>26.540299999999998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Figure6!$A$6</c:f>
              <c:strCache>
                <c:ptCount val="1"/>
                <c:pt idx="0">
                  <c:v>Balance 2014</c:v>
                </c:pt>
              </c:strCache>
            </c:strRef>
          </c:tx>
          <c:spPr>
            <a:solidFill>
              <a:srgbClr val="C0504D">
                <a:lumMod val="100000"/>
              </a:srgbClr>
            </a:solidFill>
            <a:ln w="28575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marker>
            <c:symbol val="dash"/>
            <c:size val="12"/>
            <c:spPr>
              <a:solidFill>
                <a:schemeClr val="accent3"/>
              </a:solidFill>
              <a:ln>
                <a:noFill/>
              </a:ln>
            </c:spPr>
          </c:marker>
          <c:xVal>
            <c:numRef>
              <c:f>Figure6!$B$12:$H$12</c:f>
              <c:numCache>
                <c:formatCode>0.000</c:formatCode>
                <c:ptCount val="7"/>
                <c:pt idx="0">
                  <c:v>0.71700000000000008</c:v>
                </c:pt>
                <c:pt idx="1">
                  <c:v>1.7170000000000001</c:v>
                </c:pt>
                <c:pt idx="2">
                  <c:v>2.7170000000000001</c:v>
                </c:pt>
                <c:pt idx="3">
                  <c:v>3.7170000000000001</c:v>
                </c:pt>
                <c:pt idx="4">
                  <c:v>4.7170000000000005</c:v>
                </c:pt>
                <c:pt idx="5">
                  <c:v>5.7170000000000005</c:v>
                </c:pt>
                <c:pt idx="6">
                  <c:v>6.7170000000000005</c:v>
                </c:pt>
              </c:numCache>
            </c:numRef>
          </c:xVal>
          <c:yVal>
            <c:numRef>
              <c:f>Figure6!$B$6:$H$6</c:f>
              <c:numCache>
                <c:formatCode>0</c:formatCode>
                <c:ptCount val="7"/>
                <c:pt idx="0">
                  <c:v>27.842099999999988</c:v>
                </c:pt>
                <c:pt idx="1">
                  <c:v>-32.326800000000006</c:v>
                </c:pt>
                <c:pt idx="2">
                  <c:v>-276.66309999999999</c:v>
                </c:pt>
                <c:pt idx="3">
                  <c:v>131.8005</c:v>
                </c:pt>
                <c:pt idx="4">
                  <c:v>279.94089999999994</c:v>
                </c:pt>
                <c:pt idx="5">
                  <c:v>31.030799999999999</c:v>
                </c:pt>
                <c:pt idx="6">
                  <c:v>20.396399999999996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38688"/>
        <c:axId val="155137152"/>
      </c:scatterChart>
      <c:catAx>
        <c:axId val="1565555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crossAx val="155136000"/>
        <c:crosses val="autoZero"/>
        <c:auto val="1"/>
        <c:lblAlgn val="ctr"/>
        <c:lblOffset val="100"/>
        <c:noMultiLvlLbl val="0"/>
      </c:catAx>
      <c:valAx>
        <c:axId val="15513600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6555520"/>
        <c:crosses val="autoZero"/>
        <c:crossBetween val="between"/>
      </c:valAx>
      <c:valAx>
        <c:axId val="155137152"/>
        <c:scaling>
          <c:orientation val="minMax"/>
        </c:scaling>
        <c:delete val="1"/>
        <c:axPos val="r"/>
        <c:numFmt formatCode="0" sourceLinked="1"/>
        <c:majorTickMark val="out"/>
        <c:minorTickMark val="none"/>
        <c:tickLblPos val="nextTo"/>
        <c:crossAx val="155138688"/>
        <c:crosses val="max"/>
        <c:crossBetween val="midCat"/>
      </c:valAx>
      <c:valAx>
        <c:axId val="155138688"/>
        <c:scaling>
          <c:orientation val="minMax"/>
          <c:max val="7"/>
        </c:scaling>
        <c:delete val="0"/>
        <c:axPos val="t"/>
        <c:numFmt formatCode="0.000" sourceLinked="1"/>
        <c:majorTickMark val="none"/>
        <c:minorTickMark val="none"/>
        <c:tickLblPos val="none"/>
        <c:spPr>
          <a:ln>
            <a:noFill/>
          </a:ln>
        </c:spPr>
        <c:crossAx val="155137152"/>
        <c:crosses val="max"/>
        <c:crossBetween val="midCat"/>
      </c:valAx>
    </c:plotArea>
    <c:legend>
      <c:legendPos val="b"/>
      <c:layout>
        <c:manualLayout>
          <c:xMode val="edge"/>
          <c:yMode val="edge"/>
          <c:x val="0.14048449936267329"/>
          <c:y val="0.90815769903762034"/>
          <c:w val="0.71403711240214829"/>
          <c:h val="7.795341207349081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165337946988836E-2"/>
          <c:y val="6.5865923009623795E-2"/>
          <c:w val="0.87566932410602227"/>
          <c:h val="0.83250218722659663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[1]Figure2!$A$7</c:f>
              <c:strCache>
                <c:ptCount val="1"/>
                <c:pt idx="0">
                  <c:v>Exports 2016</c:v>
                </c:pt>
              </c:strCache>
            </c:strRef>
          </c:tx>
          <c:spPr>
            <a:solidFill>
              <a:srgbClr val="E78A8D"/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[1]Figure2!$B$3:$H$3</c:f>
              <c:strCache>
                <c:ptCount val="7"/>
                <c:pt idx="0">
                  <c:v>Food and drink</c:v>
                </c:pt>
                <c:pt idx="1">
                  <c:v>Raw materials</c:v>
                </c:pt>
                <c:pt idx="2">
                  <c:v>Energy products</c:v>
                </c:pt>
                <c:pt idx="3">
                  <c:v>Chemicals</c:v>
                </c:pt>
                <c:pt idx="4">
                  <c:v>Machinery and vehicles</c:v>
                </c:pt>
                <c:pt idx="5">
                  <c:v>Other manufactured goods</c:v>
                </c:pt>
                <c:pt idx="6">
                  <c:v>Other</c:v>
                </c:pt>
              </c:strCache>
            </c:strRef>
          </c:cat>
          <c:val>
            <c:numRef>
              <c:f>[1]Figure2!$B$7:$H$7</c:f>
              <c:numCache>
                <c:formatCode>General</c:formatCode>
                <c:ptCount val="7"/>
                <c:pt idx="0">
                  <c:v>155.77449999999999</c:v>
                </c:pt>
                <c:pt idx="1">
                  <c:v>46.677800000000005</c:v>
                </c:pt>
                <c:pt idx="2">
                  <c:v>77.307500000000005</c:v>
                </c:pt>
                <c:pt idx="3">
                  <c:v>361.1293</c:v>
                </c:pt>
                <c:pt idx="4">
                  <c:v>869.75350000000003</c:v>
                </c:pt>
                <c:pt idx="5">
                  <c:v>486.59969999999998</c:v>
                </c:pt>
                <c:pt idx="6">
                  <c:v>50.482800000000005</c:v>
                </c:pt>
              </c:numCache>
            </c:numRef>
          </c:val>
        </c:ser>
        <c:ser>
          <c:idx val="4"/>
          <c:order val="4"/>
          <c:tx>
            <c:strRef>
              <c:f>[1]Figure2!$A$8</c:f>
              <c:strCache>
                <c:ptCount val="1"/>
                <c:pt idx="0">
                  <c:v>Imports 2016</c:v>
                </c:pt>
              </c:strCache>
            </c:strRef>
          </c:tx>
          <c:spPr>
            <a:solidFill>
              <a:srgbClr val="71A8DF"/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[1]Figure2!$B$3:$H$3</c:f>
              <c:strCache>
                <c:ptCount val="7"/>
                <c:pt idx="0">
                  <c:v>Food and drink</c:v>
                </c:pt>
                <c:pt idx="1">
                  <c:v>Raw materials</c:v>
                </c:pt>
                <c:pt idx="2">
                  <c:v>Energy products</c:v>
                </c:pt>
                <c:pt idx="3">
                  <c:v>Chemicals</c:v>
                </c:pt>
                <c:pt idx="4">
                  <c:v>Machinery and vehicles</c:v>
                </c:pt>
                <c:pt idx="5">
                  <c:v>Other manufactured goods</c:v>
                </c:pt>
                <c:pt idx="6">
                  <c:v>Other</c:v>
                </c:pt>
              </c:strCache>
            </c:strRef>
          </c:cat>
          <c:val>
            <c:numRef>
              <c:f>[1]Figure2!$B$8:$H$8</c:f>
              <c:numCache>
                <c:formatCode>General</c:formatCode>
                <c:ptCount val="7"/>
                <c:pt idx="0">
                  <c:v>128.37289999999999</c:v>
                </c:pt>
                <c:pt idx="1">
                  <c:v>73.251100000000008</c:v>
                </c:pt>
                <c:pt idx="2">
                  <c:v>235.10320000000002</c:v>
                </c:pt>
                <c:pt idx="3">
                  <c:v>216.0257</c:v>
                </c:pt>
                <c:pt idx="4">
                  <c:v>619.41930000000002</c:v>
                </c:pt>
                <c:pt idx="5">
                  <c:v>475.87420000000003</c:v>
                </c:pt>
                <c:pt idx="6">
                  <c:v>27.739900000000002</c:v>
                </c:pt>
              </c:numCache>
            </c:numRef>
          </c:val>
        </c:ser>
        <c:ser>
          <c:idx val="5"/>
          <c:order val="5"/>
          <c:tx>
            <c:strRef>
              <c:f>[1]Figure2!$A$9</c:f>
              <c:strCache>
                <c:ptCount val="1"/>
                <c:pt idx="0">
                  <c:v>Balance 2016</c:v>
                </c:pt>
              </c:strCache>
            </c:strRef>
          </c:tx>
          <c:spPr>
            <a:solidFill>
              <a:srgbClr val="E1E86B"/>
            </a:solidFill>
            <a:ln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invertIfNegative val="0"/>
          <c:cat>
            <c:strRef>
              <c:f>[1]Figure2!$B$3:$H$3</c:f>
              <c:strCache>
                <c:ptCount val="7"/>
                <c:pt idx="0">
                  <c:v>Food and drink</c:v>
                </c:pt>
                <c:pt idx="1">
                  <c:v>Raw materials</c:v>
                </c:pt>
                <c:pt idx="2">
                  <c:v>Energy products</c:v>
                </c:pt>
                <c:pt idx="3">
                  <c:v>Chemicals</c:v>
                </c:pt>
                <c:pt idx="4">
                  <c:v>Machinery and vehicles</c:v>
                </c:pt>
                <c:pt idx="5">
                  <c:v>Other manufactured goods</c:v>
                </c:pt>
                <c:pt idx="6">
                  <c:v>Other</c:v>
                </c:pt>
              </c:strCache>
            </c:strRef>
          </c:cat>
          <c:val>
            <c:numRef>
              <c:f>[1]Figure2!$B$9:$H$9</c:f>
              <c:numCache>
                <c:formatCode>General</c:formatCode>
                <c:ptCount val="7"/>
                <c:pt idx="0">
                  <c:v>27.401600000000002</c:v>
                </c:pt>
                <c:pt idx="1">
                  <c:v>-26.573300000000003</c:v>
                </c:pt>
                <c:pt idx="2">
                  <c:v>-157.79570000000001</c:v>
                </c:pt>
                <c:pt idx="3">
                  <c:v>145.1036</c:v>
                </c:pt>
                <c:pt idx="4">
                  <c:v>250.33420000000001</c:v>
                </c:pt>
                <c:pt idx="5">
                  <c:v>10.725499999999954</c:v>
                </c:pt>
                <c:pt idx="6">
                  <c:v>22.742900000000002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185920"/>
        <c:axId val="155187840"/>
      </c:barChart>
      <c:scatterChart>
        <c:scatterStyle val="lineMarker"/>
        <c:varyColors val="0"/>
        <c:ser>
          <c:idx val="0"/>
          <c:order val="1"/>
          <c:tx>
            <c:strRef>
              <c:f>[1]Figure2!$A$4</c:f>
              <c:strCache>
                <c:ptCount val="1"/>
                <c:pt idx="0">
                  <c:v>Exports 2014</c:v>
                </c:pt>
              </c:strCache>
            </c:strRef>
          </c:tx>
          <c:spPr>
            <a:solidFill>
              <a:srgbClr val="4F81BD">
                <a:lumMod val="100000"/>
              </a:srgbClr>
            </a:solidFill>
            <a:ln w="28575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marker>
            <c:symbol val="dash"/>
            <c:size val="12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[1]Figure2!$B$10:$H$10</c:f>
              <c:numCache>
                <c:formatCode>General</c:formatCode>
                <c:ptCount val="7"/>
                <c:pt idx="0">
                  <c:v>0.28299999999999997</c:v>
                </c:pt>
                <c:pt idx="1">
                  <c:v>1.2829999999999999</c:v>
                </c:pt>
                <c:pt idx="2">
                  <c:v>2.2829999999999999</c:v>
                </c:pt>
                <c:pt idx="3">
                  <c:v>3.2829999999999999</c:v>
                </c:pt>
                <c:pt idx="4">
                  <c:v>4.2829999999999995</c:v>
                </c:pt>
                <c:pt idx="5">
                  <c:v>5.2829999999999995</c:v>
                </c:pt>
                <c:pt idx="6">
                  <c:v>6.2829999999999995</c:v>
                </c:pt>
              </c:numCache>
            </c:numRef>
          </c:xVal>
          <c:yVal>
            <c:numRef>
              <c:f>[1]Figure2!$B$4:$H$4</c:f>
              <c:numCache>
                <c:formatCode>General</c:formatCode>
                <c:ptCount val="7"/>
                <c:pt idx="0">
                  <c:v>143.74039999999999</c:v>
                </c:pt>
                <c:pt idx="1">
                  <c:v>45.111800000000002</c:v>
                </c:pt>
                <c:pt idx="2">
                  <c:v>111.6157</c:v>
                </c:pt>
                <c:pt idx="3">
                  <c:v>326.71129999999999</c:v>
                </c:pt>
                <c:pt idx="4">
                  <c:v>799.95759999999996</c:v>
                </c:pt>
                <c:pt idx="5">
                  <c:v>465.21379999999999</c:v>
                </c:pt>
                <c:pt idx="6">
                  <c:v>46.936699999999995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[1]Figure2!$A$5</c:f>
              <c:strCache>
                <c:ptCount val="1"/>
                <c:pt idx="0">
                  <c:v>Imports 2014</c:v>
                </c:pt>
              </c:strCache>
            </c:strRef>
          </c:tx>
          <c:spPr>
            <a:solidFill>
              <a:srgbClr val="4F81BD">
                <a:lumMod val="60000"/>
                <a:lumOff val="40000"/>
              </a:srgbClr>
            </a:solidFill>
            <a:ln w="28575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marker>
            <c:symbol val="dash"/>
            <c:size val="12"/>
            <c:spPr>
              <a:solidFill>
                <a:schemeClr val="accent2"/>
              </a:solidFill>
              <a:ln>
                <a:noFill/>
              </a:ln>
            </c:spPr>
          </c:marker>
          <c:xVal>
            <c:numRef>
              <c:f>[1]Figure2!$B$11:$H$11</c:f>
              <c:numCache>
                <c:formatCode>General</c:formatCode>
                <c:ptCount val="7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</c:numCache>
            </c:numRef>
          </c:xVal>
          <c:yVal>
            <c:numRef>
              <c:f>[1]Figure2!$B$5:$H$5</c:f>
              <c:numCache>
                <c:formatCode>General</c:formatCode>
                <c:ptCount val="7"/>
                <c:pt idx="0">
                  <c:v>115.89830000000001</c:v>
                </c:pt>
                <c:pt idx="1">
                  <c:v>77.438600000000008</c:v>
                </c:pt>
                <c:pt idx="2">
                  <c:v>388.27879999999999</c:v>
                </c:pt>
                <c:pt idx="3">
                  <c:v>194.91079999999999</c:v>
                </c:pt>
                <c:pt idx="4">
                  <c:v>520.01670000000001</c:v>
                </c:pt>
                <c:pt idx="5">
                  <c:v>434.18299999999999</c:v>
                </c:pt>
                <c:pt idx="6">
                  <c:v>26.540299999999998</c:v>
                </c:pt>
              </c:numCache>
            </c:numRef>
          </c:yVal>
          <c:smooth val="0"/>
        </c:ser>
        <c:ser>
          <c:idx val="2"/>
          <c:order val="3"/>
          <c:tx>
            <c:strRef>
              <c:f>[1]Figure2!$A$6</c:f>
              <c:strCache>
                <c:ptCount val="1"/>
                <c:pt idx="0">
                  <c:v>Balance 2014</c:v>
                </c:pt>
              </c:strCache>
            </c:strRef>
          </c:tx>
          <c:spPr>
            <a:solidFill>
              <a:srgbClr val="C0504D">
                <a:lumMod val="100000"/>
              </a:srgbClr>
            </a:solidFill>
            <a:ln w="28575"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  <a:round/>
                </a14:hiddenLine>
              </a:ext>
            </a:extLst>
          </c:spPr>
          <c:marker>
            <c:symbol val="dash"/>
            <c:size val="12"/>
            <c:spPr>
              <a:solidFill>
                <a:schemeClr val="accent3"/>
              </a:solidFill>
              <a:ln>
                <a:noFill/>
              </a:ln>
            </c:spPr>
          </c:marker>
          <c:xVal>
            <c:numRef>
              <c:f>[1]Figure2!$B$12:$H$12</c:f>
              <c:numCache>
                <c:formatCode>General</c:formatCode>
                <c:ptCount val="7"/>
                <c:pt idx="0">
                  <c:v>0.71700000000000008</c:v>
                </c:pt>
                <c:pt idx="1">
                  <c:v>1.7170000000000001</c:v>
                </c:pt>
                <c:pt idx="2">
                  <c:v>2.7170000000000001</c:v>
                </c:pt>
                <c:pt idx="3">
                  <c:v>3.7170000000000001</c:v>
                </c:pt>
                <c:pt idx="4">
                  <c:v>4.7170000000000005</c:v>
                </c:pt>
                <c:pt idx="5">
                  <c:v>5.7170000000000005</c:v>
                </c:pt>
                <c:pt idx="6">
                  <c:v>6.7170000000000005</c:v>
                </c:pt>
              </c:numCache>
            </c:numRef>
          </c:xVal>
          <c:yVal>
            <c:numRef>
              <c:f>[1]Figure2!$B$6:$H$6</c:f>
              <c:numCache>
                <c:formatCode>General</c:formatCode>
                <c:ptCount val="7"/>
                <c:pt idx="0">
                  <c:v>27.842099999999988</c:v>
                </c:pt>
                <c:pt idx="1">
                  <c:v>-32.326800000000006</c:v>
                </c:pt>
                <c:pt idx="2">
                  <c:v>-276.66309999999999</c:v>
                </c:pt>
                <c:pt idx="3">
                  <c:v>131.8005</c:v>
                </c:pt>
                <c:pt idx="4">
                  <c:v>279.94089999999994</c:v>
                </c:pt>
                <c:pt idx="5">
                  <c:v>31.030799999999999</c:v>
                </c:pt>
                <c:pt idx="6">
                  <c:v>20.396399999999996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1168"/>
        <c:axId val="155189632"/>
      </c:scatterChart>
      <c:catAx>
        <c:axId val="1551859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crossAx val="155187840"/>
        <c:crosses val="autoZero"/>
        <c:auto val="1"/>
        <c:lblAlgn val="ctr"/>
        <c:lblOffset val="100"/>
        <c:noMultiLvlLbl val="0"/>
      </c:catAx>
      <c:valAx>
        <c:axId val="15518784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\ ###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155185920"/>
        <c:crosses val="autoZero"/>
        <c:crossBetween val="between"/>
      </c:valAx>
      <c:valAx>
        <c:axId val="15518963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55191168"/>
        <c:crosses val="max"/>
        <c:crossBetween val="midCat"/>
      </c:valAx>
      <c:valAx>
        <c:axId val="155191168"/>
        <c:scaling>
          <c:orientation val="minMax"/>
          <c:max val="7"/>
        </c:scaling>
        <c:delete val="0"/>
        <c:axPos val="t"/>
        <c:numFmt formatCode="General" sourceLinked="1"/>
        <c:majorTickMark val="none"/>
        <c:minorTickMark val="none"/>
        <c:tickLblPos val="none"/>
        <c:spPr>
          <a:ln>
            <a:noFill/>
          </a:ln>
        </c:spPr>
        <c:crossAx val="155189632"/>
        <c:crosses val="max"/>
        <c:crossBetween val="midCat"/>
      </c:valAx>
    </c:plotArea>
    <c:legend>
      <c:legendPos val="b"/>
      <c:layout>
        <c:manualLayout>
          <c:xMode val="edge"/>
          <c:yMode val="edge"/>
          <c:x val="0.14048449936267329"/>
          <c:y val="0.90815769903762034"/>
          <c:w val="0.58553974173462953"/>
          <c:h val="9.1842266981397566E-2"/>
        </c:manualLayout>
      </c:layout>
      <c:overlay val="0"/>
      <c:spPr>
        <a:noFill/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9523</xdr:colOff>
      <xdr:row>7</xdr:row>
      <xdr:rowOff>14287</xdr:rowOff>
    </xdr:from>
    <xdr:to>
      <xdr:col>11</xdr:col>
      <xdr:colOff>85723</xdr:colOff>
      <xdr:row>24</xdr:row>
      <xdr:rowOff>85832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1028700</xdr:colOff>
      <xdr:row>16</xdr:row>
      <xdr:rowOff>114300</xdr:rowOff>
    </xdr:from>
    <xdr:to>
      <xdr:col>40</xdr:col>
      <xdr:colOff>440055</xdr:colOff>
      <xdr:row>56</xdr:row>
      <xdr:rowOff>30480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571500</xdr:colOff>
      <xdr:row>15</xdr:row>
      <xdr:rowOff>95250</xdr:rowOff>
    </xdr:from>
    <xdr:to>
      <xdr:col>26</xdr:col>
      <xdr:colOff>561975</xdr:colOff>
      <xdr:row>55</xdr:row>
      <xdr:rowOff>11430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9525</xdr:colOff>
      <xdr:row>54</xdr:row>
      <xdr:rowOff>68580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8</xdr:col>
      <xdr:colOff>9525</xdr:colOff>
      <xdr:row>54</xdr:row>
      <xdr:rowOff>68580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7555</xdr:rowOff>
    </xdr:from>
    <xdr:to>
      <xdr:col>9</xdr:col>
      <xdr:colOff>561318</xdr:colOff>
      <xdr:row>39</xdr:row>
      <xdr:rowOff>7555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7555</xdr:rowOff>
    </xdr:from>
    <xdr:to>
      <xdr:col>9</xdr:col>
      <xdr:colOff>561318</xdr:colOff>
      <xdr:row>39</xdr:row>
      <xdr:rowOff>7555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ra-Euro_area_trade_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1"/>
      <sheetName val="Table 2-5"/>
      <sheetName val="Figure2"/>
    </sheetNames>
    <sheetDataSet>
      <sheetData sheetId="0"/>
      <sheetData sheetId="1"/>
      <sheetData sheetId="2">
        <row r="3">
          <cell r="B3" t="str">
            <v>Food and drink</v>
          </cell>
          <cell r="C3" t="str">
            <v>Raw materials</v>
          </cell>
          <cell r="D3" t="str">
            <v>Energy products</v>
          </cell>
          <cell r="E3" t="str">
            <v>Chemicals</v>
          </cell>
          <cell r="F3" t="str">
            <v>Machinery and vehicles</v>
          </cell>
          <cell r="G3" t="str">
            <v>Other manufactured goods</v>
          </cell>
          <cell r="H3" t="str">
            <v>Other</v>
          </cell>
        </row>
        <row r="4">
          <cell r="A4" t="str">
            <v>Exports 2014</v>
          </cell>
          <cell r="B4">
            <v>143.74039999999999</v>
          </cell>
          <cell r="C4">
            <v>45.111800000000002</v>
          </cell>
          <cell r="D4">
            <v>111.6157</v>
          </cell>
          <cell r="E4">
            <v>326.71129999999999</v>
          </cell>
          <cell r="F4">
            <v>799.95759999999996</v>
          </cell>
          <cell r="G4">
            <v>465.21379999999999</v>
          </cell>
          <cell r="H4">
            <v>46.936699999999995</v>
          </cell>
        </row>
        <row r="5">
          <cell r="A5" t="str">
            <v>Imports 2014</v>
          </cell>
          <cell r="B5">
            <v>115.89830000000001</v>
          </cell>
          <cell r="C5">
            <v>77.438600000000008</v>
          </cell>
          <cell r="D5">
            <v>388.27879999999999</v>
          </cell>
          <cell r="E5">
            <v>194.91079999999999</v>
          </cell>
          <cell r="F5">
            <v>520.01670000000001</v>
          </cell>
          <cell r="G5">
            <v>434.18299999999999</v>
          </cell>
          <cell r="H5">
            <v>26.540299999999998</v>
          </cell>
        </row>
        <row r="6">
          <cell r="A6" t="str">
            <v>Balance 2014</v>
          </cell>
          <cell r="B6">
            <v>27.842099999999988</v>
          </cell>
          <cell r="C6">
            <v>-32.326800000000006</v>
          </cell>
          <cell r="D6">
            <v>-276.66309999999999</v>
          </cell>
          <cell r="E6">
            <v>131.8005</v>
          </cell>
          <cell r="F6">
            <v>279.94089999999994</v>
          </cell>
          <cell r="G6">
            <v>31.030799999999999</v>
          </cell>
          <cell r="H6">
            <v>20.396399999999996</v>
          </cell>
        </row>
        <row r="7">
          <cell r="A7" t="str">
            <v>Exports 2016</v>
          </cell>
          <cell r="B7">
            <v>155.77449999999999</v>
          </cell>
          <cell r="C7">
            <v>46.677800000000005</v>
          </cell>
          <cell r="D7">
            <v>77.307500000000005</v>
          </cell>
          <cell r="E7">
            <v>361.1293</v>
          </cell>
          <cell r="F7">
            <v>869.75350000000003</v>
          </cell>
          <cell r="G7">
            <v>486.59969999999998</v>
          </cell>
          <cell r="H7">
            <v>50.482800000000005</v>
          </cell>
        </row>
        <row r="8">
          <cell r="A8" t="str">
            <v>Imports 2016</v>
          </cell>
          <cell r="B8">
            <v>128.37289999999999</v>
          </cell>
          <cell r="C8">
            <v>73.251100000000008</v>
          </cell>
          <cell r="D8">
            <v>235.10320000000002</v>
          </cell>
          <cell r="E8">
            <v>216.0257</v>
          </cell>
          <cell r="F8">
            <v>619.41930000000002</v>
          </cell>
          <cell r="G8">
            <v>475.87420000000003</v>
          </cell>
          <cell r="H8">
            <v>27.739900000000002</v>
          </cell>
        </row>
        <row r="9">
          <cell r="A9" t="str">
            <v>Balance 2016</v>
          </cell>
          <cell r="B9">
            <v>27.401600000000002</v>
          </cell>
          <cell r="C9">
            <v>-26.573300000000003</v>
          </cell>
          <cell r="D9">
            <v>-157.79570000000001</v>
          </cell>
          <cell r="E9">
            <v>145.1036</v>
          </cell>
          <cell r="F9">
            <v>250.33420000000001</v>
          </cell>
          <cell r="G9">
            <v>10.725499999999954</v>
          </cell>
          <cell r="H9">
            <v>22.742900000000002</v>
          </cell>
        </row>
        <row r="10">
          <cell r="B10">
            <v>0.28299999999999997</v>
          </cell>
          <cell r="C10">
            <v>1.2829999999999999</v>
          </cell>
          <cell r="D10">
            <v>2.2829999999999999</v>
          </cell>
          <cell r="E10">
            <v>3.2829999999999999</v>
          </cell>
          <cell r="F10">
            <v>4.2829999999999995</v>
          </cell>
          <cell r="G10">
            <v>5.2829999999999995</v>
          </cell>
          <cell r="H10">
            <v>6.2829999999999995</v>
          </cell>
        </row>
        <row r="11">
          <cell r="B11">
            <v>0.5</v>
          </cell>
          <cell r="C11">
            <v>1.5</v>
          </cell>
          <cell r="D11">
            <v>2.5</v>
          </cell>
          <cell r="E11">
            <v>3.5</v>
          </cell>
          <cell r="F11">
            <v>4.5</v>
          </cell>
          <cell r="G11">
            <v>5.5</v>
          </cell>
          <cell r="H11">
            <v>6.5</v>
          </cell>
        </row>
        <row r="12">
          <cell r="B12">
            <v>0.71700000000000008</v>
          </cell>
          <cell r="C12">
            <v>1.7170000000000001</v>
          </cell>
          <cell r="D12">
            <v>2.7170000000000001</v>
          </cell>
          <cell r="E12">
            <v>3.7170000000000001</v>
          </cell>
          <cell r="F12">
            <v>4.7170000000000005</v>
          </cell>
          <cell r="G12">
            <v>5.7170000000000005</v>
          </cell>
          <cell r="H12">
            <v>6.7170000000000005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6 International trad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D73C41"/>
      </a:accent1>
      <a:accent2>
        <a:srgbClr val="286EB4"/>
      </a:accent2>
      <a:accent3>
        <a:srgbClr val="B9C31E"/>
      </a:accent3>
      <a:accent4>
        <a:srgbClr val="C84B96"/>
      </a:accent4>
      <a:accent5>
        <a:srgbClr val="00A5E6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26"/>
  <sheetViews>
    <sheetView showGridLines="0" topLeftCell="A10" zoomScaleNormal="100" workbookViewId="0">
      <selection activeCell="H26" sqref="H26"/>
    </sheetView>
  </sheetViews>
  <sheetFormatPr defaultColWidth="8.88671875" defaultRowHeight="11.4" x14ac:dyDescent="0.2"/>
  <cols>
    <col min="1" max="1" width="8.88671875" style="19"/>
    <col min="2" max="9" width="10.6640625" style="19" bestFit="1" customWidth="1"/>
    <col min="10" max="16384" width="8.88671875" style="19"/>
  </cols>
  <sheetData>
    <row r="1" spans="1:10" ht="12" x14ac:dyDescent="0.25">
      <c r="A1" s="18" t="s">
        <v>37</v>
      </c>
    </row>
    <row r="2" spans="1:10" x14ac:dyDescent="0.2">
      <c r="A2" s="17" t="s">
        <v>36</v>
      </c>
    </row>
    <row r="3" spans="1:10" ht="12" x14ac:dyDescent="0.25">
      <c r="A3" s="2"/>
      <c r="B3" s="7">
        <v>2008</v>
      </c>
      <c r="C3" s="3">
        <v>2009</v>
      </c>
      <c r="D3" s="3">
        <v>2010</v>
      </c>
      <c r="E3" s="3">
        <v>2011</v>
      </c>
      <c r="F3" s="3">
        <v>2012</v>
      </c>
      <c r="G3" s="3">
        <v>2013</v>
      </c>
      <c r="H3" s="3">
        <v>2014</v>
      </c>
      <c r="I3" s="3">
        <v>2015</v>
      </c>
      <c r="J3" s="3">
        <v>2016</v>
      </c>
    </row>
    <row r="4" spans="1:10" ht="12" x14ac:dyDescent="0.25">
      <c r="A4" s="4" t="s">
        <v>23</v>
      </c>
      <c r="B4" s="20">
        <v>1566.4232</v>
      </c>
      <c r="C4" s="21">
        <v>1286.2536</v>
      </c>
      <c r="D4" s="21">
        <v>1546.1683</v>
      </c>
      <c r="E4" s="21">
        <v>1747.0962</v>
      </c>
      <c r="F4" s="21">
        <v>1879.4141999999999</v>
      </c>
      <c r="G4" s="21">
        <v>1897.1311000000001</v>
      </c>
      <c r="H4" s="21">
        <v>1939.2873</v>
      </c>
      <c r="I4" s="21">
        <v>2041.6648</v>
      </c>
      <c r="J4" s="21">
        <v>2047.7249999999999</v>
      </c>
    </row>
    <row r="5" spans="1:10" ht="12" x14ac:dyDescent="0.25">
      <c r="A5" s="5" t="s">
        <v>24</v>
      </c>
      <c r="B5" s="22">
        <v>1628.9161999999999</v>
      </c>
      <c r="C5" s="23">
        <v>1274.5998999999999</v>
      </c>
      <c r="D5" s="23">
        <v>1559.6933000000001</v>
      </c>
      <c r="E5" s="23">
        <v>1768.7616</v>
      </c>
      <c r="F5" s="23">
        <v>1798.5438000000001</v>
      </c>
      <c r="G5" s="23">
        <v>1745.0742</v>
      </c>
      <c r="H5" s="23">
        <v>1757.2664</v>
      </c>
      <c r="I5" s="23">
        <v>1802.9663999999998</v>
      </c>
      <c r="J5" s="23">
        <v>1775.7861</v>
      </c>
    </row>
    <row r="6" spans="1:10" ht="12" x14ac:dyDescent="0.25">
      <c r="A6" s="6" t="s">
        <v>28</v>
      </c>
      <c r="B6" s="24">
        <v>-62.492999999999938</v>
      </c>
      <c r="C6" s="25">
        <v>11.653700000000072</v>
      </c>
      <c r="D6" s="25">
        <v>-13.525000000000091</v>
      </c>
      <c r="E6" s="25">
        <v>-21.665400000000091</v>
      </c>
      <c r="F6" s="25">
        <v>80.87039999999979</v>
      </c>
      <c r="G6" s="25">
        <v>152.05690000000004</v>
      </c>
      <c r="H6" s="25">
        <v>182.02089999999998</v>
      </c>
      <c r="I6" s="25">
        <v>238.69840000000022</v>
      </c>
      <c r="J6" s="25">
        <v>271.93889999999988</v>
      </c>
    </row>
    <row r="26" spans="1:1" x14ac:dyDescent="0.2">
      <c r="A26" s="14" t="s">
        <v>35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87"/>
  <sheetViews>
    <sheetView showGridLines="0" tabSelected="1" topLeftCell="J38" zoomScaleNormal="100" workbookViewId="0">
      <selection activeCell="S56" sqref="S56:W56"/>
    </sheetView>
  </sheetViews>
  <sheetFormatPr defaultColWidth="8.88671875" defaultRowHeight="11.4" x14ac:dyDescent="0.2"/>
  <cols>
    <col min="1" max="1" width="22.6640625" style="19" customWidth="1"/>
    <col min="2" max="9" width="11.6640625" style="19" customWidth="1"/>
    <col min="10" max="10" width="22.6640625" style="19" customWidth="1"/>
    <col min="11" max="17" width="11.6640625" style="19" customWidth="1"/>
    <col min="18" max="18" width="8.88671875" style="19"/>
    <col min="19" max="19" width="22.6640625" style="19" customWidth="1"/>
    <col min="20" max="22" width="8.88671875" style="19"/>
    <col min="23" max="26" width="11.6640625" style="19" customWidth="1"/>
    <col min="27" max="27" width="8.88671875" style="19"/>
    <col min="28" max="28" width="22.44140625" style="19" customWidth="1"/>
    <col min="29" max="31" width="8.33203125" style="19" customWidth="1"/>
    <col min="32" max="16384" width="8.88671875" style="19"/>
  </cols>
  <sheetData>
    <row r="1" spans="1:31" ht="15" x14ac:dyDescent="0.25">
      <c r="A1" s="66" t="s">
        <v>58</v>
      </c>
    </row>
    <row r="3" spans="1:31" s="18" customFormat="1" ht="12" x14ac:dyDescent="0.2">
      <c r="A3" s="18" t="s">
        <v>59</v>
      </c>
      <c r="J3" s="18" t="s">
        <v>60</v>
      </c>
      <c r="S3" s="18" t="s">
        <v>61</v>
      </c>
      <c r="AB3" s="18" t="s">
        <v>62</v>
      </c>
    </row>
    <row r="4" spans="1:31" ht="36" x14ac:dyDescent="0.2">
      <c r="A4" s="55"/>
      <c r="B4" s="54">
        <v>2014</v>
      </c>
      <c r="C4" s="54">
        <v>2015</v>
      </c>
      <c r="D4" s="54">
        <v>2016</v>
      </c>
      <c r="E4" s="58" t="s">
        <v>34</v>
      </c>
      <c r="F4" s="58" t="s">
        <v>55</v>
      </c>
      <c r="G4" s="58" t="s">
        <v>56</v>
      </c>
      <c r="H4" s="58" t="s">
        <v>57</v>
      </c>
      <c r="J4" s="1"/>
      <c r="K4" s="11">
        <v>2014</v>
      </c>
      <c r="L4" s="11">
        <v>2015</v>
      </c>
      <c r="M4" s="11">
        <v>2016</v>
      </c>
      <c r="N4" s="8" t="s">
        <v>26</v>
      </c>
      <c r="O4" s="58" t="s">
        <v>55</v>
      </c>
      <c r="P4" s="58" t="s">
        <v>56</v>
      </c>
      <c r="Q4" s="58" t="s">
        <v>57</v>
      </c>
      <c r="S4" s="1"/>
      <c r="T4" s="11">
        <v>2014</v>
      </c>
      <c r="U4" s="11">
        <v>2015</v>
      </c>
      <c r="V4" s="11">
        <v>2016</v>
      </c>
      <c r="W4" s="8" t="s">
        <v>26</v>
      </c>
      <c r="X4" s="58" t="s">
        <v>55</v>
      </c>
      <c r="Y4" s="58" t="s">
        <v>56</v>
      </c>
      <c r="Z4" s="58" t="s">
        <v>57</v>
      </c>
      <c r="AB4" s="1"/>
      <c r="AC4" s="11">
        <v>2014</v>
      </c>
      <c r="AD4" s="11">
        <v>2015</v>
      </c>
      <c r="AE4" s="11">
        <v>2016</v>
      </c>
    </row>
    <row r="5" spans="1:31" ht="12" customHeight="1" x14ac:dyDescent="0.2">
      <c r="A5" s="12" t="s">
        <v>52</v>
      </c>
      <c r="B5" s="56">
        <v>398.36849999999998</v>
      </c>
      <c r="C5" s="57">
        <v>466.59530000000007</v>
      </c>
      <c r="D5" s="57">
        <v>459.791</v>
      </c>
      <c r="E5" s="53">
        <v>-1.4582872995077434</v>
      </c>
      <c r="F5" s="53">
        <f t="shared" ref="F5:F13" si="0">B66/B$64*100</f>
        <v>10.776754034440239</v>
      </c>
      <c r="G5" s="53">
        <f t="shared" ref="G5:G13" si="1">C66/C$64*100</f>
        <v>12.136282408570164</v>
      </c>
      <c r="H5" s="53">
        <f t="shared" ref="H5:H13" si="2">D66/D$64*100</f>
        <v>12.025360669150405</v>
      </c>
      <c r="J5" s="59" t="s">
        <v>52</v>
      </c>
      <c r="K5" s="60">
        <v>241.6146</v>
      </c>
      <c r="L5" s="61">
        <v>282.42270000000002</v>
      </c>
      <c r="M5" s="61">
        <v>279.2405</v>
      </c>
      <c r="N5" s="27">
        <v>-1.1267507887999129</v>
      </c>
      <c r="O5" s="53">
        <f t="shared" ref="O5:O13" si="3">K66/K$64*100</f>
        <v>12.458937878879524</v>
      </c>
      <c r="P5" s="53">
        <f t="shared" ref="P5:P13" si="4">L66/L$64*100</f>
        <v>13.832961218707402</v>
      </c>
      <c r="Q5" s="53">
        <f t="shared" ref="Q5:Q13" si="5">M66/M$64*100</f>
        <v>13.636621128325338</v>
      </c>
      <c r="S5" s="59" t="s">
        <v>51</v>
      </c>
      <c r="T5" s="60">
        <v>218.4639</v>
      </c>
      <c r="U5" s="61">
        <v>249.31279999999998</v>
      </c>
      <c r="V5" s="61">
        <v>244.59979999999999</v>
      </c>
      <c r="W5" s="27">
        <v>-1.8903963214082831</v>
      </c>
      <c r="X5" s="53">
        <f t="shared" ref="X5:X13" si="6">T66/T$64*100</f>
        <v>12.432030795103122</v>
      </c>
      <c r="Y5" s="53">
        <f t="shared" ref="Y5:Y13" si="7">U66/U$64*100</f>
        <v>13.827922694510558</v>
      </c>
      <c r="Z5" s="53">
        <f t="shared" ref="Z5:Z13" si="8">V66/V$64*100</f>
        <v>13.774170211153244</v>
      </c>
      <c r="AB5" s="4" t="s">
        <v>8</v>
      </c>
      <c r="AC5" s="20">
        <v>93.414799999999985</v>
      </c>
      <c r="AD5" s="21">
        <v>114.47929999999999</v>
      </c>
      <c r="AE5" s="21">
        <v>117.95579999999998</v>
      </c>
    </row>
    <row r="6" spans="1:31" ht="12" customHeight="1" x14ac:dyDescent="0.2">
      <c r="A6" s="5" t="s">
        <v>53</v>
      </c>
      <c r="B6" s="22">
        <v>411.13979999999998</v>
      </c>
      <c r="C6" s="23">
        <v>436.61129999999997</v>
      </c>
      <c r="D6" s="23">
        <v>429.41020000000003</v>
      </c>
      <c r="E6" s="31">
        <v>-1.6493159934248047</v>
      </c>
      <c r="F6" s="31">
        <f t="shared" si="0"/>
        <v>11.122246107232256</v>
      </c>
      <c r="G6" s="31">
        <f t="shared" si="1"/>
        <v>11.35638965838908</v>
      </c>
      <c r="H6" s="31">
        <f t="shared" si="2"/>
        <v>11.230782094499478</v>
      </c>
      <c r="J6" s="5" t="s">
        <v>53</v>
      </c>
      <c r="K6" s="22">
        <v>252.2773</v>
      </c>
      <c r="L6" s="23">
        <v>275.5453</v>
      </c>
      <c r="M6" s="23">
        <v>273.68299999999999</v>
      </c>
      <c r="N6" s="31">
        <v>-0.6758598313961417</v>
      </c>
      <c r="O6" s="31">
        <f t="shared" si="3"/>
        <v>13.008763580311181</v>
      </c>
      <c r="P6" s="31">
        <f t="shared" si="4"/>
        <v>13.496108665829965</v>
      </c>
      <c r="Q6" s="31">
        <f t="shared" si="5"/>
        <v>13.365222380934942</v>
      </c>
      <c r="S6" s="5" t="s">
        <v>52</v>
      </c>
      <c r="T6" s="22">
        <v>156.75389999999999</v>
      </c>
      <c r="U6" s="23">
        <v>184.17260000000002</v>
      </c>
      <c r="V6" s="23">
        <v>180.5505</v>
      </c>
      <c r="W6" s="31">
        <v>-1.9666877700591834</v>
      </c>
      <c r="X6" s="31">
        <f t="shared" si="6"/>
        <v>8.920326479809777</v>
      </c>
      <c r="Y6" s="31">
        <f t="shared" si="7"/>
        <v>10.214976829296432</v>
      </c>
      <c r="Z6" s="31">
        <f t="shared" si="8"/>
        <v>10.167356304906317</v>
      </c>
      <c r="AB6" s="5" t="s">
        <v>14</v>
      </c>
      <c r="AC6" s="22">
        <v>84.860700000000008</v>
      </c>
      <c r="AD6" s="23">
        <v>98.250100000000003</v>
      </c>
      <c r="AE6" s="23">
        <v>98.69</v>
      </c>
    </row>
    <row r="7" spans="1:31" ht="12" customHeight="1" x14ac:dyDescent="0.2">
      <c r="A7" s="5" t="s">
        <v>51</v>
      </c>
      <c r="B7" s="22">
        <v>350.42129999999997</v>
      </c>
      <c r="C7" s="23">
        <v>380.56759999999997</v>
      </c>
      <c r="D7" s="23">
        <v>383.77690000000001</v>
      </c>
      <c r="E7" s="31">
        <v>0.84329301811294499</v>
      </c>
      <c r="F7" s="31">
        <f t="shared" si="0"/>
        <v>9.4796756232703974</v>
      </c>
      <c r="G7" s="31">
        <f t="shared" si="1"/>
        <v>9.8986763671896529</v>
      </c>
      <c r="H7" s="31">
        <f t="shared" si="2"/>
        <v>10.037290070898447</v>
      </c>
      <c r="J7" s="5" t="s">
        <v>51</v>
      </c>
      <c r="K7" s="22">
        <v>131.95740000000001</v>
      </c>
      <c r="L7" s="23">
        <v>131.25479999999999</v>
      </c>
      <c r="M7" s="23">
        <v>139.1771</v>
      </c>
      <c r="N7" s="31">
        <v>6.0358173567747642</v>
      </c>
      <c r="O7" s="31">
        <f t="shared" si="3"/>
        <v>6.8044275853299307</v>
      </c>
      <c r="P7" s="31">
        <f t="shared" si="4"/>
        <v>6.4288124083835889</v>
      </c>
      <c r="Q7" s="31">
        <f t="shared" si="5"/>
        <v>6.7966694746609049</v>
      </c>
      <c r="S7" s="5" t="s">
        <v>53</v>
      </c>
      <c r="T7" s="22">
        <v>158.86250000000001</v>
      </c>
      <c r="U7" s="23">
        <v>161.066</v>
      </c>
      <c r="V7" s="23">
        <v>155.72720000000001</v>
      </c>
      <c r="W7" s="31">
        <v>-3.3146660375249826</v>
      </c>
      <c r="X7" s="31">
        <f t="shared" si="6"/>
        <v>9.040319669231712</v>
      </c>
      <c r="Y7" s="31">
        <f t="shared" si="7"/>
        <v>8.9333888862266111</v>
      </c>
      <c r="Z7" s="31">
        <f t="shared" si="8"/>
        <v>8.7694796124375571</v>
      </c>
      <c r="AB7" s="5" t="s">
        <v>10</v>
      </c>
      <c r="AC7" s="22">
        <v>24.856399999999994</v>
      </c>
      <c r="AD7" s="23">
        <v>25.203699999999998</v>
      </c>
      <c r="AE7" s="23">
        <v>26.459699999999998</v>
      </c>
    </row>
    <row r="8" spans="1:31" ht="12" customHeight="1" x14ac:dyDescent="0.2">
      <c r="A8" s="5" t="s">
        <v>5</v>
      </c>
      <c r="B8" s="22">
        <v>189.67150000000001</v>
      </c>
      <c r="C8" s="23">
        <v>210.02929999999998</v>
      </c>
      <c r="D8" s="23">
        <v>218.37879999999998</v>
      </c>
      <c r="E8" s="31">
        <v>3.9753977183183631</v>
      </c>
      <c r="F8" s="31">
        <f t="shared" si="0"/>
        <v>5.1310359700712587</v>
      </c>
      <c r="G8" s="31">
        <f t="shared" si="1"/>
        <v>5.4629245062569316</v>
      </c>
      <c r="H8" s="31">
        <f t="shared" si="2"/>
        <v>5.7114728920232496</v>
      </c>
      <c r="J8" s="5" t="s">
        <v>10</v>
      </c>
      <c r="K8" s="22">
        <v>108.221</v>
      </c>
      <c r="L8" s="23">
        <v>114.0012</v>
      </c>
      <c r="M8" s="23">
        <v>117.7089</v>
      </c>
      <c r="N8" s="31">
        <v>3.2523341859559407</v>
      </c>
      <c r="O8" s="31">
        <f t="shared" si="3"/>
        <v>5.5804521588936309</v>
      </c>
      <c r="P8" s="31">
        <f t="shared" si="4"/>
        <v>5.5837373500292502</v>
      </c>
      <c r="Q8" s="31">
        <f t="shared" si="5"/>
        <v>5.7482767461451125</v>
      </c>
      <c r="S8" s="5" t="s">
        <v>5</v>
      </c>
      <c r="T8" s="22">
        <v>86.36</v>
      </c>
      <c r="U8" s="23">
        <v>97.350499999999997</v>
      </c>
      <c r="V8" s="23">
        <v>101.8361</v>
      </c>
      <c r="W8" s="31">
        <v>4.607680494707278</v>
      </c>
      <c r="X8" s="31">
        <f t="shared" si="6"/>
        <v>4.9144512180964712</v>
      </c>
      <c r="Y8" s="31">
        <f t="shared" si="7"/>
        <v>5.3994627964226067</v>
      </c>
      <c r="Z8" s="31">
        <f t="shared" si="8"/>
        <v>5.7347053228989679</v>
      </c>
      <c r="AB8" s="5" t="s">
        <v>5</v>
      </c>
      <c r="AC8" s="22">
        <v>16.951499999999996</v>
      </c>
      <c r="AD8" s="23">
        <v>15.328300000000013</v>
      </c>
      <c r="AE8" s="23">
        <v>14.706599999999995</v>
      </c>
    </row>
    <row r="9" spans="1:31" ht="12" customHeight="1" x14ac:dyDescent="0.2">
      <c r="A9" s="5" t="s">
        <v>10</v>
      </c>
      <c r="B9" s="22">
        <v>191.5856</v>
      </c>
      <c r="C9" s="23">
        <v>202.79870000000003</v>
      </c>
      <c r="D9" s="23">
        <v>208.95809999999997</v>
      </c>
      <c r="E9" s="31">
        <v>3.0371989564035307</v>
      </c>
      <c r="F9" s="31">
        <f t="shared" si="0"/>
        <v>5.1828166326922283</v>
      </c>
      <c r="G9" s="31">
        <f t="shared" si="1"/>
        <v>5.2748544515791274</v>
      </c>
      <c r="H9" s="31">
        <f t="shared" si="2"/>
        <v>5.4650841735492799</v>
      </c>
      <c r="J9" s="5" t="s">
        <v>5</v>
      </c>
      <c r="K9" s="22">
        <v>103.3115</v>
      </c>
      <c r="L9" s="23">
        <v>112.67880000000001</v>
      </c>
      <c r="M9" s="23">
        <v>116.5427</v>
      </c>
      <c r="N9" s="31">
        <v>3.429127750739247</v>
      </c>
      <c r="O9" s="31">
        <f t="shared" si="3"/>
        <v>5.3272921449029242</v>
      </c>
      <c r="P9" s="31">
        <f t="shared" si="4"/>
        <v>5.5189666785654534</v>
      </c>
      <c r="Q9" s="31">
        <f t="shared" si="5"/>
        <v>5.691325739540221</v>
      </c>
      <c r="S9" s="5" t="s">
        <v>54</v>
      </c>
      <c r="T9" s="22">
        <v>81.286600000000007</v>
      </c>
      <c r="U9" s="23">
        <v>88.346100000000007</v>
      </c>
      <c r="V9" s="23">
        <v>93.670299999999997</v>
      </c>
      <c r="W9" s="31">
        <v>6.0265252229583233</v>
      </c>
      <c r="X9" s="31">
        <f t="shared" si="6"/>
        <v>4.6257414356753204</v>
      </c>
      <c r="Y9" s="31">
        <f t="shared" si="7"/>
        <v>4.9000413984420348</v>
      </c>
      <c r="Z9" s="31">
        <f t="shared" si="8"/>
        <v>5.2748639039352767</v>
      </c>
      <c r="AB9" s="5" t="s">
        <v>11</v>
      </c>
      <c r="AC9" s="22">
        <v>19.698</v>
      </c>
      <c r="AD9" s="23">
        <v>19.182700000000004</v>
      </c>
      <c r="AE9" s="23">
        <v>14.630500000000005</v>
      </c>
    </row>
    <row r="10" spans="1:31" ht="12" customHeight="1" x14ac:dyDescent="0.2">
      <c r="A10" s="5" t="s">
        <v>54</v>
      </c>
      <c r="B10" s="22">
        <v>150.51640000000003</v>
      </c>
      <c r="C10" s="23">
        <v>163.18970000000002</v>
      </c>
      <c r="D10" s="23">
        <v>171.37100000000001</v>
      </c>
      <c r="E10" s="31">
        <v>5.0133678779971991</v>
      </c>
      <c r="F10" s="31">
        <f t="shared" si="0"/>
        <v>4.0718034205752245</v>
      </c>
      <c r="G10" s="31">
        <f t="shared" si="1"/>
        <v>4.244612591189501</v>
      </c>
      <c r="H10" s="31">
        <f t="shared" si="2"/>
        <v>4.4820322347174564</v>
      </c>
      <c r="J10" s="5" t="s">
        <v>54</v>
      </c>
      <c r="K10" s="22">
        <v>69.229799999999997</v>
      </c>
      <c r="L10" s="23">
        <v>74.843600000000009</v>
      </c>
      <c r="M10" s="23">
        <v>77.700699999999998</v>
      </c>
      <c r="N10" s="31">
        <v>3.8174272750107985</v>
      </c>
      <c r="O10" s="31">
        <f t="shared" si="3"/>
        <v>3.5698578544808699</v>
      </c>
      <c r="P10" s="31">
        <f t="shared" si="4"/>
        <v>3.6658123311916828</v>
      </c>
      <c r="Q10" s="31">
        <f t="shared" si="5"/>
        <v>3.7944890060921268</v>
      </c>
      <c r="S10" s="5" t="s">
        <v>10</v>
      </c>
      <c r="T10" s="22">
        <v>83.36460000000001</v>
      </c>
      <c r="U10" s="23">
        <v>88.797499999999999</v>
      </c>
      <c r="V10" s="23">
        <v>91.249200000000002</v>
      </c>
      <c r="W10" s="31">
        <v>2.7610011543117707</v>
      </c>
      <c r="X10" s="31">
        <f t="shared" si="6"/>
        <v>4.7439932841144641</v>
      </c>
      <c r="Y10" s="31">
        <f t="shared" si="7"/>
        <v>4.9250779160388127</v>
      </c>
      <c r="Z10" s="31">
        <f t="shared" si="8"/>
        <v>5.1385242851039319</v>
      </c>
      <c r="AB10" s="5" t="s">
        <v>7</v>
      </c>
      <c r="AC10" s="22">
        <v>8.731899999999996</v>
      </c>
      <c r="AD10" s="23">
        <v>11.348399999999998</v>
      </c>
      <c r="AE10" s="23">
        <v>12.808500000000002</v>
      </c>
    </row>
    <row r="11" spans="1:31" ht="12" customHeight="1" x14ac:dyDescent="0.2">
      <c r="A11" s="5" t="s">
        <v>12</v>
      </c>
      <c r="B11" s="22">
        <v>214.10720000000001</v>
      </c>
      <c r="C11" s="23">
        <v>157.1345</v>
      </c>
      <c r="D11" s="23">
        <v>145.72749999999999</v>
      </c>
      <c r="E11" s="31">
        <v>-7.2593860673499488</v>
      </c>
      <c r="F11" s="31">
        <f t="shared" si="0"/>
        <v>5.7920760085265357</v>
      </c>
      <c r="G11" s="31">
        <f t="shared" si="1"/>
        <v>4.0871150397988751</v>
      </c>
      <c r="H11" s="31">
        <f t="shared" si="2"/>
        <v>3.8113528688330471</v>
      </c>
      <c r="J11" s="5" t="s">
        <v>7</v>
      </c>
      <c r="K11" s="22">
        <v>62.491999999999997</v>
      </c>
      <c r="L11" s="23">
        <v>65.572299999999998</v>
      </c>
      <c r="M11" s="23">
        <v>67.977199999999996</v>
      </c>
      <c r="N11" s="31">
        <v>3.667554744915158</v>
      </c>
      <c r="O11" s="31">
        <f t="shared" si="3"/>
        <v>3.2224209378362865</v>
      </c>
      <c r="P11" s="31">
        <f t="shared" si="4"/>
        <v>3.2117074262141365</v>
      </c>
      <c r="Q11" s="31">
        <f t="shared" si="5"/>
        <v>3.319644971859014</v>
      </c>
      <c r="S11" s="5" t="s">
        <v>12</v>
      </c>
      <c r="T11" s="22">
        <v>134.0967</v>
      </c>
      <c r="U11" s="23">
        <v>100.14410000000001</v>
      </c>
      <c r="V11" s="23">
        <v>89.577600000000004</v>
      </c>
      <c r="W11" s="31">
        <v>-10.551295583064812</v>
      </c>
      <c r="X11" s="31">
        <f t="shared" si="6"/>
        <v>7.6309829858466527</v>
      </c>
      <c r="Y11" s="31">
        <f t="shared" si="7"/>
        <v>5.5544074476374057</v>
      </c>
      <c r="Z11" s="31">
        <f t="shared" si="8"/>
        <v>5.0443913261850621</v>
      </c>
      <c r="AB11" s="5" t="s">
        <v>2</v>
      </c>
      <c r="AC11" s="22">
        <v>-12.05680000000001</v>
      </c>
      <c r="AD11" s="23">
        <v>-13.502499999999998</v>
      </c>
      <c r="AE11" s="23">
        <v>-15.9696</v>
      </c>
    </row>
    <row r="12" spans="1:31" ht="12" customHeight="1" x14ac:dyDescent="0.2">
      <c r="A12" s="5" t="s">
        <v>7</v>
      </c>
      <c r="B12" s="22">
        <v>116.25210000000001</v>
      </c>
      <c r="C12" s="23">
        <v>119.79620000000001</v>
      </c>
      <c r="D12" s="23">
        <v>123.1459</v>
      </c>
      <c r="E12" s="31">
        <v>2.7961654877199704</v>
      </c>
      <c r="F12" s="31">
        <f t="shared" si="0"/>
        <v>3.1448778899113519</v>
      </c>
      <c r="G12" s="31">
        <f t="shared" si="1"/>
        <v>3.1159347611807346</v>
      </c>
      <c r="H12" s="31">
        <f t="shared" si="2"/>
        <v>3.2207543480127465</v>
      </c>
      <c r="J12" s="5" t="s">
        <v>11</v>
      </c>
      <c r="K12" s="22">
        <v>58.247800000000005</v>
      </c>
      <c r="L12" s="23">
        <v>61.775300000000001</v>
      </c>
      <c r="M12" s="23">
        <v>60.330400000000004</v>
      </c>
      <c r="N12" s="31">
        <v>-2.3389607173093352</v>
      </c>
      <c r="O12" s="31">
        <f t="shared" si="3"/>
        <v>3.0035673414661153</v>
      </c>
      <c r="P12" s="31">
        <f t="shared" si="4"/>
        <v>3.0257317459751474</v>
      </c>
      <c r="Q12" s="31">
        <f t="shared" si="5"/>
        <v>2.9462159225481939</v>
      </c>
      <c r="S12" s="5" t="s">
        <v>7</v>
      </c>
      <c r="T12" s="22">
        <v>53.760100000000001</v>
      </c>
      <c r="U12" s="23">
        <v>54.2239</v>
      </c>
      <c r="V12" s="23">
        <v>55.168699999999994</v>
      </c>
      <c r="W12" s="31">
        <v>1.7424051018093412</v>
      </c>
      <c r="X12" s="31">
        <f t="shared" si="6"/>
        <v>3.0593027898331182</v>
      </c>
      <c r="Y12" s="31">
        <f t="shared" si="7"/>
        <v>3.0074825576339088</v>
      </c>
      <c r="Z12" s="31">
        <f t="shared" si="8"/>
        <v>3.1067198915454961</v>
      </c>
      <c r="AB12" s="5" t="s">
        <v>12</v>
      </c>
      <c r="AC12" s="22">
        <v>-54.086200000000005</v>
      </c>
      <c r="AD12" s="23">
        <v>-43.153700000000008</v>
      </c>
      <c r="AE12" s="23">
        <v>-33.427700000000002</v>
      </c>
    </row>
    <row r="13" spans="1:31" ht="12" customHeight="1" x14ac:dyDescent="0.2">
      <c r="A13" s="6" t="s">
        <v>11</v>
      </c>
      <c r="B13" s="24">
        <v>96.797600000000003</v>
      </c>
      <c r="C13" s="25">
        <v>104.36789999999999</v>
      </c>
      <c r="D13" s="25">
        <v>106.0303</v>
      </c>
      <c r="E13" s="32">
        <v>1.592826913255907</v>
      </c>
      <c r="F13" s="32">
        <f t="shared" si="0"/>
        <v>2.6185903913691284</v>
      </c>
      <c r="G13" s="32">
        <f t="shared" si="1"/>
        <v>2.7146400934373105</v>
      </c>
      <c r="H13" s="32">
        <f t="shared" si="2"/>
        <v>2.7731134349263429</v>
      </c>
      <c r="J13" s="6" t="s">
        <v>12</v>
      </c>
      <c r="K13" s="24">
        <v>80.010499999999993</v>
      </c>
      <c r="L13" s="25">
        <v>56.990400000000001</v>
      </c>
      <c r="M13" s="25">
        <v>56.149900000000002</v>
      </c>
      <c r="N13" s="32">
        <v>-1.4748097925264547</v>
      </c>
      <c r="O13" s="32">
        <f t="shared" si="3"/>
        <v>4.1257682654859851</v>
      </c>
      <c r="P13" s="32">
        <f t="shared" si="4"/>
        <v>2.7913690827211206</v>
      </c>
      <c r="Q13" s="32">
        <f t="shared" si="5"/>
        <v>2.7420625328108024</v>
      </c>
      <c r="S13" s="6" t="s">
        <v>11</v>
      </c>
      <c r="T13" s="24">
        <v>38.549800000000005</v>
      </c>
      <c r="U13" s="25">
        <v>42.592599999999997</v>
      </c>
      <c r="V13" s="25">
        <v>45.6999</v>
      </c>
      <c r="W13" s="32">
        <v>7.2953987312350144</v>
      </c>
      <c r="X13" s="32">
        <f t="shared" si="6"/>
        <v>2.5353014204334645</v>
      </c>
      <c r="Y13" s="32">
        <f t="shared" si="7"/>
        <v>2.6934057118313466</v>
      </c>
      <c r="Z13" s="32">
        <f t="shared" si="8"/>
        <v>2.8396325435816849</v>
      </c>
      <c r="AB13" s="62" t="s">
        <v>17</v>
      </c>
      <c r="AC13" s="63">
        <v>-86.506499999999988</v>
      </c>
      <c r="AD13" s="64">
        <v>-118.05799999999999</v>
      </c>
      <c r="AE13" s="64">
        <v>-105.42269999999999</v>
      </c>
    </row>
    <row r="56" spans="1:31" x14ac:dyDescent="0.2">
      <c r="S56" s="19" t="s">
        <v>66</v>
      </c>
    </row>
    <row r="57" spans="1:31" x14ac:dyDescent="0.2">
      <c r="A57" s="19" t="s">
        <v>64</v>
      </c>
      <c r="J57" s="19" t="s">
        <v>65</v>
      </c>
    </row>
    <row r="61" spans="1:31" s="18" customFormat="1" ht="12" x14ac:dyDescent="0.25">
      <c r="A61" s="18" t="s">
        <v>38</v>
      </c>
      <c r="J61" s="18" t="s">
        <v>39</v>
      </c>
      <c r="S61" s="18" t="s">
        <v>40</v>
      </c>
      <c r="AB61" s="18" t="s">
        <v>41</v>
      </c>
    </row>
    <row r="62" spans="1:31" x14ac:dyDescent="0.2">
      <c r="A62" s="17" t="s">
        <v>36</v>
      </c>
      <c r="B62" s="26"/>
      <c r="C62" s="26"/>
      <c r="D62" s="26"/>
      <c r="E62" s="26"/>
      <c r="F62" s="26"/>
      <c r="G62" s="26"/>
      <c r="H62" s="26"/>
      <c r="J62" s="17" t="s">
        <v>36</v>
      </c>
      <c r="K62" s="26"/>
      <c r="L62" s="26"/>
      <c r="M62" s="26"/>
      <c r="N62" s="26"/>
      <c r="O62" s="26"/>
      <c r="S62" s="17" t="s">
        <v>36</v>
      </c>
      <c r="T62" s="26"/>
      <c r="U62" s="26"/>
      <c r="V62" s="26"/>
      <c r="W62" s="26"/>
      <c r="X62" s="26"/>
      <c r="Y62" s="26"/>
      <c r="Z62" s="26"/>
      <c r="AB62" s="17" t="s">
        <v>36</v>
      </c>
    </row>
    <row r="63" spans="1:31" ht="24" x14ac:dyDescent="0.25">
      <c r="A63" s="13"/>
      <c r="B63" s="11">
        <v>2014</v>
      </c>
      <c r="C63" s="11">
        <v>2015</v>
      </c>
      <c r="D63" s="11">
        <v>2016</v>
      </c>
      <c r="E63" s="8" t="s">
        <v>34</v>
      </c>
      <c r="F63" s="8" t="s">
        <v>27</v>
      </c>
      <c r="J63" s="13"/>
      <c r="K63" s="11">
        <v>2014</v>
      </c>
      <c r="L63" s="11">
        <v>2015</v>
      </c>
      <c r="M63" s="11">
        <v>2016</v>
      </c>
      <c r="N63" s="8" t="s">
        <v>26</v>
      </c>
      <c r="O63" s="8" t="s">
        <v>27</v>
      </c>
      <c r="S63" s="13"/>
      <c r="T63" s="11">
        <v>2014</v>
      </c>
      <c r="U63" s="11">
        <v>2015</v>
      </c>
      <c r="V63" s="11">
        <v>2016</v>
      </c>
      <c r="W63" s="8" t="s">
        <v>26</v>
      </c>
      <c r="X63" s="8" t="s">
        <v>27</v>
      </c>
      <c r="AB63" s="55"/>
      <c r="AC63" s="54">
        <v>2014</v>
      </c>
      <c r="AD63" s="54">
        <v>2015</v>
      </c>
      <c r="AE63" s="54">
        <v>2016</v>
      </c>
    </row>
    <row r="64" spans="1:31" ht="12" x14ac:dyDescent="0.25">
      <c r="A64" s="12" t="s">
        <v>13</v>
      </c>
      <c r="B64" s="20">
        <v>3696.5537000000004</v>
      </c>
      <c r="C64" s="21">
        <v>3844.6312000000003</v>
      </c>
      <c r="D64" s="21">
        <v>3823.5111000000002</v>
      </c>
      <c r="E64" s="27">
        <v>-0.54934007714446675</v>
      </c>
      <c r="F64" s="27">
        <v>100</v>
      </c>
      <c r="J64" s="12" t="s">
        <v>13</v>
      </c>
      <c r="K64" s="21">
        <v>1939.2873</v>
      </c>
      <c r="L64" s="21">
        <v>2041.6648</v>
      </c>
      <c r="M64" s="21">
        <v>2047.7249999999999</v>
      </c>
      <c r="N64" s="27">
        <v>0.29682639383310505</v>
      </c>
      <c r="O64" s="27">
        <v>100</v>
      </c>
      <c r="P64" s="65"/>
      <c r="Q64" s="65"/>
      <c r="R64" s="28"/>
      <c r="S64" s="12" t="s">
        <v>13</v>
      </c>
      <c r="T64" s="20">
        <v>1757.2664</v>
      </c>
      <c r="U64" s="21">
        <v>1802.9663999999998</v>
      </c>
      <c r="V64" s="21">
        <v>1775.7861</v>
      </c>
      <c r="W64" s="27">
        <v>-1.5075322535128666</v>
      </c>
      <c r="X64" s="27">
        <v>100</v>
      </c>
      <c r="AA64" s="28"/>
      <c r="AB64" s="12" t="s">
        <v>13</v>
      </c>
      <c r="AC64" s="52">
        <v>182.02089999999998</v>
      </c>
      <c r="AD64" s="52">
        <v>238.69840000000022</v>
      </c>
      <c r="AE64" s="52">
        <v>271.93889999999988</v>
      </c>
    </row>
    <row r="65" spans="1:31" ht="12" x14ac:dyDescent="0.25">
      <c r="A65" s="12"/>
      <c r="B65" s="51"/>
      <c r="C65" s="52"/>
      <c r="D65" s="52"/>
      <c r="E65" s="53"/>
      <c r="F65" s="53"/>
      <c r="G65" s="65"/>
      <c r="H65" s="65"/>
      <c r="J65" s="12"/>
      <c r="K65" s="52"/>
      <c r="L65" s="52"/>
      <c r="M65" s="52"/>
      <c r="N65" s="53"/>
      <c r="O65" s="53"/>
      <c r="P65" s="65"/>
      <c r="Q65" s="65"/>
      <c r="R65" s="28"/>
      <c r="S65" s="12"/>
      <c r="T65" s="51"/>
      <c r="U65" s="52"/>
      <c r="V65" s="52"/>
      <c r="W65" s="53"/>
      <c r="X65" s="53"/>
      <c r="Y65" s="65"/>
      <c r="Z65" s="65"/>
      <c r="AA65" s="28"/>
      <c r="AB65" s="12"/>
      <c r="AC65" s="23"/>
      <c r="AD65" s="23"/>
      <c r="AE65" s="23"/>
    </row>
    <row r="66" spans="1:31" ht="12" x14ac:dyDescent="0.25">
      <c r="A66" s="10" t="s">
        <v>14</v>
      </c>
      <c r="B66" s="29">
        <v>398.36849999999998</v>
      </c>
      <c r="C66" s="30">
        <v>466.59530000000007</v>
      </c>
      <c r="D66" s="30">
        <v>459.791</v>
      </c>
      <c r="E66" s="31">
        <v>-1.4582872995077434</v>
      </c>
      <c r="F66" s="31">
        <v>12.025360669150405</v>
      </c>
      <c r="G66" s="65"/>
      <c r="H66" s="65"/>
      <c r="J66" s="10" t="s">
        <v>14</v>
      </c>
      <c r="K66" s="29">
        <v>241.6146</v>
      </c>
      <c r="L66" s="30">
        <v>282.42270000000002</v>
      </c>
      <c r="M66" s="30">
        <v>279.2405</v>
      </c>
      <c r="N66" s="31">
        <v>-1.1267507887999129</v>
      </c>
      <c r="O66" s="31">
        <v>13.636621128325338</v>
      </c>
      <c r="P66" s="65"/>
      <c r="Q66" s="65"/>
      <c r="R66" s="28"/>
      <c r="S66" s="10" t="s">
        <v>17</v>
      </c>
      <c r="T66" s="29">
        <v>218.4639</v>
      </c>
      <c r="U66" s="30">
        <v>249.31279999999998</v>
      </c>
      <c r="V66" s="30">
        <v>244.59979999999999</v>
      </c>
      <c r="W66" s="31">
        <v>-1.8903963214082831</v>
      </c>
      <c r="X66" s="31">
        <v>13.774170211153244</v>
      </c>
      <c r="Y66" s="65"/>
      <c r="Z66" s="65"/>
      <c r="AA66" s="28"/>
      <c r="AB66" s="10" t="s">
        <v>8</v>
      </c>
      <c r="AC66" s="30">
        <v>93.414799999999985</v>
      </c>
      <c r="AD66" s="30">
        <v>114.47929999999999</v>
      </c>
      <c r="AE66" s="30">
        <v>117.95579999999998</v>
      </c>
    </row>
    <row r="67" spans="1:31" ht="12" x14ac:dyDescent="0.25">
      <c r="A67" s="5" t="s">
        <v>8</v>
      </c>
      <c r="B67" s="22">
        <v>411.13979999999998</v>
      </c>
      <c r="C67" s="23">
        <v>436.61129999999997</v>
      </c>
      <c r="D67" s="23">
        <v>429.41020000000003</v>
      </c>
      <c r="E67" s="31">
        <v>-1.6493159934248047</v>
      </c>
      <c r="F67" s="31">
        <v>11.230782094499478</v>
      </c>
      <c r="G67" s="65"/>
      <c r="H67" s="65"/>
      <c r="J67" s="5" t="s">
        <v>8</v>
      </c>
      <c r="K67" s="22">
        <v>252.2773</v>
      </c>
      <c r="L67" s="23">
        <v>275.5453</v>
      </c>
      <c r="M67" s="23">
        <v>273.68299999999999</v>
      </c>
      <c r="N67" s="31">
        <v>-0.6758598313961417</v>
      </c>
      <c r="O67" s="31">
        <v>13.365222380934942</v>
      </c>
      <c r="P67" s="65"/>
      <c r="Q67" s="65"/>
      <c r="R67" s="28"/>
      <c r="S67" s="5" t="s">
        <v>14</v>
      </c>
      <c r="T67" s="22">
        <v>156.75389999999999</v>
      </c>
      <c r="U67" s="23">
        <v>184.17260000000002</v>
      </c>
      <c r="V67" s="23">
        <v>180.5505</v>
      </c>
      <c r="W67" s="31">
        <v>-1.9666877700591834</v>
      </c>
      <c r="X67" s="31">
        <v>10.167356304906317</v>
      </c>
      <c r="Y67" s="65"/>
      <c r="Z67" s="65"/>
      <c r="AA67" s="28"/>
      <c r="AB67" s="5" t="s">
        <v>14</v>
      </c>
      <c r="AC67" s="23">
        <v>84.860700000000008</v>
      </c>
      <c r="AD67" s="23">
        <v>98.250100000000003</v>
      </c>
      <c r="AE67" s="23">
        <v>98.69</v>
      </c>
    </row>
    <row r="68" spans="1:31" ht="12" x14ac:dyDescent="0.25">
      <c r="A68" s="5" t="s">
        <v>17</v>
      </c>
      <c r="B68" s="22">
        <v>350.42129999999997</v>
      </c>
      <c r="C68" s="23">
        <v>380.56759999999997</v>
      </c>
      <c r="D68" s="23">
        <v>383.77690000000001</v>
      </c>
      <c r="E68" s="31">
        <v>0.84329301811294499</v>
      </c>
      <c r="F68" s="31">
        <v>10.037290070898447</v>
      </c>
      <c r="G68" s="65"/>
      <c r="H68" s="65"/>
      <c r="J68" s="5" t="s">
        <v>17</v>
      </c>
      <c r="K68" s="22">
        <v>131.95740000000001</v>
      </c>
      <c r="L68" s="23">
        <v>131.25479999999999</v>
      </c>
      <c r="M68" s="23">
        <v>139.1771</v>
      </c>
      <c r="N68" s="31">
        <v>6.0358173567747642</v>
      </c>
      <c r="O68" s="31">
        <v>6.7966694746609049</v>
      </c>
      <c r="P68" s="65"/>
      <c r="Q68" s="65"/>
      <c r="R68" s="28"/>
      <c r="S68" s="5" t="s">
        <v>8</v>
      </c>
      <c r="T68" s="22">
        <v>158.86250000000001</v>
      </c>
      <c r="U68" s="23">
        <v>161.066</v>
      </c>
      <c r="V68" s="23">
        <v>155.72720000000001</v>
      </c>
      <c r="W68" s="31">
        <v>-3.3146660375249826</v>
      </c>
      <c r="X68" s="31">
        <v>8.7694796124375571</v>
      </c>
      <c r="Y68" s="65"/>
      <c r="Z68" s="65"/>
      <c r="AA68" s="28"/>
      <c r="AB68" s="5" t="s">
        <v>22</v>
      </c>
      <c r="AC68" s="23">
        <v>25.4268</v>
      </c>
      <c r="AD68" s="23">
        <v>28.273399999999999</v>
      </c>
      <c r="AE68" s="23">
        <v>27.064499999999999</v>
      </c>
    </row>
    <row r="69" spans="1:31" ht="12" x14ac:dyDescent="0.25">
      <c r="A69" s="5" t="s">
        <v>5</v>
      </c>
      <c r="B69" s="22">
        <v>189.67150000000001</v>
      </c>
      <c r="C69" s="23">
        <v>210.02929999999998</v>
      </c>
      <c r="D69" s="23">
        <v>218.37879999999998</v>
      </c>
      <c r="E69" s="31">
        <v>3.9753977183183631</v>
      </c>
      <c r="F69" s="31">
        <v>5.7114728920232496</v>
      </c>
      <c r="G69" s="65"/>
      <c r="H69" s="65"/>
      <c r="J69" s="5" t="s">
        <v>10</v>
      </c>
      <c r="K69" s="22">
        <v>108.221</v>
      </c>
      <c r="L69" s="23">
        <v>114.0012</v>
      </c>
      <c r="M69" s="23">
        <v>117.7089</v>
      </c>
      <c r="N69" s="31">
        <v>3.2523341859559407</v>
      </c>
      <c r="O69" s="31">
        <v>5.7482767461451125</v>
      </c>
      <c r="P69" s="65"/>
      <c r="Q69" s="65"/>
      <c r="R69" s="28"/>
      <c r="S69" s="5" t="s">
        <v>5</v>
      </c>
      <c r="T69" s="22">
        <v>86.36</v>
      </c>
      <c r="U69" s="23">
        <v>97.350499999999997</v>
      </c>
      <c r="V69" s="23">
        <v>101.8361</v>
      </c>
      <c r="W69" s="31">
        <v>4.607680494707278</v>
      </c>
      <c r="X69" s="31">
        <v>5.7347053228989679</v>
      </c>
      <c r="Y69" s="65"/>
      <c r="Z69" s="65"/>
      <c r="AA69" s="28"/>
      <c r="AB69" s="5" t="s">
        <v>10</v>
      </c>
      <c r="AC69" s="23">
        <v>24.856399999999994</v>
      </c>
      <c r="AD69" s="23">
        <v>25.203699999999998</v>
      </c>
      <c r="AE69" s="23">
        <v>26.459699999999998</v>
      </c>
    </row>
    <row r="70" spans="1:31" ht="12" x14ac:dyDescent="0.25">
      <c r="A70" s="5" t="s">
        <v>10</v>
      </c>
      <c r="B70" s="22">
        <v>191.5856</v>
      </c>
      <c r="C70" s="23">
        <v>202.79870000000003</v>
      </c>
      <c r="D70" s="23">
        <v>208.95809999999997</v>
      </c>
      <c r="E70" s="31">
        <v>3.0371989564035307</v>
      </c>
      <c r="F70" s="31">
        <v>5.4650841735492799</v>
      </c>
      <c r="G70" s="65"/>
      <c r="H70" s="65"/>
      <c r="J70" s="5" t="s">
        <v>5</v>
      </c>
      <c r="K70" s="22">
        <v>103.3115</v>
      </c>
      <c r="L70" s="23">
        <v>112.67880000000001</v>
      </c>
      <c r="M70" s="23">
        <v>116.5427</v>
      </c>
      <c r="N70" s="31">
        <v>3.429127750739247</v>
      </c>
      <c r="O70" s="31">
        <v>5.691325739540221</v>
      </c>
      <c r="P70" s="65"/>
      <c r="Q70" s="65"/>
      <c r="R70" s="28"/>
      <c r="S70" s="5" t="s">
        <v>2</v>
      </c>
      <c r="T70" s="22">
        <v>81.286600000000007</v>
      </c>
      <c r="U70" s="23">
        <v>88.346100000000007</v>
      </c>
      <c r="V70" s="23">
        <v>93.670299999999997</v>
      </c>
      <c r="W70" s="31">
        <v>6.0265252229583233</v>
      </c>
      <c r="X70" s="31">
        <v>5.2748639039352767</v>
      </c>
      <c r="Y70" s="65"/>
      <c r="Z70" s="65"/>
      <c r="AA70" s="28"/>
      <c r="AB70" s="5" t="s">
        <v>5</v>
      </c>
      <c r="AC70" s="23">
        <v>16.951499999999996</v>
      </c>
      <c r="AD70" s="23">
        <v>15.328300000000013</v>
      </c>
      <c r="AE70" s="23">
        <v>14.706599999999995</v>
      </c>
    </row>
    <row r="71" spans="1:31" ht="12" x14ac:dyDescent="0.25">
      <c r="A71" s="5" t="s">
        <v>2</v>
      </c>
      <c r="B71" s="22">
        <v>150.51640000000003</v>
      </c>
      <c r="C71" s="23">
        <v>163.18970000000002</v>
      </c>
      <c r="D71" s="23">
        <v>171.37100000000001</v>
      </c>
      <c r="E71" s="31">
        <v>5.0133678779971991</v>
      </c>
      <c r="F71" s="31">
        <v>4.4820322347174564</v>
      </c>
      <c r="G71" s="65"/>
      <c r="H71" s="65"/>
      <c r="J71" s="5" t="s">
        <v>2</v>
      </c>
      <c r="K71" s="22">
        <v>69.229799999999997</v>
      </c>
      <c r="L71" s="23">
        <v>74.843600000000009</v>
      </c>
      <c r="M71" s="23">
        <v>77.700699999999998</v>
      </c>
      <c r="N71" s="31">
        <v>3.8174272750107985</v>
      </c>
      <c r="O71" s="31">
        <v>3.7944890060921268</v>
      </c>
      <c r="P71" s="65"/>
      <c r="Q71" s="65"/>
      <c r="R71" s="28"/>
      <c r="S71" s="5" t="s">
        <v>10</v>
      </c>
      <c r="T71" s="22">
        <v>83.36460000000001</v>
      </c>
      <c r="U71" s="23">
        <v>88.797499999999999</v>
      </c>
      <c r="V71" s="23">
        <v>91.249200000000002</v>
      </c>
      <c r="W71" s="31">
        <v>2.7610011543117707</v>
      </c>
      <c r="X71" s="31">
        <v>5.1385242851039319</v>
      </c>
      <c r="Y71" s="65"/>
      <c r="Z71" s="65"/>
      <c r="AA71" s="28"/>
      <c r="AB71" s="5" t="s">
        <v>11</v>
      </c>
      <c r="AC71" s="23">
        <v>19.698</v>
      </c>
      <c r="AD71" s="23">
        <v>19.182700000000004</v>
      </c>
      <c r="AE71" s="23">
        <v>14.630500000000005</v>
      </c>
    </row>
    <row r="72" spans="1:31" ht="12" x14ac:dyDescent="0.25">
      <c r="A72" s="5" t="s">
        <v>12</v>
      </c>
      <c r="B72" s="22">
        <v>214.10720000000001</v>
      </c>
      <c r="C72" s="23">
        <v>157.1345</v>
      </c>
      <c r="D72" s="23">
        <v>145.72749999999999</v>
      </c>
      <c r="E72" s="31">
        <v>-7.2593860673499488</v>
      </c>
      <c r="F72" s="31">
        <v>3.8113528688330471</v>
      </c>
      <c r="G72" s="65"/>
      <c r="H72" s="65"/>
      <c r="J72" s="5" t="s">
        <v>7</v>
      </c>
      <c r="K72" s="22">
        <v>62.491999999999997</v>
      </c>
      <c r="L72" s="23">
        <v>65.572299999999998</v>
      </c>
      <c r="M72" s="23">
        <v>67.977199999999996</v>
      </c>
      <c r="N72" s="31">
        <v>3.667554744915158</v>
      </c>
      <c r="O72" s="31">
        <v>3.319644971859014</v>
      </c>
      <c r="P72" s="65"/>
      <c r="Q72" s="65"/>
      <c r="R72" s="28"/>
      <c r="S72" s="5" t="s">
        <v>12</v>
      </c>
      <c r="T72" s="22">
        <v>134.0967</v>
      </c>
      <c r="U72" s="23">
        <v>100.14410000000001</v>
      </c>
      <c r="V72" s="23">
        <v>89.577600000000004</v>
      </c>
      <c r="W72" s="31">
        <v>-10.551295583064812</v>
      </c>
      <c r="X72" s="31">
        <v>5.0443913261850621</v>
      </c>
      <c r="Y72" s="65"/>
      <c r="Z72" s="65"/>
      <c r="AA72" s="28"/>
      <c r="AB72" s="5" t="s">
        <v>15</v>
      </c>
      <c r="AC72" s="23">
        <v>9.1035999999999966</v>
      </c>
      <c r="AD72" s="23">
        <v>12.319700000000001</v>
      </c>
      <c r="AE72" s="23">
        <v>13.034400000000002</v>
      </c>
    </row>
    <row r="73" spans="1:31" ht="12" x14ac:dyDescent="0.25">
      <c r="A73" s="5" t="s">
        <v>7</v>
      </c>
      <c r="B73" s="22">
        <v>116.25210000000001</v>
      </c>
      <c r="C73" s="23">
        <v>119.79620000000001</v>
      </c>
      <c r="D73" s="23">
        <v>123.1459</v>
      </c>
      <c r="E73" s="31">
        <v>2.7961654877199704</v>
      </c>
      <c r="F73" s="31">
        <v>3.2207543480127465</v>
      </c>
      <c r="G73" s="65"/>
      <c r="H73" s="65"/>
      <c r="J73" s="5" t="s">
        <v>11</v>
      </c>
      <c r="K73" s="22">
        <v>58.247800000000005</v>
      </c>
      <c r="L73" s="23">
        <v>61.775300000000001</v>
      </c>
      <c r="M73" s="23">
        <v>60.330400000000004</v>
      </c>
      <c r="N73" s="31">
        <v>-2.3389607173093352</v>
      </c>
      <c r="O73" s="31">
        <v>2.9462159225481939</v>
      </c>
      <c r="P73" s="65"/>
      <c r="Q73" s="65"/>
      <c r="R73" s="28"/>
      <c r="S73" s="5" t="s">
        <v>7</v>
      </c>
      <c r="T73" s="22">
        <v>53.760100000000001</v>
      </c>
      <c r="U73" s="23">
        <v>54.2239</v>
      </c>
      <c r="V73" s="23">
        <v>55.168699999999994</v>
      </c>
      <c r="W73" s="31">
        <v>1.7424051018093412</v>
      </c>
      <c r="X73" s="31">
        <v>3.1067198915454961</v>
      </c>
      <c r="Y73" s="65"/>
      <c r="Z73" s="65"/>
      <c r="AA73" s="28"/>
      <c r="AB73" s="5" t="s">
        <v>7</v>
      </c>
      <c r="AC73" s="23">
        <v>8.731899999999996</v>
      </c>
      <c r="AD73" s="23">
        <v>11.348399999999998</v>
      </c>
      <c r="AE73" s="23">
        <v>12.808500000000002</v>
      </c>
    </row>
    <row r="74" spans="1:31" ht="12" x14ac:dyDescent="0.25">
      <c r="A74" s="5" t="s">
        <v>11</v>
      </c>
      <c r="B74" s="22">
        <v>96.797600000000003</v>
      </c>
      <c r="C74" s="23">
        <v>104.36789999999999</v>
      </c>
      <c r="D74" s="23">
        <v>106.0303</v>
      </c>
      <c r="E74" s="31">
        <v>1.592826913255907</v>
      </c>
      <c r="F74" s="31">
        <v>2.7731134349263429</v>
      </c>
      <c r="G74" s="65"/>
      <c r="H74" s="65"/>
      <c r="J74" s="5" t="s">
        <v>12</v>
      </c>
      <c r="K74" s="22">
        <v>80.010499999999993</v>
      </c>
      <c r="L74" s="23">
        <v>56.990400000000001</v>
      </c>
      <c r="M74" s="23">
        <v>56.149900000000002</v>
      </c>
      <c r="N74" s="31">
        <v>-1.4748097925264547</v>
      </c>
      <c r="O74" s="31">
        <v>2.7420625328108024</v>
      </c>
      <c r="P74" s="65"/>
      <c r="Q74" s="65"/>
      <c r="R74" s="28"/>
      <c r="S74" s="5" t="s">
        <v>4</v>
      </c>
      <c r="T74" s="22">
        <v>44.552</v>
      </c>
      <c r="U74" s="23">
        <v>48.561199999999999</v>
      </c>
      <c r="V74" s="23">
        <v>50.425800000000002</v>
      </c>
      <c r="W74" s="31">
        <v>3.8396909466817286</v>
      </c>
      <c r="X74" s="31">
        <v>2.8396325435816849</v>
      </c>
      <c r="Y74" s="65"/>
      <c r="Z74" s="65"/>
      <c r="AA74" s="28"/>
      <c r="AB74" s="5" t="s">
        <v>3</v>
      </c>
      <c r="AC74" s="23">
        <v>6.3082000000000029</v>
      </c>
      <c r="AD74" s="23">
        <v>7.4754000000000005</v>
      </c>
      <c r="AE74" s="23">
        <v>9.0447999999999915</v>
      </c>
    </row>
    <row r="75" spans="1:31" ht="12" x14ac:dyDescent="0.25">
      <c r="A75" s="5" t="s">
        <v>4</v>
      </c>
      <c r="B75" s="22">
        <v>88.882199999999997</v>
      </c>
      <c r="C75" s="23">
        <v>96.3626</v>
      </c>
      <c r="D75" s="23">
        <v>99.695100000000011</v>
      </c>
      <c r="E75" s="31">
        <v>3.4582919099318765</v>
      </c>
      <c r="F75" s="31">
        <v>2.6074227952417872</v>
      </c>
      <c r="G75" s="65"/>
      <c r="H75" s="65"/>
      <c r="J75" s="5" t="s">
        <v>4</v>
      </c>
      <c r="K75" s="22">
        <v>44.330199999999998</v>
      </c>
      <c r="L75" s="23">
        <v>47.801400000000001</v>
      </c>
      <c r="M75" s="23">
        <v>49.269300000000001</v>
      </c>
      <c r="N75" s="31">
        <v>3.0708305614479903</v>
      </c>
      <c r="O75" s="31">
        <v>2.4060506171482992</v>
      </c>
      <c r="P75" s="65"/>
      <c r="Q75" s="65"/>
      <c r="R75" s="28"/>
      <c r="S75" s="5" t="s">
        <v>18</v>
      </c>
      <c r="T75" s="22">
        <v>44.078300000000006</v>
      </c>
      <c r="U75" s="23">
        <v>45.878699999999995</v>
      </c>
      <c r="V75" s="23">
        <v>49.2395</v>
      </c>
      <c r="W75" s="31">
        <v>7.3254037276557549</v>
      </c>
      <c r="X75" s="31">
        <v>2.7728283265647815</v>
      </c>
      <c r="Y75" s="65"/>
      <c r="Z75" s="65"/>
      <c r="AA75" s="28"/>
      <c r="AB75" s="5" t="s">
        <v>21</v>
      </c>
      <c r="AC75" s="23">
        <v>1.0472999999999999</v>
      </c>
      <c r="AD75" s="23">
        <v>11.793000000000003</v>
      </c>
      <c r="AE75" s="23">
        <v>8.6347000000000023</v>
      </c>
    </row>
    <row r="76" spans="1:31" ht="12" x14ac:dyDescent="0.25">
      <c r="A76" s="5" t="s">
        <v>18</v>
      </c>
      <c r="B76" s="22">
        <v>87.111700000000013</v>
      </c>
      <c r="C76" s="23">
        <v>91.213799999999992</v>
      </c>
      <c r="D76" s="23">
        <v>95.629100000000008</v>
      </c>
      <c r="E76" s="31">
        <v>4.8406052592919302</v>
      </c>
      <c r="F76" s="31">
        <v>2.5010807474836416</v>
      </c>
      <c r="G76" s="65"/>
      <c r="H76" s="65"/>
      <c r="J76" s="5" t="s">
        <v>18</v>
      </c>
      <c r="K76" s="22">
        <v>43.0334</v>
      </c>
      <c r="L76" s="23">
        <v>45.335099999999997</v>
      </c>
      <c r="M76" s="23">
        <v>46.389600000000002</v>
      </c>
      <c r="N76" s="31">
        <v>2.3260122951090922</v>
      </c>
      <c r="O76" s="31">
        <v>2.2654213822656852</v>
      </c>
      <c r="P76" s="65"/>
      <c r="Q76" s="65"/>
      <c r="R76" s="28"/>
      <c r="S76" s="5" t="s">
        <v>11</v>
      </c>
      <c r="T76" s="22">
        <v>38.549800000000005</v>
      </c>
      <c r="U76" s="23">
        <v>42.592599999999997</v>
      </c>
      <c r="V76" s="23">
        <v>45.6999</v>
      </c>
      <c r="W76" s="31">
        <v>7.2953987312350144</v>
      </c>
      <c r="X76" s="31">
        <v>2.5735025181242266</v>
      </c>
      <c r="Y76" s="65"/>
      <c r="Z76" s="65"/>
      <c r="AA76" s="28"/>
      <c r="AB76" s="5" t="s">
        <v>19</v>
      </c>
      <c r="AC76" s="23">
        <v>8.6814</v>
      </c>
      <c r="AD76" s="23">
        <v>10.025000000000002</v>
      </c>
      <c r="AE76" s="23">
        <v>7.5807000000000002</v>
      </c>
    </row>
    <row r="77" spans="1:31" ht="12" x14ac:dyDescent="0.25">
      <c r="A77" s="5" t="s">
        <v>3</v>
      </c>
      <c r="B77" s="22">
        <v>67.87339999999999</v>
      </c>
      <c r="C77" s="23">
        <v>70.063999999999993</v>
      </c>
      <c r="D77" s="23">
        <v>71.045600000000007</v>
      </c>
      <c r="E77" s="31">
        <v>1.4010047956154681</v>
      </c>
      <c r="F77" s="31">
        <v>1.8581245912951583</v>
      </c>
      <c r="G77" s="65"/>
      <c r="H77" s="65"/>
      <c r="J77" s="5" t="s">
        <v>3</v>
      </c>
      <c r="K77" s="22">
        <v>37.090800000000002</v>
      </c>
      <c r="L77" s="23">
        <v>38.7697</v>
      </c>
      <c r="M77" s="23">
        <v>40.045199999999994</v>
      </c>
      <c r="N77" s="31">
        <v>3.2899403400077798</v>
      </c>
      <c r="O77" s="31">
        <v>1.9555946233014685</v>
      </c>
      <c r="P77" s="65"/>
      <c r="Q77" s="65"/>
      <c r="R77" s="28"/>
      <c r="S77" s="5" t="s">
        <v>9</v>
      </c>
      <c r="T77" s="22">
        <v>47.695500000000003</v>
      </c>
      <c r="U77" s="23">
        <v>40.9604</v>
      </c>
      <c r="V77" s="23">
        <v>31.8215</v>
      </c>
      <c r="W77" s="31">
        <v>-22.311549691897536</v>
      </c>
      <c r="X77" s="31">
        <v>1.7919669491725383</v>
      </c>
      <c r="Y77" s="65"/>
      <c r="Z77" s="65"/>
      <c r="AA77" s="28"/>
      <c r="AB77" s="5" t="s">
        <v>6</v>
      </c>
      <c r="AC77" s="23">
        <v>5.7951000000000015</v>
      </c>
      <c r="AD77" s="23">
        <v>6.7246000000000024</v>
      </c>
      <c r="AE77" s="23">
        <v>7.2441999999999993</v>
      </c>
    </row>
    <row r="78" spans="1:31" ht="12" x14ac:dyDescent="0.25">
      <c r="A78" s="5" t="s">
        <v>6</v>
      </c>
      <c r="B78" s="22">
        <v>57.028300000000002</v>
      </c>
      <c r="C78" s="23">
        <v>62.055999999999997</v>
      </c>
      <c r="D78" s="23">
        <v>66.989999999999995</v>
      </c>
      <c r="E78" s="31">
        <v>7.9508830733530989</v>
      </c>
      <c r="F78" s="31">
        <v>1.7520545448396891</v>
      </c>
      <c r="G78" s="65"/>
      <c r="H78" s="65"/>
      <c r="J78" s="5" t="s">
        <v>6</v>
      </c>
      <c r="K78" s="22">
        <v>31.4117</v>
      </c>
      <c r="L78" s="23">
        <v>34.390300000000003</v>
      </c>
      <c r="M78" s="23">
        <v>37.117100000000001</v>
      </c>
      <c r="N78" s="31">
        <v>7.9289799740042799</v>
      </c>
      <c r="O78" s="31">
        <v>1.8126017897911098</v>
      </c>
      <c r="P78" s="65"/>
      <c r="Q78" s="65"/>
      <c r="R78" s="28"/>
      <c r="S78" s="5" t="s">
        <v>3</v>
      </c>
      <c r="T78" s="22">
        <v>30.782599999999999</v>
      </c>
      <c r="U78" s="23">
        <v>31.2943</v>
      </c>
      <c r="V78" s="23">
        <v>31.000400000000003</v>
      </c>
      <c r="W78" s="31">
        <v>-0.93914866285552678</v>
      </c>
      <c r="X78" s="31">
        <v>1.7457282721156562</v>
      </c>
      <c r="Y78" s="65"/>
      <c r="Z78" s="65"/>
      <c r="AA78" s="28"/>
      <c r="AB78" s="5" t="s">
        <v>20</v>
      </c>
      <c r="AC78" s="23">
        <v>1.7520000000000024</v>
      </c>
      <c r="AD78" s="23">
        <v>2.0111999999999988</v>
      </c>
      <c r="AE78" s="23">
        <v>2.6803999999999988</v>
      </c>
    </row>
    <row r="79" spans="1:31" ht="12" x14ac:dyDescent="0.25">
      <c r="A79" s="5" t="s">
        <v>19</v>
      </c>
      <c r="B79" s="22">
        <v>61.317599999999999</v>
      </c>
      <c r="C79" s="23">
        <v>65.587199999999996</v>
      </c>
      <c r="D79" s="23">
        <v>63.740699999999997</v>
      </c>
      <c r="E79" s="31">
        <v>-2.815335919203743</v>
      </c>
      <c r="F79" s="31">
        <v>1.6670724455331121</v>
      </c>
      <c r="G79" s="65"/>
      <c r="H79" s="65"/>
      <c r="J79" s="5" t="s">
        <v>19</v>
      </c>
      <c r="K79" s="22">
        <v>34.999499999999998</v>
      </c>
      <c r="L79" s="23">
        <v>37.806100000000001</v>
      </c>
      <c r="M79" s="23">
        <v>35.660699999999999</v>
      </c>
      <c r="N79" s="31">
        <v>-5.6747456098354521</v>
      </c>
      <c r="O79" s="31">
        <v>1.7414789583562247</v>
      </c>
      <c r="P79" s="65"/>
      <c r="Q79" s="65"/>
      <c r="R79" s="28"/>
      <c r="S79" s="5" t="s">
        <v>6</v>
      </c>
      <c r="T79" s="22">
        <v>25.616599999999998</v>
      </c>
      <c r="U79" s="23">
        <v>27.665700000000001</v>
      </c>
      <c r="V79" s="23">
        <v>29.872900000000001</v>
      </c>
      <c r="W79" s="31">
        <v>7.9781100785449199</v>
      </c>
      <c r="X79" s="31">
        <v>1.6822352647089649</v>
      </c>
      <c r="Y79" s="65"/>
      <c r="Z79" s="65"/>
      <c r="AA79" s="28"/>
      <c r="AB79" s="5" t="s">
        <v>16</v>
      </c>
      <c r="AC79" s="23">
        <v>5.2487999999999992</v>
      </c>
      <c r="AD79" s="23">
        <v>3.4982000000000006</v>
      </c>
      <c r="AE79" s="23">
        <v>1.9258999999999986</v>
      </c>
    </row>
    <row r="80" spans="1:31" ht="12" x14ac:dyDescent="0.25">
      <c r="A80" s="5" t="s">
        <v>20</v>
      </c>
      <c r="B80" s="22">
        <v>54.7136</v>
      </c>
      <c r="C80" s="23">
        <v>57.807399999999994</v>
      </c>
      <c r="D80" s="23">
        <v>58.967800000000004</v>
      </c>
      <c r="E80" s="31">
        <v>2.0073554596816479</v>
      </c>
      <c r="F80" s="31">
        <v>1.5422421553843535</v>
      </c>
      <c r="G80" s="65"/>
      <c r="H80" s="65"/>
      <c r="J80" s="5" t="s">
        <v>22</v>
      </c>
      <c r="K80" s="22">
        <v>31.642900000000001</v>
      </c>
      <c r="L80" s="23">
        <v>35.834699999999998</v>
      </c>
      <c r="M80" s="23">
        <v>34.523099999999999</v>
      </c>
      <c r="N80" s="31">
        <v>-3.6601394737503012</v>
      </c>
      <c r="O80" s="31">
        <v>1.685924623667729</v>
      </c>
      <c r="P80" s="65"/>
      <c r="Q80" s="65"/>
      <c r="R80" s="28"/>
      <c r="S80" s="5" t="s">
        <v>20</v>
      </c>
      <c r="T80" s="22">
        <v>26.480799999999999</v>
      </c>
      <c r="U80" s="23">
        <v>27.898099999999999</v>
      </c>
      <c r="V80" s="23">
        <v>28.143699999999999</v>
      </c>
      <c r="W80" s="31">
        <v>0.88034669027639012</v>
      </c>
      <c r="X80" s="31">
        <v>1.5848586718862141</v>
      </c>
      <c r="Y80" s="65"/>
      <c r="Z80" s="65"/>
      <c r="AA80" s="28"/>
      <c r="AB80" s="5" t="s">
        <v>4</v>
      </c>
      <c r="AC80" s="23">
        <v>-0.22180000000000177</v>
      </c>
      <c r="AD80" s="23">
        <v>-0.75979999999999848</v>
      </c>
      <c r="AE80" s="23">
        <v>-1.1565000000000012</v>
      </c>
    </row>
    <row r="81" spans="1:31" ht="12" x14ac:dyDescent="0.25">
      <c r="A81" s="5" t="s">
        <v>9</v>
      </c>
      <c r="B81" s="22">
        <v>70.695599999999999</v>
      </c>
      <c r="C81" s="23">
        <v>63.162699999999994</v>
      </c>
      <c r="D81" s="23">
        <v>54.839199999999998</v>
      </c>
      <c r="E81" s="31">
        <v>-13.177872383542811</v>
      </c>
      <c r="F81" s="31">
        <v>1.4342628690158632</v>
      </c>
      <c r="G81" s="65"/>
      <c r="H81" s="65"/>
      <c r="J81" s="5" t="s">
        <v>20</v>
      </c>
      <c r="K81" s="22">
        <v>28.232800000000001</v>
      </c>
      <c r="L81" s="23">
        <v>29.909299999999998</v>
      </c>
      <c r="M81" s="23">
        <v>30.824099999999998</v>
      </c>
      <c r="N81" s="31">
        <v>3.0585804415349083</v>
      </c>
      <c r="O81" s="31">
        <v>1.5052851335018129</v>
      </c>
      <c r="P81" s="65"/>
      <c r="Q81" s="65"/>
      <c r="R81" s="28"/>
      <c r="S81" s="5" t="s">
        <v>19</v>
      </c>
      <c r="T81" s="22">
        <v>26.318099999999998</v>
      </c>
      <c r="U81" s="23">
        <v>27.781099999999999</v>
      </c>
      <c r="V81" s="23">
        <v>28.08</v>
      </c>
      <c r="W81" s="31">
        <v>1.0759113210060178</v>
      </c>
      <c r="X81" s="31">
        <v>1.5812715281418182</v>
      </c>
      <c r="Y81" s="65"/>
      <c r="Z81" s="65"/>
      <c r="AA81" s="28"/>
      <c r="AB81" s="5" t="s">
        <v>18</v>
      </c>
      <c r="AC81" s="23">
        <v>-1.0449000000000055</v>
      </c>
      <c r="AD81" s="23">
        <v>-0.54359999999999786</v>
      </c>
      <c r="AE81" s="23">
        <v>-2.8498999999999981</v>
      </c>
    </row>
    <row r="82" spans="1:31" ht="12" x14ac:dyDescent="0.25">
      <c r="A82" s="5" t="s">
        <v>16</v>
      </c>
      <c r="B82" s="22">
        <v>57.138399999999997</v>
      </c>
      <c r="C82" s="23">
        <v>54.789399999999993</v>
      </c>
      <c r="D82" s="23">
        <v>50.978699999999996</v>
      </c>
      <c r="E82" s="31">
        <v>-6.9551774613337614</v>
      </c>
      <c r="F82" s="31">
        <v>1.3332954623827296</v>
      </c>
      <c r="G82" s="65"/>
      <c r="H82" s="65"/>
      <c r="J82" s="5" t="s">
        <v>15</v>
      </c>
      <c r="K82" s="22">
        <v>24.802799999999998</v>
      </c>
      <c r="L82" s="23">
        <v>28.896000000000001</v>
      </c>
      <c r="M82" s="23">
        <v>29.462900000000001</v>
      </c>
      <c r="N82" s="31">
        <v>1.9618632336655617</v>
      </c>
      <c r="O82" s="31">
        <v>1.4388113638305926</v>
      </c>
      <c r="P82" s="65"/>
      <c r="Q82" s="65"/>
      <c r="R82" s="28"/>
      <c r="S82" s="5" t="s">
        <v>16</v>
      </c>
      <c r="T82" s="22">
        <v>25.944800000000001</v>
      </c>
      <c r="U82" s="23">
        <v>25.645599999999998</v>
      </c>
      <c r="V82" s="23">
        <v>24.526400000000002</v>
      </c>
      <c r="W82" s="31">
        <v>-4.3641014443023156</v>
      </c>
      <c r="X82" s="31">
        <v>1.381157336460737</v>
      </c>
      <c r="Y82" s="65"/>
      <c r="Z82" s="65"/>
      <c r="AA82" s="28"/>
      <c r="AB82" s="5" t="s">
        <v>9</v>
      </c>
      <c r="AC82" s="23">
        <v>-24.695400000000003</v>
      </c>
      <c r="AD82" s="23">
        <v>-18.758099999999999</v>
      </c>
      <c r="AE82" s="23">
        <v>-8.803799999999999</v>
      </c>
    </row>
    <row r="83" spans="1:31" ht="12" x14ac:dyDescent="0.25">
      <c r="A83" s="5" t="s">
        <v>15</v>
      </c>
      <c r="B83" s="22">
        <v>40.502000000000002</v>
      </c>
      <c r="C83" s="23">
        <v>45.472300000000004</v>
      </c>
      <c r="D83" s="23">
        <v>45.891400000000004</v>
      </c>
      <c r="E83" s="31">
        <v>0.921659999604163</v>
      </c>
      <c r="F83" s="31">
        <v>1.2002423636222737</v>
      </c>
      <c r="G83" s="65"/>
      <c r="H83" s="65"/>
      <c r="J83" s="5" t="s">
        <v>16</v>
      </c>
      <c r="K83" s="22">
        <v>31.1936</v>
      </c>
      <c r="L83" s="23">
        <v>29.143799999999999</v>
      </c>
      <c r="M83" s="23">
        <v>26.452300000000001</v>
      </c>
      <c r="N83" s="31">
        <v>-9.2352404284959384</v>
      </c>
      <c r="O83" s="31">
        <v>1.2917896690229402</v>
      </c>
      <c r="P83" s="65"/>
      <c r="Q83" s="65"/>
      <c r="R83" s="28"/>
      <c r="S83" s="5" t="s">
        <v>21</v>
      </c>
      <c r="T83" s="22">
        <v>26.1187</v>
      </c>
      <c r="U83" s="23">
        <v>18.711599999999997</v>
      </c>
      <c r="V83" s="23">
        <v>16.7182</v>
      </c>
      <c r="W83" s="31">
        <v>-10.653284593514167</v>
      </c>
      <c r="X83" s="31">
        <v>0.94145347798363788</v>
      </c>
      <c r="Y83" s="65"/>
      <c r="Z83" s="65"/>
      <c r="AA83" s="28"/>
      <c r="AB83" s="5" t="s">
        <v>2</v>
      </c>
      <c r="AC83" s="23">
        <v>-12.05680000000001</v>
      </c>
      <c r="AD83" s="23">
        <v>-13.502499999999998</v>
      </c>
      <c r="AE83" s="23">
        <v>-15.9696</v>
      </c>
    </row>
    <row r="84" spans="1:31" ht="12" x14ac:dyDescent="0.25">
      <c r="A84" s="5" t="s">
        <v>21</v>
      </c>
      <c r="B84" s="22">
        <v>53.284699999999994</v>
      </c>
      <c r="C84" s="23">
        <v>49.216200000000001</v>
      </c>
      <c r="D84" s="23">
        <v>42.071100000000008</v>
      </c>
      <c r="E84" s="31">
        <v>-14.517780730734986</v>
      </c>
      <c r="F84" s="31">
        <v>1.1003263466398727</v>
      </c>
      <c r="G84" s="65"/>
      <c r="H84" s="65"/>
      <c r="J84" s="5" t="s">
        <v>21</v>
      </c>
      <c r="K84" s="22">
        <v>27.166</v>
      </c>
      <c r="L84" s="23">
        <v>30.5046</v>
      </c>
      <c r="M84" s="23">
        <v>25.352900000000002</v>
      </c>
      <c r="N84" s="31">
        <v>-16.888272588396504</v>
      </c>
      <c r="O84" s="31">
        <v>1.2381008192017973</v>
      </c>
      <c r="P84" s="65"/>
      <c r="Q84" s="65"/>
      <c r="R84" s="28"/>
      <c r="S84" s="5" t="s">
        <v>15</v>
      </c>
      <c r="T84" s="22">
        <v>15.699200000000001</v>
      </c>
      <c r="U84" s="23">
        <v>16.5763</v>
      </c>
      <c r="V84" s="23">
        <v>16.4285</v>
      </c>
      <c r="W84" s="31">
        <v>-0.89163444194422237</v>
      </c>
      <c r="X84" s="31">
        <v>0.9251395762135991</v>
      </c>
      <c r="Y84" s="65"/>
      <c r="Z84" s="65"/>
      <c r="AA84" s="28"/>
      <c r="AB84" s="5" t="s">
        <v>12</v>
      </c>
      <c r="AC84" s="23">
        <v>-54.086200000000005</v>
      </c>
      <c r="AD84" s="23">
        <v>-43.153700000000008</v>
      </c>
      <c r="AE84" s="23">
        <v>-33.427700000000002</v>
      </c>
    </row>
    <row r="85" spans="1:31" ht="12" x14ac:dyDescent="0.25">
      <c r="A85" s="5" t="s">
        <v>22</v>
      </c>
      <c r="B85" s="22">
        <v>37.859000000000002</v>
      </c>
      <c r="C85" s="23">
        <v>43.396000000000001</v>
      </c>
      <c r="D85" s="23">
        <v>41.981699999999996</v>
      </c>
      <c r="E85" s="31">
        <v>-3.2590561342059288</v>
      </c>
      <c r="F85" s="31">
        <v>1.0979881815957064</v>
      </c>
      <c r="G85" s="65"/>
      <c r="H85" s="65"/>
      <c r="J85" s="5" t="s">
        <v>9</v>
      </c>
      <c r="K85" s="22">
        <v>23.0001</v>
      </c>
      <c r="L85" s="23">
        <v>22.202300000000001</v>
      </c>
      <c r="M85" s="23">
        <v>23.017700000000001</v>
      </c>
      <c r="N85" s="31">
        <v>3.6725924791575659</v>
      </c>
      <c r="O85" s="31">
        <v>1.1240620688813197</v>
      </c>
      <c r="P85" s="65"/>
      <c r="Q85" s="65"/>
      <c r="R85" s="28"/>
      <c r="S85" s="5" t="s">
        <v>22</v>
      </c>
      <c r="T85" s="22">
        <v>6.2161</v>
      </c>
      <c r="U85" s="23">
        <v>7.5613000000000001</v>
      </c>
      <c r="V85" s="23">
        <v>7.4586000000000006</v>
      </c>
      <c r="W85" s="31">
        <v>-1.3582320500442946</v>
      </c>
      <c r="X85" s="31">
        <v>0.42001680269937913</v>
      </c>
      <c r="Y85" s="65"/>
      <c r="Z85" s="65"/>
      <c r="AA85" s="28"/>
      <c r="AB85" s="5" t="s">
        <v>17</v>
      </c>
      <c r="AC85" s="23">
        <v>-86.506499999999988</v>
      </c>
      <c r="AD85" s="23">
        <v>-118.05799999999999</v>
      </c>
      <c r="AE85" s="23">
        <v>-105.42269999999999</v>
      </c>
    </row>
    <row r="86" spans="1:31" ht="12" x14ac:dyDescent="0.25">
      <c r="A86" s="6" t="s">
        <v>25</v>
      </c>
      <c r="B86" s="24">
        <v>901.28720000000112</v>
      </c>
      <c r="C86" s="25">
        <v>904.41310000000021</v>
      </c>
      <c r="D86" s="25">
        <v>885.0910000000008</v>
      </c>
      <c r="E86" s="32">
        <v>-2.1364241628078373</v>
      </c>
      <c r="F86" s="32">
        <v>23.148644710355377</v>
      </c>
      <c r="G86" s="65"/>
      <c r="H86" s="65"/>
      <c r="J86" s="6" t="s">
        <v>25</v>
      </c>
      <c r="K86" s="24">
        <v>475.02159999999981</v>
      </c>
      <c r="L86" s="25">
        <v>485.98709999999983</v>
      </c>
      <c r="M86" s="25">
        <v>481.09969999999998</v>
      </c>
      <c r="N86" s="32">
        <v>-1.0056645536475894</v>
      </c>
      <c r="O86" s="32">
        <v>23.494351048114371</v>
      </c>
      <c r="P86" s="65"/>
      <c r="Q86" s="65"/>
      <c r="R86" s="28"/>
      <c r="S86" s="6" t="s">
        <v>25</v>
      </c>
      <c r="T86" s="24">
        <v>426.26559999999972</v>
      </c>
      <c r="U86" s="25">
        <v>418.42599999999993</v>
      </c>
      <c r="V86" s="25">
        <v>403.99130000000014</v>
      </c>
      <c r="W86" s="32">
        <v>-3.4497617260877189</v>
      </c>
      <c r="X86" s="32">
        <v>22.749997874180913</v>
      </c>
      <c r="Y86" s="65"/>
      <c r="Z86" s="65"/>
      <c r="AA86" s="28"/>
      <c r="AB86" s="6" t="s">
        <v>25</v>
      </c>
      <c r="AC86" s="25">
        <v>48.756000000000085</v>
      </c>
      <c r="AD86" s="25">
        <v>67.561099999999897</v>
      </c>
      <c r="AE86" s="25">
        <v>77.108399999999847</v>
      </c>
    </row>
    <row r="87" spans="1:31" x14ac:dyDescent="0.2">
      <c r="A87" s="14" t="s">
        <v>35</v>
      </c>
      <c r="J87" s="14" t="s">
        <v>35</v>
      </c>
      <c r="S87" s="14" t="s">
        <v>35</v>
      </c>
      <c r="AB87" s="14" t="s">
        <v>35</v>
      </c>
    </row>
  </sheetData>
  <sortState ref="AB33:AE41">
    <sortCondition descending="1" ref="AE33:AE41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3:Q58"/>
  <sheetViews>
    <sheetView showGridLines="0" topLeftCell="A16" zoomScaleNormal="100" workbookViewId="0">
      <selection activeCell="K30" sqref="K30"/>
    </sheetView>
  </sheetViews>
  <sheetFormatPr defaultRowHeight="11.4" x14ac:dyDescent="0.2"/>
  <cols>
    <col min="1" max="1" width="12" style="19" customWidth="1"/>
    <col min="2" max="8" width="12.109375" style="19" customWidth="1"/>
    <col min="9" max="10" width="8.88671875" style="19"/>
    <col min="11" max="17" width="13.33203125" style="19" customWidth="1"/>
    <col min="18" max="16384" width="8.88671875" style="19"/>
  </cols>
  <sheetData>
    <row r="3" spans="1:8" ht="39" customHeight="1" x14ac:dyDescent="0.25">
      <c r="A3" s="1"/>
      <c r="B3" s="9" t="s">
        <v>29</v>
      </c>
      <c r="C3" s="8" t="s">
        <v>0</v>
      </c>
      <c r="D3" s="8" t="s">
        <v>30</v>
      </c>
      <c r="E3" s="8" t="s">
        <v>31</v>
      </c>
      <c r="F3" s="8" t="s">
        <v>33</v>
      </c>
      <c r="G3" s="8" t="s">
        <v>1</v>
      </c>
      <c r="H3" s="8" t="s">
        <v>32</v>
      </c>
    </row>
    <row r="4" spans="1:8" ht="12" x14ac:dyDescent="0.25">
      <c r="A4" s="4" t="s">
        <v>50</v>
      </c>
      <c r="B4" s="33">
        <v>143.74039999999999</v>
      </c>
      <c r="C4" s="34">
        <v>45.111800000000002</v>
      </c>
      <c r="D4" s="34">
        <v>111.6157</v>
      </c>
      <c r="E4" s="34">
        <v>326.71129999999999</v>
      </c>
      <c r="F4" s="34">
        <v>799.95759999999996</v>
      </c>
      <c r="G4" s="34">
        <v>465.21379999999999</v>
      </c>
      <c r="H4" s="34">
        <v>46.936699999999995</v>
      </c>
    </row>
    <row r="5" spans="1:8" ht="12" x14ac:dyDescent="0.25">
      <c r="A5" s="5" t="s">
        <v>49</v>
      </c>
      <c r="B5" s="35">
        <v>115.89830000000001</v>
      </c>
      <c r="C5" s="36">
        <v>77.438600000000008</v>
      </c>
      <c r="D5" s="36">
        <v>388.27879999999999</v>
      </c>
      <c r="E5" s="36">
        <v>194.91079999999999</v>
      </c>
      <c r="F5" s="36">
        <v>520.01670000000001</v>
      </c>
      <c r="G5" s="36">
        <v>434.18299999999999</v>
      </c>
      <c r="H5" s="36">
        <v>26.540299999999998</v>
      </c>
    </row>
    <row r="6" spans="1:8" ht="12" x14ac:dyDescent="0.25">
      <c r="A6" s="6" t="s">
        <v>48</v>
      </c>
      <c r="B6" s="37">
        <v>27.842099999999988</v>
      </c>
      <c r="C6" s="38">
        <v>-32.326800000000006</v>
      </c>
      <c r="D6" s="38">
        <v>-276.66309999999999</v>
      </c>
      <c r="E6" s="38">
        <v>131.8005</v>
      </c>
      <c r="F6" s="38">
        <v>279.94089999999994</v>
      </c>
      <c r="G6" s="38">
        <v>31.030799999999999</v>
      </c>
      <c r="H6" s="38">
        <v>20.396399999999996</v>
      </c>
    </row>
    <row r="7" spans="1:8" ht="12" x14ac:dyDescent="0.25">
      <c r="A7" s="4" t="s">
        <v>47</v>
      </c>
      <c r="B7" s="33">
        <v>155.77449999999999</v>
      </c>
      <c r="C7" s="34">
        <v>46.677800000000005</v>
      </c>
      <c r="D7" s="34">
        <v>77.307500000000005</v>
      </c>
      <c r="E7" s="34">
        <v>361.1293</v>
      </c>
      <c r="F7" s="34">
        <v>869.75350000000003</v>
      </c>
      <c r="G7" s="34">
        <v>486.59969999999998</v>
      </c>
      <c r="H7" s="34">
        <v>50.482800000000005</v>
      </c>
    </row>
    <row r="8" spans="1:8" ht="12" x14ac:dyDescent="0.25">
      <c r="A8" s="5" t="s">
        <v>46</v>
      </c>
      <c r="B8" s="35">
        <v>128.37289999999999</v>
      </c>
      <c r="C8" s="36">
        <v>73.251100000000008</v>
      </c>
      <c r="D8" s="36">
        <v>235.10320000000002</v>
      </c>
      <c r="E8" s="36">
        <v>216.0257</v>
      </c>
      <c r="F8" s="36">
        <v>619.41930000000002</v>
      </c>
      <c r="G8" s="36">
        <v>475.87420000000003</v>
      </c>
      <c r="H8" s="36">
        <v>27.739900000000002</v>
      </c>
    </row>
    <row r="9" spans="1:8" ht="12" x14ac:dyDescent="0.25">
      <c r="A9" s="6" t="s">
        <v>45</v>
      </c>
      <c r="B9" s="37">
        <v>27.401600000000002</v>
      </c>
      <c r="C9" s="38">
        <v>-26.573300000000003</v>
      </c>
      <c r="D9" s="38">
        <v>-157.79570000000001</v>
      </c>
      <c r="E9" s="38">
        <v>145.1036</v>
      </c>
      <c r="F9" s="38">
        <v>250.33420000000001</v>
      </c>
      <c r="G9" s="38">
        <v>10.725499999999954</v>
      </c>
      <c r="H9" s="38">
        <v>22.742900000000002</v>
      </c>
    </row>
    <row r="10" spans="1:8" ht="0.15" customHeight="1" x14ac:dyDescent="0.25">
      <c r="A10" s="4" t="s">
        <v>44</v>
      </c>
      <c r="B10" s="39">
        <v>0.28299999999999997</v>
      </c>
      <c r="C10" s="40">
        <v>1.2829999999999999</v>
      </c>
      <c r="D10" s="40">
        <v>2.2829999999999999</v>
      </c>
      <c r="E10" s="40">
        <v>3.2829999999999999</v>
      </c>
      <c r="F10" s="40">
        <v>4.2829999999999995</v>
      </c>
      <c r="G10" s="40">
        <v>5.2829999999999995</v>
      </c>
      <c r="H10" s="40">
        <v>6.2829999999999995</v>
      </c>
    </row>
    <row r="11" spans="1:8" ht="0.15" customHeight="1" x14ac:dyDescent="0.25">
      <c r="A11" s="5" t="s">
        <v>43</v>
      </c>
      <c r="B11" s="41">
        <v>0.5</v>
      </c>
      <c r="C11" s="42">
        <v>1.5</v>
      </c>
      <c r="D11" s="42">
        <v>2.5</v>
      </c>
      <c r="E11" s="42">
        <v>3.5</v>
      </c>
      <c r="F11" s="42">
        <v>4.5</v>
      </c>
      <c r="G11" s="42">
        <v>5.5</v>
      </c>
      <c r="H11" s="42">
        <v>6.5</v>
      </c>
    </row>
    <row r="12" spans="1:8" ht="0.15" customHeight="1" x14ac:dyDescent="0.25">
      <c r="A12" s="6" t="s">
        <v>42</v>
      </c>
      <c r="B12" s="43">
        <v>0.71700000000000008</v>
      </c>
      <c r="C12" s="44">
        <v>1.7170000000000001</v>
      </c>
      <c r="D12" s="44">
        <v>2.7170000000000001</v>
      </c>
      <c r="E12" s="44">
        <v>3.7170000000000001</v>
      </c>
      <c r="F12" s="44">
        <v>4.7170000000000005</v>
      </c>
      <c r="G12" s="44">
        <v>5.7170000000000005</v>
      </c>
      <c r="H12" s="44">
        <v>6.7170000000000005</v>
      </c>
    </row>
    <row r="13" spans="1:8" ht="12" x14ac:dyDescent="0.25">
      <c r="A13" s="16"/>
      <c r="B13" s="45"/>
      <c r="C13" s="45"/>
      <c r="D13" s="45"/>
      <c r="E13" s="45"/>
      <c r="F13" s="45"/>
      <c r="G13" s="45"/>
      <c r="H13" s="45"/>
    </row>
    <row r="14" spans="1:8" ht="12" x14ac:dyDescent="0.25">
      <c r="A14" s="18" t="s">
        <v>63</v>
      </c>
    </row>
    <row r="15" spans="1:8" x14ac:dyDescent="0.2">
      <c r="A15" s="17" t="s">
        <v>36</v>
      </c>
    </row>
    <row r="16" spans="1:8" ht="12" x14ac:dyDescent="0.25">
      <c r="A16" s="15"/>
    </row>
    <row r="40" spans="2:17" x14ac:dyDescent="0.2">
      <c r="K40" s="17"/>
    </row>
    <row r="43" spans="2:17" x14ac:dyDescent="0.2">
      <c r="B43" s="17"/>
    </row>
    <row r="45" spans="2:17" x14ac:dyDescent="0.2">
      <c r="K45" s="46"/>
      <c r="L45" s="46"/>
      <c r="M45" s="46"/>
      <c r="N45" s="46"/>
      <c r="O45" s="46"/>
      <c r="P45" s="46"/>
      <c r="Q45" s="46"/>
    </row>
    <row r="46" spans="2:17" x14ac:dyDescent="0.2">
      <c r="J46" s="17"/>
      <c r="K46" s="47"/>
      <c r="L46" s="47"/>
      <c r="M46" s="47"/>
      <c r="N46" s="47"/>
      <c r="O46" s="47"/>
      <c r="P46" s="47"/>
      <c r="Q46" s="47"/>
    </row>
    <row r="47" spans="2:17" x14ac:dyDescent="0.2">
      <c r="J47" s="17"/>
      <c r="K47" s="47"/>
      <c r="L47" s="47"/>
      <c r="M47" s="47"/>
      <c r="N47" s="47"/>
      <c r="O47" s="47"/>
      <c r="P47" s="47"/>
      <c r="Q47" s="47"/>
    </row>
    <row r="48" spans="2:17" x14ac:dyDescent="0.2">
      <c r="B48" s="46"/>
      <c r="C48" s="46"/>
      <c r="D48" s="46"/>
      <c r="E48" s="46"/>
      <c r="F48" s="46"/>
      <c r="G48" s="46"/>
      <c r="H48" s="46"/>
    </row>
    <row r="49" spans="1:9" x14ac:dyDescent="0.2">
      <c r="A49" s="17"/>
      <c r="B49" s="47"/>
      <c r="C49" s="47"/>
      <c r="D49" s="47"/>
      <c r="E49" s="47"/>
      <c r="F49" s="47"/>
      <c r="G49" s="47"/>
      <c r="H49" s="47"/>
    </row>
    <row r="50" spans="1:9" x14ac:dyDescent="0.2">
      <c r="A50" s="17"/>
      <c r="B50" s="47"/>
      <c r="C50" s="47"/>
      <c r="D50" s="47"/>
      <c r="E50" s="47"/>
      <c r="F50" s="47"/>
      <c r="G50" s="47"/>
      <c r="H50" s="47"/>
    </row>
    <row r="53" spans="1:9" x14ac:dyDescent="0.2">
      <c r="I53" s="48"/>
    </row>
    <row r="54" spans="1:9" x14ac:dyDescent="0.2">
      <c r="I54" s="48"/>
    </row>
    <row r="56" spans="1:9" x14ac:dyDescent="0.2">
      <c r="B56" s="49"/>
      <c r="C56" s="49"/>
      <c r="D56" s="49"/>
      <c r="E56" s="49"/>
      <c r="F56" s="49"/>
      <c r="G56" s="49"/>
      <c r="H56" s="49"/>
    </row>
    <row r="57" spans="1:9" x14ac:dyDescent="0.2">
      <c r="A57" s="17"/>
      <c r="B57" s="50"/>
      <c r="C57" s="50"/>
      <c r="D57" s="50"/>
      <c r="E57" s="50"/>
      <c r="F57" s="50"/>
      <c r="G57" s="50"/>
      <c r="H57" s="50"/>
    </row>
    <row r="58" spans="1:9" x14ac:dyDescent="0.2">
      <c r="A58" s="17"/>
      <c r="B58" s="50"/>
      <c r="C58" s="50"/>
      <c r="D58" s="50"/>
      <c r="E58" s="50"/>
      <c r="F58" s="50"/>
      <c r="G58" s="50"/>
      <c r="H58" s="5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Figure1</vt:lpstr>
      <vt:lpstr>Figure 2-5</vt:lpstr>
      <vt:lpstr>Figure6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ROODHUIJZEN Anton (ESTAT)</dc:creator>
  <cp:lastModifiedBy>VERDON Dominique (ESTAT)</cp:lastModifiedBy>
  <dcterms:created xsi:type="dcterms:W3CDTF">2017-03-24T15:59:10Z</dcterms:created>
  <dcterms:modified xsi:type="dcterms:W3CDTF">2017-05-11T12:51:32Z</dcterms:modified>
</cp:coreProperties>
</file>