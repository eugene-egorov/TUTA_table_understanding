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charts/chart6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charts/chart8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9.xml" ContentType="application/vnd.openxmlformats-officedocument.drawingml.chart+xml"/>
  <Override PartName="/xl/drawings/drawing14.xml" ContentType="application/vnd.openxmlformats-officedocument.drawingml.chartshapes+xml"/>
  <Override PartName="/xl/charts/chart10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1.xml" ContentType="application/vnd.openxmlformats-officedocument.drawingml.chart+xml"/>
  <Override PartName="/xl/drawings/drawing17.xml" ContentType="application/vnd.openxmlformats-officedocument.drawingml.chartshapes+xml"/>
  <Override PartName="/xl/charts/chart12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3.xml" ContentType="application/vnd.openxmlformats-officedocument.drawingml.chart+xml"/>
  <Override PartName="/xl/drawings/drawing20.xml" ContentType="application/vnd.openxmlformats-officedocument.drawingml.chartshapes+xml"/>
  <Override PartName="/xl/charts/chart14.xml" ContentType="application/vnd.openxmlformats-officedocument.drawingml.chart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5.xml" ContentType="application/vnd.openxmlformats-officedocument.drawingml.chart+xml"/>
  <Override PartName="/xl/drawings/drawing23.xml" ContentType="application/vnd.openxmlformats-officedocument.drawingml.chartshapes+xml"/>
  <Override PartName="/xl/charts/chart16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7.xml" ContentType="application/vnd.openxmlformats-officedocument.drawingml.chart+xml"/>
  <Override PartName="/xl/drawings/drawing26.xml" ContentType="application/vnd.openxmlformats-officedocument.drawingml.chartshapes+xml"/>
  <Override PartName="/xl/charts/chart18.xml" ContentType="application/vnd.openxmlformats-officedocument.drawingml.chart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19.xml" ContentType="application/vnd.openxmlformats-officedocument.drawingml.chart+xml"/>
  <Override PartName="/xl/drawings/drawing29.xml" ContentType="application/vnd.openxmlformats-officedocument.drawingml.chartshapes+xml"/>
  <Override PartName="/xl/charts/chart20.xml" ContentType="application/vnd.openxmlformats-officedocument.drawingml.chart+xml"/>
  <Override PartName="/xl/drawings/drawing3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0" yWindow="0" windowWidth="21000" windowHeight="12060" tabRatio="898" activeTab="8"/>
  </bookViews>
  <sheets>
    <sheet name="Wheat" sheetId="8" r:id="rId1"/>
    <sheet name="Flax" sheetId="11" r:id="rId2"/>
    <sheet name="Barley" sheetId="6" r:id="rId3"/>
    <sheet name="Canola" sheetId="1" r:id="rId4"/>
    <sheet name="Sunflower(Oil)" sheetId="10" r:id="rId5"/>
    <sheet name="Soybeans" sheetId="9" r:id="rId6"/>
    <sheet name="Pinto Bean" sheetId="13" r:id="rId7"/>
    <sheet name="Corn" sheetId="7" r:id="rId8"/>
    <sheet name="Inc Summary" sheetId="5" r:id="rId9"/>
    <sheet name="Exp Summary" sheetId="12" r:id="rId10"/>
  </sheets>
  <definedNames>
    <definedName name="_xlnm.Print_Area" localSheetId="2">Barley!$A$1:$Z$45</definedName>
    <definedName name="_xlnm.Print_Area" localSheetId="3">Canola!$A$1:$Z$46</definedName>
    <definedName name="_xlnm.Print_Area" localSheetId="7">Corn!$A$1:$Z$47</definedName>
    <definedName name="_xlnm.Print_Area" localSheetId="9">'Exp Summary'!$A$1:$AA$40</definedName>
    <definedName name="_xlnm.Print_Area" localSheetId="1">Flax!$A$1:$Z$45</definedName>
    <definedName name="_xlnm.Print_Area" localSheetId="8">'Inc Summary'!$A$1:$AC$37</definedName>
    <definedName name="_xlnm.Print_Area" localSheetId="6">'Pinto Bean'!$A$1:$Z$47</definedName>
    <definedName name="_xlnm.Print_Area" localSheetId="5">Soybeans!$A$1:$Z$45</definedName>
    <definedName name="_xlnm.Print_Area" localSheetId="4">'Sunflower(Oil)'!$A$1:$Z$45</definedName>
    <definedName name="_xlnm.Print_Area" localSheetId="0">Wheat!$A$1:$Z$46</definedName>
  </definedNames>
  <calcPr calcId="125725"/>
</workbook>
</file>

<file path=xl/calcChain.xml><?xml version="1.0" encoding="utf-8"?>
<calcChain xmlns="http://schemas.openxmlformats.org/spreadsheetml/2006/main">
  <c r="AB13" i="12" l="1"/>
  <c r="Z13" i="12"/>
  <c r="AB25" i="12"/>
  <c r="Z25" i="12"/>
  <c r="AD11" i="5"/>
  <c r="AB11" i="5"/>
  <c r="AD23" i="5"/>
  <c r="AB23" i="5"/>
  <c r="J15" i="10"/>
  <c r="I15" i="10"/>
  <c r="H15" i="10"/>
  <c r="J15" i="9"/>
  <c r="I15" i="9"/>
  <c r="H15" i="9"/>
  <c r="J15" i="11"/>
  <c r="I15" i="11"/>
  <c r="H15" i="11"/>
  <c r="J15" i="7"/>
  <c r="I15" i="7"/>
  <c r="H15" i="7"/>
  <c r="J15" i="1"/>
  <c r="I15" i="1"/>
  <c r="H15" i="1"/>
  <c r="J15" i="13"/>
  <c r="I15" i="13"/>
  <c r="H15" i="13"/>
  <c r="J15" i="6"/>
  <c r="I15" i="6"/>
  <c r="H15" i="6"/>
  <c r="J15" i="8"/>
  <c r="I15" i="8"/>
  <c r="H15" i="8"/>
  <c r="AB24" i="12"/>
  <c r="Z24" i="12"/>
  <c r="AD3" i="5"/>
  <c r="AD22" i="5"/>
  <c r="AD21" i="5"/>
  <c r="AD20" i="5"/>
  <c r="AD19" i="5"/>
  <c r="AD18" i="5"/>
  <c r="AD17" i="5"/>
  <c r="AD16" i="5"/>
  <c r="AD15" i="5"/>
  <c r="AD10" i="5"/>
  <c r="AD9" i="5"/>
  <c r="AD8" i="5"/>
  <c r="AD7" i="5"/>
  <c r="AD6" i="5"/>
  <c r="AD5" i="5"/>
  <c r="AD4" i="5"/>
  <c r="AB12" i="12"/>
  <c r="AB11" i="12"/>
  <c r="AB10" i="12"/>
  <c r="AB9" i="12"/>
  <c r="AB8" i="12"/>
  <c r="AB7" i="12"/>
  <c r="AB6" i="12"/>
  <c r="AB5" i="12"/>
  <c r="AB23" i="12"/>
  <c r="AB22" i="12"/>
  <c r="AB21" i="12"/>
  <c r="AB20" i="12"/>
  <c r="AB19" i="12"/>
  <c r="AB18" i="12"/>
  <c r="AB17" i="12"/>
  <c r="Z6" i="12"/>
  <c r="Z23" i="12"/>
  <c r="Z22" i="12"/>
  <c r="Z21" i="12"/>
  <c r="Z20" i="12"/>
  <c r="Z19" i="12"/>
  <c r="Z18" i="12"/>
  <c r="Z17" i="12"/>
  <c r="Z12" i="12"/>
  <c r="Z11" i="12"/>
  <c r="Z10" i="12"/>
  <c r="Z9" i="12"/>
  <c r="Z8" i="12"/>
  <c r="Z7" i="12"/>
  <c r="Z5" i="12"/>
  <c r="G15" i="8"/>
  <c r="G15" i="11"/>
  <c r="G15" i="6"/>
  <c r="G15" i="1"/>
  <c r="G15" i="10"/>
  <c r="G15" i="9"/>
  <c r="G15" i="13"/>
  <c r="G15" i="7"/>
  <c r="F15" i="13"/>
  <c r="F15" i="10"/>
  <c r="F15" i="1"/>
  <c r="F15" i="9"/>
  <c r="K15" i="11"/>
  <c r="K15" i="8"/>
  <c r="F15" i="6"/>
  <c r="F15" i="8"/>
  <c r="F15" i="11"/>
  <c r="F15" i="7"/>
  <c r="AB22" i="5"/>
  <c r="AB21" i="5"/>
  <c r="AB20" i="5"/>
  <c r="AB19" i="5"/>
  <c r="AB18" i="5"/>
  <c r="AB17" i="5"/>
  <c r="AB16" i="5"/>
  <c r="AB15" i="5"/>
  <c r="AB10" i="5"/>
  <c r="AB9" i="5"/>
  <c r="AB8" i="5"/>
  <c r="AB7" i="5"/>
  <c r="AB6" i="5"/>
  <c r="AB5" i="5"/>
  <c r="AB4" i="5"/>
  <c r="AB3" i="5"/>
  <c r="AN27" i="12"/>
  <c r="AN26" i="12"/>
  <c r="AN25" i="12"/>
  <c r="AN24" i="12"/>
  <c r="AN23" i="12"/>
  <c r="AN22" i="12"/>
  <c r="AN21" i="12"/>
  <c r="AN20" i="12"/>
  <c r="AN38" i="12"/>
  <c r="AN37" i="12"/>
  <c r="AN36" i="12"/>
  <c r="AN35" i="12"/>
  <c r="AN34" i="12"/>
  <c r="AN33" i="12"/>
  <c r="AN32" i="12"/>
  <c r="AN31" i="12"/>
  <c r="AN16" i="12"/>
  <c r="AN15" i="12"/>
  <c r="AN13" i="12"/>
  <c r="AN12" i="12"/>
  <c r="AN11" i="12"/>
  <c r="AN10" i="12"/>
  <c r="AN9" i="12"/>
  <c r="AN8" i="12"/>
  <c r="K15" i="10"/>
  <c r="B15" i="10"/>
  <c r="C15" i="10"/>
  <c r="D15" i="10"/>
  <c r="E15" i="10"/>
  <c r="N15" i="10"/>
  <c r="K15" i="9"/>
  <c r="B15" i="9"/>
  <c r="C15" i="9"/>
  <c r="D15" i="9"/>
  <c r="E15" i="9"/>
  <c r="N15" i="9"/>
  <c r="K15" i="1"/>
  <c r="B15" i="1"/>
  <c r="C15" i="1"/>
  <c r="D15" i="1"/>
  <c r="E15" i="1"/>
  <c r="N15" i="1"/>
  <c r="B15" i="11"/>
  <c r="C15" i="11"/>
  <c r="D15" i="11"/>
  <c r="E15" i="11"/>
  <c r="N15" i="11"/>
  <c r="B15" i="8"/>
  <c r="C15" i="8"/>
  <c r="D15" i="8"/>
  <c r="E15" i="8"/>
  <c r="N15" i="8"/>
  <c r="K15" i="6"/>
  <c r="B15" i="6"/>
  <c r="C15" i="6"/>
  <c r="D15" i="6"/>
  <c r="E15" i="6"/>
  <c r="N15" i="6"/>
  <c r="K15" i="7"/>
  <c r="B15" i="7"/>
  <c r="C15" i="7"/>
  <c r="D15" i="7"/>
  <c r="E15" i="7"/>
  <c r="N15" i="7"/>
  <c r="K15" i="13"/>
  <c r="E15" i="13"/>
  <c r="D15" i="13"/>
  <c r="C15" i="13"/>
  <c r="B15" i="13"/>
  <c r="N15" i="13"/>
  <c r="N5" i="13"/>
  <c r="N6" i="13"/>
  <c r="N7" i="13"/>
  <c r="N8" i="13"/>
  <c r="N9" i="13"/>
  <c r="N10" i="13"/>
  <c r="N11" i="13"/>
  <c r="N12" i="13"/>
  <c r="N13" i="13"/>
  <c r="N14" i="13"/>
  <c r="N16" i="13"/>
  <c r="AC21" i="5"/>
  <c r="AC9" i="5"/>
  <c r="AA23" i="12"/>
  <c r="AA11" i="12"/>
  <c r="AA5" i="12"/>
  <c r="AA6" i="12"/>
  <c r="AA7" i="12"/>
  <c r="AA8" i="12"/>
  <c r="AA9" i="12"/>
  <c r="AA10" i="12"/>
  <c r="AA12" i="12"/>
  <c r="AA17" i="12"/>
  <c r="AA18" i="12"/>
  <c r="AA19" i="12"/>
  <c r="AA20" i="12"/>
  <c r="AA21" i="12"/>
  <c r="AA22" i="12"/>
  <c r="AA24" i="12"/>
  <c r="N5" i="11"/>
  <c r="N6" i="11"/>
  <c r="N7" i="11"/>
  <c r="N8" i="11"/>
  <c r="N9" i="11"/>
  <c r="N10" i="11"/>
  <c r="N11" i="11"/>
  <c r="N12" i="11"/>
  <c r="N13" i="11"/>
  <c r="N14" i="11"/>
  <c r="N16" i="11"/>
  <c r="AC16" i="5"/>
  <c r="AC17" i="5"/>
  <c r="AC4" i="5"/>
  <c r="AC19" i="5"/>
  <c r="AC18" i="5"/>
  <c r="AC10" i="5"/>
  <c r="AC7" i="5"/>
  <c r="AC6" i="5"/>
  <c r="AC8" i="5"/>
  <c r="AC22" i="5"/>
  <c r="AC20" i="5"/>
  <c r="AC5" i="5"/>
  <c r="AC3" i="5"/>
  <c r="AC15" i="5"/>
  <c r="N16" i="8"/>
  <c r="N16" i="6"/>
  <c r="N5" i="10"/>
  <c r="N6" i="10"/>
  <c r="N7" i="10"/>
  <c r="N8" i="10"/>
  <c r="N9" i="10"/>
  <c r="N10" i="10"/>
  <c r="N11" i="10"/>
  <c r="N12" i="10"/>
  <c r="N13" i="10"/>
  <c r="N14" i="10"/>
  <c r="N16" i="10"/>
  <c r="N16" i="7"/>
  <c r="N16" i="9"/>
  <c r="N16" i="1"/>
  <c r="N5" i="9"/>
  <c r="N6" i="9"/>
  <c r="N7" i="9"/>
  <c r="N8" i="9"/>
  <c r="N9" i="9"/>
  <c r="N10" i="9"/>
  <c r="N11" i="9"/>
  <c r="N12" i="9"/>
  <c r="N13" i="9"/>
  <c r="N14" i="9"/>
  <c r="N5" i="8"/>
  <c r="N6" i="8"/>
  <c r="N7" i="8"/>
  <c r="N8" i="8"/>
  <c r="N9" i="8"/>
  <c r="N10" i="8"/>
  <c r="N11" i="8"/>
  <c r="N12" i="8"/>
  <c r="N13" i="8"/>
  <c r="N14" i="8"/>
  <c r="N5" i="7"/>
  <c r="N6" i="7"/>
  <c r="N7" i="7"/>
  <c r="N8" i="7"/>
  <c r="N9" i="7"/>
  <c r="N10" i="7"/>
  <c r="N11" i="7"/>
  <c r="N12" i="7"/>
  <c r="N13" i="7"/>
  <c r="N14" i="7"/>
  <c r="N5" i="6"/>
  <c r="N6" i="6"/>
  <c r="N7" i="6"/>
  <c r="N8" i="6"/>
  <c r="N9" i="6"/>
  <c r="N10" i="6"/>
  <c r="N11" i="6"/>
  <c r="N12" i="6"/>
  <c r="N13" i="6"/>
  <c r="N14" i="6"/>
  <c r="N5" i="1"/>
  <c r="N7" i="1"/>
  <c r="N8" i="1"/>
  <c r="N9" i="1"/>
  <c r="N10" i="1"/>
  <c r="N11" i="1"/>
  <c r="N12" i="1"/>
  <c r="N13" i="1"/>
  <c r="N14" i="1"/>
  <c r="N6" i="1"/>
</calcChain>
</file>

<file path=xl/sharedStrings.xml><?xml version="1.0" encoding="utf-8"?>
<sst xmlns="http://schemas.openxmlformats.org/spreadsheetml/2006/main" count="371" uniqueCount="54">
  <si>
    <t>BARLEY</t>
  </si>
  <si>
    <t>Average</t>
  </si>
  <si>
    <t>Fertilizer</t>
  </si>
  <si>
    <t>Chemical</t>
  </si>
  <si>
    <t>Wheat</t>
  </si>
  <si>
    <t>Barley</t>
  </si>
  <si>
    <t>Corn</t>
  </si>
  <si>
    <t>North Dakota excluding RRV--Cash Rent Land</t>
  </si>
  <si>
    <t xml:space="preserve">Seed </t>
  </si>
  <si>
    <t>Crop Ins</t>
  </si>
  <si>
    <t>Oper Interest</t>
  </si>
  <si>
    <t>Overhead Exp</t>
  </si>
  <si>
    <t>Land Rent</t>
  </si>
  <si>
    <t>Net Profit</t>
  </si>
  <si>
    <t>Repairs</t>
  </si>
  <si>
    <t>Fuel, Custom Hire &amp; Other</t>
  </si>
  <si>
    <t>Gov Payments</t>
  </si>
  <si>
    <t>Soybean</t>
  </si>
  <si>
    <t>Canola</t>
  </si>
  <si>
    <t>Sunflower (Oil)</t>
  </si>
  <si>
    <t>Sunflower</t>
  </si>
  <si>
    <t>Crop Gross Income per Acre</t>
  </si>
  <si>
    <t>Crop Net Income per Acre</t>
  </si>
  <si>
    <t>Gross Income/Acre</t>
  </si>
  <si>
    <t>Net Income /Acre</t>
  </si>
  <si>
    <t>5  Year Average (1999-2003)</t>
  </si>
  <si>
    <t>Flax</t>
  </si>
  <si>
    <t>Sunflower(Oil)</t>
  </si>
  <si>
    <t>Crop Expense per Acre</t>
  </si>
  <si>
    <t>Total Expense/Acre</t>
  </si>
  <si>
    <t>Pinto Beans</t>
  </si>
  <si>
    <t>Pinto Bns</t>
  </si>
  <si>
    <t>Pinto Bean</t>
  </si>
  <si>
    <t>Total Exp</t>
  </si>
  <si>
    <t>Ttoal Exp</t>
  </si>
  <si>
    <t xml:space="preserve">  ND Average Total Crop Expense &amp; Net Income/Acre</t>
  </si>
  <si>
    <t xml:space="preserve">           ND Average Total Crop Expense &amp; Net Income/Acre</t>
  </si>
  <si>
    <t>Total Inc/A</t>
  </si>
  <si>
    <t>Total Exp/A</t>
  </si>
  <si>
    <t>Disaster Payments, or a Return on Operator Labor &amp; Management</t>
  </si>
  <si>
    <t>Note: These numbers do not include Direct Gov Payments,</t>
  </si>
  <si>
    <t xml:space="preserve">                  5  Year Average (1999-2003) excluding RRV</t>
  </si>
  <si>
    <t>Std Dev</t>
  </si>
  <si>
    <t>10 Year Average (1999-2008)</t>
  </si>
  <si>
    <t xml:space="preserve">                 10  Year Average (1999-2008)</t>
  </si>
  <si>
    <t>10 yrAverage</t>
  </si>
  <si>
    <t>3 yrAverage</t>
  </si>
  <si>
    <t>Spring Wheat</t>
  </si>
  <si>
    <t>3 Year Average (2006-2008)</t>
  </si>
  <si>
    <t>10 Average</t>
  </si>
  <si>
    <t>3 Average</t>
  </si>
  <si>
    <t>10 Year Average</t>
  </si>
  <si>
    <t>Field Peas</t>
  </si>
  <si>
    <t>Fiild Peas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</si>
</sst>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8" formatCode="&quot;$&quot;#,##0"/>
  </numFmts>
  <fonts count="6" x14ac:knownFonts="1">
    <font>
      <sz val="10"/>
      <name val="Arial"/>
    </font>
    <font>
      <sz val="8"/>
      <name val="Arial"/>
    </font>
    <font>
      <sz val="12"/>
      <name val="Arial"/>
    </font>
    <font>
      <b/>
      <sz val="12"/>
      <name val="Arial"/>
      <family val="2"/>
    </font>
    <font>
      <sz val="14"/>
      <name val="Arial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2" fillId="0" borderId="0" xfId="0" applyFont="1"/>
    <xf numFmtId="0" fontId="2" fillId="0" borderId="0" xfId="0" quotePrefix="1" applyFont="1"/>
    <xf numFmtId="168" fontId="2" fillId="0" borderId="0" xfId="0" applyNumberFormat="1" applyFont="1"/>
    <xf numFmtId="164" fontId="2" fillId="0" borderId="0" xfId="0" applyNumberFormat="1" applyFont="1"/>
    <xf numFmtId="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right"/>
    </xf>
    <xf numFmtId="168" fontId="0" fillId="0" borderId="0" xfId="0" applyNumberFormat="1"/>
    <xf numFmtId="16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23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ND Wheat Crop  - 2008</a:t>
            </a:r>
            <a:endParaRPr lang="en-US" sz="195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5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Cash Rented Land</a:t>
            </a:r>
          </a:p>
        </c:rich>
      </c:tx>
      <c:layout>
        <c:manualLayout>
          <c:xMode val="edge"/>
          <c:yMode val="edge"/>
          <c:x val="6.7750819765415499E-2"/>
          <c:y val="1.95652173913043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9729063094225173"/>
          <c:y val="0.25000026537052628"/>
          <c:w val="0.35501401990972742"/>
          <c:h val="0.56956582197459027"/>
        </c:manualLayout>
      </c:layout>
      <c:pieChart>
        <c:varyColors val="1"/>
        <c:ser>
          <c:idx val="0"/>
          <c:order val="0"/>
          <c:tx>
            <c:strRef>
              <c:f>Wheat!$K$2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2C7-4793-B540-BB25BAFF4E3E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C7-4793-B540-BB25BAFF4E3E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2C7-4793-B540-BB25BAFF4E3E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2C7-4793-B540-BB25BAFF4E3E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2C7-4793-B540-BB25BAFF4E3E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2C7-4793-B540-BB25BAFF4E3E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2C7-4793-B540-BB25BAFF4E3E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2C7-4793-B540-BB25BAFF4E3E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52C7-4793-B540-BB25BAFF4E3E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2C7-4793-B540-BB25BAFF4E3E}"/>
              </c:ext>
            </c:extLst>
          </c:dPt>
          <c:dLbls>
            <c:dLbl>
              <c:idx val="0"/>
              <c:layout>
                <c:manualLayout>
                  <c:x val="-4.6805356967927932E-2"/>
                  <c:y val="-0.11719390161676328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C7-4793-B540-BB25BAFF4E3E}"/>
                </c:ext>
              </c:extLst>
            </c:dLbl>
            <c:dLbl>
              <c:idx val="1"/>
              <c:layout>
                <c:manualLayout>
                  <c:x val="3.28192190005092E-5"/>
                  <c:y val="2.1517538251470323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C7-4793-B540-BB25BAFF4E3E}"/>
                </c:ext>
              </c:extLst>
            </c:dLbl>
            <c:dLbl>
              <c:idx val="2"/>
              <c:layout>
                <c:manualLayout>
                  <c:x val="1.882908100374844E-2"/>
                  <c:y val="1.5162099949402881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C7-4793-B540-BB25BAFF4E3E}"/>
                </c:ext>
              </c:extLst>
            </c:dLbl>
            <c:dLbl>
              <c:idx val="3"/>
              <c:layout>
                <c:manualLayout>
                  <c:x val="6.3678936896279403E-2"/>
                  <c:y val="5.7154854203751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C7-4793-B540-BB25BAFF4E3E}"/>
                </c:ext>
              </c:extLst>
            </c:dLbl>
            <c:dLbl>
              <c:idx val="4"/>
              <c:layout>
                <c:manualLayout>
                  <c:x val="-3.4073725042111654E-2"/>
                  <c:y val="5.6462083670182323E-2"/>
                </c:manualLayout>
              </c:layout>
              <c:tx>
                <c:rich>
                  <a:bodyPr/>
                  <a:lstStyle/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Crop Ins, $8 </a:t>
                    </a:r>
                  </a:p>
                </c:rich>
              </c:tx>
              <c:numFmt formatCode="#,##0" sourceLinked="0"/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C7-4793-B540-BB25BAFF4E3E}"/>
                </c:ext>
              </c:extLst>
            </c:dLbl>
            <c:dLbl>
              <c:idx val="5"/>
              <c:layout>
                <c:manualLayout>
                  <c:x val="-2.848827962671802E-2"/>
                  <c:y val="2.8324768349061502E-2"/>
                </c:manualLayout>
              </c:layout>
              <c:tx>
                <c:rich>
                  <a:bodyPr/>
                  <a:lstStyle/>
                  <a:p>
                    <a:pPr>
                      <a:defRPr sz="15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1325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Repairs $15</a:t>
                    </a:r>
                    <a:r>
                      <a:rPr lang="en-US" sz="12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 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C7-4793-B540-BB25BAFF4E3E}"/>
                </c:ext>
              </c:extLst>
            </c:dLbl>
            <c:dLbl>
              <c:idx val="6"/>
              <c:layout>
                <c:manualLayout>
                  <c:x val="-3.1951613731654744E-3"/>
                  <c:y val="-3.3481126196542072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C7-4793-B540-BB25BAFF4E3E}"/>
                </c:ext>
              </c:extLst>
            </c:dLbl>
            <c:dLbl>
              <c:idx val="7"/>
              <c:layout>
                <c:manualLayout>
                  <c:x val="-3.461110226919327E-2"/>
                  <c:y val="-1.2878574300313918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C7-4793-B540-BB25BAFF4E3E}"/>
                </c:ext>
              </c:extLst>
            </c:dLbl>
            <c:dLbl>
              <c:idx val="8"/>
              <c:layout>
                <c:manualLayout>
                  <c:x val="-7.5997848461302558E-2"/>
                  <c:y val="-2.9485328932343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C7-4793-B540-BB25BAFF4E3E}"/>
                </c:ext>
              </c:extLst>
            </c:dLbl>
            <c:dLbl>
              <c:idx val="9"/>
              <c:layout>
                <c:manualLayout>
                  <c:x val="6.4115485631018446E-2"/>
                  <c:y val="-3.2050932515984211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C7-4793-B540-BB25BAFF4E3E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Wheat!$A$5:$A$14</c:f>
              <c:strCache>
                <c:ptCount val="10"/>
                <c:pt idx="0">
                  <c:v>Net Profit</c:v>
                </c:pt>
                <c:pt idx="1">
                  <c:v>Seed </c:v>
                </c:pt>
                <c:pt idx="2">
                  <c:v>Fertilizer</c:v>
                </c:pt>
                <c:pt idx="3">
                  <c:v>Chemical</c:v>
                </c:pt>
                <c:pt idx="4">
                  <c:v>Crop Ins</c:v>
                </c:pt>
                <c:pt idx="5">
                  <c:v>Repairs</c:v>
                </c:pt>
                <c:pt idx="6">
                  <c:v>Fuel, Custom Hire &amp; Other</c:v>
                </c:pt>
                <c:pt idx="7">
                  <c:v>Land Rent</c:v>
                </c:pt>
                <c:pt idx="8">
                  <c:v>Oper Interest</c:v>
                </c:pt>
                <c:pt idx="9">
                  <c:v>Overhead Exp</c:v>
                </c:pt>
              </c:strCache>
            </c:strRef>
          </c:cat>
          <c:val>
            <c:numRef>
              <c:f>Wheat!$K$5:$K$14</c:f>
              <c:numCache>
                <c:formatCode>"$"#,##0.00</c:formatCode>
                <c:ptCount val="10"/>
                <c:pt idx="0">
                  <c:v>88.71</c:v>
                </c:pt>
                <c:pt idx="1">
                  <c:v>20.54</c:v>
                </c:pt>
                <c:pt idx="2">
                  <c:v>46.53</c:v>
                </c:pt>
                <c:pt idx="3">
                  <c:v>26.35</c:v>
                </c:pt>
                <c:pt idx="4">
                  <c:v>24.08</c:v>
                </c:pt>
                <c:pt idx="5">
                  <c:v>15</c:v>
                </c:pt>
                <c:pt idx="6">
                  <c:v>19.29</c:v>
                </c:pt>
                <c:pt idx="7">
                  <c:v>35.43</c:v>
                </c:pt>
                <c:pt idx="8">
                  <c:v>3.79</c:v>
                </c:pt>
                <c:pt idx="9">
                  <c:v>27.63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C7-4793-B540-BB25BAFF4E3E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2C7-4793-B540-BB25BAFF4E3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C-52C7-4793-B540-BB25BAFF4E3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D-52C7-4793-B540-BB25BAFF4E3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E-52C7-4793-B540-BB25BAFF4E3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F-52C7-4793-B540-BB25BAFF4E3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0-52C7-4793-B540-BB25BAFF4E3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1-52C7-4793-B540-BB25BAFF4E3E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12-52C7-4793-B540-BB25BAFF4E3E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3-52C7-4793-B540-BB25BAFF4E3E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4-52C7-4793-B540-BB25BAFF4E3E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5-52C7-4793-B540-BB25BAFF4E3E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4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ND Wheat Crop</a:t>
            </a:r>
          </a:p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10 year average (1999-2008)</a:t>
            </a:r>
            <a:endParaRPr lang="en-US" sz="12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20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Cash Rented Land</a:t>
            </a:r>
          </a:p>
        </c:rich>
      </c:tx>
      <c:layout>
        <c:manualLayout>
          <c:xMode val="edge"/>
          <c:yMode val="edge"/>
          <c:x val="5.0704225352112678E-2"/>
          <c:y val="1.29589632829373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5784042862421932"/>
          <c:y val="0.26997868644823003"/>
          <c:w val="0.26666691118958258"/>
          <c:h val="0.6133915756103786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5BC-4D2E-A44D-C9AE07952CA7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5BC-4D2E-A44D-C9AE07952CA7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5BC-4D2E-A44D-C9AE07952CA7}"/>
              </c:ext>
            </c:extLst>
          </c:dPt>
          <c:dPt>
            <c:idx val="3"/>
            <c:bubble3D val="0"/>
            <c:spPr>
              <a:pattFill prst="pct70">
                <a:fgClr>
                  <a:srgbClr val="000000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5BC-4D2E-A44D-C9AE07952CA7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25BC-4D2E-A44D-C9AE07952CA7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5BC-4D2E-A44D-C9AE07952CA7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25BC-4D2E-A44D-C9AE07952CA7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5BC-4D2E-A44D-C9AE07952CA7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25BC-4D2E-A44D-C9AE07952CA7}"/>
              </c:ext>
            </c:extLst>
          </c:dPt>
          <c:dPt>
            <c:idx val="9"/>
            <c:bubble3D val="0"/>
            <c:spPr>
              <a:pattFill prst="dkUpDiag">
                <a:fgClr>
                  <a:srgbClr val="000000"/>
                </a:fgClr>
                <a:bgClr>
                  <a:srgbClr val="FFFFFF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5BC-4D2E-A44D-C9AE07952CA7}"/>
              </c:ext>
            </c:extLst>
          </c:dPt>
          <c:dLbls>
            <c:dLbl>
              <c:idx val="0"/>
              <c:layout>
                <c:manualLayout>
                  <c:x val="7.5232523811826473E-3"/>
                  <c:y val="-8.3469831347942391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BC-4D2E-A44D-C9AE07952CA7}"/>
                </c:ext>
              </c:extLst>
            </c:dLbl>
            <c:dLbl>
              <c:idx val="1"/>
              <c:layout>
                <c:manualLayout>
                  <c:x val="5.5137630567670803E-3"/>
                  <c:y val="-1.7340152422106524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BC-4D2E-A44D-C9AE07952CA7}"/>
                </c:ext>
              </c:extLst>
            </c:dLbl>
            <c:dLbl>
              <c:idx val="2"/>
              <c:layout>
                <c:manualLayout>
                  <c:x val="1.1876090468296451E-2"/>
                  <c:y val="1.6878105741617598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BC-4D2E-A44D-C9AE07952CA7}"/>
                </c:ext>
              </c:extLst>
            </c:dLbl>
            <c:dLbl>
              <c:idx val="4"/>
              <c:layout>
                <c:manualLayout>
                  <c:x val="2.1292385805509006E-3"/>
                  <c:y val="2.2005532372462045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BC-4D2E-A44D-C9AE07952CA7}"/>
                </c:ext>
              </c:extLst>
            </c:dLbl>
            <c:dLbl>
              <c:idx val="5"/>
              <c:layout>
                <c:manualLayout>
                  <c:x val="-1.0591058527950465E-2"/>
                  <c:y val="1.430122554929629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BC-4D2E-A44D-C9AE07952CA7}"/>
                </c:ext>
              </c:extLst>
            </c:dLbl>
            <c:dLbl>
              <c:idx val="6"/>
              <c:layout>
                <c:manualLayout>
                  <c:x val="-4.2013529766715824E-2"/>
                  <c:y val="-1.6331553027316405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5BC-4D2E-A44D-C9AE07952CA7}"/>
                </c:ext>
              </c:extLst>
            </c:dLbl>
            <c:dLbl>
              <c:idx val="7"/>
              <c:layout>
                <c:manualLayout>
                  <c:x val="-1.8794176942484399E-2"/>
                  <c:y val="-4.6118399170037627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5BC-4D2E-A44D-C9AE07952CA7}"/>
                </c:ext>
              </c:extLst>
            </c:dLbl>
            <c:dLbl>
              <c:idx val="8"/>
              <c:layout>
                <c:manualLayout>
                  <c:x val="-1.3607321147362836E-2"/>
                  <c:y val="-2.3188819456257309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5BC-4D2E-A44D-C9AE07952CA7}"/>
                </c:ext>
              </c:extLst>
            </c:dLbl>
            <c:dLbl>
              <c:idx val="9"/>
              <c:layout>
                <c:manualLayout>
                  <c:x val="2.6284003652119092E-2"/>
                  <c:y val="-3.9852606915835254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5BC-4D2E-A44D-C9AE07952CA7}"/>
                </c:ext>
              </c:extLst>
            </c:dLbl>
            <c:numFmt formatCode="\$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Wheat!$M$5:$M$14</c:f>
              <c:strCache>
                <c:ptCount val="10"/>
                <c:pt idx="0">
                  <c:v>Net Profit</c:v>
                </c:pt>
                <c:pt idx="1">
                  <c:v>Seed </c:v>
                </c:pt>
                <c:pt idx="2">
                  <c:v>Fertilizer</c:v>
                </c:pt>
                <c:pt idx="3">
                  <c:v>Chemical</c:v>
                </c:pt>
                <c:pt idx="4">
                  <c:v>Crop Ins</c:v>
                </c:pt>
                <c:pt idx="5">
                  <c:v>Repairs</c:v>
                </c:pt>
                <c:pt idx="6">
                  <c:v>Fuel, Custom Hire &amp; Other</c:v>
                </c:pt>
                <c:pt idx="7">
                  <c:v>Land Rent</c:v>
                </c:pt>
                <c:pt idx="8">
                  <c:v>Oper Interest</c:v>
                </c:pt>
                <c:pt idx="9">
                  <c:v>Overhead Exp</c:v>
                </c:pt>
              </c:strCache>
            </c:strRef>
          </c:cat>
          <c:val>
            <c:numRef>
              <c:f>Wheat!$N$5:$N$14</c:f>
              <c:numCache>
                <c:formatCode>"$"#,##0.00</c:formatCode>
                <c:ptCount val="10"/>
                <c:pt idx="0">
                  <c:v>19.945</c:v>
                </c:pt>
                <c:pt idx="1">
                  <c:v>9.7889999999999979</c:v>
                </c:pt>
                <c:pt idx="2">
                  <c:v>23.328000000000003</c:v>
                </c:pt>
                <c:pt idx="3">
                  <c:v>16.668999999999997</c:v>
                </c:pt>
                <c:pt idx="4">
                  <c:v>9.0109999999999992</c:v>
                </c:pt>
                <c:pt idx="5">
                  <c:v>10.296999999999999</c:v>
                </c:pt>
                <c:pt idx="6">
                  <c:v>12.249000000000001</c:v>
                </c:pt>
                <c:pt idx="7">
                  <c:v>30.557000000000006</c:v>
                </c:pt>
                <c:pt idx="8">
                  <c:v>3.2009999999999996</c:v>
                </c:pt>
                <c:pt idx="9">
                  <c:v>22.599000000000004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5BC-4D2E-A44D-C9AE07952CA7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9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ND Flax Crop  - 2008</a:t>
            </a:r>
          </a:p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5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Cash Rented Land</a:t>
            </a:r>
            <a:endParaRPr lang="en-US" sz="1975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 sz="1975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5.3619302949061663E-2"/>
          <c:y val="3.01724137931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5174262734584453"/>
          <c:y val="0.20689655172413793"/>
          <c:w val="0.40750670241286863"/>
          <c:h val="0.65517241379310343"/>
        </c:manualLayout>
      </c:layout>
      <c:pieChart>
        <c:varyColors val="1"/>
        <c:ser>
          <c:idx val="0"/>
          <c:order val="0"/>
          <c:tx>
            <c:strRef>
              <c:f>Flax!$K$2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CFC-4AB5-B485-BBD9D42FDAA8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FC-4AB5-B485-BBD9D42FDAA8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6CFC-4AB5-B485-BBD9D42FDAA8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FC-4AB5-B485-BBD9D42FDAA8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6CFC-4AB5-B485-BBD9D42FDAA8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CFC-4AB5-B485-BBD9D42FDAA8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6CFC-4AB5-B485-BBD9D42FDAA8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CFC-4AB5-B485-BBD9D42FDAA8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6CFC-4AB5-B485-BBD9D42FDAA8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CFC-4AB5-B485-BBD9D42FDAA8}"/>
              </c:ext>
            </c:extLst>
          </c:dPt>
          <c:dLbls>
            <c:dLbl>
              <c:idx val="0"/>
              <c:layout>
                <c:manualLayout>
                  <c:x val="-4.8396698401975023E-3"/>
                  <c:y val="-6.7445696443117029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FC-4AB5-B485-BBD9D42FDAA8}"/>
                </c:ext>
              </c:extLst>
            </c:dLbl>
            <c:dLbl>
              <c:idx val="1"/>
              <c:layout>
                <c:manualLayout>
                  <c:x val="2.1932265169266701E-2"/>
                  <c:y val="-6.5019458774549883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FC-4AB5-B485-BBD9D42FDAA8}"/>
                </c:ext>
              </c:extLst>
            </c:dLbl>
            <c:dLbl>
              <c:idx val="2"/>
              <c:layout>
                <c:manualLayout>
                  <c:x val="4.3683547599446341E-4"/>
                  <c:y val="-7.4841614625758366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FC-4AB5-B485-BBD9D42FDAA8}"/>
                </c:ext>
              </c:extLst>
            </c:dLbl>
            <c:dLbl>
              <c:idx val="3"/>
              <c:layout>
                <c:manualLayout>
                  <c:x val="2.4145574296510586E-2"/>
                  <c:y val="2.1565978821612836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FC-4AB5-B485-BBD9D42FDAA8}"/>
                </c:ext>
              </c:extLst>
            </c:dLbl>
            <c:dLbl>
              <c:idx val="4"/>
              <c:layout>
                <c:manualLayout>
                  <c:x val="2.9489490757355123E-2"/>
                  <c:y val="4.8774775997827903E-2"/>
                </c:manualLayout>
              </c:layout>
              <c:tx>
                <c:rich>
                  <a:bodyPr/>
                  <a:lstStyle/>
                  <a:p>
                    <a:pPr>
                      <a:defRPr sz="11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Crop Ins, $8 </a:t>
                    </a:r>
                  </a:p>
                </c:rich>
              </c:tx>
              <c:numFmt formatCode="\$#,##0" sourceLinked="0"/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FC-4AB5-B485-BBD9D42FDAA8}"/>
                </c:ext>
              </c:extLst>
            </c:dLbl>
            <c:dLbl>
              <c:idx val="5"/>
              <c:layout>
                <c:manualLayout>
                  <c:x val="-1.9683069106978236E-2"/>
                  <c:y val="2.2219431622771242E-2"/>
                </c:manualLayout>
              </c:layout>
              <c:tx>
                <c:rich>
                  <a:bodyPr/>
                  <a:lstStyle/>
                  <a:p>
                    <a:pPr>
                      <a:defRPr sz="11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Repairs $15 </a:t>
                    </a:r>
                  </a:p>
                </c:rich>
              </c:tx>
              <c:numFmt formatCode="\$#,##0" sourceLinked="0"/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FC-4AB5-B485-BBD9D42FDAA8}"/>
                </c:ext>
              </c:extLst>
            </c:dLbl>
            <c:dLbl>
              <c:idx val="6"/>
              <c:layout>
                <c:manualLayout>
                  <c:x val="1.3710216517841801E-3"/>
                  <c:y val="-1.5841252602045424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CFC-4AB5-B485-BBD9D42FDAA8}"/>
                </c:ext>
              </c:extLst>
            </c:dLbl>
            <c:dLbl>
              <c:idx val="7"/>
              <c:layout>
                <c:manualLayout>
                  <c:x val="-2.98866395051825E-2"/>
                  <c:y val="-1.0355462032763134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CFC-4AB5-B485-BBD9D42FDAA8}"/>
                </c:ext>
              </c:extLst>
            </c:dLbl>
            <c:dLbl>
              <c:idx val="8"/>
              <c:layout>
                <c:manualLayout>
                  <c:x val="-7.755082223301174E-2"/>
                  <c:y val="-8.4240655262919732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FC-4AB5-B485-BBD9D42FDAA8}"/>
                </c:ext>
              </c:extLst>
            </c:dLbl>
            <c:dLbl>
              <c:idx val="9"/>
              <c:layout>
                <c:manualLayout>
                  <c:x val="9.2848367144455407E-2"/>
                  <c:y val="-3.7336410534890035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FC-4AB5-B485-BBD9D42FDAA8}"/>
                </c:ext>
              </c:extLst>
            </c:dLbl>
            <c:numFmt formatCode="\$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Flax!$A$5:$A$14</c:f>
              <c:strCache>
                <c:ptCount val="10"/>
                <c:pt idx="0">
                  <c:v>Net Profit</c:v>
                </c:pt>
                <c:pt idx="1">
                  <c:v>Seed </c:v>
                </c:pt>
                <c:pt idx="2">
                  <c:v>Fertilizer</c:v>
                </c:pt>
                <c:pt idx="3">
                  <c:v>Chemical</c:v>
                </c:pt>
                <c:pt idx="4">
                  <c:v>Crop Ins</c:v>
                </c:pt>
                <c:pt idx="5">
                  <c:v>Repairs</c:v>
                </c:pt>
                <c:pt idx="6">
                  <c:v>Fuel, Custom Hire &amp; Other</c:v>
                </c:pt>
                <c:pt idx="7">
                  <c:v>Land Rent</c:v>
                </c:pt>
                <c:pt idx="8">
                  <c:v>Oper Interest</c:v>
                </c:pt>
                <c:pt idx="9">
                  <c:v>Overhead Exp</c:v>
                </c:pt>
              </c:strCache>
            </c:strRef>
          </c:cat>
          <c:val>
            <c:numRef>
              <c:f>Flax!$K$5:$K$14</c:f>
              <c:numCache>
                <c:formatCode>"$"#,##0.00</c:formatCode>
                <c:ptCount val="10"/>
                <c:pt idx="0">
                  <c:v>40.07</c:v>
                </c:pt>
                <c:pt idx="1">
                  <c:v>16.309999999999999</c:v>
                </c:pt>
                <c:pt idx="2">
                  <c:v>28.98</c:v>
                </c:pt>
                <c:pt idx="3">
                  <c:v>20.77</c:v>
                </c:pt>
                <c:pt idx="4">
                  <c:v>11.91</c:v>
                </c:pt>
                <c:pt idx="5">
                  <c:v>11.35</c:v>
                </c:pt>
                <c:pt idx="6">
                  <c:v>20.49</c:v>
                </c:pt>
                <c:pt idx="7">
                  <c:v>34.67</c:v>
                </c:pt>
                <c:pt idx="8">
                  <c:v>3</c:v>
                </c:pt>
                <c:pt idx="9">
                  <c:v>22.56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CFC-4AB5-B485-BBD9D42FDAA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CFC-4AB5-B485-BBD9D42FDAA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C-6CFC-4AB5-B485-BBD9D42FDAA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D-6CFC-4AB5-B485-BBD9D42FDAA8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E-6CFC-4AB5-B485-BBD9D42FDAA8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F-6CFC-4AB5-B485-BBD9D42FDAA8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0-6CFC-4AB5-B485-BBD9D42FDAA8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1-6CFC-4AB5-B485-BBD9D42FDAA8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12-6CFC-4AB5-B485-BBD9D42FDAA8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3-6CFC-4AB5-B485-BBD9D42FDAA8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4-6CFC-4AB5-B485-BBD9D42FDAA8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6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5-6CFC-4AB5-B485-BBD9D42FDAA8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4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ND Flax Crop</a:t>
            </a:r>
          </a:p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 10 year average (1999-2008)</a:t>
            </a:r>
            <a:endParaRPr lang="en-US" sz="12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20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Cash Rented Land</a:t>
            </a:r>
          </a:p>
        </c:rich>
      </c:tx>
      <c:layout>
        <c:manualLayout>
          <c:xMode val="edge"/>
          <c:yMode val="edge"/>
          <c:x val="5.1865332120109194E-2"/>
          <c:y val="1.727861771058315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55050069954428549"/>
          <c:y val="0.27645817492298752"/>
          <c:w val="0.25295734623687827"/>
          <c:h val="0.6004325986608635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00C-4391-BFB9-2B2F6D72A557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0C-4391-BFB9-2B2F6D72A557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00C-4391-BFB9-2B2F6D72A557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0C-4391-BFB9-2B2F6D72A557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00C-4391-BFB9-2B2F6D72A557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0C-4391-BFB9-2B2F6D72A557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00C-4391-BFB9-2B2F6D72A557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00C-4391-BFB9-2B2F6D72A557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00C-4391-BFB9-2B2F6D72A557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00C-4391-BFB9-2B2F6D72A557}"/>
              </c:ext>
            </c:extLst>
          </c:dPt>
          <c:dLbls>
            <c:dLbl>
              <c:idx val="0"/>
              <c:layout>
                <c:manualLayout>
                  <c:x val="-8.2072985879260603E-3"/>
                  <c:y val="-8.6320361151976818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0C-4391-BFB9-2B2F6D72A557}"/>
                </c:ext>
              </c:extLst>
            </c:dLbl>
            <c:dLbl>
              <c:idx val="1"/>
              <c:layout>
                <c:manualLayout>
                  <c:x val="1.7350209880834033E-2"/>
                  <c:y val="-3.6133549656406888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0C-4391-BFB9-2B2F6D72A557}"/>
                </c:ext>
              </c:extLst>
            </c:dLbl>
            <c:dLbl>
              <c:idx val="3"/>
              <c:layout>
                <c:manualLayout>
                  <c:x val="-1.0509435556096564E-2"/>
                  <c:y val="4.5177813511610279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0C-4391-BFB9-2B2F6D72A557}"/>
                </c:ext>
              </c:extLst>
            </c:dLbl>
            <c:dLbl>
              <c:idx val="4"/>
              <c:layout>
                <c:manualLayout>
                  <c:x val="7.7387824583770469E-3"/>
                  <c:y val="5.1499888846044308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00C-4391-BFB9-2B2F6D72A557}"/>
                </c:ext>
              </c:extLst>
            </c:dLbl>
            <c:dLbl>
              <c:idx val="5"/>
              <c:layout>
                <c:manualLayout>
                  <c:x val="-2.6121589271416099E-2"/>
                  <c:y val="2.2141589035945375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00C-4391-BFB9-2B2F6D72A557}"/>
                </c:ext>
              </c:extLst>
            </c:dLbl>
            <c:dLbl>
              <c:idx val="6"/>
              <c:layout>
                <c:manualLayout>
                  <c:x val="-2.3856492143549027E-2"/>
                  <c:y val="-5.383204677286367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00C-4391-BFB9-2B2F6D72A557}"/>
                </c:ext>
              </c:extLst>
            </c:dLbl>
            <c:dLbl>
              <c:idx val="7"/>
              <c:layout>
                <c:manualLayout>
                  <c:x val="-1.2126681878826501E-3"/>
                  <c:y val="8.1454177163580253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00C-4391-BFB9-2B2F6D72A557}"/>
                </c:ext>
              </c:extLst>
            </c:dLbl>
            <c:dLbl>
              <c:idx val="8"/>
              <c:layout>
                <c:manualLayout>
                  <c:x val="-1.0128437549487853E-2"/>
                  <c:y val="-1.5236310548429942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00C-4391-BFB9-2B2F6D72A557}"/>
                </c:ext>
              </c:extLst>
            </c:dLbl>
            <c:dLbl>
              <c:idx val="9"/>
              <c:layout>
                <c:manualLayout>
                  <c:x val="2.8113561287022075E-2"/>
                  <c:y val="-4.9896885094825635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00C-4391-BFB9-2B2F6D72A557}"/>
                </c:ext>
              </c:extLst>
            </c:dLbl>
            <c:numFmt formatCode="\$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Flax!$M$5:$M$14</c:f>
              <c:strCache>
                <c:ptCount val="10"/>
                <c:pt idx="0">
                  <c:v>Net Profit</c:v>
                </c:pt>
                <c:pt idx="1">
                  <c:v>Seed </c:v>
                </c:pt>
                <c:pt idx="2">
                  <c:v>Fertilizer</c:v>
                </c:pt>
                <c:pt idx="3">
                  <c:v>Chemical</c:v>
                </c:pt>
                <c:pt idx="4">
                  <c:v>Crop Ins</c:v>
                </c:pt>
                <c:pt idx="5">
                  <c:v>Repairs</c:v>
                </c:pt>
                <c:pt idx="6">
                  <c:v>Fuel, Custom Hire &amp; Other</c:v>
                </c:pt>
                <c:pt idx="7">
                  <c:v>Land Rent</c:v>
                </c:pt>
                <c:pt idx="8">
                  <c:v>Oper Interest</c:v>
                </c:pt>
                <c:pt idx="9">
                  <c:v>Overhead Exp</c:v>
                </c:pt>
              </c:strCache>
            </c:strRef>
          </c:cat>
          <c:val>
            <c:numRef>
              <c:f>Flax!$N$5:$N$14</c:f>
              <c:numCache>
                <c:formatCode>"$"#,##0.00</c:formatCode>
                <c:ptCount val="10"/>
                <c:pt idx="0">
                  <c:v>13.779</c:v>
                </c:pt>
                <c:pt idx="1">
                  <c:v>8.6</c:v>
                </c:pt>
                <c:pt idx="2">
                  <c:v>16.884</c:v>
                </c:pt>
                <c:pt idx="3">
                  <c:v>15.35</c:v>
                </c:pt>
                <c:pt idx="4">
                  <c:v>5.7650000000000006</c:v>
                </c:pt>
                <c:pt idx="5">
                  <c:v>10.399999999999999</c:v>
                </c:pt>
                <c:pt idx="6">
                  <c:v>12.055</c:v>
                </c:pt>
                <c:pt idx="7">
                  <c:v>29.798000000000009</c:v>
                </c:pt>
                <c:pt idx="8">
                  <c:v>2.9460000000000002</c:v>
                </c:pt>
                <c:pt idx="9">
                  <c:v>21.606000000000002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00C-4391-BFB9-2B2F6D72A557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9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ND Barley Crop  - 2008</a:t>
            </a:r>
          </a:p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5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Cash Rented Land</a:t>
            </a:r>
            <a:endParaRPr lang="en-US" sz="1975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 sz="1975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4.0214477211796246E-2"/>
          <c:y val="1.29310344827586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5442359249329761"/>
          <c:y val="0.20905172413793102"/>
          <c:w val="0.403485254691689"/>
          <c:h val="0.64870689655172409"/>
        </c:manualLayout>
      </c:layout>
      <c:pieChart>
        <c:varyColors val="1"/>
        <c:ser>
          <c:idx val="0"/>
          <c:order val="0"/>
          <c:tx>
            <c:strRef>
              <c:f>Barley!$K$2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9B1-4C9F-B99F-B5FAA2DC85B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9B1-4C9F-B99F-B5FAA2DC85B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9B1-4C9F-B99F-B5FAA2DC85B6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9B1-4C9F-B99F-B5FAA2DC85B6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79B1-4C9F-B99F-B5FAA2DC85B6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9B1-4C9F-B99F-B5FAA2DC85B6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79B1-4C9F-B99F-B5FAA2DC85B6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9B1-4C9F-B99F-B5FAA2DC85B6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79B1-4C9F-B99F-B5FAA2DC85B6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9B1-4C9F-B99F-B5FAA2DC85B6}"/>
              </c:ext>
            </c:extLst>
          </c:dPt>
          <c:dLbls>
            <c:dLbl>
              <c:idx val="0"/>
              <c:layout>
                <c:manualLayout>
                  <c:x val="-4.0387719631560778E-2"/>
                  <c:y val="-0.19075795403623325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9B1-4C9F-B99F-B5FAA2DC85B6}"/>
                </c:ext>
              </c:extLst>
            </c:dLbl>
            <c:dLbl>
              <c:idx val="1"/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B1-4C9F-B99F-B5FAA2DC85B6}"/>
                </c:ext>
              </c:extLst>
            </c:dLbl>
            <c:dLbl>
              <c:idx val="2"/>
              <c:layout>
                <c:manualLayout>
                  <c:x val="4.335563952629249E-2"/>
                  <c:y val="3.7986460165986412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B1-4C9F-B99F-B5FAA2DC85B6}"/>
                </c:ext>
              </c:extLst>
            </c:dLbl>
            <c:dLbl>
              <c:idx val="3"/>
              <c:layout>
                <c:manualLayout>
                  <c:x val="1.5350601282078347E-2"/>
                  <c:y val="6.0940246220273775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B1-4C9F-B99F-B5FAA2DC85B6}"/>
                </c:ext>
              </c:extLst>
            </c:dLbl>
            <c:dLbl>
              <c:idx val="4"/>
              <c:layout>
                <c:manualLayout>
                  <c:x val="-4.9269243489336104E-3"/>
                  <c:y val="7.2459248418169381E-3"/>
                </c:manualLayout>
              </c:layout>
              <c:tx>
                <c:rich>
                  <a:bodyPr/>
                  <a:lstStyle/>
                  <a:p>
                    <a:pPr>
                      <a:defRPr sz="11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Crop Ins, $8 </a:t>
                    </a:r>
                  </a:p>
                </c:rich>
              </c:tx>
              <c:numFmt formatCode="\$#,##0" sourceLinked="0"/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B1-4C9F-B99F-B5FAA2DC85B6}"/>
                </c:ext>
              </c:extLst>
            </c:dLbl>
            <c:dLbl>
              <c:idx val="5"/>
              <c:layout>
                <c:manualLayout>
                  <c:x val="-1.2890446334958786E-2"/>
                  <c:y val="-1.8592824130793724E-3"/>
                </c:manualLayout>
              </c:layout>
              <c:tx>
                <c:rich>
                  <a:bodyPr/>
                  <a:lstStyle/>
                  <a:p>
                    <a:pPr>
                      <a:defRPr sz="11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Repairs $15 </a:t>
                    </a:r>
                  </a:p>
                </c:rich>
              </c:tx>
              <c:numFmt formatCode="\$#,##0" sourceLinked="0"/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B1-4C9F-B99F-B5FAA2DC85B6}"/>
                </c:ext>
              </c:extLst>
            </c:dLbl>
            <c:dLbl>
              <c:idx val="6"/>
              <c:layout>
                <c:manualLayout>
                  <c:x val="-3.3055385503085368E-3"/>
                  <c:y val="-4.1462316421969597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B1-4C9F-B99F-B5FAA2DC85B6}"/>
                </c:ext>
              </c:extLst>
            </c:dLbl>
            <c:dLbl>
              <c:idx val="7"/>
              <c:layout>
                <c:manualLayout>
                  <c:x val="4.2799743865796838E-3"/>
                  <c:y val="-4.0771962220029427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B1-4C9F-B99F-B5FAA2DC85B6}"/>
                </c:ext>
              </c:extLst>
            </c:dLbl>
            <c:dLbl>
              <c:idx val="8"/>
              <c:layout>
                <c:manualLayout>
                  <c:x val="-8.3971768944431563E-2"/>
                  <c:y val="-5.9761270379470009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9B1-4C9F-B99F-B5FAA2DC85B6}"/>
                </c:ext>
              </c:extLst>
            </c:dLbl>
            <c:dLbl>
              <c:idx val="9"/>
              <c:layout>
                <c:manualLayout>
                  <c:x val="8.1218466994574703E-2"/>
                  <c:y val="-9.6294637634130889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9B1-4C9F-B99F-B5FAA2DC85B6}"/>
                </c:ext>
              </c:extLst>
            </c:dLbl>
            <c:numFmt formatCode="\$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Barley!$A$5:$A$14</c:f>
              <c:strCache>
                <c:ptCount val="10"/>
                <c:pt idx="0">
                  <c:v>Net Profit</c:v>
                </c:pt>
                <c:pt idx="1">
                  <c:v>Seed </c:v>
                </c:pt>
                <c:pt idx="2">
                  <c:v>Fertilizer</c:v>
                </c:pt>
                <c:pt idx="3">
                  <c:v>Chemical</c:v>
                </c:pt>
                <c:pt idx="4">
                  <c:v>Crop Ins</c:v>
                </c:pt>
                <c:pt idx="5">
                  <c:v>Repairs</c:v>
                </c:pt>
                <c:pt idx="6">
                  <c:v>Fuel, Custom Hire &amp; Other</c:v>
                </c:pt>
                <c:pt idx="7">
                  <c:v>Land Rent</c:v>
                </c:pt>
                <c:pt idx="8">
                  <c:v>Oper Interest</c:v>
                </c:pt>
                <c:pt idx="9">
                  <c:v>Overhead Exp</c:v>
                </c:pt>
              </c:strCache>
            </c:strRef>
          </c:cat>
          <c:val>
            <c:numRef>
              <c:f>Barley!$K$5:$K$14</c:f>
              <c:numCache>
                <c:formatCode>"$"#,##0.00</c:formatCode>
                <c:ptCount val="10"/>
                <c:pt idx="0">
                  <c:v>159.16999999999999</c:v>
                </c:pt>
                <c:pt idx="1">
                  <c:v>16.850000000000001</c:v>
                </c:pt>
                <c:pt idx="2">
                  <c:v>45.29</c:v>
                </c:pt>
                <c:pt idx="3">
                  <c:v>24.52</c:v>
                </c:pt>
                <c:pt idx="4">
                  <c:v>16.95</c:v>
                </c:pt>
                <c:pt idx="5">
                  <c:v>14.98</c:v>
                </c:pt>
                <c:pt idx="6">
                  <c:v>19.62</c:v>
                </c:pt>
                <c:pt idx="7">
                  <c:v>35.64</c:v>
                </c:pt>
                <c:pt idx="8">
                  <c:v>3.52</c:v>
                </c:pt>
                <c:pt idx="9">
                  <c:v>28.88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B1-4C9F-B99F-B5FAA2DC85B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9B1-4C9F-B99F-B5FAA2DC85B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C-79B1-4C9F-B99F-B5FAA2DC85B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D-79B1-4C9F-B99F-B5FAA2DC85B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E-79B1-4C9F-B99F-B5FAA2DC85B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F-79B1-4C9F-B99F-B5FAA2DC85B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0-79B1-4C9F-B99F-B5FAA2DC85B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1-79B1-4C9F-B99F-B5FAA2DC85B6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12-79B1-4C9F-B99F-B5FAA2DC85B6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3-79B1-4C9F-B99F-B5FAA2DC85B6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4-79B1-4C9F-B99F-B5FAA2DC85B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6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5-79B1-4C9F-B99F-B5FAA2DC85B6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4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ND Barley Crop</a:t>
            </a:r>
          </a:p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10 year average (1999-2008)</a:t>
            </a:r>
            <a:endParaRPr lang="en-US" sz="12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20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Cash Rented Land</a:t>
            </a:r>
          </a:p>
        </c:rich>
      </c:tx>
      <c:layout>
        <c:manualLayout>
          <c:xMode val="edge"/>
          <c:yMode val="edge"/>
          <c:x val="4.3676069153776163E-2"/>
          <c:y val="1.0799136069114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54868086252099857"/>
          <c:y val="0.27645817492298752"/>
          <c:w val="0.25113750921359135"/>
          <c:h val="0.59611293967769186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A7B-449B-A06E-356D16FDC971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A7B-449B-A06E-356D16FDC97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A7B-449B-A06E-356D16FDC971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A7B-449B-A06E-356D16FDC971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A7B-449B-A06E-356D16FDC971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A7B-449B-A06E-356D16FDC971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A7B-449B-A06E-356D16FDC971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A7B-449B-A06E-356D16FDC971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A7B-449B-A06E-356D16FDC971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A7B-449B-A06E-356D16FDC971}"/>
              </c:ext>
            </c:extLst>
          </c:dPt>
          <c:dLbls>
            <c:dLbl>
              <c:idx val="0"/>
              <c:layout>
                <c:manualLayout>
                  <c:x val="8.8743809918162726E-3"/>
                  <c:y val="-4.7704072516559955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7B-449B-A06E-356D16FDC971}"/>
                </c:ext>
              </c:extLst>
            </c:dLbl>
            <c:dLbl>
              <c:idx val="1"/>
              <c:layout>
                <c:manualLayout>
                  <c:x val="1.7930457778764657E-2"/>
                  <c:y val="-3.8375506191897454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7B-449B-A06E-356D16FDC971}"/>
                </c:ext>
              </c:extLst>
            </c:dLbl>
            <c:dLbl>
              <c:idx val="3"/>
              <c:layout>
                <c:manualLayout>
                  <c:x val="1.8835769600330825E-2"/>
                  <c:y val="2.2908473233908704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7B-449B-A06E-356D16FDC971}"/>
                </c:ext>
              </c:extLst>
            </c:dLbl>
            <c:dLbl>
              <c:idx val="7"/>
              <c:layout>
                <c:manualLayout>
                  <c:x val="-3.3436585559636404E-3"/>
                  <c:y val="-6.6616976008170422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7B-449B-A06E-356D16FDC971}"/>
                </c:ext>
              </c:extLst>
            </c:dLbl>
            <c:dLbl>
              <c:idx val="8"/>
              <c:layout>
                <c:manualLayout>
                  <c:x val="-1.1197910914037972E-2"/>
                  <c:y val="-3.8894817077294377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A7B-449B-A06E-356D16FDC971}"/>
                </c:ext>
              </c:extLst>
            </c:dLbl>
            <c:dLbl>
              <c:idx val="9"/>
              <c:layout>
                <c:manualLayout>
                  <c:x val="2.7709123533613871E-2"/>
                  <c:y val="-6.2899774626045499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7B-449B-A06E-356D16FDC971}"/>
                </c:ext>
              </c:extLst>
            </c:dLbl>
            <c:numFmt formatCode="\$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Barley!$M$5:$M$14</c:f>
              <c:strCache>
                <c:ptCount val="10"/>
                <c:pt idx="0">
                  <c:v>Net Profit</c:v>
                </c:pt>
                <c:pt idx="1">
                  <c:v>Seed </c:v>
                </c:pt>
                <c:pt idx="2">
                  <c:v>Fertilizer</c:v>
                </c:pt>
                <c:pt idx="3">
                  <c:v>Chemical</c:v>
                </c:pt>
                <c:pt idx="4">
                  <c:v>Crop Ins</c:v>
                </c:pt>
                <c:pt idx="5">
                  <c:v>Repairs</c:v>
                </c:pt>
                <c:pt idx="6">
                  <c:v>Fuel, Custom Hire &amp; Other</c:v>
                </c:pt>
                <c:pt idx="7">
                  <c:v>Land Rent</c:v>
                </c:pt>
                <c:pt idx="8">
                  <c:v>Oper Interest</c:v>
                </c:pt>
                <c:pt idx="9">
                  <c:v>Overhead Exp</c:v>
                </c:pt>
              </c:strCache>
            </c:strRef>
          </c:cat>
          <c:val>
            <c:numRef>
              <c:f>Barley!$N$5:$N$14</c:f>
              <c:numCache>
                <c:formatCode>"$"#,##0.00</c:formatCode>
                <c:ptCount val="10"/>
                <c:pt idx="0">
                  <c:v>37.676000000000002</c:v>
                </c:pt>
                <c:pt idx="1">
                  <c:v>8.3539999999999992</c:v>
                </c:pt>
                <c:pt idx="2">
                  <c:v>21.481999999999996</c:v>
                </c:pt>
                <c:pt idx="3">
                  <c:v>13.963000000000003</c:v>
                </c:pt>
                <c:pt idx="4">
                  <c:v>8.0640000000000001</c:v>
                </c:pt>
                <c:pt idx="5">
                  <c:v>10.788</c:v>
                </c:pt>
                <c:pt idx="6">
                  <c:v>12.057</c:v>
                </c:pt>
                <c:pt idx="7">
                  <c:v>31.130999999999993</c:v>
                </c:pt>
                <c:pt idx="8">
                  <c:v>2.944</c:v>
                </c:pt>
                <c:pt idx="9">
                  <c:v>23.602999999999998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A7B-449B-A06E-356D16FDC971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9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ND Canola Crop  - 2008</a:t>
            </a:r>
          </a:p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5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Cash Rented Land</a:t>
            </a:r>
            <a:endParaRPr lang="en-US" sz="1975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 sz="1975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9.7127222982216141E-2"/>
          <c:y val="3.44827586206896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7332421340629277"/>
          <c:y val="0.23922413793103448"/>
          <c:w val="0.36935704514363887"/>
          <c:h val="0.5818965517241379"/>
        </c:manualLayout>
      </c:layout>
      <c:pieChart>
        <c:varyColors val="1"/>
        <c:ser>
          <c:idx val="0"/>
          <c:order val="0"/>
          <c:tx>
            <c:strRef>
              <c:f>Canola!$K$2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572-4272-92E0-5A7FD56CF285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72-4272-92E0-5A7FD56CF285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572-4272-92E0-5A7FD56CF285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72-4272-92E0-5A7FD56CF285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572-4272-92E0-5A7FD56CF285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72-4272-92E0-5A7FD56CF285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572-4272-92E0-5A7FD56CF285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572-4272-92E0-5A7FD56CF285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572-4272-92E0-5A7FD56CF285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572-4272-92E0-5A7FD56CF285}"/>
              </c:ext>
            </c:extLst>
          </c:dPt>
          <c:dLbls>
            <c:dLbl>
              <c:idx val="0"/>
              <c:layout>
                <c:manualLayout>
                  <c:x val="8.7898862163433289E-3"/>
                  <c:y val="-3.4122318761878913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72-4272-92E0-5A7FD56CF285}"/>
                </c:ext>
              </c:extLst>
            </c:dLbl>
            <c:dLbl>
              <c:idx val="1"/>
              <c:layout>
                <c:manualLayout>
                  <c:x val="1.0233850727619316E-2"/>
                  <c:y val="7.2515612272604441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72-4272-92E0-5A7FD56CF285}"/>
                </c:ext>
              </c:extLst>
            </c:dLbl>
            <c:dLbl>
              <c:idx val="2"/>
              <c:layout>
                <c:manualLayout>
                  <c:x val="1.7316658947043432E-2"/>
                  <c:y val="1.8841976649470526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72-4272-92E0-5A7FD56CF285}"/>
                </c:ext>
              </c:extLst>
            </c:dLbl>
            <c:dLbl>
              <c:idx val="3"/>
              <c:layout>
                <c:manualLayout>
                  <c:x val="1.8738649460882991E-2"/>
                  <c:y val="4.5791248076749044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72-4272-92E0-5A7FD56CF285}"/>
                </c:ext>
              </c:extLst>
            </c:dLbl>
            <c:dLbl>
              <c:idx val="4"/>
              <c:layout>
                <c:manualLayout>
                  <c:x val="-6.0852749083519182E-2"/>
                  <c:y val="3.6785229432527849E-2"/>
                </c:manualLayout>
              </c:layout>
              <c:tx>
                <c:rich>
                  <a:bodyPr/>
                  <a:lstStyle/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Crop Ins, $8 </a:t>
                    </a:r>
                  </a:p>
                </c:rich>
              </c:tx>
              <c:numFmt formatCode="#,##0" sourceLinked="0"/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572-4272-92E0-5A7FD56CF28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pPr>
                      <a:defRPr sz="16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13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Repairs $15</a:t>
                    </a:r>
                    <a:r>
                      <a:rPr lang="en-US" sz="12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 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572-4272-92E0-5A7FD56CF285}"/>
                </c:ext>
              </c:extLst>
            </c:dLbl>
            <c:dLbl>
              <c:idx val="6"/>
              <c:layout>
                <c:manualLayout>
                  <c:x val="-7.4725953373476158E-4"/>
                  <c:y val="-3.0982441849941294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572-4272-92E0-5A7FD56CF285}"/>
                </c:ext>
              </c:extLst>
            </c:dLbl>
            <c:dLbl>
              <c:idx val="7"/>
              <c:layout>
                <c:manualLayout>
                  <c:x val="-3.6722427480422669E-2"/>
                  <c:y val="-2.7373517965426993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572-4272-92E0-5A7FD56CF285}"/>
                </c:ext>
              </c:extLst>
            </c:dLbl>
            <c:dLbl>
              <c:idx val="8"/>
              <c:layout>
                <c:manualLayout>
                  <c:x val="-9.3033452897731142E-2"/>
                  <c:y val="-3.983075391438138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572-4272-92E0-5A7FD56CF285}"/>
                </c:ext>
              </c:extLst>
            </c:dLbl>
            <c:dLbl>
              <c:idx val="9"/>
              <c:layout>
                <c:manualLayout>
                  <c:x val="5.3215564196746327E-2"/>
                  <c:y val="-5.9150375599601762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572-4272-92E0-5A7FD56CF285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Canola!$A$5:$A$14</c:f>
              <c:strCache>
                <c:ptCount val="10"/>
                <c:pt idx="0">
                  <c:v>Net Profit</c:v>
                </c:pt>
                <c:pt idx="1">
                  <c:v>Seed </c:v>
                </c:pt>
                <c:pt idx="2">
                  <c:v>Fertilizer</c:v>
                </c:pt>
                <c:pt idx="3">
                  <c:v>Chemical</c:v>
                </c:pt>
                <c:pt idx="4">
                  <c:v>Crop Ins</c:v>
                </c:pt>
                <c:pt idx="5">
                  <c:v>Repairs</c:v>
                </c:pt>
                <c:pt idx="6">
                  <c:v>Fuel, Custom Hire &amp; Other</c:v>
                </c:pt>
                <c:pt idx="7">
                  <c:v>Land Rent</c:v>
                </c:pt>
                <c:pt idx="8">
                  <c:v>Oper Interest</c:v>
                </c:pt>
                <c:pt idx="9">
                  <c:v>Overhead Exp</c:v>
                </c:pt>
              </c:strCache>
            </c:strRef>
          </c:cat>
          <c:val>
            <c:numRef>
              <c:f>Canola!$K$5:$K$14</c:f>
              <c:numCache>
                <c:formatCode>"$"#,##0.00</c:formatCode>
                <c:ptCount val="10"/>
                <c:pt idx="0">
                  <c:v>87.07</c:v>
                </c:pt>
                <c:pt idx="1">
                  <c:v>31.38</c:v>
                </c:pt>
                <c:pt idx="2">
                  <c:v>53.71</c:v>
                </c:pt>
                <c:pt idx="3">
                  <c:v>27.77</c:v>
                </c:pt>
                <c:pt idx="4">
                  <c:v>22.42</c:v>
                </c:pt>
                <c:pt idx="5">
                  <c:v>15.54</c:v>
                </c:pt>
                <c:pt idx="6">
                  <c:v>20.16</c:v>
                </c:pt>
                <c:pt idx="7">
                  <c:v>35.979999999999997</c:v>
                </c:pt>
                <c:pt idx="8">
                  <c:v>4.12</c:v>
                </c:pt>
                <c:pt idx="9">
                  <c:v>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72-4272-92E0-5A7FD56CF28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572-4272-92E0-5A7FD56CF28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C-E572-4272-92E0-5A7FD56CF28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D-E572-4272-92E0-5A7FD56CF28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E-E572-4272-92E0-5A7FD56CF28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F-E572-4272-92E0-5A7FD56CF28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0-E572-4272-92E0-5A7FD56CF285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1-E572-4272-92E0-5A7FD56CF285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12-E572-4272-92E0-5A7FD56CF285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3-E572-4272-92E0-5A7FD56CF285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4-E572-4272-92E0-5A7FD56CF285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5-E572-4272-92E0-5A7FD56CF285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4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ND Canola Crop</a:t>
            </a:r>
          </a:p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10 year average (1999-2008)</a:t>
            </a:r>
            <a:endParaRPr lang="en-US" sz="12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20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Cash Rented Land</a:t>
            </a:r>
            <a:endParaRPr lang="en-US" sz="185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 sz="185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4.1666666666666664E-2"/>
          <c:y val="1.29589632829373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56884108288846924"/>
          <c:y val="0.27213851593981586"/>
          <c:w val="0.24275383792055694"/>
          <c:h val="0.5788343037450051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47E-42C0-B183-E97278A9564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47E-42C0-B183-E97278A9564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47E-42C0-B183-E97278A95646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47E-42C0-B183-E97278A95646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747E-42C0-B183-E97278A95646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47E-42C0-B183-E97278A95646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747E-42C0-B183-E97278A95646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47E-42C0-B183-E97278A95646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747E-42C0-B183-E97278A95646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47E-42C0-B183-E97278A95646}"/>
              </c:ext>
            </c:extLst>
          </c:dPt>
          <c:dLbls>
            <c:dLbl>
              <c:idx val="5"/>
              <c:layout>
                <c:manualLayout>
                  <c:x val="-5.891195808954806E-3"/>
                  <c:y val="3.404956800701571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7E-42C0-B183-E97278A95646}"/>
                </c:ext>
              </c:extLst>
            </c:dLbl>
            <c:dLbl>
              <c:idx val="6"/>
              <c:layout>
                <c:manualLayout>
                  <c:x val="-7.9490047135017325E-3"/>
                  <c:y val="-5.1434189869714958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47E-42C0-B183-E97278A95646}"/>
                </c:ext>
              </c:extLst>
            </c:dLbl>
            <c:dLbl>
              <c:idx val="7"/>
              <c:layout>
                <c:manualLayout>
                  <c:x val="-1.3530724451308899E-3"/>
                  <c:y val="2.3033744644177723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47E-42C0-B183-E97278A95646}"/>
                </c:ext>
              </c:extLst>
            </c:dLbl>
            <c:dLbl>
              <c:idx val="8"/>
              <c:layout>
                <c:manualLayout>
                  <c:x val="-1.7464850035141248E-2"/>
                  <c:y val="-1.2900130600888553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47E-42C0-B183-E97278A95646}"/>
                </c:ext>
              </c:extLst>
            </c:dLbl>
            <c:dLbl>
              <c:idx val="9"/>
              <c:layout>
                <c:manualLayout>
                  <c:x val="2.2394463576198387E-2"/>
                  <c:y val="-3.2172934873010164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47E-42C0-B183-E97278A95646}"/>
                </c:ext>
              </c:extLst>
            </c:dLbl>
            <c:numFmt formatCode="\$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Canola!$M$5:$M$14</c:f>
              <c:strCache>
                <c:ptCount val="10"/>
                <c:pt idx="0">
                  <c:v>Net Profit</c:v>
                </c:pt>
                <c:pt idx="1">
                  <c:v>Seed </c:v>
                </c:pt>
                <c:pt idx="2">
                  <c:v>Fertilizer</c:v>
                </c:pt>
                <c:pt idx="3">
                  <c:v>Chemical</c:v>
                </c:pt>
                <c:pt idx="4">
                  <c:v>Crop Ins</c:v>
                </c:pt>
                <c:pt idx="5">
                  <c:v>Repairs</c:v>
                </c:pt>
                <c:pt idx="6">
                  <c:v>Fuel, Custom Hire &amp; Other</c:v>
                </c:pt>
                <c:pt idx="7">
                  <c:v>Land Rent</c:v>
                </c:pt>
                <c:pt idx="8">
                  <c:v>Oper Interest</c:v>
                </c:pt>
                <c:pt idx="9">
                  <c:v>Overhead Exp</c:v>
                </c:pt>
              </c:strCache>
            </c:strRef>
          </c:cat>
          <c:val>
            <c:numRef>
              <c:f>Canola!$N$5:$N$14</c:f>
              <c:numCache>
                <c:formatCode>"$"#,##0.00</c:formatCode>
                <c:ptCount val="10"/>
                <c:pt idx="0">
                  <c:v>16.664999999999999</c:v>
                </c:pt>
                <c:pt idx="1">
                  <c:v>24.628</c:v>
                </c:pt>
                <c:pt idx="2">
                  <c:v>26.73</c:v>
                </c:pt>
                <c:pt idx="3">
                  <c:v>17.437000000000001</c:v>
                </c:pt>
                <c:pt idx="4">
                  <c:v>8.8710000000000004</c:v>
                </c:pt>
                <c:pt idx="5">
                  <c:v>10.812999999999999</c:v>
                </c:pt>
                <c:pt idx="6">
                  <c:v>13.064000000000002</c:v>
                </c:pt>
                <c:pt idx="7">
                  <c:v>31.521000000000004</c:v>
                </c:pt>
                <c:pt idx="8">
                  <c:v>3.2240000000000002</c:v>
                </c:pt>
                <c:pt idx="9">
                  <c:v>23.053000000000004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7E-42C0-B183-E97278A95646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9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ND Sunflower (Oil) Crop  - 2008</a:t>
            </a:r>
          </a:p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5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Cash Rented Land</a:t>
            </a:r>
            <a:endParaRPr lang="en-US" sz="1975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 sz="1975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23537234042553193"/>
          <c:y val="2.58620689655172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50930851063829785"/>
          <c:y val="0.28663793103448276"/>
          <c:w val="0.31781914893617019"/>
          <c:h val="0.51508620689655171"/>
        </c:manualLayout>
      </c:layout>
      <c:pieChart>
        <c:varyColors val="1"/>
        <c:ser>
          <c:idx val="0"/>
          <c:order val="0"/>
          <c:tx>
            <c:strRef>
              <c:f>'Sunflower(Oil)'!$K$2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27A-4240-8551-AF3B256F5E0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27A-4240-8551-AF3B256F5E0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27A-4240-8551-AF3B256F5E04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27A-4240-8551-AF3B256F5E04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27A-4240-8551-AF3B256F5E04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27A-4240-8551-AF3B256F5E04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27A-4240-8551-AF3B256F5E04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27A-4240-8551-AF3B256F5E04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027A-4240-8551-AF3B256F5E04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27A-4240-8551-AF3B256F5E04}"/>
              </c:ext>
            </c:extLst>
          </c:dPt>
          <c:dLbls>
            <c:dLbl>
              <c:idx val="0"/>
              <c:layout>
                <c:manualLayout>
                  <c:x val="6.6933322164516081E-3"/>
                  <c:y val="-6.8453253688116611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7A-4240-8551-AF3B256F5E04}"/>
                </c:ext>
              </c:extLst>
            </c:dLbl>
            <c:dLbl>
              <c:idx val="1"/>
              <c:layout>
                <c:manualLayout>
                  <c:x val="1.8126849835259987E-2"/>
                  <c:y val="4.5678115666576161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7A-4240-8551-AF3B256F5E04}"/>
                </c:ext>
              </c:extLst>
            </c:dLbl>
            <c:dLbl>
              <c:idx val="2"/>
              <c:layout>
                <c:manualLayout>
                  <c:x val="7.8555872005360902E-3"/>
                  <c:y val="1.454995927233237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7A-4240-8551-AF3B256F5E04}"/>
                </c:ext>
              </c:extLst>
            </c:dLbl>
            <c:dLbl>
              <c:idx val="3"/>
              <c:layout>
                <c:manualLayout>
                  <c:x val="2.3351343050203806E-2"/>
                  <c:y val="4.126730925875649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7A-4240-8551-AF3B256F5E04}"/>
                </c:ext>
              </c:extLst>
            </c:dLbl>
            <c:dLbl>
              <c:idx val="4"/>
              <c:layout>
                <c:manualLayout>
                  <c:x val="-2.0025409057910337E-2"/>
                  <c:y val="7.6514842972214753E-2"/>
                </c:manualLayout>
              </c:layout>
              <c:tx>
                <c:rich>
                  <a:bodyPr/>
                  <a:lstStyle/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Crop Ins, $8 </a:t>
                    </a:r>
                  </a:p>
                </c:rich>
              </c:tx>
              <c:numFmt formatCode="#,##0" sourceLinked="0"/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7A-4240-8551-AF3B256F5E04}"/>
                </c:ext>
              </c:extLst>
            </c:dLbl>
            <c:dLbl>
              <c:idx val="5"/>
              <c:layout>
                <c:manualLayout>
                  <c:x val="-6.5220304908695133E-3"/>
                  <c:y val="2.4845008598063253E-2"/>
                </c:manualLayout>
              </c:layout>
              <c:tx>
                <c:rich>
                  <a:bodyPr/>
                  <a:lstStyle/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Repairs $15 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7A-4240-8551-AF3B256F5E04}"/>
                </c:ext>
              </c:extLst>
            </c:dLbl>
            <c:dLbl>
              <c:idx val="6"/>
              <c:layout>
                <c:manualLayout>
                  <c:x val="-1.7947171497179851E-2"/>
                  <c:y val="-3.6399900443479093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27A-4240-8551-AF3B256F5E04}"/>
                </c:ext>
              </c:extLst>
            </c:dLbl>
            <c:dLbl>
              <c:idx val="7"/>
              <c:layout>
                <c:manualLayout>
                  <c:x val="-2.6203579605740764E-2"/>
                  <c:y val="-7.2296135396868926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7A-4240-8551-AF3B256F5E04}"/>
                </c:ext>
              </c:extLst>
            </c:dLbl>
            <c:dLbl>
              <c:idx val="8"/>
              <c:layout>
                <c:manualLayout>
                  <c:x val="-6.1772910035181774E-2"/>
                  <c:y val="-4.6216399674178683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27A-4240-8551-AF3B256F5E04}"/>
                </c:ext>
              </c:extLst>
            </c:dLbl>
            <c:dLbl>
              <c:idx val="9"/>
              <c:layout>
                <c:manualLayout>
                  <c:x val="5.4696906237784025E-2"/>
                  <c:y val="-5.0335550728572702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7A-4240-8551-AF3B256F5E04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'Sunflower(Oil)'!$A$5:$A$14</c:f>
              <c:strCache>
                <c:ptCount val="10"/>
                <c:pt idx="0">
                  <c:v>Net Profit</c:v>
                </c:pt>
                <c:pt idx="1">
                  <c:v>Seed </c:v>
                </c:pt>
                <c:pt idx="2">
                  <c:v>Fertilizer</c:v>
                </c:pt>
                <c:pt idx="3">
                  <c:v>Chemical</c:v>
                </c:pt>
                <c:pt idx="4">
                  <c:v>Crop Ins</c:v>
                </c:pt>
                <c:pt idx="5">
                  <c:v>Repairs</c:v>
                </c:pt>
                <c:pt idx="6">
                  <c:v>Fuel, Custom Hire &amp; Other</c:v>
                </c:pt>
                <c:pt idx="7">
                  <c:v>Land Rent</c:v>
                </c:pt>
                <c:pt idx="8">
                  <c:v>Oper Interest</c:v>
                </c:pt>
                <c:pt idx="9">
                  <c:v>Overhead Exp</c:v>
                </c:pt>
              </c:strCache>
            </c:strRef>
          </c:cat>
          <c:val>
            <c:numRef>
              <c:f>'Sunflower(Oil)'!$K$5:$K$14</c:f>
              <c:numCache>
                <c:formatCode>"$"#,##0.00</c:formatCode>
                <c:ptCount val="10"/>
                <c:pt idx="0">
                  <c:v>78.81</c:v>
                </c:pt>
                <c:pt idx="1">
                  <c:v>26.84</c:v>
                </c:pt>
                <c:pt idx="2">
                  <c:v>35.4</c:v>
                </c:pt>
                <c:pt idx="3">
                  <c:v>36.29</c:v>
                </c:pt>
                <c:pt idx="4">
                  <c:v>24.65</c:v>
                </c:pt>
                <c:pt idx="5">
                  <c:v>16.11</c:v>
                </c:pt>
                <c:pt idx="6">
                  <c:v>24.09</c:v>
                </c:pt>
                <c:pt idx="7">
                  <c:v>34.24</c:v>
                </c:pt>
                <c:pt idx="8">
                  <c:v>3.99</c:v>
                </c:pt>
                <c:pt idx="9">
                  <c:v>29.88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27A-4240-8551-AF3B256F5E0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27A-4240-8551-AF3B256F5E0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C-027A-4240-8551-AF3B256F5E0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D-027A-4240-8551-AF3B256F5E0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E-027A-4240-8551-AF3B256F5E0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F-027A-4240-8551-AF3B256F5E04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0-027A-4240-8551-AF3B256F5E04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1-027A-4240-8551-AF3B256F5E04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12-027A-4240-8551-AF3B256F5E04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3-027A-4240-8551-AF3B256F5E04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4-027A-4240-8551-AF3B256F5E0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5-027A-4240-8551-AF3B256F5E04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ND Sunflower (Oil) Crop</a:t>
            </a:r>
            <a:endParaRPr lang="en-US" sz="3475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10 year average (1999-2008) </a:t>
            </a:r>
            <a:r>
              <a:rPr lang="en-US" sz="20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Cash Rented Land</a:t>
            </a:r>
            <a:endParaRPr lang="en-US" sz="185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 sz="185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3.8216560509554139E-2"/>
          <c:y val="1.08225108225108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54686102549771165"/>
          <c:y val="0.25541179529346608"/>
          <c:w val="0.27388547200467755"/>
          <c:h val="0.65151652867231613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766-473A-BDB8-3C74AA71C720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66-473A-BDB8-3C74AA71C72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766-473A-BDB8-3C74AA71C720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66-473A-BDB8-3C74AA71C720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8766-473A-BDB8-3C74AA71C720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766-473A-BDB8-3C74AA71C720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8766-473A-BDB8-3C74AA71C720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766-473A-BDB8-3C74AA71C720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8766-473A-BDB8-3C74AA71C720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766-473A-BDB8-3C74AA71C720}"/>
              </c:ext>
            </c:extLst>
          </c:dPt>
          <c:dLbls>
            <c:dLbl>
              <c:idx val="0"/>
              <c:layout>
                <c:manualLayout>
                  <c:x val="-2.0241324527639219E-3"/>
                  <c:y val="-3.8539938468395978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66-473A-BDB8-3C74AA71C720}"/>
                </c:ext>
              </c:extLst>
            </c:dLbl>
            <c:dLbl>
              <c:idx val="1"/>
              <c:layout>
                <c:manualLayout>
                  <c:x val="9.1836047802864394E-3"/>
                  <c:y val="-5.6272801446116639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66-473A-BDB8-3C74AA71C720}"/>
                </c:ext>
              </c:extLst>
            </c:dLbl>
            <c:dLbl>
              <c:idx val="2"/>
              <c:layout>
                <c:manualLayout>
                  <c:x val="7.3943282902203247E-3"/>
                  <c:y val="6.8873784645655917E-4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66-473A-BDB8-3C74AA71C720}"/>
                </c:ext>
              </c:extLst>
            </c:dLbl>
            <c:dLbl>
              <c:idx val="3"/>
              <c:layout>
                <c:manualLayout>
                  <c:x val="7.3624890851653399E-3"/>
                  <c:y val="2.1854253719894331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66-473A-BDB8-3C74AA71C720}"/>
                </c:ext>
              </c:extLst>
            </c:dLbl>
            <c:dLbl>
              <c:idx val="5"/>
              <c:layout>
                <c:manualLayout>
                  <c:x val="-1.6000214958884321E-2"/>
                  <c:y val="-1.4096164000026942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66-473A-BDB8-3C74AA71C720}"/>
                </c:ext>
              </c:extLst>
            </c:dLbl>
            <c:dLbl>
              <c:idx val="6"/>
              <c:layout>
                <c:manualLayout>
                  <c:x val="-2.9913469117480891E-2"/>
                  <c:y val="-0.11367717232779125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66-473A-BDB8-3C74AA71C720}"/>
                </c:ext>
              </c:extLst>
            </c:dLbl>
            <c:dLbl>
              <c:idx val="7"/>
              <c:layout>
                <c:manualLayout>
                  <c:x val="-7.167694609968368E-3"/>
                  <c:y val="7.6371628342864297E-4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66-473A-BDB8-3C74AA71C720}"/>
                </c:ext>
              </c:extLst>
            </c:dLbl>
            <c:dLbl>
              <c:idx val="8"/>
              <c:layout>
                <c:manualLayout>
                  <c:x val="-2.6597147335211287E-2"/>
                  <c:y val="6.8084945577732477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766-473A-BDB8-3C74AA71C720}"/>
                </c:ext>
              </c:extLst>
            </c:dLbl>
            <c:dLbl>
              <c:idx val="9"/>
              <c:layout>
                <c:manualLayout>
                  <c:x val="-7.3622707364307729E-3"/>
                  <c:y val="4.3017708494582994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766-473A-BDB8-3C74AA71C720}"/>
                </c:ext>
              </c:extLst>
            </c:dLbl>
            <c:numFmt formatCode="\$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'Sunflower(Oil)'!$M$5:$M$14</c:f>
              <c:strCache>
                <c:ptCount val="10"/>
                <c:pt idx="0">
                  <c:v>Net Profit</c:v>
                </c:pt>
                <c:pt idx="1">
                  <c:v>Seed </c:v>
                </c:pt>
                <c:pt idx="2">
                  <c:v>Fertilizer</c:v>
                </c:pt>
                <c:pt idx="3">
                  <c:v>Chemical</c:v>
                </c:pt>
                <c:pt idx="4">
                  <c:v>Crop Ins</c:v>
                </c:pt>
                <c:pt idx="5">
                  <c:v>Repairs</c:v>
                </c:pt>
                <c:pt idx="6">
                  <c:v>Fuel, Custom Hire &amp; Other</c:v>
                </c:pt>
                <c:pt idx="7">
                  <c:v>Land Rent</c:v>
                </c:pt>
                <c:pt idx="8">
                  <c:v>Oper Interest</c:v>
                </c:pt>
                <c:pt idx="9">
                  <c:v>Overhead Exp</c:v>
                </c:pt>
              </c:strCache>
            </c:strRef>
          </c:cat>
          <c:val>
            <c:numRef>
              <c:f>'Sunflower(Oil)'!$N$5:$N$14</c:f>
              <c:numCache>
                <c:formatCode>"$"#,##0.00</c:formatCode>
                <c:ptCount val="10"/>
                <c:pt idx="0">
                  <c:v>35.500999999999998</c:v>
                </c:pt>
                <c:pt idx="1">
                  <c:v>18.874000000000002</c:v>
                </c:pt>
                <c:pt idx="2">
                  <c:v>17.875999999999998</c:v>
                </c:pt>
                <c:pt idx="3">
                  <c:v>19.673999999999999</c:v>
                </c:pt>
                <c:pt idx="4">
                  <c:v>9.0749999999999993</c:v>
                </c:pt>
                <c:pt idx="5">
                  <c:v>12.163</c:v>
                </c:pt>
                <c:pt idx="6">
                  <c:v>14.199000000000002</c:v>
                </c:pt>
                <c:pt idx="7">
                  <c:v>30.274999999999999</c:v>
                </c:pt>
                <c:pt idx="8">
                  <c:v>3.7270000000000003</c:v>
                </c:pt>
                <c:pt idx="9">
                  <c:v>24.567999999999998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766-473A-BDB8-3C74AA71C720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9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ND Soybean Crop  - 2008</a:t>
            </a:r>
          </a:p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5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Cash Rented Land</a:t>
            </a:r>
            <a:endParaRPr lang="en-US" sz="1975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 sz="1975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27324794701091548"/>
          <c:y val="2.58064516129032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7639551535049424"/>
          <c:y val="0.23871017874281489"/>
          <c:w val="0.32904194753938037"/>
          <c:h val="0.49462469469231918"/>
        </c:manualLayout>
      </c:layout>
      <c:pieChart>
        <c:varyColors val="1"/>
        <c:ser>
          <c:idx val="0"/>
          <c:order val="0"/>
          <c:tx>
            <c:strRef>
              <c:f>Soybeans!$K$2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B0E-402C-9CB3-33ABA8566D80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0E-402C-9CB3-33ABA8566D8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B0E-402C-9CB3-33ABA8566D80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0E-402C-9CB3-33ABA8566D80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B0E-402C-9CB3-33ABA8566D80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0E-402C-9CB3-33ABA8566D80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B0E-402C-9CB3-33ABA8566D80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B0E-402C-9CB3-33ABA8566D80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AB0E-402C-9CB3-33ABA8566D80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B0E-402C-9CB3-33ABA8566D80}"/>
              </c:ext>
            </c:extLst>
          </c:dPt>
          <c:dLbls>
            <c:dLbl>
              <c:idx val="0"/>
              <c:layout>
                <c:manualLayout>
                  <c:x val="7.8203757964331998E-3"/>
                  <c:y val="-7.183178451818067E-4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0E-402C-9CB3-33ABA8566D80}"/>
                </c:ext>
              </c:extLst>
            </c:dLbl>
            <c:dLbl>
              <c:idx val="1"/>
              <c:layout>
                <c:manualLayout>
                  <c:x val="2.7671394389803202E-2"/>
                  <c:y val="9.6703662699183963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0E-402C-9CB3-33ABA8566D80}"/>
                </c:ext>
              </c:extLst>
            </c:dLbl>
            <c:dLbl>
              <c:idx val="2"/>
              <c:layout>
                <c:manualLayout>
                  <c:x val="2.0322980058916747E-2"/>
                  <c:y val="-7.9877535195906763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B0E-402C-9CB3-33ABA8566D80}"/>
                </c:ext>
              </c:extLst>
            </c:dLbl>
            <c:dLbl>
              <c:idx val="3"/>
              <c:layout>
                <c:manualLayout>
                  <c:x val="-1.8869260543115454E-2"/>
                  <c:y val="6.6708052131091877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0E-402C-9CB3-33ABA8566D80}"/>
                </c:ext>
              </c:extLst>
            </c:dLbl>
            <c:dLbl>
              <c:idx val="4"/>
              <c:layout>
                <c:manualLayout>
                  <c:x val="-1.8746664191759001E-2"/>
                  <c:y val="0.12647235774695167"/>
                </c:manualLayout>
              </c:layout>
              <c:tx>
                <c:rich>
                  <a:bodyPr/>
                  <a:lstStyle/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Crop Ins, $8 </a:t>
                    </a:r>
                  </a:p>
                </c:rich>
              </c:tx>
              <c:numFmt formatCode="#,##0" sourceLinked="0"/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0E-402C-9CB3-33ABA8566D80}"/>
                </c:ext>
              </c:extLst>
            </c:dLbl>
            <c:dLbl>
              <c:idx val="5"/>
              <c:layout>
                <c:manualLayout>
                  <c:x val="-1.2668946159546755E-2"/>
                  <c:y val="4.4649153337653021E-2"/>
                </c:manualLayout>
              </c:layout>
              <c:tx>
                <c:rich>
                  <a:bodyPr/>
                  <a:lstStyle/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Repairs $15 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0E-402C-9CB3-33ABA8566D80}"/>
                </c:ext>
              </c:extLst>
            </c:dLbl>
            <c:dLbl>
              <c:idx val="6"/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B0E-402C-9CB3-33ABA8566D80}"/>
                </c:ext>
              </c:extLst>
            </c:dLbl>
            <c:dLbl>
              <c:idx val="7"/>
              <c:layout>
                <c:manualLayout>
                  <c:x val="-1.7447099434344481E-2"/>
                  <c:y val="-7.8246740210450756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0E-402C-9CB3-33ABA8566D80}"/>
                </c:ext>
              </c:extLst>
            </c:dLbl>
            <c:dLbl>
              <c:idx val="8"/>
              <c:layout>
                <c:manualLayout>
                  <c:x val="-6.2072555822256237E-2"/>
                  <c:y val="-2.563727588642023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B0E-402C-9CB3-33ABA8566D80}"/>
                </c:ext>
              </c:extLst>
            </c:dLbl>
            <c:dLbl>
              <c:idx val="9"/>
              <c:layout>
                <c:manualLayout>
                  <c:x val="6.1360293218758383E-2"/>
                  <c:y val="-8.9661907691468441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B0E-402C-9CB3-33ABA8566D80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Soybeans!$A$5:$A$14</c:f>
              <c:strCache>
                <c:ptCount val="10"/>
                <c:pt idx="0">
                  <c:v>Net Profit</c:v>
                </c:pt>
                <c:pt idx="1">
                  <c:v>Seed </c:v>
                </c:pt>
                <c:pt idx="2">
                  <c:v>Fertilizer</c:v>
                </c:pt>
                <c:pt idx="3">
                  <c:v>Chemical</c:v>
                </c:pt>
                <c:pt idx="4">
                  <c:v>Crop Ins</c:v>
                </c:pt>
                <c:pt idx="5">
                  <c:v>Repairs</c:v>
                </c:pt>
                <c:pt idx="6">
                  <c:v>Fuel, Custom Hire &amp; Other</c:v>
                </c:pt>
                <c:pt idx="7">
                  <c:v>Land Rent</c:v>
                </c:pt>
                <c:pt idx="8">
                  <c:v>Oper Interest</c:v>
                </c:pt>
                <c:pt idx="9">
                  <c:v>Overhead Exp</c:v>
                </c:pt>
              </c:strCache>
            </c:strRef>
          </c:cat>
          <c:val>
            <c:numRef>
              <c:f>Soybeans!$K$5:$K$14</c:f>
              <c:numCache>
                <c:formatCode>"$"#,##0.00</c:formatCode>
                <c:ptCount val="10"/>
                <c:pt idx="0">
                  <c:v>66.7</c:v>
                </c:pt>
                <c:pt idx="1">
                  <c:v>41.7</c:v>
                </c:pt>
                <c:pt idx="2">
                  <c:v>10.67</c:v>
                </c:pt>
                <c:pt idx="3">
                  <c:v>23.42</c:v>
                </c:pt>
                <c:pt idx="4">
                  <c:v>23.58</c:v>
                </c:pt>
                <c:pt idx="5">
                  <c:v>17.79</c:v>
                </c:pt>
                <c:pt idx="6">
                  <c:v>24.25</c:v>
                </c:pt>
                <c:pt idx="7">
                  <c:v>42.35</c:v>
                </c:pt>
                <c:pt idx="8">
                  <c:v>3.29</c:v>
                </c:pt>
                <c:pt idx="9">
                  <c:v>33.29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0E-402C-9CB3-33ABA8566D80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B0E-402C-9CB3-33ABA8566D8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C-AB0E-402C-9CB3-33ABA8566D8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D-AB0E-402C-9CB3-33ABA8566D8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E-AB0E-402C-9CB3-33ABA8566D8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F-AB0E-402C-9CB3-33ABA8566D8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0-AB0E-402C-9CB3-33ABA8566D80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1-AB0E-402C-9CB3-33ABA8566D80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12-AB0E-402C-9CB3-33ABA8566D80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3-AB0E-402C-9CB3-33ABA8566D80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4-AB0E-402C-9CB3-33ABA8566D80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5-AB0E-402C-9CB3-33ABA8566D80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4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ND Soybean Crop</a:t>
            </a:r>
          </a:p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10 year average (1999-2008)</a:t>
            </a:r>
            <a:endParaRPr lang="en-US" sz="12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20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Cash Rented Land</a:t>
            </a:r>
          </a:p>
        </c:rich>
      </c:tx>
      <c:layout>
        <c:manualLayout>
          <c:xMode val="edge"/>
          <c:yMode val="edge"/>
          <c:x val="5.640107430617726E-2"/>
          <c:y val="1.29589632829373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55237266760359593"/>
          <c:y val="0.25054022102395745"/>
          <c:w val="0.27215768387600187"/>
          <c:h val="0.65658816544209542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0B1-454B-B319-9F325187B25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B1-454B-B319-9F325187B25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0B1-454B-B319-9F325187B25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B1-454B-B319-9F325187B25F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0B1-454B-B319-9F325187B25F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B1-454B-B319-9F325187B25F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0B1-454B-B319-9F325187B25F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0B1-454B-B319-9F325187B25F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0B1-454B-B319-9F325187B25F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0B1-454B-B319-9F325187B25F}"/>
              </c:ext>
            </c:extLst>
          </c:dPt>
          <c:dLbls>
            <c:dLbl>
              <c:idx val="0"/>
              <c:layout>
                <c:manualLayout>
                  <c:x val="-1.8955490955211709E-3"/>
                  <c:y val="-6.298670793254478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B1-454B-B319-9F325187B25F}"/>
                </c:ext>
              </c:extLst>
            </c:dLbl>
            <c:dLbl>
              <c:idx val="1"/>
              <c:layout>
                <c:manualLayout>
                  <c:x val="2.0553819618977818E-2"/>
                  <c:y val="-1.2910995524640267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B1-454B-B319-9F325187B25F}"/>
                </c:ext>
              </c:extLst>
            </c:dLbl>
            <c:dLbl>
              <c:idx val="3"/>
              <c:layout>
                <c:manualLayout>
                  <c:x val="1.0502963587351853E-2"/>
                  <c:y val="-4.7081087156569858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B1-454B-B319-9F325187B25F}"/>
                </c:ext>
              </c:extLst>
            </c:dLbl>
            <c:dLbl>
              <c:idx val="4"/>
              <c:layout>
                <c:manualLayout>
                  <c:x val="4.4723866050985273E-2"/>
                  <c:y val="5.7526545391170157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0B1-454B-B319-9F325187B25F}"/>
                </c:ext>
              </c:extLst>
            </c:dLbl>
            <c:dLbl>
              <c:idx val="6"/>
              <c:layout>
                <c:manualLayout>
                  <c:x val="-1.947053032205515E-2"/>
                  <c:y val="-4.5735368185860395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0B1-454B-B319-9F325187B25F}"/>
                </c:ext>
              </c:extLst>
            </c:dLbl>
            <c:dLbl>
              <c:idx val="7"/>
              <c:layout>
                <c:manualLayout>
                  <c:x val="-9.4636894157279165E-3"/>
                  <c:y val="2.6018104576295806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0B1-454B-B319-9F325187B25F}"/>
                </c:ext>
              </c:extLst>
            </c:dLbl>
            <c:dLbl>
              <c:idx val="8"/>
              <c:layout>
                <c:manualLayout>
                  <c:x val="-1.2482554784161834E-2"/>
                  <c:y val="-2.7588291120571408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0B1-454B-B319-9F325187B25F}"/>
                </c:ext>
              </c:extLst>
            </c:dLbl>
            <c:dLbl>
              <c:idx val="9"/>
              <c:layout>
                <c:manualLayout>
                  <c:x val="1.3286060123108184E-2"/>
                  <c:y val="-4.7456902508412915E-4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7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0B1-454B-B319-9F325187B25F}"/>
                </c:ext>
              </c:extLst>
            </c:dLbl>
            <c:numFmt formatCode="\$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7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Soybeans!$M$5:$M$14</c:f>
              <c:strCache>
                <c:ptCount val="10"/>
                <c:pt idx="0">
                  <c:v>Net Profit</c:v>
                </c:pt>
                <c:pt idx="1">
                  <c:v>Seed </c:v>
                </c:pt>
                <c:pt idx="2">
                  <c:v>Fertilizer</c:v>
                </c:pt>
                <c:pt idx="3">
                  <c:v>Chemical</c:v>
                </c:pt>
                <c:pt idx="4">
                  <c:v>Crop Ins</c:v>
                </c:pt>
                <c:pt idx="5">
                  <c:v>Repairs</c:v>
                </c:pt>
                <c:pt idx="6">
                  <c:v>Fuel, Custom Hire &amp; Other</c:v>
                </c:pt>
                <c:pt idx="7">
                  <c:v>Land Rent</c:v>
                </c:pt>
                <c:pt idx="8">
                  <c:v>Oper Interest</c:v>
                </c:pt>
                <c:pt idx="9">
                  <c:v>Overhead Exp</c:v>
                </c:pt>
              </c:strCache>
            </c:strRef>
          </c:cat>
          <c:val>
            <c:numRef>
              <c:f>Soybeans!$N$5:$N$14</c:f>
              <c:numCache>
                <c:formatCode>"$"#,##0.00</c:formatCode>
                <c:ptCount val="10"/>
                <c:pt idx="0">
                  <c:v>35.982999999999997</c:v>
                </c:pt>
                <c:pt idx="1">
                  <c:v>28.395</c:v>
                </c:pt>
                <c:pt idx="2">
                  <c:v>8.0590000000000011</c:v>
                </c:pt>
                <c:pt idx="3">
                  <c:v>16.423000000000002</c:v>
                </c:pt>
                <c:pt idx="4">
                  <c:v>10.298</c:v>
                </c:pt>
                <c:pt idx="5">
                  <c:v>12.5</c:v>
                </c:pt>
                <c:pt idx="6">
                  <c:v>14.618</c:v>
                </c:pt>
                <c:pt idx="7">
                  <c:v>35.964000000000006</c:v>
                </c:pt>
                <c:pt idx="8">
                  <c:v>3.617</c:v>
                </c:pt>
                <c:pt idx="9">
                  <c:v>29.962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0B1-454B-B319-9F325187B25F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22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ND Pinto Bean Crop  - 2008</a:t>
            </a:r>
          </a:p>
          <a:p>
            <a:pPr>
              <a:defRPr sz="1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2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Cash Rented Land</a:t>
            </a:r>
            <a:endParaRPr lang="en-US" sz="2275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 sz="2275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22406668046162279"/>
          <c:y val="2.50447227191413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7717906776650537"/>
          <c:y val="0.28085892153514364"/>
          <c:w val="0.30982061211506434"/>
          <c:h val="0.40071591352784819"/>
        </c:manualLayout>
      </c:layout>
      <c:pieChart>
        <c:varyColors val="1"/>
        <c:ser>
          <c:idx val="0"/>
          <c:order val="0"/>
          <c:tx>
            <c:strRef>
              <c:f>'Pinto Bean'!$K$2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4A8-46C1-8E47-056A8A45C4AA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4A8-46C1-8E47-056A8A45C4AA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4A8-46C1-8E47-056A8A45C4AA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4A8-46C1-8E47-056A8A45C4AA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4A8-46C1-8E47-056A8A45C4AA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4A8-46C1-8E47-056A8A45C4AA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4A8-46C1-8E47-056A8A45C4AA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4A8-46C1-8E47-056A8A45C4AA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4A8-46C1-8E47-056A8A45C4AA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4A8-46C1-8E47-056A8A45C4AA}"/>
              </c:ext>
            </c:extLst>
          </c:dPt>
          <c:dLbls>
            <c:dLbl>
              <c:idx val="0"/>
              <c:layout>
                <c:manualLayout>
                  <c:x val="3.267762286765155E-3"/>
                  <c:y val="-3.1526640699644677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4A8-46C1-8E47-056A8A45C4AA}"/>
                </c:ext>
              </c:extLst>
            </c:dLbl>
            <c:dLbl>
              <c:idx val="1"/>
              <c:layout>
                <c:manualLayout>
                  <c:x val="3.5826163938574018E-2"/>
                  <c:y val="-1.6027466580014804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A8-46C1-8E47-056A8A45C4AA}"/>
                </c:ext>
              </c:extLst>
            </c:dLbl>
            <c:dLbl>
              <c:idx val="2"/>
              <c:layout>
                <c:manualLayout>
                  <c:x val="1.7402714958683292E-2"/>
                  <c:y val="1.2767805667568492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A8-46C1-8E47-056A8A45C4AA}"/>
                </c:ext>
              </c:extLst>
            </c:dLbl>
            <c:dLbl>
              <c:idx val="3"/>
              <c:layout>
                <c:manualLayout>
                  <c:x val="-3.6135924006951078E-2"/>
                  <c:y val="8.2026971853989911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A8-46C1-8E47-056A8A45C4AA}"/>
                </c:ext>
              </c:extLst>
            </c:dLbl>
            <c:dLbl>
              <c:idx val="4"/>
              <c:layout>
                <c:manualLayout>
                  <c:x val="-4.9983880960222507E-2"/>
                  <c:y val="5.6050274703533728E-2"/>
                </c:manualLayout>
              </c:layout>
              <c:tx>
                <c:rich>
                  <a:bodyPr/>
                  <a:lstStyle/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Crop Ins, $8 </a:t>
                    </a:r>
                  </a:p>
                </c:rich>
              </c:tx>
              <c:numFmt formatCode="#,##0" sourceLinked="0"/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4A8-46C1-8E47-056A8A45C4A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pPr>
                      <a:defRPr sz="19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1425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Repairs $15</a:t>
                    </a:r>
                    <a:r>
                      <a:rPr lang="en-US" sz="12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 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A8-46C1-8E47-056A8A45C4AA}"/>
                </c:ext>
              </c:extLst>
            </c:dLbl>
            <c:dLbl>
              <c:idx val="6"/>
              <c:layout>
                <c:manualLayout>
                  <c:x val="-4.9290798921434792E-3"/>
                  <c:y val="7.9580860863174142E-4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4A8-46C1-8E47-056A8A45C4AA}"/>
                </c:ext>
              </c:extLst>
            </c:dLbl>
            <c:dLbl>
              <c:idx val="7"/>
              <c:layout>
                <c:manualLayout>
                  <c:x val="-2.5104834256797885E-2"/>
                  <c:y val="9.7530423940704655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A8-46C1-8E47-056A8A45C4AA}"/>
                </c:ext>
              </c:extLst>
            </c:dLbl>
            <c:dLbl>
              <c:idx val="8"/>
              <c:layout>
                <c:manualLayout>
                  <c:x val="-5.7708003067382212E-2"/>
                  <c:y val="-2.0356304709690444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4A8-46C1-8E47-056A8A45C4AA}"/>
                </c:ext>
              </c:extLst>
            </c:dLbl>
            <c:dLbl>
              <c:idx val="9"/>
              <c:layout>
                <c:manualLayout>
                  <c:x val="-3.3371244453432203E-2"/>
                  <c:y val="2.4399998392471419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4A8-46C1-8E47-056A8A45C4AA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'Pinto Bean'!$A$5:$A$14</c:f>
              <c:strCache>
                <c:ptCount val="10"/>
                <c:pt idx="0">
                  <c:v>Net Profit</c:v>
                </c:pt>
                <c:pt idx="1">
                  <c:v>Seed </c:v>
                </c:pt>
                <c:pt idx="2">
                  <c:v>Fertilizer</c:v>
                </c:pt>
                <c:pt idx="3">
                  <c:v>Chemical</c:v>
                </c:pt>
                <c:pt idx="4">
                  <c:v>Crop Ins</c:v>
                </c:pt>
                <c:pt idx="5">
                  <c:v>Repairs</c:v>
                </c:pt>
                <c:pt idx="6">
                  <c:v>Fuel, Custom Hire &amp; Other</c:v>
                </c:pt>
                <c:pt idx="7">
                  <c:v>Land Rent</c:v>
                </c:pt>
                <c:pt idx="8">
                  <c:v>Oper Interest</c:v>
                </c:pt>
                <c:pt idx="9">
                  <c:v>Overhead Exp</c:v>
                </c:pt>
              </c:strCache>
            </c:strRef>
          </c:cat>
          <c:val>
            <c:numRef>
              <c:f>'Pinto Bean'!$K$5:$K$14</c:f>
              <c:numCache>
                <c:formatCode>"$"#,##0.00</c:formatCode>
                <c:ptCount val="10"/>
                <c:pt idx="0">
                  <c:v>79.13</c:v>
                </c:pt>
                <c:pt idx="1">
                  <c:v>41.84</c:v>
                </c:pt>
                <c:pt idx="2">
                  <c:v>31.04</c:v>
                </c:pt>
                <c:pt idx="3">
                  <c:v>64.27</c:v>
                </c:pt>
                <c:pt idx="4">
                  <c:v>27.3</c:v>
                </c:pt>
                <c:pt idx="5">
                  <c:v>22.73</c:v>
                </c:pt>
                <c:pt idx="6">
                  <c:v>27.47</c:v>
                </c:pt>
                <c:pt idx="7">
                  <c:v>38.380000000000003</c:v>
                </c:pt>
                <c:pt idx="8">
                  <c:v>5.49</c:v>
                </c:pt>
                <c:pt idx="9">
                  <c:v>48.18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A8-46C1-8E47-056A8A45C4AA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4A8-46C1-8E47-056A8A45C4A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C-E4A8-46C1-8E47-056A8A45C4A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D-E4A8-46C1-8E47-056A8A45C4A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E-E4A8-46C1-8E47-056A8A45C4A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F-E4A8-46C1-8E47-056A8A45C4A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0-E4A8-46C1-8E47-056A8A45C4A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1-E4A8-46C1-8E47-056A8A45C4AA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12-E4A8-46C1-8E47-056A8A45C4AA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3-E4A8-46C1-8E47-056A8A45C4AA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4-E4A8-46C1-8E47-056A8A45C4AA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5-E4A8-46C1-8E47-056A8A45C4AA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42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North Dakota Pinto Bean Crop</a:t>
            </a:r>
          </a:p>
          <a:p>
            <a:pPr>
              <a:defRPr sz="2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22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10 year average (1999-2008) </a:t>
            </a:r>
            <a:r>
              <a:rPr lang="en-US" sz="25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Cash Rented Land</a:t>
            </a:r>
          </a:p>
        </c:rich>
      </c:tx>
      <c:layout>
        <c:manualLayout>
          <c:xMode val="edge"/>
          <c:yMode val="edge"/>
          <c:x val="4.5537340619307837E-3"/>
          <c:y val="1.94003527336860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51730464952670474"/>
          <c:y val="0.23809564817509951"/>
          <c:w val="0.34244110602472005"/>
          <c:h val="0.66314047195435122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9E2-4B3E-8CC4-9CDA625A915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9E2-4B3E-8CC4-9CDA625A915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9E2-4B3E-8CC4-9CDA625A915D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9E2-4B3E-8CC4-9CDA625A915D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9E2-4B3E-8CC4-9CDA625A915D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9E2-4B3E-8CC4-9CDA625A915D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49E2-4B3E-8CC4-9CDA625A915D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9E2-4B3E-8CC4-9CDA625A915D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49E2-4B3E-8CC4-9CDA625A915D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9E2-4B3E-8CC4-9CDA625A915D}"/>
              </c:ext>
            </c:extLst>
          </c:dPt>
          <c:dLbls>
            <c:dLbl>
              <c:idx val="0"/>
              <c:layout>
                <c:manualLayout>
                  <c:x val="4.8544716363664739E-2"/>
                  <c:y val="-2.2839321470270815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E2-4B3E-8CC4-9CDA625A915D}"/>
                </c:ext>
              </c:extLst>
            </c:dLbl>
            <c:dLbl>
              <c:idx val="1"/>
              <c:layout>
                <c:manualLayout>
                  <c:x val="2.2212644912704711E-2"/>
                  <c:y val="-3.4398368080182644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E2-4B3E-8CC4-9CDA625A915D}"/>
                </c:ext>
              </c:extLst>
            </c:dLbl>
            <c:dLbl>
              <c:idx val="2"/>
              <c:layout>
                <c:manualLayout>
                  <c:x val="2.628639743472804E-3"/>
                  <c:y val="-5.3700018543970619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9E2-4B3E-8CC4-9CDA625A915D}"/>
                </c:ext>
              </c:extLst>
            </c:dLbl>
            <c:dLbl>
              <c:idx val="3"/>
              <c:layout>
                <c:manualLayout>
                  <c:x val="6.9728238630980812E-3"/>
                  <c:y val="1.9740481279333675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E2-4B3E-8CC4-9CDA625A915D}"/>
                </c:ext>
              </c:extLst>
            </c:dLbl>
            <c:dLbl>
              <c:idx val="4"/>
              <c:layout>
                <c:manualLayout>
                  <c:x val="1.488043183869152E-2"/>
                  <c:y val="4.4321212645890735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E2-4B3E-8CC4-9CDA625A915D}"/>
                </c:ext>
              </c:extLst>
            </c:dLbl>
            <c:dLbl>
              <c:idx val="5"/>
              <c:layout>
                <c:manualLayout>
                  <c:x val="-3.1959723200916225E-3"/>
                  <c:y val="3.421092507616437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E2-4B3E-8CC4-9CDA625A915D}"/>
                </c:ext>
              </c:extLst>
            </c:dLbl>
            <c:dLbl>
              <c:idx val="6"/>
              <c:layout>
                <c:manualLayout>
                  <c:x val="-4.9725804784808434E-3"/>
                  <c:y val="-3.0328141927084652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9E2-4B3E-8CC4-9CDA625A915D}"/>
                </c:ext>
              </c:extLst>
            </c:dLbl>
            <c:dLbl>
              <c:idx val="7"/>
              <c:layout>
                <c:manualLayout>
                  <c:x val="-1.4179834894945467E-2"/>
                  <c:y val="-8.0703050696047593E-3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9E2-4B3E-8CC4-9CDA625A915D}"/>
                </c:ext>
              </c:extLst>
            </c:dLbl>
            <c:dLbl>
              <c:idx val="8"/>
              <c:layout>
                <c:manualLayout>
                  <c:x val="1.1548628309198457E-3"/>
                  <c:y val="-6.5318710917089115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9E2-4B3E-8CC4-9CDA625A915D}"/>
                </c:ext>
              </c:extLst>
            </c:dLbl>
            <c:dLbl>
              <c:idx val="9"/>
              <c:layout>
                <c:manualLayout>
                  <c:x val="-4.5229894101306962E-2"/>
                  <c:y val="1.5354726326460766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0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9E2-4B3E-8CC4-9CDA625A915D}"/>
                </c:ext>
              </c:extLst>
            </c:dLbl>
            <c:numFmt formatCode="\$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'Pinto Bean'!$M$5:$M$14</c:f>
              <c:strCache>
                <c:ptCount val="10"/>
                <c:pt idx="0">
                  <c:v>Net Profit</c:v>
                </c:pt>
                <c:pt idx="1">
                  <c:v>Seed </c:v>
                </c:pt>
                <c:pt idx="2">
                  <c:v>Fertilizer</c:v>
                </c:pt>
                <c:pt idx="3">
                  <c:v>Chemical</c:v>
                </c:pt>
                <c:pt idx="4">
                  <c:v>Crop Ins</c:v>
                </c:pt>
                <c:pt idx="5">
                  <c:v>Repairs</c:v>
                </c:pt>
                <c:pt idx="6">
                  <c:v>Fuel, Custom Hire &amp; Other</c:v>
                </c:pt>
                <c:pt idx="7">
                  <c:v>Land Rent</c:v>
                </c:pt>
                <c:pt idx="8">
                  <c:v>Oper Interest</c:v>
                </c:pt>
                <c:pt idx="9">
                  <c:v>Overhead Exp</c:v>
                </c:pt>
              </c:strCache>
            </c:strRef>
          </c:cat>
          <c:val>
            <c:numRef>
              <c:f>'Pinto Bean'!$N$5:$N$14</c:f>
              <c:numCache>
                <c:formatCode>"$"#,##0.00</c:formatCode>
                <c:ptCount val="10"/>
                <c:pt idx="0">
                  <c:v>49.501999999999995</c:v>
                </c:pt>
                <c:pt idx="1">
                  <c:v>22.631</c:v>
                </c:pt>
                <c:pt idx="2">
                  <c:v>16.923999999999999</c:v>
                </c:pt>
                <c:pt idx="3">
                  <c:v>31.027000000000005</c:v>
                </c:pt>
                <c:pt idx="4">
                  <c:v>14.2</c:v>
                </c:pt>
                <c:pt idx="5">
                  <c:v>15.587999999999997</c:v>
                </c:pt>
                <c:pt idx="6">
                  <c:v>18.773</c:v>
                </c:pt>
                <c:pt idx="7">
                  <c:v>34.481999999999992</c:v>
                </c:pt>
                <c:pt idx="8">
                  <c:v>5.2960000000000012</c:v>
                </c:pt>
                <c:pt idx="9">
                  <c:v>39.138999999999996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9E2-4B3E-8CC4-9CDA625A915D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212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ND Corn Crop  - 2008</a:t>
            </a:r>
          </a:p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7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Cash Rented Land</a:t>
            </a:r>
            <a:endParaRPr lang="en-US" sz="2125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 sz="2125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36929504143932212"/>
          <c:y val="1.19760479041916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8271157869713149"/>
          <c:y val="0.26347356746188766"/>
          <c:w val="0.31535312304569046"/>
          <c:h val="0.45509070743416963"/>
        </c:manualLayout>
      </c:layout>
      <c:pieChart>
        <c:varyColors val="1"/>
        <c:ser>
          <c:idx val="0"/>
          <c:order val="0"/>
          <c:tx>
            <c:strRef>
              <c:f>Corn!$K$2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DC7-49E9-BF08-B3633CD692BC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C7-49E9-BF08-B3633CD692BC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DC7-49E9-BF08-B3633CD692BC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C7-49E9-BF08-B3633CD692BC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8DC7-49E9-BF08-B3633CD692BC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DC7-49E9-BF08-B3633CD692BC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8DC7-49E9-BF08-B3633CD692BC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DC7-49E9-BF08-B3633CD692BC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8DC7-49E9-BF08-B3633CD692BC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DC7-49E9-BF08-B3633CD692BC}"/>
              </c:ext>
            </c:extLst>
          </c:dPt>
          <c:dLbls>
            <c:dLbl>
              <c:idx val="0"/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C7-49E9-BF08-B3633CD692BC}"/>
                </c:ext>
              </c:extLst>
            </c:dLbl>
            <c:dLbl>
              <c:idx val="1"/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C7-49E9-BF08-B3633CD692BC}"/>
                </c:ext>
              </c:extLst>
            </c:dLbl>
            <c:dLbl>
              <c:idx val="2"/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C7-49E9-BF08-B3633CD692BC}"/>
                </c:ext>
              </c:extLst>
            </c:dLbl>
            <c:dLbl>
              <c:idx val="3"/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C7-49E9-BF08-B3633CD692BC}"/>
                </c:ext>
              </c:extLst>
            </c:dLbl>
            <c:dLbl>
              <c:idx val="4"/>
              <c:layout>
                <c:manualLayout>
                  <c:x val="-3.8352157375553649E-2"/>
                  <c:y val="0.11548823449096418"/>
                </c:manualLayout>
              </c:layout>
              <c:tx>
                <c:rich>
                  <a:bodyPr/>
                  <a:lstStyle/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Crop Ins, $8 </a:t>
                    </a:r>
                  </a:p>
                </c:rich>
              </c:tx>
              <c:numFmt formatCode="#,##0" sourceLinked="0"/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C7-49E9-BF08-B3633CD692B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pPr>
                      <a:defRPr sz="17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13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Repairs $15</a:t>
                    </a:r>
                    <a:r>
                      <a:rPr lang="en-US" sz="12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 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C7-49E9-BF08-B3633CD692BC}"/>
                </c:ext>
              </c:extLst>
            </c:dLbl>
            <c:dLbl>
              <c:idx val="6"/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C7-49E9-BF08-B3633CD692BC}"/>
                </c:ext>
              </c:extLst>
            </c:dLbl>
            <c:dLbl>
              <c:idx val="7"/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DC7-49E9-BF08-B3633CD692BC}"/>
                </c:ext>
              </c:extLst>
            </c:dLbl>
            <c:dLbl>
              <c:idx val="8"/>
              <c:layout>
                <c:manualLayout>
                  <c:x val="-5.3874174417011977E-2"/>
                  <c:y val="-2.1020052291667094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C7-49E9-BF08-B3633CD692BC}"/>
                </c:ext>
              </c:extLst>
            </c:dLbl>
            <c:dLbl>
              <c:idx val="9"/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DC7-49E9-BF08-B3633CD692BC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Corn!$A$5:$A$14</c:f>
              <c:strCache>
                <c:ptCount val="10"/>
                <c:pt idx="0">
                  <c:v>Net Profit</c:v>
                </c:pt>
                <c:pt idx="1">
                  <c:v>Seed </c:v>
                </c:pt>
                <c:pt idx="2">
                  <c:v>Fertilizer</c:v>
                </c:pt>
                <c:pt idx="3">
                  <c:v>Chemical</c:v>
                </c:pt>
                <c:pt idx="4">
                  <c:v>Crop Ins</c:v>
                </c:pt>
                <c:pt idx="5">
                  <c:v>Repairs</c:v>
                </c:pt>
                <c:pt idx="6">
                  <c:v>Fuel, Custom Hire &amp; Other</c:v>
                </c:pt>
                <c:pt idx="7">
                  <c:v>Land Rent</c:v>
                </c:pt>
                <c:pt idx="8">
                  <c:v>Oper Interest</c:v>
                </c:pt>
                <c:pt idx="9">
                  <c:v>Overhead Exp</c:v>
                </c:pt>
              </c:strCache>
            </c:strRef>
          </c:cat>
          <c:val>
            <c:numRef>
              <c:f>Corn!$K$5:$K$14</c:f>
              <c:numCache>
                <c:formatCode>"$"#,##0.00</c:formatCode>
                <c:ptCount val="10"/>
                <c:pt idx="0">
                  <c:v>5.5</c:v>
                </c:pt>
                <c:pt idx="1">
                  <c:v>53.44</c:v>
                </c:pt>
                <c:pt idx="2">
                  <c:v>66.27</c:v>
                </c:pt>
                <c:pt idx="3">
                  <c:v>21.21</c:v>
                </c:pt>
                <c:pt idx="4">
                  <c:v>29.29</c:v>
                </c:pt>
                <c:pt idx="5">
                  <c:v>23.42</c:v>
                </c:pt>
                <c:pt idx="6">
                  <c:v>38.49</c:v>
                </c:pt>
                <c:pt idx="7">
                  <c:v>39.1</c:v>
                </c:pt>
                <c:pt idx="8">
                  <c:v>5.51</c:v>
                </c:pt>
                <c:pt idx="9">
                  <c:v>45.47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C7-49E9-BF08-B3633CD692BC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DC7-49E9-BF08-B3633CD692B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C-8DC7-49E9-BF08-B3633CD692B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D-8DC7-49E9-BF08-B3633CD692B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E-8DC7-49E9-BF08-B3633CD692B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F-8DC7-49E9-BF08-B3633CD692B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0-8DC7-49E9-BF08-B3633CD692B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1-8DC7-49E9-BF08-B3633CD692BC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12-8DC7-49E9-BF08-B3633CD692BC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3-8DC7-49E9-BF08-B3633CD692BC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4-8DC7-49E9-BF08-B3633CD692B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5-8DC7-49E9-BF08-B3633CD692BC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39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North Dakota Corn Crop</a:t>
            </a:r>
            <a:endParaRPr lang="en-US" sz="375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2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10 year average (1999-2008) </a:t>
            </a:r>
            <a:r>
              <a:rPr lang="en-US" sz="22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Cash Rented Land</a:t>
            </a:r>
          </a:p>
        </c:rich>
      </c:tx>
      <c:layout>
        <c:manualLayout>
          <c:xMode val="edge"/>
          <c:yMode val="edge"/>
          <c:x val="2.6411657559198543E-2"/>
          <c:y val="1.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55282380680054544"/>
          <c:y val="0.27200000000000002"/>
          <c:w val="0.27959952007869426"/>
          <c:h val="0.61399999999999999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472-4626-AB57-FDCE3195627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72-4626-AB57-FDCE3195627B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C472-4626-AB57-FDCE3195627B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72-4626-AB57-FDCE3195627B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C472-4626-AB57-FDCE3195627B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72-4626-AB57-FDCE3195627B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C472-4626-AB57-FDCE3195627B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472-4626-AB57-FDCE3195627B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C472-4626-AB57-FDCE3195627B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472-4626-AB57-FDCE3195627B}"/>
              </c:ext>
            </c:extLst>
          </c:dPt>
          <c:dLbls>
            <c:dLbl>
              <c:idx val="9"/>
              <c:layout>
                <c:manualLayout>
                  <c:x val="5.7958128435665213E-3"/>
                  <c:y val="1.3779737532808416E-2"/>
                </c:manualLayout>
              </c:layout>
              <c:numFmt formatCode="\$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8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472-4626-AB57-FDCE3195627B}"/>
                </c:ext>
              </c:extLst>
            </c:dLbl>
            <c:numFmt formatCode="\$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Corn!$M$5:$M$14</c:f>
              <c:strCache>
                <c:ptCount val="10"/>
                <c:pt idx="0">
                  <c:v>Net Profit</c:v>
                </c:pt>
                <c:pt idx="1">
                  <c:v>Seed </c:v>
                </c:pt>
                <c:pt idx="2">
                  <c:v>Fertilizer</c:v>
                </c:pt>
                <c:pt idx="3">
                  <c:v>Chemical</c:v>
                </c:pt>
                <c:pt idx="4">
                  <c:v>Crop Ins</c:v>
                </c:pt>
                <c:pt idx="5">
                  <c:v>Repairs</c:v>
                </c:pt>
                <c:pt idx="6">
                  <c:v>Fuel, Custom Hire &amp; Other</c:v>
                </c:pt>
                <c:pt idx="7">
                  <c:v>Land Rent</c:v>
                </c:pt>
                <c:pt idx="8">
                  <c:v>Oper Interest</c:v>
                </c:pt>
                <c:pt idx="9">
                  <c:v>Overhead Exp</c:v>
                </c:pt>
              </c:strCache>
            </c:strRef>
          </c:cat>
          <c:val>
            <c:numRef>
              <c:f>Corn!$N$5:$N$14</c:f>
              <c:numCache>
                <c:formatCode>"$"#,##0.00</c:formatCode>
                <c:ptCount val="10"/>
                <c:pt idx="0">
                  <c:v>24.067</c:v>
                </c:pt>
                <c:pt idx="1">
                  <c:v>34.022999999999996</c:v>
                </c:pt>
                <c:pt idx="2">
                  <c:v>34.884</c:v>
                </c:pt>
                <c:pt idx="3">
                  <c:v>19.074000000000002</c:v>
                </c:pt>
                <c:pt idx="4">
                  <c:v>11.712999999999999</c:v>
                </c:pt>
                <c:pt idx="5">
                  <c:v>15.319999999999999</c:v>
                </c:pt>
                <c:pt idx="6">
                  <c:v>20.016000000000002</c:v>
                </c:pt>
                <c:pt idx="7">
                  <c:v>36.201000000000008</c:v>
                </c:pt>
                <c:pt idx="8">
                  <c:v>4.7140000000000004</c:v>
                </c:pt>
                <c:pt idx="9">
                  <c:v>35.049999999999997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472-4626-AB57-FDCE3195627B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21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ND Average Crop Income Per Acre &amp; Net Income/Acre</a:t>
            </a:r>
          </a:p>
          <a:p>
            <a:pPr>
              <a:defRPr sz="1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7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 Year Average(1999-2008)</a:t>
            </a:r>
          </a:p>
        </c:rich>
      </c:tx>
      <c:layout>
        <c:manualLayout>
          <c:xMode val="edge"/>
          <c:yMode val="edge"/>
          <c:x val="0.1757248278747765"/>
          <c:y val="8.174386920980925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255671188284"/>
          <c:y val="0.11171662125340599"/>
          <c:w val="0.85779061384614708"/>
          <c:h val="0.600817438692098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'Inc Summary'!$S$29:$S$29</c:f>
              <c:strCache>
                <c:ptCount val="1"/>
                <c:pt idx="0">
                  <c:v>Gross Income/Acre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'Inc Summary'!$R$30:$R$37</c:f>
              <c:strCache>
                <c:ptCount val="8"/>
                <c:pt idx="0">
                  <c:v>Wheat</c:v>
                </c:pt>
                <c:pt idx="1">
                  <c:v>Flax</c:v>
                </c:pt>
                <c:pt idx="2">
                  <c:v>Barley</c:v>
                </c:pt>
                <c:pt idx="3">
                  <c:v>Canola</c:v>
                </c:pt>
                <c:pt idx="4">
                  <c:v>Sunflower</c:v>
                </c:pt>
                <c:pt idx="5">
                  <c:v>Soybean</c:v>
                </c:pt>
                <c:pt idx="6">
                  <c:v>Pinto Bns</c:v>
                </c:pt>
                <c:pt idx="7">
                  <c:v>Corn</c:v>
                </c:pt>
              </c:strCache>
            </c:strRef>
          </c:cat>
          <c:val>
            <c:numRef>
              <c:f>'Inc Summary'!$S$30:$S$37</c:f>
              <c:numCache>
                <c:formatCode>"$"#,##0</c:formatCode>
                <c:ptCount val="8"/>
                <c:pt idx="0">
                  <c:v>157.66</c:v>
                </c:pt>
                <c:pt idx="1">
                  <c:v>137.18</c:v>
                </c:pt>
                <c:pt idx="2">
                  <c:v>169.94</c:v>
                </c:pt>
                <c:pt idx="3">
                  <c:v>176</c:v>
                </c:pt>
                <c:pt idx="4">
                  <c:v>185.95</c:v>
                </c:pt>
                <c:pt idx="5">
                  <c:v>195.82</c:v>
                </c:pt>
                <c:pt idx="6">
                  <c:v>247.93</c:v>
                </c:pt>
                <c:pt idx="7">
                  <c:v>235.9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5-456F-80A1-1F97446F9CD5}"/>
            </c:ext>
          </c:extLst>
        </c:ser>
        <c:ser>
          <c:idx val="1"/>
          <c:order val="1"/>
          <c:tx>
            <c:strRef>
              <c:f>'Inc Summary'!$T$29:$T$29</c:f>
              <c:strCache>
                <c:ptCount val="1"/>
                <c:pt idx="0">
                  <c:v>Net Income /Acre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'Inc Summary'!$R$30:$R$37</c:f>
              <c:strCache>
                <c:ptCount val="8"/>
                <c:pt idx="0">
                  <c:v>Wheat</c:v>
                </c:pt>
                <c:pt idx="1">
                  <c:v>Flax</c:v>
                </c:pt>
                <c:pt idx="2">
                  <c:v>Barley</c:v>
                </c:pt>
                <c:pt idx="3">
                  <c:v>Canola</c:v>
                </c:pt>
                <c:pt idx="4">
                  <c:v>Sunflower</c:v>
                </c:pt>
                <c:pt idx="5">
                  <c:v>Soybean</c:v>
                </c:pt>
                <c:pt idx="6">
                  <c:v>Pinto Bns</c:v>
                </c:pt>
                <c:pt idx="7">
                  <c:v>Corn</c:v>
                </c:pt>
              </c:strCache>
            </c:strRef>
          </c:cat>
          <c:val>
            <c:numRef>
              <c:f>'Inc Summary'!$T$30:$T$37</c:f>
              <c:numCache>
                <c:formatCode>"$"#,##0</c:formatCode>
                <c:ptCount val="8"/>
                <c:pt idx="0">
                  <c:v>19.95</c:v>
                </c:pt>
                <c:pt idx="1">
                  <c:v>13.78</c:v>
                </c:pt>
                <c:pt idx="2">
                  <c:v>37.659999999999997</c:v>
                </c:pt>
                <c:pt idx="3">
                  <c:v>16.670000000000002</c:v>
                </c:pt>
                <c:pt idx="4">
                  <c:v>35.5</c:v>
                </c:pt>
                <c:pt idx="5">
                  <c:v>35.979999999999997</c:v>
                </c:pt>
                <c:pt idx="6">
                  <c:v>49.5</c:v>
                </c:pt>
                <c:pt idx="7">
                  <c:v>24.07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5-456F-80A1-1F97446F9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514032"/>
        <c:axId val="1"/>
      </c:barChart>
      <c:catAx>
        <c:axId val="126514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Crop</a:t>
                </a:r>
              </a:p>
            </c:rich>
          </c:tx>
          <c:layout>
            <c:manualLayout>
              <c:xMode val="edge"/>
              <c:yMode val="edge"/>
              <c:x val="0.47192067024230666"/>
              <c:y val="0.798365122615803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6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Income Per Acre</a:t>
                </a:r>
              </a:p>
            </c:rich>
          </c:tx>
          <c:layout>
            <c:manualLayout>
              <c:xMode val="edge"/>
              <c:yMode val="edge"/>
              <c:x val="9.9637681159420281E-3"/>
              <c:y val="0.29427792915531337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514032"/>
        <c:crosses val="autoZero"/>
        <c:crossBetween val="between"/>
        <c:majorUnit val="2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4365963582324557"/>
          <c:y val="0.82016348773841963"/>
          <c:w val="0.19474654907805872"/>
          <c:h val="0.104904632152588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5" r="0.5" t="0.5" header="0.5" footer="0.5"/>
    <c:pageSetup orientation="landscape" blackAndWhite="1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21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ND Average Gross Crop Income &amp; Net Income/Acre</a:t>
            </a:r>
            <a:endParaRPr lang="en-US" sz="175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7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 Year Average (2006-2008)</a:t>
            </a:r>
          </a:p>
        </c:rich>
      </c:tx>
      <c:layout>
        <c:manualLayout>
          <c:xMode val="edge"/>
          <c:yMode val="edge"/>
          <c:x val="0.17889917888704279"/>
          <c:y val="1.43149284253578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7706443389139278E-2"/>
          <c:y val="0.17995945959439624"/>
          <c:w val="0.91834903524093103"/>
          <c:h val="0.519428440192916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'Inc Summary'!$S$45</c:f>
              <c:strCache>
                <c:ptCount val="1"/>
                <c:pt idx="0">
                  <c:v>Gross Income/Acre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'Inc Summary'!$R$46:$R$54</c:f>
              <c:strCache>
                <c:ptCount val="9"/>
                <c:pt idx="0">
                  <c:v>Wheat</c:v>
                </c:pt>
                <c:pt idx="1">
                  <c:v>Flax</c:v>
                </c:pt>
                <c:pt idx="2">
                  <c:v>Barley</c:v>
                </c:pt>
                <c:pt idx="3">
                  <c:v>Canola</c:v>
                </c:pt>
                <c:pt idx="4">
                  <c:v>Sunflower</c:v>
                </c:pt>
                <c:pt idx="5">
                  <c:v>Soybean</c:v>
                </c:pt>
                <c:pt idx="6">
                  <c:v>Pinto Bns</c:v>
                </c:pt>
                <c:pt idx="7">
                  <c:v>Corn</c:v>
                </c:pt>
                <c:pt idx="8">
                  <c:v>Field Peas</c:v>
                </c:pt>
              </c:strCache>
            </c:strRef>
          </c:cat>
          <c:val>
            <c:numRef>
              <c:f>'Inc Summary'!$S$46:$S$54</c:f>
              <c:numCache>
                <c:formatCode>"$"#,##0</c:formatCode>
                <c:ptCount val="9"/>
                <c:pt idx="0">
                  <c:v>238.04</c:v>
                </c:pt>
                <c:pt idx="1">
                  <c:v>169.23</c:v>
                </c:pt>
                <c:pt idx="2">
                  <c:v>253.74</c:v>
                </c:pt>
                <c:pt idx="3">
                  <c:v>239.29</c:v>
                </c:pt>
                <c:pt idx="4">
                  <c:v>266.02999999999997</c:v>
                </c:pt>
                <c:pt idx="5">
                  <c:v>257.16000000000003</c:v>
                </c:pt>
                <c:pt idx="6">
                  <c:v>295.97000000000003</c:v>
                </c:pt>
                <c:pt idx="7">
                  <c:v>322.10000000000002</c:v>
                </c:pt>
                <c:pt idx="8">
                  <c:v>248.15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D-4CCB-B5B8-7EB247B79A60}"/>
            </c:ext>
          </c:extLst>
        </c:ser>
        <c:ser>
          <c:idx val="1"/>
          <c:order val="1"/>
          <c:tx>
            <c:strRef>
              <c:f>'Inc Summary'!$T$45</c:f>
              <c:strCache>
                <c:ptCount val="1"/>
                <c:pt idx="0">
                  <c:v>Net Income /Acre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'Inc Summary'!$R$46:$R$54</c:f>
              <c:strCache>
                <c:ptCount val="9"/>
                <c:pt idx="0">
                  <c:v>Wheat</c:v>
                </c:pt>
                <c:pt idx="1">
                  <c:v>Flax</c:v>
                </c:pt>
                <c:pt idx="2">
                  <c:v>Barley</c:v>
                </c:pt>
                <c:pt idx="3">
                  <c:v>Canola</c:v>
                </c:pt>
                <c:pt idx="4">
                  <c:v>Sunflower</c:v>
                </c:pt>
                <c:pt idx="5">
                  <c:v>Soybean</c:v>
                </c:pt>
                <c:pt idx="6">
                  <c:v>Pinto Bns</c:v>
                </c:pt>
                <c:pt idx="7">
                  <c:v>Corn</c:v>
                </c:pt>
                <c:pt idx="8">
                  <c:v>Field Peas</c:v>
                </c:pt>
              </c:strCache>
            </c:strRef>
          </c:cat>
          <c:val>
            <c:numRef>
              <c:f>'Inc Summary'!$T$46:$T$54</c:f>
              <c:numCache>
                <c:formatCode>"$"#,##0</c:formatCode>
                <c:ptCount val="9"/>
                <c:pt idx="0">
                  <c:v>62.17</c:v>
                </c:pt>
                <c:pt idx="1">
                  <c:v>24.37</c:v>
                </c:pt>
                <c:pt idx="2">
                  <c:v>87.19</c:v>
                </c:pt>
                <c:pt idx="3">
                  <c:v>39</c:v>
                </c:pt>
                <c:pt idx="4">
                  <c:v>73.47</c:v>
                </c:pt>
                <c:pt idx="5">
                  <c:v>71.069999999999993</c:v>
                </c:pt>
                <c:pt idx="6">
                  <c:v>56.95</c:v>
                </c:pt>
                <c:pt idx="7">
                  <c:v>61.95</c:v>
                </c:pt>
                <c:pt idx="8">
                  <c:v>74.11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D-4CCB-B5B8-7EB247B79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507800"/>
        <c:axId val="1"/>
      </c:barChart>
      <c:catAx>
        <c:axId val="126507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7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Crop</a:t>
                </a:r>
              </a:p>
            </c:rich>
          </c:tx>
          <c:layout>
            <c:manualLayout>
              <c:xMode val="edge"/>
              <c:yMode val="edge"/>
              <c:x val="0.39908276144381033"/>
              <c:y val="0.793457535599461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6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507800"/>
        <c:crosses val="autoZero"/>
        <c:crossBetween val="between"/>
        <c:majorUnit val="4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5871566742925183"/>
          <c:y val="0.79550261116159249"/>
          <c:w val="0.146789056581967"/>
          <c:h val="0.173824478017314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blackAndWhite="1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72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ND Average Total Crop Expense &amp; Net Income/Acre</a:t>
            </a:r>
            <a:endParaRPr lang="en-US" sz="155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5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  Year Average (1999-2008)</a:t>
            </a:r>
          </a:p>
        </c:rich>
      </c:tx>
      <c:layout>
        <c:manualLayout>
          <c:xMode val="edge"/>
          <c:yMode val="edge"/>
          <c:x val="0.24749498997995992"/>
          <c:y val="7.7922077922077922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1042084168336"/>
          <c:y val="0.1"/>
          <c:w val="0.87274549098196397"/>
          <c:h val="0.590909090909090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 Summary'!$P$29:$P$29</c:f>
              <c:strCache>
                <c:ptCount val="1"/>
                <c:pt idx="0">
                  <c:v>Total Expense/Acre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'Exp Summary'!$O$30:$O$37</c:f>
              <c:strCache>
                <c:ptCount val="8"/>
                <c:pt idx="0">
                  <c:v>Spring Wheat</c:v>
                </c:pt>
                <c:pt idx="1">
                  <c:v>Flax</c:v>
                </c:pt>
                <c:pt idx="2">
                  <c:v>Barley</c:v>
                </c:pt>
                <c:pt idx="3">
                  <c:v>Canola</c:v>
                </c:pt>
                <c:pt idx="4">
                  <c:v>Sunflower(Oil)</c:v>
                </c:pt>
                <c:pt idx="5">
                  <c:v>Soybean</c:v>
                </c:pt>
                <c:pt idx="6">
                  <c:v>Pinto Beans</c:v>
                </c:pt>
                <c:pt idx="7">
                  <c:v>Corn</c:v>
                </c:pt>
              </c:strCache>
            </c:strRef>
          </c:cat>
          <c:val>
            <c:numRef>
              <c:f>'Exp Summary'!$P$30:$P$37</c:f>
              <c:numCache>
                <c:formatCode>"$"#,##0</c:formatCode>
                <c:ptCount val="8"/>
                <c:pt idx="0">
                  <c:v>137.71</c:v>
                </c:pt>
                <c:pt idx="1">
                  <c:v>123.4</c:v>
                </c:pt>
                <c:pt idx="2">
                  <c:v>132.26</c:v>
                </c:pt>
                <c:pt idx="3">
                  <c:v>159.34</c:v>
                </c:pt>
                <c:pt idx="4">
                  <c:v>150.44999999999999</c:v>
                </c:pt>
                <c:pt idx="5">
                  <c:v>159.84</c:v>
                </c:pt>
                <c:pt idx="6">
                  <c:v>198.42</c:v>
                </c:pt>
                <c:pt idx="7">
                  <c:v>211.84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D-4B05-A70B-D980318BC5FA}"/>
            </c:ext>
          </c:extLst>
        </c:ser>
        <c:ser>
          <c:idx val="1"/>
          <c:order val="1"/>
          <c:tx>
            <c:strRef>
              <c:f>'Exp Summary'!$Q$29:$Q$29</c:f>
              <c:strCache>
                <c:ptCount val="1"/>
                <c:pt idx="0">
                  <c:v>Net Income /Acre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'Exp Summary'!$O$30:$O$37</c:f>
              <c:strCache>
                <c:ptCount val="8"/>
                <c:pt idx="0">
                  <c:v>Spring Wheat</c:v>
                </c:pt>
                <c:pt idx="1">
                  <c:v>Flax</c:v>
                </c:pt>
                <c:pt idx="2">
                  <c:v>Barley</c:v>
                </c:pt>
                <c:pt idx="3">
                  <c:v>Canola</c:v>
                </c:pt>
                <c:pt idx="4">
                  <c:v>Sunflower(Oil)</c:v>
                </c:pt>
                <c:pt idx="5">
                  <c:v>Soybean</c:v>
                </c:pt>
                <c:pt idx="6">
                  <c:v>Pinto Beans</c:v>
                </c:pt>
                <c:pt idx="7">
                  <c:v>Corn</c:v>
                </c:pt>
              </c:strCache>
            </c:strRef>
          </c:cat>
          <c:val>
            <c:numRef>
              <c:f>'Exp Summary'!$Q$30:$Q$37</c:f>
              <c:numCache>
                <c:formatCode>"$"#,##0</c:formatCode>
                <c:ptCount val="8"/>
                <c:pt idx="0">
                  <c:v>19.95</c:v>
                </c:pt>
                <c:pt idx="1">
                  <c:v>13.78</c:v>
                </c:pt>
                <c:pt idx="2">
                  <c:v>37.659999999999997</c:v>
                </c:pt>
                <c:pt idx="3">
                  <c:v>16.670000000000002</c:v>
                </c:pt>
                <c:pt idx="4">
                  <c:v>35.5</c:v>
                </c:pt>
                <c:pt idx="5">
                  <c:v>35.979999999999997</c:v>
                </c:pt>
                <c:pt idx="6">
                  <c:v>49.5</c:v>
                </c:pt>
                <c:pt idx="7">
                  <c:v>24.07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9D-4B05-A70B-D980318BC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488800"/>
        <c:axId val="1"/>
      </c:barChart>
      <c:catAx>
        <c:axId val="125488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7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Crop</a:t>
                </a:r>
              </a:p>
            </c:rich>
          </c:tx>
          <c:layout>
            <c:manualLayout>
              <c:xMode val="edge"/>
              <c:yMode val="edge"/>
              <c:x val="0.44288577154308617"/>
              <c:y val="0.867532467532467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2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488800"/>
        <c:crosses val="autoZero"/>
        <c:crossBetween val="between"/>
        <c:majorUnit val="2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9939879759519039"/>
          <c:y val="0.8519480519480519"/>
          <c:w val="0.22344689378757515"/>
          <c:h val="9.35064935064935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5" r="0.5" t="0.5" header="0.5" footer="0.5"/>
    <c:pageSetup orientation="landscape" blackAndWhite="1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2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ND Average Total Crop Expense &amp; Net Income/Acre</a:t>
            </a:r>
            <a:endParaRPr lang="en-US" sz="12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42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 Year Average (2006-2008)</a:t>
            </a:r>
          </a:p>
        </c:rich>
      </c:tx>
      <c:layout>
        <c:manualLayout>
          <c:xMode val="edge"/>
          <c:yMode val="edge"/>
          <c:x val="0.201807439732684"/>
          <c:y val="2.86259541984732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293244553648731E-2"/>
          <c:y val="0.15458015267175573"/>
          <c:w val="0.9056233779094679"/>
          <c:h val="0.57824427480916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 Summary'!$P$42</c:f>
              <c:strCache>
                <c:ptCount val="1"/>
                <c:pt idx="0">
                  <c:v>Total Expense/Acre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'Exp Summary'!$O$43:$O$51</c:f>
              <c:strCache>
                <c:ptCount val="9"/>
                <c:pt idx="0">
                  <c:v>Spring Wheat</c:v>
                </c:pt>
                <c:pt idx="1">
                  <c:v>Flax</c:v>
                </c:pt>
                <c:pt idx="2">
                  <c:v>Barley</c:v>
                </c:pt>
                <c:pt idx="3">
                  <c:v>Canola</c:v>
                </c:pt>
                <c:pt idx="4">
                  <c:v>Sunflower(Oil)</c:v>
                </c:pt>
                <c:pt idx="5">
                  <c:v>Soybean</c:v>
                </c:pt>
                <c:pt idx="6">
                  <c:v>Pinto Beans</c:v>
                </c:pt>
                <c:pt idx="7">
                  <c:v>Corn</c:v>
                </c:pt>
                <c:pt idx="8">
                  <c:v>Field Peas</c:v>
                </c:pt>
              </c:strCache>
            </c:strRef>
          </c:cat>
          <c:val>
            <c:numRef>
              <c:f>'Exp Summary'!$P$43:$P$51</c:f>
              <c:numCache>
                <c:formatCode>"$"#,##0</c:formatCode>
                <c:ptCount val="9"/>
                <c:pt idx="0">
                  <c:v>175.87</c:v>
                </c:pt>
                <c:pt idx="1">
                  <c:v>144.86000000000001</c:v>
                </c:pt>
                <c:pt idx="2">
                  <c:v>165.55</c:v>
                </c:pt>
                <c:pt idx="3">
                  <c:v>200.29</c:v>
                </c:pt>
                <c:pt idx="4">
                  <c:v>192.56</c:v>
                </c:pt>
                <c:pt idx="5">
                  <c:v>186.09</c:v>
                </c:pt>
                <c:pt idx="6">
                  <c:v>239.02</c:v>
                </c:pt>
                <c:pt idx="7">
                  <c:v>260.14999999999998</c:v>
                </c:pt>
                <c:pt idx="8">
                  <c:v>174.05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0-44CD-AFDB-80A8DE884E71}"/>
            </c:ext>
          </c:extLst>
        </c:ser>
        <c:ser>
          <c:idx val="1"/>
          <c:order val="1"/>
          <c:tx>
            <c:strRef>
              <c:f>'Exp Summary'!$Q$42</c:f>
              <c:strCache>
                <c:ptCount val="1"/>
                <c:pt idx="0">
                  <c:v>Net Income /Acre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'Exp Summary'!$O$43:$O$51</c:f>
              <c:strCache>
                <c:ptCount val="9"/>
                <c:pt idx="0">
                  <c:v>Spring Wheat</c:v>
                </c:pt>
                <c:pt idx="1">
                  <c:v>Flax</c:v>
                </c:pt>
                <c:pt idx="2">
                  <c:v>Barley</c:v>
                </c:pt>
                <c:pt idx="3">
                  <c:v>Canola</c:v>
                </c:pt>
                <c:pt idx="4">
                  <c:v>Sunflower(Oil)</c:v>
                </c:pt>
                <c:pt idx="5">
                  <c:v>Soybean</c:v>
                </c:pt>
                <c:pt idx="6">
                  <c:v>Pinto Beans</c:v>
                </c:pt>
                <c:pt idx="7">
                  <c:v>Corn</c:v>
                </c:pt>
                <c:pt idx="8">
                  <c:v>Field Peas</c:v>
                </c:pt>
              </c:strCache>
            </c:strRef>
          </c:cat>
          <c:val>
            <c:numRef>
              <c:f>'Exp Summary'!$Q$43:$Q$51</c:f>
              <c:numCache>
                <c:formatCode>"$"#,##0</c:formatCode>
                <c:ptCount val="9"/>
                <c:pt idx="0">
                  <c:v>62.17</c:v>
                </c:pt>
                <c:pt idx="1">
                  <c:v>24.37</c:v>
                </c:pt>
                <c:pt idx="2">
                  <c:v>87.19</c:v>
                </c:pt>
                <c:pt idx="3">
                  <c:v>39</c:v>
                </c:pt>
                <c:pt idx="4">
                  <c:v>73.47</c:v>
                </c:pt>
                <c:pt idx="5">
                  <c:v>71.069999999999993</c:v>
                </c:pt>
                <c:pt idx="6">
                  <c:v>56.95</c:v>
                </c:pt>
                <c:pt idx="7">
                  <c:v>61.95</c:v>
                </c:pt>
                <c:pt idx="8">
                  <c:v>74.11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30-44CD-AFDB-80A8DE884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509768"/>
        <c:axId val="1"/>
      </c:barChart>
      <c:catAx>
        <c:axId val="126509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Crop</a:t>
                </a:r>
              </a:p>
            </c:rich>
          </c:tx>
          <c:layout>
            <c:manualLayout>
              <c:xMode val="edge"/>
              <c:yMode val="edge"/>
              <c:x val="0.41666708830070937"/>
              <c:y val="0.818702290076335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509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35744379612571"/>
          <c:y val="0.73473282442748089"/>
          <c:w val="0.18775118810318236"/>
          <c:h val="0.1145038167938931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blackAndWhite="1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561975</xdr:colOff>
      <xdr:row>16</xdr:row>
      <xdr:rowOff>142875</xdr:rowOff>
    </xdr:from>
    <xdr:to>
      <xdr:col>25</xdr:col>
      <xdr:colOff>276225</xdr:colOff>
      <xdr:row>43</xdr:row>
      <xdr:rowOff>152400</xdr:rowOff>
    </xdr:to>
    <xdr:graphicFrame macro="">
      <xdr:nvGraphicFramePr>
        <xdr:cNvPr id="73731" name="Chart 1">
          <a:extLst>
            <a:ext uri="{FF2B5EF4-FFF2-40B4-BE49-F238E27FC236}">
              <a16:creationId xmlns:a16="http://schemas.microsoft.com/office/drawing/2014/main" id="{1EFAF13B-1417-47FC-B014-C654527EF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16</xdr:row>
      <xdr:rowOff>142875</xdr:rowOff>
    </xdr:from>
    <xdr:to>
      <xdr:col>13</xdr:col>
      <xdr:colOff>428625</xdr:colOff>
      <xdr:row>44</xdr:row>
      <xdr:rowOff>19050</xdr:rowOff>
    </xdr:to>
    <xdr:graphicFrame macro="">
      <xdr:nvGraphicFramePr>
        <xdr:cNvPr id="73732" name="Chart 2">
          <a:extLst>
            <a:ext uri="{FF2B5EF4-FFF2-40B4-BE49-F238E27FC236}">
              <a16:creationId xmlns:a16="http://schemas.microsoft.com/office/drawing/2014/main" id="{D7FE4659-67E3-4E0A-84CC-191564A71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0.03019</cdr:x>
      <cdr:y>0.68368</cdr:y>
    </cdr:from>
    <cdr:to>
      <cdr:x>0.30369</cdr:x>
      <cdr:y>0.96274</cdr:y>
    </cdr:to>
    <cdr:sp macro="" textlink="">
      <cdr:nvSpPr>
        <cdr:cNvPr id="74753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215713" y="2965483"/>
          <a:ext cx="1925148" cy="12543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North Dakota Farm Business Management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ND Average Books (1999-2008)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excluding the Red River Valley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Does Not Include Disaster &amp;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Direct Gov Payments or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Return on Labor &amp; Management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0.03763</cdr:x>
      <cdr:y>0.7358</cdr:y>
    </cdr:from>
    <cdr:to>
      <cdr:x>0.31301</cdr:x>
      <cdr:y>0.95326</cdr:y>
    </cdr:to>
    <cdr:sp macro="" textlink="">
      <cdr:nvSpPr>
        <cdr:cNvPr id="75777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372669" y="3155683"/>
          <a:ext cx="2708224" cy="10010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North Dakota Farm Business Management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ND Average Books (1999-2008)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excluding the Red River Valley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Does Not Include Disaster &amp;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Direct Gov Payments or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Return on Labor &amp; Management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133350</xdr:colOff>
      <xdr:row>16</xdr:row>
      <xdr:rowOff>114300</xdr:rowOff>
    </xdr:from>
    <xdr:to>
      <xdr:col>25</xdr:col>
      <xdr:colOff>533400</xdr:colOff>
      <xdr:row>44</xdr:row>
      <xdr:rowOff>0</xdr:rowOff>
    </xdr:to>
    <xdr:graphicFrame macro="">
      <xdr:nvGraphicFramePr>
        <xdr:cNvPr id="83971" name="Chart 1">
          <a:extLst>
            <a:ext uri="{FF2B5EF4-FFF2-40B4-BE49-F238E27FC236}">
              <a16:creationId xmlns:a16="http://schemas.microsoft.com/office/drawing/2014/main" id="{65D3B2D4-8028-4950-9067-312B37BB8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16</xdr:row>
      <xdr:rowOff>114300</xdr:rowOff>
    </xdr:from>
    <xdr:to>
      <xdr:col>13</xdr:col>
      <xdr:colOff>542925</xdr:colOff>
      <xdr:row>43</xdr:row>
      <xdr:rowOff>152400</xdr:rowOff>
    </xdr:to>
    <xdr:graphicFrame macro="">
      <xdr:nvGraphicFramePr>
        <xdr:cNvPr id="83972" name="Chart 2">
          <a:extLst>
            <a:ext uri="{FF2B5EF4-FFF2-40B4-BE49-F238E27FC236}">
              <a16:creationId xmlns:a16="http://schemas.microsoft.com/office/drawing/2014/main" id="{9AD0B0B5-3366-4C4D-AA3E-6BFAFFD7D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0.01705</cdr:x>
      <cdr:y>0.5954</cdr:y>
    </cdr:from>
    <cdr:to>
      <cdr:x>0.27876</cdr:x>
      <cdr:y>0.95329</cdr:y>
    </cdr:to>
    <cdr:sp macro="" textlink="">
      <cdr:nvSpPr>
        <cdr:cNvPr id="84993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124509" y="2573115"/>
          <a:ext cx="1884850" cy="16035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North Dakota Farm Business Management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ND Average Books (1999-2008)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excluding the Red River Valley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Does Not Include Disater &amp;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Direct Gov Payments or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Return on Labor &amp; Management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0.03626</cdr:x>
      <cdr:y>0.54061</cdr:y>
    </cdr:from>
    <cdr:to>
      <cdr:x>0.3308</cdr:x>
      <cdr:y>0.94739</cdr:y>
    </cdr:to>
    <cdr:sp macro="" textlink="">
      <cdr:nvSpPr>
        <cdr:cNvPr id="86017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380436" y="2404327"/>
          <a:ext cx="3065360" cy="17329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North Dakota Farm Business Management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ND Average Books (1999-2008)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excluding the Red River Valley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Does Not Include Disaster &amp;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Direct Gov Payments or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Return on Labor &amp; Management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133350</xdr:colOff>
      <xdr:row>16</xdr:row>
      <xdr:rowOff>114300</xdr:rowOff>
    </xdr:from>
    <xdr:to>
      <xdr:col>25</xdr:col>
      <xdr:colOff>533400</xdr:colOff>
      <xdr:row>44</xdr:row>
      <xdr:rowOff>0</xdr:rowOff>
    </xdr:to>
    <xdr:graphicFrame macro="">
      <xdr:nvGraphicFramePr>
        <xdr:cNvPr id="67587" name="Chart 1">
          <a:extLst>
            <a:ext uri="{FF2B5EF4-FFF2-40B4-BE49-F238E27FC236}">
              <a16:creationId xmlns:a16="http://schemas.microsoft.com/office/drawing/2014/main" id="{434B22D2-3B5E-482A-B58C-AC1DA005E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16</xdr:row>
      <xdr:rowOff>114300</xdr:rowOff>
    </xdr:from>
    <xdr:to>
      <xdr:col>13</xdr:col>
      <xdr:colOff>542925</xdr:colOff>
      <xdr:row>43</xdr:row>
      <xdr:rowOff>152400</xdr:rowOff>
    </xdr:to>
    <xdr:graphicFrame macro="">
      <xdr:nvGraphicFramePr>
        <xdr:cNvPr id="67588" name="Chart 2">
          <a:extLst>
            <a:ext uri="{FF2B5EF4-FFF2-40B4-BE49-F238E27FC236}">
              <a16:creationId xmlns:a16="http://schemas.microsoft.com/office/drawing/2014/main" id="{E59374CF-43D8-4416-A358-F721D8953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0.01705</cdr:x>
      <cdr:y>0.59369</cdr:y>
    </cdr:from>
    <cdr:to>
      <cdr:x>0.28024</cdr:x>
      <cdr:y>0.95206</cdr:y>
    </cdr:to>
    <cdr:sp macro="" textlink="">
      <cdr:nvSpPr>
        <cdr:cNvPr id="68609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124509" y="2569865"/>
          <a:ext cx="1895380" cy="1602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North Dakota Farm Business Management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ND Average Books (1999-2008)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excluding the Red River Valley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Does Not Include Disaster &amp;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Direct Gov Payments or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Return on Labor &amp; Management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0.03626</cdr:x>
      <cdr:y>0.58635</cdr:y>
    </cdr:from>
    <cdr:to>
      <cdr:x>0.32956</cdr:x>
      <cdr:y>0.94543</cdr:y>
    </cdr:to>
    <cdr:sp macro="" textlink="">
      <cdr:nvSpPr>
        <cdr:cNvPr id="69633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380436" y="2583788"/>
          <a:ext cx="3057573" cy="15448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North Dakota Farm Business Management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ND Average Books (1999-2008)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excluding the Red River Valley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Does Not Include Disaster &amp;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Direct Gov Payments or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Return on Labor &amp; Management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76200</xdr:colOff>
      <xdr:row>17</xdr:row>
      <xdr:rowOff>57150</xdr:rowOff>
    </xdr:from>
    <xdr:to>
      <xdr:col>25</xdr:col>
      <xdr:colOff>333375</xdr:colOff>
      <xdr:row>44</xdr:row>
      <xdr:rowOff>104775</xdr:rowOff>
    </xdr:to>
    <xdr:graphicFrame macro="">
      <xdr:nvGraphicFramePr>
        <xdr:cNvPr id="1029" name="Chart 2">
          <a:extLst>
            <a:ext uri="{FF2B5EF4-FFF2-40B4-BE49-F238E27FC236}">
              <a16:creationId xmlns:a16="http://schemas.microsoft.com/office/drawing/2014/main" id="{2EC8AE51-EAB0-49AD-AC6B-12A419C0E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17</xdr:row>
      <xdr:rowOff>76200</xdr:rowOff>
    </xdr:from>
    <xdr:to>
      <xdr:col>13</xdr:col>
      <xdr:colOff>552450</xdr:colOff>
      <xdr:row>44</xdr:row>
      <xdr:rowOff>114300</xdr:rowOff>
    </xdr:to>
    <xdr:graphicFrame macro="">
      <xdr:nvGraphicFramePr>
        <xdr:cNvPr id="1030" name="Chart 4">
          <a:extLst>
            <a:ext uri="{FF2B5EF4-FFF2-40B4-BE49-F238E27FC236}">
              <a16:creationId xmlns:a16="http://schemas.microsoft.com/office/drawing/2014/main" id="{9FF8AC56-6E93-451A-9D22-8CC37BBF5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0.01768</cdr:x>
      <cdr:y>0.59516</cdr:y>
    </cdr:from>
    <cdr:to>
      <cdr:x>0.28251</cdr:x>
      <cdr:y>0.90901</cdr:y>
    </cdr:to>
    <cdr:sp macro="" textlink="">
      <cdr:nvSpPr>
        <cdr:cNvPr id="66563" name="WordArt 205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124728" y="2604536"/>
          <a:ext cx="1843050" cy="13749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North Dakota Farm Business Management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ND Average Books (1999-2008)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excluding the Red River Valley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Does Not Include Disaster &amp;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Direct Gov Payments or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Return on Labor &amp; Management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0.03723</cdr:x>
      <cdr:y>0.59785</cdr:y>
    </cdr:from>
    <cdr:to>
      <cdr:x>0.34045</cdr:x>
      <cdr:y>0.93737</cdr:y>
    </cdr:to>
    <cdr:sp macro="" textlink="">
      <cdr:nvSpPr>
        <cdr:cNvPr id="64513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381949" y="2727573"/>
          <a:ext cx="3079420" cy="1455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North Dakota Farm Business Management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ND Average Books (1999-2008)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excluding the Red River Valley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Does Not Include Disaster &amp;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Direct Gov Payments or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Return on Labor &amp; Management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104775</xdr:colOff>
      <xdr:row>17</xdr:row>
      <xdr:rowOff>0</xdr:rowOff>
    </xdr:from>
    <xdr:to>
      <xdr:col>25</xdr:col>
      <xdr:colOff>561975</xdr:colOff>
      <xdr:row>44</xdr:row>
      <xdr:rowOff>47625</xdr:rowOff>
    </xdr:to>
    <xdr:graphicFrame macro="">
      <xdr:nvGraphicFramePr>
        <xdr:cNvPr id="79875" name="Chart 1">
          <a:extLst>
            <a:ext uri="{FF2B5EF4-FFF2-40B4-BE49-F238E27FC236}">
              <a16:creationId xmlns:a16="http://schemas.microsoft.com/office/drawing/2014/main" id="{73758EBB-E1D5-48DF-B2DB-AF4EE3133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17</xdr:row>
      <xdr:rowOff>19050</xdr:rowOff>
    </xdr:from>
    <xdr:to>
      <xdr:col>13</xdr:col>
      <xdr:colOff>571500</xdr:colOff>
      <xdr:row>44</xdr:row>
      <xdr:rowOff>47625</xdr:rowOff>
    </xdr:to>
    <xdr:graphicFrame macro="">
      <xdr:nvGraphicFramePr>
        <xdr:cNvPr id="79876" name="Chart 2">
          <a:extLst>
            <a:ext uri="{FF2B5EF4-FFF2-40B4-BE49-F238E27FC236}">
              <a16:creationId xmlns:a16="http://schemas.microsoft.com/office/drawing/2014/main" id="{F0CDE663-DFE5-47A0-87DD-DD42FB043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0.01725</cdr:x>
      <cdr:y>0.54036</cdr:y>
    </cdr:from>
    <cdr:to>
      <cdr:x>0.28934</cdr:x>
      <cdr:y>0.93274</cdr:y>
    </cdr:to>
    <cdr:sp macro="" textlink="">
      <cdr:nvSpPr>
        <cdr:cNvPr id="80897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125109" y="2407345"/>
          <a:ext cx="1937350" cy="16891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North Dakota Farm Business Management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ND Average Books (1999-2008)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excluding the Red River Valley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Does Not Include Disaster &amp;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Direct Gov Payments or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Return on Labor &amp; Management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0.03626</cdr:x>
      <cdr:y>0.58585</cdr:y>
    </cdr:from>
    <cdr:to>
      <cdr:x>0.27332</cdr:x>
      <cdr:y>0.95324</cdr:y>
    </cdr:to>
    <cdr:sp macro="" textlink="">
      <cdr:nvSpPr>
        <cdr:cNvPr id="81921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377841" y="2579287"/>
          <a:ext cx="2460593" cy="15662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North Dakota Farm Business Management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ND Average Books (1999-2008)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excluding the Red River Valley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Does Not Include Disaster &amp;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Direct Gov Payments or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Return on Labor &amp; Management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180975</xdr:colOff>
      <xdr:row>16</xdr:row>
      <xdr:rowOff>85725</xdr:rowOff>
    </xdr:from>
    <xdr:to>
      <xdr:col>25</xdr:col>
      <xdr:colOff>133350</xdr:colOff>
      <xdr:row>43</xdr:row>
      <xdr:rowOff>142875</xdr:rowOff>
    </xdr:to>
    <xdr:graphicFrame macro="">
      <xdr:nvGraphicFramePr>
        <xdr:cNvPr id="76803" name="Chart 1025">
          <a:extLst>
            <a:ext uri="{FF2B5EF4-FFF2-40B4-BE49-F238E27FC236}">
              <a16:creationId xmlns:a16="http://schemas.microsoft.com/office/drawing/2014/main" id="{2D43AD30-4FE9-42DE-A8C1-F1849AF73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16</xdr:row>
      <xdr:rowOff>85725</xdr:rowOff>
    </xdr:from>
    <xdr:to>
      <xdr:col>14</xdr:col>
      <xdr:colOff>123825</xdr:colOff>
      <xdr:row>43</xdr:row>
      <xdr:rowOff>123825</xdr:rowOff>
    </xdr:to>
    <xdr:graphicFrame macro="">
      <xdr:nvGraphicFramePr>
        <xdr:cNvPr id="76804" name="Chart 1026">
          <a:extLst>
            <a:ext uri="{FF2B5EF4-FFF2-40B4-BE49-F238E27FC236}">
              <a16:creationId xmlns:a16="http://schemas.microsoft.com/office/drawing/2014/main" id="{D88C5518-A52A-4138-B65B-45341CC25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0.01651</cdr:x>
      <cdr:y>0.5795</cdr:y>
    </cdr:from>
    <cdr:to>
      <cdr:x>0.28314</cdr:x>
      <cdr:y>0.94352</cdr:y>
    </cdr:to>
    <cdr:sp macro="" textlink="">
      <cdr:nvSpPr>
        <cdr:cNvPr id="77825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113236" y="2565629"/>
          <a:ext cx="1761363" cy="16135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North Dakota Farm Business Management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ND Average Books (1999-2008)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excluding the Red River Valley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Does Not Include Disaster &amp;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Direct Gov Payments or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Return on Labor &amp; Management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0.03619</cdr:x>
      <cdr:y>0.58414</cdr:y>
    </cdr:from>
    <cdr:to>
      <cdr:x>0.33177</cdr:x>
      <cdr:y>0.95693</cdr:y>
    </cdr:to>
    <cdr:sp macro="" textlink="">
      <cdr:nvSpPr>
        <cdr:cNvPr id="78849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385880" y="2581626"/>
          <a:ext cx="3129172" cy="15956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North Dakota Farm Business Management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ND Average Books (1999-2008)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excluding the Red River Valley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Does Not Include Disaster &amp;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Direct Gov Payments or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Return on Labor &amp; Management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</xdr:colOff>
      <xdr:row>16</xdr:row>
      <xdr:rowOff>152400</xdr:rowOff>
    </xdr:from>
    <xdr:to>
      <xdr:col>25</xdr:col>
      <xdr:colOff>238125</xdr:colOff>
      <xdr:row>49</xdr:row>
      <xdr:rowOff>133350</xdr:rowOff>
    </xdr:to>
    <xdr:graphicFrame macro="">
      <xdr:nvGraphicFramePr>
        <xdr:cNvPr id="89091" name="Chart 1">
          <a:extLst>
            <a:ext uri="{FF2B5EF4-FFF2-40B4-BE49-F238E27FC236}">
              <a16:creationId xmlns:a16="http://schemas.microsoft.com/office/drawing/2014/main" id="{6E5174E5-44D6-41B5-A71F-5C97C8CA3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16</xdr:row>
      <xdr:rowOff>142875</xdr:rowOff>
    </xdr:from>
    <xdr:to>
      <xdr:col>13</xdr:col>
      <xdr:colOff>552450</xdr:colOff>
      <xdr:row>50</xdr:row>
      <xdr:rowOff>38100</xdr:rowOff>
    </xdr:to>
    <xdr:graphicFrame macro="">
      <xdr:nvGraphicFramePr>
        <xdr:cNvPr id="89092" name="Chart 2">
          <a:extLst>
            <a:ext uri="{FF2B5EF4-FFF2-40B4-BE49-F238E27FC236}">
              <a16:creationId xmlns:a16="http://schemas.microsoft.com/office/drawing/2014/main" id="{8E138C26-79D1-4791-BF6A-DE462C018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0.01825</cdr:x>
      <cdr:y>0.55476</cdr:y>
    </cdr:from>
    <cdr:to>
      <cdr:x>0.28649</cdr:x>
      <cdr:y>0.93902</cdr:y>
    </cdr:to>
    <cdr:sp macro="" textlink="">
      <cdr:nvSpPr>
        <cdr:cNvPr id="90113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127310" y="2972713"/>
          <a:ext cx="1832829" cy="20365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North Dakota Farm Business Management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ND Average Books (1999-2008)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excluding the Red River Valley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Does Not Include Disaster &amp;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Direct Gov Payments or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Return on Labor &amp; Management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0.03453</cdr:x>
      <cdr:y>0.60045</cdr:y>
    </cdr:from>
    <cdr:to>
      <cdr:x>0.31099</cdr:x>
      <cdr:y>0.95952</cdr:y>
    </cdr:to>
    <cdr:sp macro="" textlink="">
      <cdr:nvSpPr>
        <cdr:cNvPr id="91137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361982" y="3223825"/>
          <a:ext cx="2883617" cy="18854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North Dakota Farm Business Management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ND Average Books (1999-2008)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excluding the Red River Valley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Does Not Include Disaster &amp;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Direct Gov Payments or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Return on Labor &amp; Management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95250</xdr:colOff>
      <xdr:row>16</xdr:row>
      <xdr:rowOff>142875</xdr:rowOff>
    </xdr:from>
    <xdr:to>
      <xdr:col>25</xdr:col>
      <xdr:colOff>276225</xdr:colOff>
      <xdr:row>46</xdr:row>
      <xdr:rowOff>57150</xdr:rowOff>
    </xdr:to>
    <xdr:graphicFrame macro="">
      <xdr:nvGraphicFramePr>
        <xdr:cNvPr id="70659" name="Chart 1">
          <a:extLst>
            <a:ext uri="{FF2B5EF4-FFF2-40B4-BE49-F238E27FC236}">
              <a16:creationId xmlns:a16="http://schemas.microsoft.com/office/drawing/2014/main" id="{8899EB0E-A6DE-4DEB-B608-97FE07A64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17</xdr:row>
      <xdr:rowOff>19050</xdr:rowOff>
    </xdr:from>
    <xdr:to>
      <xdr:col>13</xdr:col>
      <xdr:colOff>552450</xdr:colOff>
      <xdr:row>46</xdr:row>
      <xdr:rowOff>85725</xdr:rowOff>
    </xdr:to>
    <xdr:graphicFrame macro="">
      <xdr:nvGraphicFramePr>
        <xdr:cNvPr id="70660" name="Chart 2">
          <a:extLst>
            <a:ext uri="{FF2B5EF4-FFF2-40B4-BE49-F238E27FC236}">
              <a16:creationId xmlns:a16="http://schemas.microsoft.com/office/drawing/2014/main" id="{8151AB97-FAC5-459D-82DE-A7F5FC05D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0.01825</cdr:x>
      <cdr:y>0.57448</cdr:y>
    </cdr:from>
    <cdr:to>
      <cdr:x>0.28969</cdr:x>
      <cdr:y>0.94446</cdr:y>
    </cdr:to>
    <cdr:sp macro="" textlink="">
      <cdr:nvSpPr>
        <cdr:cNvPr id="71681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127310" y="2741908"/>
          <a:ext cx="1832829" cy="17690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North Dakota Farm Business Management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ND Average Books (1999-2008)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excluding the Red River Valley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Does Not Include Disaster &amp;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Direct Gov Payments or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Return on Labor &amp; Management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0.03626</cdr:x>
      <cdr:y>0.60853</cdr:y>
    </cdr:from>
    <cdr:to>
      <cdr:x>0.33204</cdr:x>
      <cdr:y>0.95326</cdr:y>
    </cdr:to>
    <cdr:sp macro="" textlink="">
      <cdr:nvSpPr>
        <cdr:cNvPr id="72705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377541" y="2877910"/>
          <a:ext cx="3049581" cy="16053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North Dakota Farm Business Management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ND Average Books (1999-2008)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excluding the Red River Valley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Does Not Include Disaster &amp;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Direct Gov Payments or</a:t>
          </a:r>
        </a:p>
        <a:p xmlns:a="http://schemas.openxmlformats.org/drawingml/2006/main">
          <a:pPr algn="ctr" rtl="0"/>
          <a:r>
            <a:rPr lang="en-US" sz="9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Garamond"/>
            </a:rPr>
            <a:t>Return on Labor &amp; Management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57150</xdr:rowOff>
    </xdr:from>
    <xdr:to>
      <xdr:col>15</xdr:col>
      <xdr:colOff>171450</xdr:colOff>
      <xdr:row>37</xdr:row>
      <xdr:rowOff>0</xdr:rowOff>
    </xdr:to>
    <xdr:graphicFrame macro="">
      <xdr:nvGraphicFramePr>
        <xdr:cNvPr id="62472" name="Chart 5">
          <a:extLst>
            <a:ext uri="{FF2B5EF4-FFF2-40B4-BE49-F238E27FC236}">
              <a16:creationId xmlns:a16="http://schemas.microsoft.com/office/drawing/2014/main" id="{B2AE699A-662C-46F3-900C-996215769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39</xdr:row>
      <xdr:rowOff>76200</xdr:rowOff>
    </xdr:from>
    <xdr:to>
      <xdr:col>15</xdr:col>
      <xdr:colOff>209550</xdr:colOff>
      <xdr:row>66</xdr:row>
      <xdr:rowOff>19050</xdr:rowOff>
    </xdr:to>
    <xdr:graphicFrame macro="">
      <xdr:nvGraphicFramePr>
        <xdr:cNvPr id="62473" name="Chart 7">
          <a:extLst>
            <a:ext uri="{FF2B5EF4-FFF2-40B4-BE49-F238E27FC236}">
              <a16:creationId xmlns:a16="http://schemas.microsoft.com/office/drawing/2014/main" id="{CF7251AB-B7BE-4F80-BB5C-5DFCCD85D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0.64294</cdr:x>
      <cdr:y>0.80307</cdr:y>
    </cdr:from>
    <cdr:to>
      <cdr:x>0.99102</cdr:x>
      <cdr:y>0.96681</cdr:y>
    </cdr:to>
    <cdr:sp macro="" textlink="">
      <cdr:nvSpPr>
        <cdr:cNvPr id="82945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6681593" y="5632271"/>
          <a:ext cx="3752148" cy="11411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North Dakota Farm Management ND Average Books (1999-2008)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excluding the Red River Valley on Cash Rented Land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Does Not Include Disaster &amp; Direct Gov Payments or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Return on Labor &amp; Management</a:t>
          </a:r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0.61741</cdr:x>
      <cdr:y>0.79804</cdr:y>
    </cdr:from>
    <cdr:to>
      <cdr:x>0.97758</cdr:x>
      <cdr:y>0.98808</cdr:y>
    </cdr:to>
    <cdr:sp macro="" textlink="">
      <cdr:nvSpPr>
        <cdr:cNvPr id="109569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6362570" y="3720973"/>
          <a:ext cx="3796843" cy="8938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North Dakota Farm Management ND Average Books (2006-2008)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excluding the Red River Valley on Cash Rented Land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Does Not Include Disaster &amp; Direct Gov Payments or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Return on Labor &amp; Management</a:t>
          </a: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114300</xdr:rowOff>
    </xdr:from>
    <xdr:to>
      <xdr:col>13</xdr:col>
      <xdr:colOff>323850</xdr:colOff>
      <xdr:row>38</xdr:row>
      <xdr:rowOff>57150</xdr:rowOff>
    </xdr:to>
    <xdr:graphicFrame macro="">
      <xdr:nvGraphicFramePr>
        <xdr:cNvPr id="87043" name="Chart 1">
          <a:extLst>
            <a:ext uri="{FF2B5EF4-FFF2-40B4-BE49-F238E27FC236}">
              <a16:creationId xmlns:a16="http://schemas.microsoft.com/office/drawing/2014/main" id="{8FF42B4E-0F26-48CB-BA5D-0A8CA6BE1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40</xdr:row>
      <xdr:rowOff>133350</xdr:rowOff>
    </xdr:from>
    <xdr:to>
      <xdr:col>13</xdr:col>
      <xdr:colOff>361950</xdr:colOff>
      <xdr:row>69</xdr:row>
      <xdr:rowOff>85725</xdr:rowOff>
    </xdr:to>
    <xdr:graphicFrame macro="">
      <xdr:nvGraphicFramePr>
        <xdr:cNvPr id="87044" name="Chart 2">
          <a:extLst>
            <a:ext uri="{FF2B5EF4-FFF2-40B4-BE49-F238E27FC236}">
              <a16:creationId xmlns:a16="http://schemas.microsoft.com/office/drawing/2014/main" id="{895B1515-46C3-41B0-A875-67EA5CD3D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0.65345</cdr:x>
      <cdr:y>0.85533</cdr:y>
    </cdr:from>
    <cdr:to>
      <cdr:x>0.97841</cdr:x>
      <cdr:y>0.9871</cdr:y>
    </cdr:to>
    <cdr:sp macro="" textlink="">
      <cdr:nvSpPr>
        <cdr:cNvPr id="88065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6221047" y="6284532"/>
          <a:ext cx="3092189" cy="9676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North Dakota Farm Business Management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ND Average Books (1999-2008)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excluding the Red River Valley on Cash Rented Land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Does Not Include Disaster &amp;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Direct Gov Payments or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Return on Labor &amp; Managemt</a:t>
          </a:r>
        </a:p>
      </cdr:txBody>
    </cdr: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0.65072</cdr:x>
      <cdr:y>0.85486</cdr:y>
    </cdr:from>
    <cdr:to>
      <cdr:x>0.98657</cdr:x>
      <cdr:y>0.98312</cdr:y>
    </cdr:to>
    <cdr:sp macro="" textlink="">
      <cdr:nvSpPr>
        <cdr:cNvPr id="105473" name="WordArt 1"/>
        <cdr:cNvSpPr>
          <a:spLocks xmlns:a="http://schemas.openxmlformats.org/drawingml/2006/main" noChangeArrowheads="1" noChangeShapeType="1" noTextEdit="1"/>
        </cdr:cNvSpPr>
      </cdr:nvSpPr>
      <cdr:spPr bwMode="auto">
        <a:xfrm xmlns:a="http://schemas.openxmlformats.org/drawingml/2006/main">
          <a:off x="6182716" y="4278007"/>
          <a:ext cx="3189349" cy="6413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fromWordArt="1">
          <a:prstTxWarp prst="textPlain">
            <a:avLst>
              <a:gd name="adj" fmla="val 50000"/>
            </a:avLst>
          </a:prstTxWarp>
        </a:bodyPr>
        <a:lstStyle xmlns:a="http://schemas.openxmlformats.org/drawingml/2006/main"/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North Dakota Farm Business Management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ND Average Books (2006-2008)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excluding the Red River Valley on Cash Rented Land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Does Not Include Disaster &amp;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Direct Gov Payments or</a:t>
          </a:r>
        </a:p>
        <a:p xmlns:a="http://schemas.openxmlformats.org/drawingml/2006/main">
          <a:pPr algn="ctr" rtl="0"/>
          <a:r>
            <a:rPr lang="en-US" sz="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Microsoft Sans Serif"/>
              <a:cs typeface="Microsoft Sans Serif"/>
            </a:rPr>
            <a:t>Return on Labor &amp; Managemt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16"/>
  <sheetViews>
    <sheetView zoomScale="50" workbookViewId="0">
      <selection activeCell="D16" sqref="D16"/>
    </sheetView>
  </sheetViews>
  <sheetFormatPr defaultRowHeight="12.75" x14ac:dyDescent="0.2"/>
  <cols>
    <col min="1" max="1" width="17.140625" customWidth="1"/>
    <col min="2" max="5" width="12.85546875" customWidth="1"/>
    <col min="6" max="11" width="9.85546875" customWidth="1"/>
    <col min="13" max="13" width="12.85546875" customWidth="1"/>
  </cols>
  <sheetData>
    <row r="2" spans="1:14" x14ac:dyDescent="0.2">
      <c r="D2" t="s">
        <v>4</v>
      </c>
      <c r="E2" s="14" t="s">
        <v>51</v>
      </c>
    </row>
    <row r="3" spans="1:14" x14ac:dyDescent="0.2">
      <c r="C3" t="s">
        <v>7</v>
      </c>
    </row>
    <row r="4" spans="1:14" x14ac:dyDescent="0.2">
      <c r="B4">
        <v>1999</v>
      </c>
      <c r="C4">
        <v>2000</v>
      </c>
      <c r="D4">
        <v>2001</v>
      </c>
      <c r="E4">
        <v>2002</v>
      </c>
      <c r="F4">
        <v>2003</v>
      </c>
      <c r="G4">
        <v>2004</v>
      </c>
      <c r="H4">
        <v>2005</v>
      </c>
      <c r="I4">
        <v>2006</v>
      </c>
      <c r="J4">
        <v>2007</v>
      </c>
      <c r="K4">
        <v>2008</v>
      </c>
      <c r="N4" t="s">
        <v>1</v>
      </c>
    </row>
    <row r="5" spans="1:14" x14ac:dyDescent="0.2">
      <c r="A5" t="s">
        <v>13</v>
      </c>
      <c r="B5" s="1">
        <v>-12.93</v>
      </c>
      <c r="C5" s="1">
        <v>9.35</v>
      </c>
      <c r="D5" s="1">
        <v>-18.579999999999998</v>
      </c>
      <c r="E5" s="1">
        <v>5.8</v>
      </c>
      <c r="F5" s="1">
        <v>11.06</v>
      </c>
      <c r="G5" s="1">
        <v>20.59</v>
      </c>
      <c r="H5" s="1">
        <v>-2.35</v>
      </c>
      <c r="I5" s="1">
        <v>2.14</v>
      </c>
      <c r="J5" s="1">
        <v>95.66</v>
      </c>
      <c r="K5" s="1">
        <v>88.71</v>
      </c>
      <c r="M5" t="s">
        <v>13</v>
      </c>
      <c r="N5" s="1">
        <f t="shared" ref="N5:N16" si="0">AVERAGE(B5:K5)</f>
        <v>19.945</v>
      </c>
    </row>
    <row r="6" spans="1:14" x14ac:dyDescent="0.2">
      <c r="A6" t="s">
        <v>8</v>
      </c>
      <c r="B6" s="1">
        <v>7.43</v>
      </c>
      <c r="C6" s="1">
        <v>7.29</v>
      </c>
      <c r="D6" s="1">
        <v>7.65</v>
      </c>
      <c r="E6" s="1">
        <v>7.23</v>
      </c>
      <c r="F6" s="1">
        <v>8.35</v>
      </c>
      <c r="G6" s="1">
        <v>9.07</v>
      </c>
      <c r="H6" s="1">
        <v>9.86</v>
      </c>
      <c r="I6" s="1">
        <v>9.52</v>
      </c>
      <c r="J6" s="1">
        <v>10.95</v>
      </c>
      <c r="K6" s="1">
        <v>20.54</v>
      </c>
      <c r="M6" t="s">
        <v>8</v>
      </c>
      <c r="N6" s="1">
        <f t="shared" si="0"/>
        <v>9.7889999999999979</v>
      </c>
    </row>
    <row r="7" spans="1:14" x14ac:dyDescent="0.2">
      <c r="A7" t="s">
        <v>2</v>
      </c>
      <c r="B7" s="1">
        <v>14.83</v>
      </c>
      <c r="C7" s="1">
        <v>14.95</v>
      </c>
      <c r="D7" s="1">
        <v>18.64</v>
      </c>
      <c r="E7" s="1">
        <v>14.83</v>
      </c>
      <c r="F7" s="1">
        <v>17.25</v>
      </c>
      <c r="G7" s="1">
        <v>22.03</v>
      </c>
      <c r="H7" s="1">
        <v>25.43</v>
      </c>
      <c r="I7" s="1">
        <v>27.99</v>
      </c>
      <c r="J7" s="1">
        <v>30.8</v>
      </c>
      <c r="K7" s="1">
        <v>46.53</v>
      </c>
      <c r="M7" t="s">
        <v>2</v>
      </c>
      <c r="N7" s="1">
        <f t="shared" si="0"/>
        <v>23.328000000000003</v>
      </c>
    </row>
    <row r="8" spans="1:14" x14ac:dyDescent="0.2">
      <c r="A8" t="s">
        <v>3</v>
      </c>
      <c r="B8" s="1">
        <v>10.72</v>
      </c>
      <c r="C8" s="1">
        <v>11.88</v>
      </c>
      <c r="D8" s="1">
        <v>11.94</v>
      </c>
      <c r="E8" s="1">
        <v>12.57</v>
      </c>
      <c r="F8" s="1">
        <v>15.52</v>
      </c>
      <c r="G8" s="1">
        <v>17.05</v>
      </c>
      <c r="H8" s="1">
        <v>19.41</v>
      </c>
      <c r="I8" s="1">
        <v>16.93</v>
      </c>
      <c r="J8" s="1">
        <v>24.32</v>
      </c>
      <c r="K8" s="1">
        <v>26.35</v>
      </c>
      <c r="M8" t="s">
        <v>3</v>
      </c>
      <c r="N8" s="1">
        <f t="shared" si="0"/>
        <v>16.668999999999997</v>
      </c>
    </row>
    <row r="9" spans="1:14" x14ac:dyDescent="0.2">
      <c r="A9" t="s">
        <v>9</v>
      </c>
      <c r="B9" s="1">
        <v>5.4</v>
      </c>
      <c r="C9" s="1">
        <v>6.48</v>
      </c>
      <c r="D9" s="1">
        <v>6.38</v>
      </c>
      <c r="E9" s="1">
        <v>5.45</v>
      </c>
      <c r="F9" s="1">
        <v>7.54</v>
      </c>
      <c r="G9" s="1">
        <v>7.15</v>
      </c>
      <c r="H9" s="1">
        <v>8.3699999999999992</v>
      </c>
      <c r="I9" s="1">
        <v>8.16</v>
      </c>
      <c r="J9" s="1">
        <v>11.1</v>
      </c>
      <c r="K9" s="1">
        <v>24.08</v>
      </c>
      <c r="M9" t="s">
        <v>9</v>
      </c>
      <c r="N9" s="1">
        <f t="shared" si="0"/>
        <v>9.0109999999999992</v>
      </c>
    </row>
    <row r="10" spans="1:14" x14ac:dyDescent="0.2">
      <c r="A10" t="s">
        <v>14</v>
      </c>
      <c r="B10" s="1">
        <v>9.11</v>
      </c>
      <c r="C10" s="1">
        <v>9.81</v>
      </c>
      <c r="D10" s="1">
        <v>10.07</v>
      </c>
      <c r="E10" s="1">
        <v>9.09</v>
      </c>
      <c r="F10" s="1">
        <v>9.52</v>
      </c>
      <c r="G10" s="1">
        <v>9.59</v>
      </c>
      <c r="H10" s="1">
        <v>9.7899999999999991</v>
      </c>
      <c r="I10" s="1">
        <v>9.5500000000000007</v>
      </c>
      <c r="J10" s="1">
        <v>11.44</v>
      </c>
      <c r="K10" s="1">
        <v>15</v>
      </c>
      <c r="M10" t="s">
        <v>14</v>
      </c>
      <c r="N10" s="1">
        <f t="shared" si="0"/>
        <v>10.296999999999999</v>
      </c>
    </row>
    <row r="11" spans="1:14" x14ac:dyDescent="0.2">
      <c r="A11" t="s">
        <v>15</v>
      </c>
      <c r="B11" s="1">
        <v>8.9</v>
      </c>
      <c r="C11" s="1">
        <v>10.25</v>
      </c>
      <c r="D11" s="1">
        <v>11.16</v>
      </c>
      <c r="E11" s="1">
        <v>8.8800000000000008</v>
      </c>
      <c r="F11" s="1">
        <v>9.94</v>
      </c>
      <c r="G11" s="1">
        <v>11.09</v>
      </c>
      <c r="H11" s="1">
        <v>14.71</v>
      </c>
      <c r="I11" s="1">
        <v>13.08</v>
      </c>
      <c r="J11" s="1">
        <v>15.19</v>
      </c>
      <c r="K11" s="1">
        <v>19.29</v>
      </c>
      <c r="M11" t="s">
        <v>15</v>
      </c>
      <c r="N11" s="1">
        <f t="shared" si="0"/>
        <v>12.249000000000001</v>
      </c>
    </row>
    <row r="12" spans="1:14" x14ac:dyDescent="0.2">
      <c r="A12" t="s">
        <v>12</v>
      </c>
      <c r="B12" s="1">
        <v>29.47</v>
      </c>
      <c r="C12" s="1">
        <v>29.1</v>
      </c>
      <c r="D12" s="1">
        <v>29.42</v>
      </c>
      <c r="E12" s="1">
        <v>29.72</v>
      </c>
      <c r="F12" s="1">
        <v>29.52</v>
      </c>
      <c r="G12" s="1">
        <v>29.11</v>
      </c>
      <c r="H12" s="1">
        <v>30.24</v>
      </c>
      <c r="I12" s="1">
        <v>31.2</v>
      </c>
      <c r="J12" s="1">
        <v>32.36</v>
      </c>
      <c r="K12" s="1">
        <v>35.43</v>
      </c>
      <c r="M12" t="s">
        <v>12</v>
      </c>
      <c r="N12" s="1">
        <f t="shared" si="0"/>
        <v>30.557000000000006</v>
      </c>
    </row>
    <row r="13" spans="1:14" x14ac:dyDescent="0.2">
      <c r="A13" t="s">
        <v>10</v>
      </c>
      <c r="B13" s="1">
        <v>3.43</v>
      </c>
      <c r="C13" s="1">
        <v>3.12</v>
      </c>
      <c r="D13" s="1">
        <v>3.1</v>
      </c>
      <c r="E13" s="1">
        <v>2.23</v>
      </c>
      <c r="F13" s="1">
        <v>2.38</v>
      </c>
      <c r="G13" s="1">
        <v>2.36</v>
      </c>
      <c r="H13" s="1">
        <v>3.21</v>
      </c>
      <c r="I13" s="1">
        <v>4.17</v>
      </c>
      <c r="J13" s="1">
        <v>4.22</v>
      </c>
      <c r="K13" s="1">
        <v>3.79</v>
      </c>
      <c r="M13" t="s">
        <v>10</v>
      </c>
      <c r="N13" s="1">
        <f t="shared" si="0"/>
        <v>3.2009999999999996</v>
      </c>
    </row>
    <row r="14" spans="1:14" x14ac:dyDescent="0.2">
      <c r="A14" t="s">
        <v>11</v>
      </c>
      <c r="B14" s="1">
        <v>21.95</v>
      </c>
      <c r="C14" s="1">
        <v>20.78</v>
      </c>
      <c r="D14" s="1">
        <v>22.07</v>
      </c>
      <c r="E14" s="1">
        <v>20.21</v>
      </c>
      <c r="F14" s="1">
        <v>19.899999999999999</v>
      </c>
      <c r="G14" s="1">
        <v>21.87</v>
      </c>
      <c r="H14" s="1">
        <v>23.59</v>
      </c>
      <c r="I14" s="1">
        <v>22.52</v>
      </c>
      <c r="J14" s="1">
        <v>25.47</v>
      </c>
      <c r="K14" s="1">
        <v>27.63</v>
      </c>
      <c r="M14" t="s">
        <v>11</v>
      </c>
      <c r="N14" s="1">
        <f t="shared" si="0"/>
        <v>22.599000000000004</v>
      </c>
    </row>
    <row r="15" spans="1:14" x14ac:dyDescent="0.2">
      <c r="A15" t="s">
        <v>33</v>
      </c>
      <c r="B15" s="1">
        <f t="shared" ref="B15:K15" si="1">SUM(B6:B14)</f>
        <v>111.24</v>
      </c>
      <c r="C15" s="1">
        <f t="shared" si="1"/>
        <v>113.66</v>
      </c>
      <c r="D15" s="1">
        <f t="shared" si="1"/>
        <v>120.43</v>
      </c>
      <c r="E15" s="1">
        <f t="shared" si="1"/>
        <v>110.21000000000001</v>
      </c>
      <c r="F15" s="1">
        <f t="shared" si="1"/>
        <v>119.91999999999999</v>
      </c>
      <c r="G15" s="1">
        <f t="shared" si="1"/>
        <v>129.32</v>
      </c>
      <c r="H15" s="1">
        <f>SUM(H6:H14)</f>
        <v>144.60999999999999</v>
      </c>
      <c r="I15" s="1">
        <f>SUM(I6:I14)</f>
        <v>143.12</v>
      </c>
      <c r="J15" s="1">
        <f>SUM(J6:J14)</f>
        <v>165.84999999999997</v>
      </c>
      <c r="K15" s="1">
        <f t="shared" si="1"/>
        <v>218.64</v>
      </c>
      <c r="M15" t="s">
        <v>33</v>
      </c>
      <c r="N15" s="1">
        <f t="shared" si="0"/>
        <v>137.69999999999999</v>
      </c>
    </row>
    <row r="16" spans="1:14" x14ac:dyDescent="0.2">
      <c r="A16" t="s">
        <v>16</v>
      </c>
      <c r="B16" s="1">
        <v>10.18</v>
      </c>
      <c r="C16" s="1">
        <v>10.19</v>
      </c>
      <c r="D16" s="1">
        <v>17.149999999999999</v>
      </c>
      <c r="E16" s="1">
        <v>8.76</v>
      </c>
      <c r="F16" s="1">
        <v>11.47</v>
      </c>
      <c r="G16" s="1">
        <v>9.8800000000000008</v>
      </c>
      <c r="H16" s="1">
        <v>11.05</v>
      </c>
      <c r="I16" s="1">
        <v>11.19</v>
      </c>
      <c r="J16" s="1">
        <v>10.97</v>
      </c>
      <c r="K16" s="1">
        <v>10.84</v>
      </c>
      <c r="M16" t="s">
        <v>16</v>
      </c>
      <c r="N16" s="1">
        <f t="shared" si="0"/>
        <v>11.167999999999999</v>
      </c>
    </row>
  </sheetData>
  <phoneticPr fontId="1" type="noConversion"/>
  <printOptions headings="1" gridLines="1"/>
  <pageMargins left="0.75" right="0.75" top="1" bottom="1" header="0.5" footer="0.5"/>
  <pageSetup scale="5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16"/>
  <sheetViews>
    <sheetView zoomScale="50" workbookViewId="0">
      <selection activeCell="I5" sqref="I5"/>
    </sheetView>
  </sheetViews>
  <sheetFormatPr defaultRowHeight="12.75" x14ac:dyDescent="0.2"/>
  <cols>
    <col min="1" max="1" width="17.140625" customWidth="1"/>
    <col min="2" max="5" width="12.85546875" customWidth="1"/>
    <col min="6" max="11" width="9.85546875" customWidth="1"/>
    <col min="13" max="13" width="12.85546875" customWidth="1"/>
  </cols>
  <sheetData>
    <row r="2" spans="1:14" ht="15.75" x14ac:dyDescent="0.25">
      <c r="D2" s="7" t="s">
        <v>26</v>
      </c>
      <c r="E2" s="14" t="s">
        <v>51</v>
      </c>
    </row>
    <row r="3" spans="1:14" x14ac:dyDescent="0.2">
      <c r="C3" t="s">
        <v>7</v>
      </c>
    </row>
    <row r="4" spans="1:14" x14ac:dyDescent="0.2">
      <c r="B4">
        <v>1999</v>
      </c>
      <c r="C4">
        <v>2000</v>
      </c>
      <c r="D4">
        <v>2001</v>
      </c>
      <c r="E4">
        <v>2002</v>
      </c>
      <c r="F4">
        <v>2003</v>
      </c>
      <c r="G4">
        <v>2004</v>
      </c>
      <c r="H4">
        <v>2005</v>
      </c>
      <c r="I4">
        <v>2006</v>
      </c>
      <c r="J4">
        <v>2007</v>
      </c>
      <c r="K4">
        <v>2008</v>
      </c>
      <c r="N4" t="s">
        <v>1</v>
      </c>
    </row>
    <row r="5" spans="1:14" x14ac:dyDescent="0.2">
      <c r="A5" t="s">
        <v>13</v>
      </c>
      <c r="B5" s="1">
        <v>9.58</v>
      </c>
      <c r="C5" s="1">
        <v>0.26</v>
      </c>
      <c r="D5" s="1">
        <v>-12.33</v>
      </c>
      <c r="E5" s="1">
        <v>8.98</v>
      </c>
      <c r="F5" s="1">
        <v>18.45</v>
      </c>
      <c r="G5" s="1">
        <v>40.32</v>
      </c>
      <c r="H5" s="1">
        <v>-0.59</v>
      </c>
      <c r="I5" s="1">
        <v>-32.03</v>
      </c>
      <c r="J5" s="1">
        <v>65.08</v>
      </c>
      <c r="K5" s="1">
        <v>40.07</v>
      </c>
      <c r="M5" t="s">
        <v>13</v>
      </c>
      <c r="N5" s="1">
        <f t="shared" ref="N5:N15" si="0">AVERAGE(B5:K5)</f>
        <v>13.779</v>
      </c>
    </row>
    <row r="6" spans="1:14" x14ac:dyDescent="0.2">
      <c r="A6" t="s">
        <v>8</v>
      </c>
      <c r="B6" s="1">
        <v>6.53</v>
      </c>
      <c r="C6" s="1">
        <v>5.9</v>
      </c>
      <c r="D6" s="1">
        <v>5.66</v>
      </c>
      <c r="E6" s="1">
        <v>6.25</v>
      </c>
      <c r="F6" s="1">
        <v>7.93</v>
      </c>
      <c r="G6" s="1">
        <v>7.91</v>
      </c>
      <c r="H6" s="1">
        <v>12.55</v>
      </c>
      <c r="I6" s="1">
        <v>8.2799999999999994</v>
      </c>
      <c r="J6" s="1">
        <v>8.68</v>
      </c>
      <c r="K6" s="1">
        <v>16.309999999999999</v>
      </c>
      <c r="M6" t="s">
        <v>8</v>
      </c>
      <c r="N6" s="1">
        <f t="shared" si="0"/>
        <v>8.6</v>
      </c>
    </row>
    <row r="7" spans="1:14" x14ac:dyDescent="0.2">
      <c r="A7" t="s">
        <v>2</v>
      </c>
      <c r="B7" s="1">
        <v>11.72</v>
      </c>
      <c r="C7" s="1">
        <v>12.72</v>
      </c>
      <c r="D7" s="1">
        <v>16.149999999999999</v>
      </c>
      <c r="E7" s="1">
        <v>11.26</v>
      </c>
      <c r="F7" s="1">
        <v>14.58</v>
      </c>
      <c r="G7" s="1">
        <v>17.5</v>
      </c>
      <c r="H7" s="1">
        <v>19.16</v>
      </c>
      <c r="I7" s="1">
        <v>17.46</v>
      </c>
      <c r="J7" s="1">
        <v>19.309999999999999</v>
      </c>
      <c r="K7" s="1">
        <v>28.98</v>
      </c>
      <c r="M7" t="s">
        <v>2</v>
      </c>
      <c r="N7" s="1">
        <f t="shared" si="0"/>
        <v>16.884</v>
      </c>
    </row>
    <row r="8" spans="1:14" x14ac:dyDescent="0.2">
      <c r="A8" t="s">
        <v>3</v>
      </c>
      <c r="B8" s="1">
        <v>10.23</v>
      </c>
      <c r="C8" s="1">
        <v>12.17</v>
      </c>
      <c r="D8" s="1">
        <v>17.36</v>
      </c>
      <c r="E8" s="1">
        <v>14.38</v>
      </c>
      <c r="F8" s="1">
        <v>13.96</v>
      </c>
      <c r="G8" s="1">
        <v>17.16</v>
      </c>
      <c r="H8" s="1">
        <v>16.239999999999998</v>
      </c>
      <c r="I8" s="1">
        <v>15.73</v>
      </c>
      <c r="J8" s="1">
        <v>15.5</v>
      </c>
      <c r="K8" s="1">
        <v>20.77</v>
      </c>
      <c r="M8" t="s">
        <v>3</v>
      </c>
      <c r="N8" s="1">
        <f t="shared" si="0"/>
        <v>15.35</v>
      </c>
    </row>
    <row r="9" spans="1:14" x14ac:dyDescent="0.2">
      <c r="A9" t="s">
        <v>9</v>
      </c>
      <c r="B9" s="1">
        <v>3.61</v>
      </c>
      <c r="C9" s="1">
        <v>4.17</v>
      </c>
      <c r="D9" s="1">
        <v>4.68</v>
      </c>
      <c r="E9" s="1">
        <v>4.5599999999999996</v>
      </c>
      <c r="F9" s="1">
        <v>5.0199999999999996</v>
      </c>
      <c r="G9" s="1">
        <v>5.3</v>
      </c>
      <c r="H9" s="1">
        <v>6</v>
      </c>
      <c r="I9" s="1">
        <v>6.52</v>
      </c>
      <c r="J9" s="1">
        <v>5.88</v>
      </c>
      <c r="K9" s="1">
        <v>11.91</v>
      </c>
      <c r="M9" t="s">
        <v>9</v>
      </c>
      <c r="N9" s="1">
        <f t="shared" si="0"/>
        <v>5.7650000000000006</v>
      </c>
    </row>
    <row r="10" spans="1:14" x14ac:dyDescent="0.2">
      <c r="A10" t="s">
        <v>14</v>
      </c>
      <c r="B10" s="1">
        <v>9.9499999999999993</v>
      </c>
      <c r="C10" s="1">
        <v>10.98</v>
      </c>
      <c r="D10" s="1">
        <v>10.28</v>
      </c>
      <c r="E10" s="1">
        <v>9.1199999999999992</v>
      </c>
      <c r="F10" s="1">
        <v>9.6300000000000008</v>
      </c>
      <c r="G10" s="1">
        <v>11.12</v>
      </c>
      <c r="H10" s="1">
        <v>10.63</v>
      </c>
      <c r="I10" s="1">
        <v>9.83</v>
      </c>
      <c r="J10" s="1">
        <v>11.11</v>
      </c>
      <c r="K10" s="1">
        <v>11.35</v>
      </c>
      <c r="M10" t="s">
        <v>14</v>
      </c>
      <c r="N10" s="1">
        <f t="shared" si="0"/>
        <v>10.399999999999999</v>
      </c>
    </row>
    <row r="11" spans="1:14" x14ac:dyDescent="0.2">
      <c r="A11" t="s">
        <v>15</v>
      </c>
      <c r="B11" s="1">
        <v>8.09</v>
      </c>
      <c r="C11" s="1">
        <v>9.2200000000000006</v>
      </c>
      <c r="D11" s="1">
        <v>10.199999999999999</v>
      </c>
      <c r="E11" s="1">
        <v>8.75</v>
      </c>
      <c r="F11" s="1">
        <v>10.16</v>
      </c>
      <c r="G11" s="1">
        <v>10.86</v>
      </c>
      <c r="H11" s="1">
        <v>13.85</v>
      </c>
      <c r="I11" s="1">
        <v>15.11</v>
      </c>
      <c r="J11" s="1">
        <v>13.82</v>
      </c>
      <c r="K11" s="1">
        <v>20.49</v>
      </c>
      <c r="M11" t="s">
        <v>15</v>
      </c>
      <c r="N11" s="1">
        <f t="shared" si="0"/>
        <v>12.055</v>
      </c>
    </row>
    <row r="12" spans="1:14" x14ac:dyDescent="0.2">
      <c r="A12" t="s">
        <v>12</v>
      </c>
      <c r="B12" s="1">
        <v>27.18</v>
      </c>
      <c r="C12" s="1">
        <v>29.1</v>
      </c>
      <c r="D12" s="1">
        <v>28.23</v>
      </c>
      <c r="E12" s="1">
        <v>28.07</v>
      </c>
      <c r="F12" s="1">
        <v>29.62</v>
      </c>
      <c r="G12" s="1">
        <v>28.16</v>
      </c>
      <c r="H12" s="1">
        <v>29.86</v>
      </c>
      <c r="I12" s="1">
        <v>30.87</v>
      </c>
      <c r="J12" s="1">
        <v>32.22</v>
      </c>
      <c r="K12" s="1">
        <v>34.67</v>
      </c>
      <c r="M12" t="s">
        <v>12</v>
      </c>
      <c r="N12" s="1">
        <f t="shared" si="0"/>
        <v>29.798000000000009</v>
      </c>
    </row>
    <row r="13" spans="1:14" x14ac:dyDescent="0.2">
      <c r="A13" t="s">
        <v>10</v>
      </c>
      <c r="B13" s="1">
        <v>2.59</v>
      </c>
      <c r="C13" s="1">
        <v>3.37</v>
      </c>
      <c r="D13" s="1">
        <v>2.5099999999999998</v>
      </c>
      <c r="E13" s="1">
        <v>2.21</v>
      </c>
      <c r="F13" s="1">
        <v>2.15</v>
      </c>
      <c r="G13" s="1">
        <v>2.54</v>
      </c>
      <c r="H13" s="1">
        <v>2.81</v>
      </c>
      <c r="I13" s="1">
        <v>3.82</v>
      </c>
      <c r="J13" s="1">
        <v>4.46</v>
      </c>
      <c r="K13" s="1">
        <v>3</v>
      </c>
      <c r="M13" t="s">
        <v>10</v>
      </c>
      <c r="N13" s="1">
        <f t="shared" si="0"/>
        <v>2.9460000000000002</v>
      </c>
    </row>
    <row r="14" spans="1:14" x14ac:dyDescent="0.2">
      <c r="A14" t="s">
        <v>11</v>
      </c>
      <c r="B14" s="1">
        <v>19.399999999999999</v>
      </c>
      <c r="C14" s="1">
        <v>20.329999999999998</v>
      </c>
      <c r="D14" s="1">
        <v>22.15</v>
      </c>
      <c r="E14" s="1">
        <v>19.57</v>
      </c>
      <c r="F14" s="1">
        <v>21.53</v>
      </c>
      <c r="G14" s="1">
        <v>21.34</v>
      </c>
      <c r="H14" s="1">
        <v>23.25</v>
      </c>
      <c r="I14" s="1">
        <v>23.15</v>
      </c>
      <c r="J14" s="1">
        <v>22.78</v>
      </c>
      <c r="K14" s="1">
        <v>22.56</v>
      </c>
      <c r="M14" t="s">
        <v>11</v>
      </c>
      <c r="N14" s="1">
        <f t="shared" si="0"/>
        <v>21.606000000000002</v>
      </c>
    </row>
    <row r="15" spans="1:14" x14ac:dyDescent="0.2">
      <c r="A15" t="s">
        <v>33</v>
      </c>
      <c r="B15" s="1">
        <f t="shared" ref="B15:K15" si="1">SUM(B6:B14)</f>
        <v>99.300000000000011</v>
      </c>
      <c r="C15" s="1">
        <f t="shared" si="1"/>
        <v>107.96</v>
      </c>
      <c r="D15" s="1">
        <f t="shared" si="1"/>
        <v>117.22</v>
      </c>
      <c r="E15" s="1">
        <f t="shared" si="1"/>
        <v>104.16999999999999</v>
      </c>
      <c r="F15" s="1">
        <f t="shared" si="1"/>
        <v>114.58000000000001</v>
      </c>
      <c r="G15" s="1">
        <f t="shared" si="1"/>
        <v>121.89</v>
      </c>
      <c r="H15" s="1">
        <f>SUM(H6:H14)</f>
        <v>134.35</v>
      </c>
      <c r="I15" s="1">
        <f>SUM(I6:I14)</f>
        <v>130.76999999999998</v>
      </c>
      <c r="J15" s="1">
        <f>SUM(J6:J14)</f>
        <v>133.76</v>
      </c>
      <c r="K15" s="1">
        <f t="shared" si="1"/>
        <v>170.04</v>
      </c>
      <c r="M15" t="s">
        <v>33</v>
      </c>
      <c r="N15" s="1">
        <f t="shared" si="0"/>
        <v>123.404</v>
      </c>
    </row>
    <row r="16" spans="1:14" x14ac:dyDescent="0.2">
      <c r="A16" t="s">
        <v>16</v>
      </c>
      <c r="B16" s="1">
        <v>10.33</v>
      </c>
      <c r="C16" s="1">
        <v>10.34</v>
      </c>
      <c r="D16" s="1">
        <v>16.72</v>
      </c>
      <c r="E16" s="1">
        <v>8.8699999999999992</v>
      </c>
      <c r="F16" s="1">
        <v>10.94</v>
      </c>
      <c r="G16" s="1">
        <v>9.27</v>
      </c>
      <c r="H16" s="1">
        <v>10.23</v>
      </c>
      <c r="I16" s="1">
        <v>11.37</v>
      </c>
      <c r="J16" s="1">
        <v>11.17</v>
      </c>
      <c r="K16" s="1">
        <v>10.55</v>
      </c>
      <c r="M16" t="s">
        <v>16</v>
      </c>
      <c r="N16" s="1">
        <f>AVERAGE(B16:K16)</f>
        <v>10.979000000000001</v>
      </c>
    </row>
  </sheetData>
  <phoneticPr fontId="1" type="noConversion"/>
  <printOptions headings="1" gridLines="1"/>
  <pageMargins left="0.75" right="0.75" top="1" bottom="1" header="0.5" footer="0.5"/>
  <pageSetup scale="5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16"/>
  <sheetViews>
    <sheetView zoomScale="50" workbookViewId="0">
      <selection activeCell="C16" sqref="C16"/>
    </sheetView>
  </sheetViews>
  <sheetFormatPr defaultRowHeight="12.75" x14ac:dyDescent="0.2"/>
  <cols>
    <col min="1" max="1" width="17.140625" customWidth="1"/>
    <col min="2" max="5" width="12.85546875" customWidth="1"/>
    <col min="6" max="11" width="9.85546875" customWidth="1"/>
    <col min="13" max="13" width="12.85546875" customWidth="1"/>
  </cols>
  <sheetData>
    <row r="2" spans="1:14" x14ac:dyDescent="0.2">
      <c r="D2" t="s">
        <v>0</v>
      </c>
      <c r="E2" s="14" t="s">
        <v>51</v>
      </c>
    </row>
    <row r="3" spans="1:14" x14ac:dyDescent="0.2">
      <c r="C3" t="s">
        <v>7</v>
      </c>
    </row>
    <row r="4" spans="1:14" x14ac:dyDescent="0.2">
      <c r="B4">
        <v>1999</v>
      </c>
      <c r="C4">
        <v>2000</v>
      </c>
      <c r="D4">
        <v>2001</v>
      </c>
      <c r="E4">
        <v>2002</v>
      </c>
      <c r="F4">
        <v>2003</v>
      </c>
      <c r="G4">
        <v>2004</v>
      </c>
      <c r="H4">
        <v>2005</v>
      </c>
      <c r="I4">
        <v>2006</v>
      </c>
      <c r="J4">
        <v>2007</v>
      </c>
      <c r="K4">
        <v>2008</v>
      </c>
      <c r="N4" t="s">
        <v>1</v>
      </c>
    </row>
    <row r="5" spans="1:14" x14ac:dyDescent="0.2">
      <c r="A5" t="s">
        <v>13</v>
      </c>
      <c r="B5" s="1">
        <v>6.18</v>
      </c>
      <c r="C5" s="1">
        <v>-1.7</v>
      </c>
      <c r="D5" s="1">
        <v>-6.15</v>
      </c>
      <c r="E5" s="1">
        <v>35.799999999999997</v>
      </c>
      <c r="F5" s="1">
        <v>50.86</v>
      </c>
      <c r="G5" s="1">
        <v>33.25</v>
      </c>
      <c r="H5" s="1">
        <v>-3.06</v>
      </c>
      <c r="I5" s="1">
        <v>27.03</v>
      </c>
      <c r="J5" s="1">
        <v>75.38</v>
      </c>
      <c r="K5" s="1">
        <v>159.16999999999999</v>
      </c>
      <c r="M5" t="s">
        <v>13</v>
      </c>
      <c r="N5" s="1">
        <f t="shared" ref="N5:N16" si="0">AVERAGE(B5:K5)</f>
        <v>37.676000000000002</v>
      </c>
    </row>
    <row r="6" spans="1:14" x14ac:dyDescent="0.2">
      <c r="A6" t="s">
        <v>8</v>
      </c>
      <c r="B6" s="1">
        <v>5.37</v>
      </c>
      <c r="C6" s="1">
        <v>5.94</v>
      </c>
      <c r="D6" s="1">
        <v>5.76</v>
      </c>
      <c r="E6" s="1">
        <v>6.72</v>
      </c>
      <c r="F6" s="1">
        <v>8.56</v>
      </c>
      <c r="G6" s="1">
        <v>8.34</v>
      </c>
      <c r="H6" s="1">
        <v>7.77</v>
      </c>
      <c r="I6" s="1">
        <v>8.18</v>
      </c>
      <c r="J6" s="1">
        <v>10.050000000000001</v>
      </c>
      <c r="K6" s="1">
        <v>16.850000000000001</v>
      </c>
      <c r="M6" t="s">
        <v>8</v>
      </c>
      <c r="N6" s="1">
        <f t="shared" si="0"/>
        <v>8.3539999999999992</v>
      </c>
    </row>
    <row r="7" spans="1:14" x14ac:dyDescent="0.2">
      <c r="A7" t="s">
        <v>2</v>
      </c>
      <c r="B7" s="1">
        <v>12.76</v>
      </c>
      <c r="C7" s="1">
        <v>14.68</v>
      </c>
      <c r="D7" s="1">
        <v>16.690000000000001</v>
      </c>
      <c r="E7" s="1">
        <v>13.89</v>
      </c>
      <c r="F7" s="1">
        <v>17.46</v>
      </c>
      <c r="G7" s="1">
        <v>20.49</v>
      </c>
      <c r="H7" s="1">
        <v>21.4</v>
      </c>
      <c r="I7" s="1">
        <v>25.94</v>
      </c>
      <c r="J7" s="1">
        <v>26.22</v>
      </c>
      <c r="K7" s="1">
        <v>45.29</v>
      </c>
      <c r="M7" t="s">
        <v>2</v>
      </c>
      <c r="N7" s="1">
        <f t="shared" si="0"/>
        <v>21.481999999999996</v>
      </c>
    </row>
    <row r="8" spans="1:14" x14ac:dyDescent="0.2">
      <c r="A8" t="s">
        <v>3</v>
      </c>
      <c r="B8" s="1">
        <v>10.039999999999999</v>
      </c>
      <c r="C8" s="1">
        <v>11.05</v>
      </c>
      <c r="D8" s="1">
        <v>9.7200000000000006</v>
      </c>
      <c r="E8" s="1">
        <v>10.74</v>
      </c>
      <c r="F8" s="1">
        <v>12.51</v>
      </c>
      <c r="G8" s="1">
        <v>15.03</v>
      </c>
      <c r="H8" s="1">
        <v>14.46</v>
      </c>
      <c r="I8" s="1">
        <v>14.3</v>
      </c>
      <c r="J8" s="1">
        <v>17.260000000000002</v>
      </c>
      <c r="K8" s="1">
        <v>24.52</v>
      </c>
      <c r="M8" t="s">
        <v>3</v>
      </c>
      <c r="N8" s="1">
        <f t="shared" si="0"/>
        <v>13.963000000000003</v>
      </c>
    </row>
    <row r="9" spans="1:14" x14ac:dyDescent="0.2">
      <c r="A9" t="s">
        <v>9</v>
      </c>
      <c r="B9" s="1">
        <v>4.99</v>
      </c>
      <c r="C9" s="1">
        <v>6.48</v>
      </c>
      <c r="D9" s="1">
        <v>5.43</v>
      </c>
      <c r="E9" s="1">
        <v>5.55</v>
      </c>
      <c r="F9" s="1">
        <v>7.88</v>
      </c>
      <c r="G9" s="1">
        <v>7.86</v>
      </c>
      <c r="H9" s="1">
        <v>8.2200000000000006</v>
      </c>
      <c r="I9" s="1">
        <v>8.06</v>
      </c>
      <c r="J9" s="1">
        <v>9.2200000000000006</v>
      </c>
      <c r="K9" s="1">
        <v>16.95</v>
      </c>
      <c r="M9" t="s">
        <v>9</v>
      </c>
      <c r="N9" s="1">
        <f t="shared" si="0"/>
        <v>8.0640000000000001</v>
      </c>
    </row>
    <row r="10" spans="1:14" x14ac:dyDescent="0.2">
      <c r="A10" t="s">
        <v>14</v>
      </c>
      <c r="B10" s="1">
        <v>9.9</v>
      </c>
      <c r="C10" s="1">
        <v>9.6</v>
      </c>
      <c r="D10" s="1">
        <v>10.75</v>
      </c>
      <c r="E10" s="1">
        <v>9.15</v>
      </c>
      <c r="F10" s="1">
        <v>9.41</v>
      </c>
      <c r="G10" s="1">
        <v>11.38</v>
      </c>
      <c r="H10" s="1">
        <v>10.7</v>
      </c>
      <c r="I10" s="1">
        <v>10.32</v>
      </c>
      <c r="J10" s="1">
        <v>11.69</v>
      </c>
      <c r="K10" s="1">
        <v>14.98</v>
      </c>
      <c r="M10" t="s">
        <v>14</v>
      </c>
      <c r="N10" s="1">
        <f t="shared" si="0"/>
        <v>10.788</v>
      </c>
    </row>
    <row r="11" spans="1:14" x14ac:dyDescent="0.2">
      <c r="A11" t="s">
        <v>15</v>
      </c>
      <c r="B11" s="1">
        <v>7.85</v>
      </c>
      <c r="C11" s="1">
        <v>9.99</v>
      </c>
      <c r="D11" s="1">
        <v>10.23</v>
      </c>
      <c r="E11" s="1">
        <v>7.85</v>
      </c>
      <c r="F11" s="1">
        <v>11.26</v>
      </c>
      <c r="G11" s="1">
        <v>11.08</v>
      </c>
      <c r="H11" s="1">
        <v>13.27</v>
      </c>
      <c r="I11" s="1">
        <v>14.17</v>
      </c>
      <c r="J11" s="1">
        <v>15.25</v>
      </c>
      <c r="K11" s="1">
        <v>19.62</v>
      </c>
      <c r="M11" t="s">
        <v>15</v>
      </c>
      <c r="N11" s="1">
        <f t="shared" si="0"/>
        <v>12.057</v>
      </c>
    </row>
    <row r="12" spans="1:14" x14ac:dyDescent="0.2">
      <c r="A12" t="s">
        <v>12</v>
      </c>
      <c r="B12" s="1">
        <v>28.94</v>
      </c>
      <c r="C12" s="1">
        <v>29.27</v>
      </c>
      <c r="D12" s="1">
        <v>29.29</v>
      </c>
      <c r="E12" s="1">
        <v>29.81</v>
      </c>
      <c r="F12" s="1">
        <v>31.83</v>
      </c>
      <c r="G12" s="1">
        <v>30.33</v>
      </c>
      <c r="H12" s="1">
        <v>31.58</v>
      </c>
      <c r="I12" s="1">
        <v>31.69</v>
      </c>
      <c r="J12" s="1">
        <v>32.93</v>
      </c>
      <c r="K12" s="1">
        <v>35.64</v>
      </c>
      <c r="M12" t="s">
        <v>12</v>
      </c>
      <c r="N12" s="1">
        <f t="shared" si="0"/>
        <v>31.130999999999993</v>
      </c>
    </row>
    <row r="13" spans="1:14" x14ac:dyDescent="0.2">
      <c r="A13" t="s">
        <v>10</v>
      </c>
      <c r="B13" s="1">
        <v>2.81</v>
      </c>
      <c r="C13" s="1">
        <v>3.06</v>
      </c>
      <c r="D13" s="1">
        <v>3.19</v>
      </c>
      <c r="E13" s="1">
        <v>2.42</v>
      </c>
      <c r="F13" s="1">
        <v>2.2599999999999998</v>
      </c>
      <c r="G13" s="1">
        <v>2.17</v>
      </c>
      <c r="H13" s="1">
        <v>2.69</v>
      </c>
      <c r="I13" s="1">
        <v>3.48</v>
      </c>
      <c r="J13" s="1">
        <v>3.84</v>
      </c>
      <c r="K13" s="1">
        <v>3.52</v>
      </c>
      <c r="M13" t="s">
        <v>10</v>
      </c>
      <c r="N13" s="1">
        <f t="shared" si="0"/>
        <v>2.944</v>
      </c>
    </row>
    <row r="14" spans="1:14" x14ac:dyDescent="0.2">
      <c r="A14" t="s">
        <v>11</v>
      </c>
      <c r="B14" s="1">
        <v>21.81</v>
      </c>
      <c r="C14" s="1">
        <v>21.11</v>
      </c>
      <c r="D14" s="1">
        <v>22.42</v>
      </c>
      <c r="E14" s="1">
        <v>20.63</v>
      </c>
      <c r="F14" s="1">
        <v>22.41</v>
      </c>
      <c r="G14" s="1">
        <v>23.51</v>
      </c>
      <c r="H14" s="1">
        <v>24.47</v>
      </c>
      <c r="I14" s="1">
        <v>24.94</v>
      </c>
      <c r="J14" s="1">
        <v>25.85</v>
      </c>
      <c r="K14" s="1">
        <v>28.88</v>
      </c>
      <c r="M14" t="s">
        <v>11</v>
      </c>
      <c r="N14" s="1">
        <f t="shared" si="0"/>
        <v>23.602999999999998</v>
      </c>
    </row>
    <row r="15" spans="1:14" x14ac:dyDescent="0.2">
      <c r="A15" t="s">
        <v>33</v>
      </c>
      <c r="B15" s="1">
        <f t="shared" ref="B15:K15" si="1">SUM(B6:B14)</f>
        <v>104.47</v>
      </c>
      <c r="C15" s="1">
        <f t="shared" si="1"/>
        <v>111.18</v>
      </c>
      <c r="D15" s="1">
        <f t="shared" si="1"/>
        <v>113.48</v>
      </c>
      <c r="E15" s="1">
        <f t="shared" si="1"/>
        <v>106.75999999999999</v>
      </c>
      <c r="F15" s="1">
        <f t="shared" si="1"/>
        <v>123.58000000000001</v>
      </c>
      <c r="G15" s="1">
        <f t="shared" si="1"/>
        <v>130.19</v>
      </c>
      <c r="H15" s="1">
        <f>SUM(H6:H14)</f>
        <v>134.56</v>
      </c>
      <c r="I15" s="1">
        <f>SUM(I6:I14)</f>
        <v>141.08000000000001</v>
      </c>
      <c r="J15" s="1">
        <f>SUM(J6:J14)</f>
        <v>152.31</v>
      </c>
      <c r="K15" s="1">
        <f t="shared" si="1"/>
        <v>206.25000000000003</v>
      </c>
      <c r="M15" t="s">
        <v>34</v>
      </c>
      <c r="N15" s="1">
        <f t="shared" si="0"/>
        <v>132.38600000000002</v>
      </c>
    </row>
    <row r="16" spans="1:14" x14ac:dyDescent="0.2">
      <c r="A16" t="s">
        <v>16</v>
      </c>
      <c r="B16" s="1">
        <v>10</v>
      </c>
      <c r="C16" s="1">
        <v>10.01</v>
      </c>
      <c r="D16" s="1">
        <v>16.89</v>
      </c>
      <c r="E16" s="1">
        <v>8.98</v>
      </c>
      <c r="F16" s="1">
        <v>11.5</v>
      </c>
      <c r="G16" s="1">
        <v>10</v>
      </c>
      <c r="H16" s="1">
        <v>11.18</v>
      </c>
      <c r="I16" s="1">
        <v>11.18</v>
      </c>
      <c r="J16" s="1">
        <v>10.75</v>
      </c>
      <c r="K16" s="1">
        <v>10.83</v>
      </c>
      <c r="M16" t="s">
        <v>16</v>
      </c>
      <c r="N16" s="1">
        <f t="shared" si="0"/>
        <v>11.132000000000001</v>
      </c>
    </row>
  </sheetData>
  <phoneticPr fontId="1" type="noConversion"/>
  <printOptions headings="1" gridLines="1"/>
  <pageMargins left="0.75" right="0.75" top="1" bottom="1" header="0.5" footer="0.5"/>
  <pageSetup scale="5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16"/>
  <sheetViews>
    <sheetView zoomScale="50" workbookViewId="0">
      <selection activeCell="I5" sqref="I5"/>
    </sheetView>
  </sheetViews>
  <sheetFormatPr defaultRowHeight="12.75" x14ac:dyDescent="0.2"/>
  <cols>
    <col min="1" max="1" width="17.140625" customWidth="1"/>
    <col min="2" max="5" width="12.85546875" customWidth="1"/>
    <col min="6" max="11" width="9.85546875" customWidth="1"/>
    <col min="13" max="13" width="13.7109375" customWidth="1"/>
  </cols>
  <sheetData>
    <row r="2" spans="1:14" x14ac:dyDescent="0.2">
      <c r="D2" t="s">
        <v>18</v>
      </c>
      <c r="E2" s="14" t="s">
        <v>51</v>
      </c>
    </row>
    <row r="3" spans="1:14" x14ac:dyDescent="0.2">
      <c r="C3" t="s">
        <v>7</v>
      </c>
    </row>
    <row r="4" spans="1:14" x14ac:dyDescent="0.2">
      <c r="B4">
        <v>1999</v>
      </c>
      <c r="C4">
        <v>2000</v>
      </c>
      <c r="D4">
        <v>2001</v>
      </c>
      <c r="E4">
        <v>2002</v>
      </c>
      <c r="F4">
        <v>2003</v>
      </c>
      <c r="G4">
        <v>2004</v>
      </c>
      <c r="H4">
        <v>2005</v>
      </c>
      <c r="I4">
        <v>2006</v>
      </c>
      <c r="J4">
        <v>2007</v>
      </c>
      <c r="K4">
        <v>2008</v>
      </c>
      <c r="N4" t="s">
        <v>1</v>
      </c>
    </row>
    <row r="5" spans="1:14" x14ac:dyDescent="0.2">
      <c r="A5" t="s">
        <v>13</v>
      </c>
      <c r="B5" s="1">
        <v>0.22</v>
      </c>
      <c r="C5" s="1">
        <v>-3.49</v>
      </c>
      <c r="D5" s="1">
        <v>2.23</v>
      </c>
      <c r="E5" s="1">
        <v>6.85</v>
      </c>
      <c r="F5" s="1">
        <v>19.75</v>
      </c>
      <c r="G5" s="1">
        <v>26.09</v>
      </c>
      <c r="H5" s="1">
        <v>-2</v>
      </c>
      <c r="I5" s="1">
        <v>-11.39</v>
      </c>
      <c r="J5" s="1">
        <v>41.32</v>
      </c>
      <c r="K5" s="1">
        <v>87.07</v>
      </c>
      <c r="M5" t="s">
        <v>13</v>
      </c>
      <c r="N5" s="1">
        <f>AVERAGE(B5:K5)</f>
        <v>16.664999999999999</v>
      </c>
    </row>
    <row r="6" spans="1:14" x14ac:dyDescent="0.2">
      <c r="A6" t="s">
        <v>8</v>
      </c>
      <c r="B6" s="1">
        <v>18.62</v>
      </c>
      <c r="C6" s="1">
        <v>21.39</v>
      </c>
      <c r="D6" s="1">
        <v>21.53</v>
      </c>
      <c r="E6" s="1">
        <v>22.67</v>
      </c>
      <c r="F6" s="1">
        <v>24.74</v>
      </c>
      <c r="G6" s="1">
        <v>25.51</v>
      </c>
      <c r="H6" s="1">
        <v>25.54</v>
      </c>
      <c r="I6" s="1">
        <v>28.28</v>
      </c>
      <c r="J6" s="1">
        <v>26.62</v>
      </c>
      <c r="K6" s="1">
        <v>31.38</v>
      </c>
      <c r="M6" t="s">
        <v>8</v>
      </c>
      <c r="N6" s="1">
        <f>AVERAGE(B6:K6)</f>
        <v>24.628</v>
      </c>
    </row>
    <row r="7" spans="1:14" x14ac:dyDescent="0.2">
      <c r="A7" t="s">
        <v>2</v>
      </c>
      <c r="B7" s="1">
        <v>18.350000000000001</v>
      </c>
      <c r="C7" s="1">
        <v>17.66</v>
      </c>
      <c r="D7" s="1">
        <v>19.059999999999999</v>
      </c>
      <c r="E7" s="1">
        <v>17.73</v>
      </c>
      <c r="F7" s="1">
        <v>20.76</v>
      </c>
      <c r="G7" s="1">
        <v>24.36</v>
      </c>
      <c r="H7" s="1">
        <v>28.07</v>
      </c>
      <c r="I7" s="1">
        <v>33.72</v>
      </c>
      <c r="J7" s="1">
        <v>33.880000000000003</v>
      </c>
      <c r="K7" s="1">
        <v>53.71</v>
      </c>
      <c r="M7" t="s">
        <v>2</v>
      </c>
      <c r="N7" s="1">
        <f t="shared" ref="N7:N16" si="0">AVERAGE(B7:K7)</f>
        <v>26.73</v>
      </c>
    </row>
    <row r="8" spans="1:14" x14ac:dyDescent="0.2">
      <c r="A8" t="s">
        <v>3</v>
      </c>
      <c r="B8" s="1">
        <v>14.86</v>
      </c>
      <c r="C8" s="1">
        <v>11.65</v>
      </c>
      <c r="D8" s="1">
        <v>15.83</v>
      </c>
      <c r="E8" s="1">
        <v>14.23</v>
      </c>
      <c r="F8" s="1">
        <v>15.56</v>
      </c>
      <c r="G8" s="1">
        <v>16.37</v>
      </c>
      <c r="H8" s="1">
        <v>18.32</v>
      </c>
      <c r="I8" s="1">
        <v>18.22</v>
      </c>
      <c r="J8" s="1">
        <v>21.56</v>
      </c>
      <c r="K8" s="1">
        <v>27.77</v>
      </c>
      <c r="M8" t="s">
        <v>3</v>
      </c>
      <c r="N8" s="1">
        <f t="shared" si="0"/>
        <v>17.437000000000001</v>
      </c>
    </row>
    <row r="9" spans="1:14" x14ac:dyDescent="0.2">
      <c r="A9" t="s">
        <v>9</v>
      </c>
      <c r="B9" s="1">
        <v>4.62</v>
      </c>
      <c r="C9" s="1">
        <v>6.18</v>
      </c>
      <c r="D9" s="1">
        <v>6.38</v>
      </c>
      <c r="E9" s="1">
        <v>7.16</v>
      </c>
      <c r="F9" s="1">
        <v>6.89</v>
      </c>
      <c r="G9" s="1">
        <v>8.0500000000000007</v>
      </c>
      <c r="H9" s="1">
        <v>7.67</v>
      </c>
      <c r="I9" s="1">
        <v>8.07</v>
      </c>
      <c r="J9" s="1">
        <v>11.27</v>
      </c>
      <c r="K9" s="1">
        <v>22.42</v>
      </c>
      <c r="M9" t="s">
        <v>9</v>
      </c>
      <c r="N9" s="1">
        <f t="shared" si="0"/>
        <v>8.8710000000000004</v>
      </c>
    </row>
    <row r="10" spans="1:14" x14ac:dyDescent="0.2">
      <c r="A10" t="s">
        <v>14</v>
      </c>
      <c r="B10" s="1">
        <v>9.84</v>
      </c>
      <c r="C10" s="1">
        <v>9</v>
      </c>
      <c r="D10" s="1">
        <v>9.19</v>
      </c>
      <c r="E10" s="1">
        <v>9.6</v>
      </c>
      <c r="F10" s="1">
        <v>9.76</v>
      </c>
      <c r="G10" s="1">
        <v>11.54</v>
      </c>
      <c r="H10" s="1">
        <v>10.74</v>
      </c>
      <c r="I10" s="1">
        <v>10.62</v>
      </c>
      <c r="J10" s="1">
        <v>12.3</v>
      </c>
      <c r="K10" s="1">
        <v>15.54</v>
      </c>
      <c r="M10" t="s">
        <v>14</v>
      </c>
      <c r="N10" s="1">
        <f t="shared" si="0"/>
        <v>10.812999999999999</v>
      </c>
    </row>
    <row r="11" spans="1:14" x14ac:dyDescent="0.2">
      <c r="A11" t="s">
        <v>15</v>
      </c>
      <c r="B11" s="1">
        <v>11.6</v>
      </c>
      <c r="C11" s="1">
        <v>10.81</v>
      </c>
      <c r="D11" s="1">
        <v>10.28</v>
      </c>
      <c r="E11" s="1">
        <v>8.4600000000000009</v>
      </c>
      <c r="F11" s="1">
        <v>10.83</v>
      </c>
      <c r="G11" s="1">
        <v>11.14</v>
      </c>
      <c r="H11" s="1">
        <v>14.8</v>
      </c>
      <c r="I11" s="1">
        <v>14.9</v>
      </c>
      <c r="J11" s="1">
        <v>17.66</v>
      </c>
      <c r="K11" s="1">
        <v>20.16</v>
      </c>
      <c r="M11" t="s">
        <v>15</v>
      </c>
      <c r="N11" s="1">
        <f t="shared" si="0"/>
        <v>13.064000000000002</v>
      </c>
    </row>
    <row r="12" spans="1:14" x14ac:dyDescent="0.2">
      <c r="A12" t="s">
        <v>12</v>
      </c>
      <c r="B12" s="1">
        <v>31.27</v>
      </c>
      <c r="C12" s="1">
        <v>30.4</v>
      </c>
      <c r="D12" s="1">
        <v>29.29</v>
      </c>
      <c r="E12" s="1">
        <v>29.97</v>
      </c>
      <c r="F12" s="1">
        <v>29.91</v>
      </c>
      <c r="G12" s="1">
        <v>30.54</v>
      </c>
      <c r="H12" s="1">
        <v>30.71</v>
      </c>
      <c r="I12" s="1">
        <v>32.85</v>
      </c>
      <c r="J12" s="1">
        <v>34.29</v>
      </c>
      <c r="K12" s="1">
        <v>35.979999999999997</v>
      </c>
      <c r="M12" t="s">
        <v>12</v>
      </c>
      <c r="N12" s="1">
        <f t="shared" si="0"/>
        <v>31.521000000000004</v>
      </c>
    </row>
    <row r="13" spans="1:14" x14ac:dyDescent="0.2">
      <c r="A13" t="s">
        <v>10</v>
      </c>
      <c r="B13" s="1">
        <v>3.92</v>
      </c>
      <c r="C13" s="1">
        <v>2.99</v>
      </c>
      <c r="D13" s="1">
        <v>3</v>
      </c>
      <c r="E13" s="1">
        <v>2.2799999999999998</v>
      </c>
      <c r="F13" s="1">
        <v>2.1</v>
      </c>
      <c r="G13" s="1">
        <v>2.87</v>
      </c>
      <c r="H13" s="1">
        <v>2.98</v>
      </c>
      <c r="I13" s="1">
        <v>4.1100000000000003</v>
      </c>
      <c r="J13" s="1">
        <v>3.87</v>
      </c>
      <c r="K13" s="1">
        <v>4.12</v>
      </c>
      <c r="M13" t="s">
        <v>10</v>
      </c>
      <c r="N13" s="1">
        <f t="shared" si="0"/>
        <v>3.2240000000000002</v>
      </c>
    </row>
    <row r="14" spans="1:14" x14ac:dyDescent="0.2">
      <c r="A14" t="s">
        <v>11</v>
      </c>
      <c r="B14" s="1">
        <v>23.8</v>
      </c>
      <c r="C14" s="1">
        <v>20.16</v>
      </c>
      <c r="D14" s="1">
        <v>21.24</v>
      </c>
      <c r="E14" s="1">
        <v>20.09</v>
      </c>
      <c r="F14" s="1">
        <v>19.73</v>
      </c>
      <c r="G14" s="1">
        <v>22.95</v>
      </c>
      <c r="H14" s="1">
        <v>25</v>
      </c>
      <c r="I14" s="1">
        <v>23.16</v>
      </c>
      <c r="J14" s="1">
        <v>25.9</v>
      </c>
      <c r="K14" s="1">
        <v>28.5</v>
      </c>
      <c r="M14" t="s">
        <v>11</v>
      </c>
      <c r="N14" s="1">
        <f t="shared" si="0"/>
        <v>23.053000000000004</v>
      </c>
    </row>
    <row r="15" spans="1:14" x14ac:dyDescent="0.2">
      <c r="A15" t="s">
        <v>33</v>
      </c>
      <c r="B15" s="1">
        <f t="shared" ref="B15:K15" si="1">SUM(B6:B14)</f>
        <v>136.88</v>
      </c>
      <c r="C15" s="1">
        <f t="shared" si="1"/>
        <v>130.24</v>
      </c>
      <c r="D15" s="1">
        <f t="shared" si="1"/>
        <v>135.80000000000001</v>
      </c>
      <c r="E15" s="1">
        <f t="shared" si="1"/>
        <v>132.19</v>
      </c>
      <c r="F15" s="1">
        <f t="shared" si="1"/>
        <v>140.28</v>
      </c>
      <c r="G15" s="1">
        <f t="shared" si="1"/>
        <v>153.33000000000001</v>
      </c>
      <c r="H15" s="1">
        <f>SUM(H6:H14)</f>
        <v>163.82999999999998</v>
      </c>
      <c r="I15" s="1">
        <f>SUM(I6:I14)</f>
        <v>173.93</v>
      </c>
      <c r="J15" s="1">
        <f>SUM(J6:J14)</f>
        <v>187.35</v>
      </c>
      <c r="K15" s="1">
        <f t="shared" si="1"/>
        <v>239.57999999999998</v>
      </c>
      <c r="M15" t="s">
        <v>33</v>
      </c>
      <c r="N15" s="1">
        <f t="shared" si="0"/>
        <v>159.34099999999998</v>
      </c>
    </row>
    <row r="16" spans="1:14" x14ac:dyDescent="0.2">
      <c r="A16" t="s">
        <v>16</v>
      </c>
      <c r="B16" s="1">
        <v>10.3</v>
      </c>
      <c r="C16" s="1">
        <v>10.3</v>
      </c>
      <c r="D16" s="1">
        <v>16.899999999999999</v>
      </c>
      <c r="E16" s="1">
        <v>9.0299999999999994</v>
      </c>
      <c r="F16" s="1">
        <v>11.37</v>
      </c>
      <c r="G16" s="1">
        <v>10.45</v>
      </c>
      <c r="H16" s="1">
        <v>10.86</v>
      </c>
      <c r="I16" s="1">
        <v>11.16</v>
      </c>
      <c r="J16" s="1">
        <v>11.89</v>
      </c>
      <c r="K16" s="1">
        <v>11.86</v>
      </c>
      <c r="M16" t="s">
        <v>16</v>
      </c>
      <c r="N16" s="1">
        <f t="shared" si="0"/>
        <v>11.411999999999999</v>
      </c>
    </row>
  </sheetData>
  <phoneticPr fontId="1" type="noConversion"/>
  <printOptions headings="1" gridLines="1"/>
  <pageMargins left="0.75" right="0.75" top="1" bottom="1" header="0.5" footer="0.5"/>
  <pageSetup scale="5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16"/>
  <sheetViews>
    <sheetView zoomScale="50" workbookViewId="0">
      <selection activeCell="K5" sqref="K5"/>
    </sheetView>
  </sheetViews>
  <sheetFormatPr defaultRowHeight="12.75" x14ac:dyDescent="0.2"/>
  <cols>
    <col min="1" max="1" width="17.140625" customWidth="1"/>
    <col min="2" max="5" width="12.85546875" customWidth="1"/>
    <col min="6" max="11" width="9.85546875" customWidth="1"/>
    <col min="13" max="13" width="12.85546875" customWidth="1"/>
  </cols>
  <sheetData>
    <row r="2" spans="1:14" x14ac:dyDescent="0.2">
      <c r="D2" t="s">
        <v>19</v>
      </c>
      <c r="E2" s="14" t="s">
        <v>51</v>
      </c>
    </row>
    <row r="3" spans="1:14" x14ac:dyDescent="0.2">
      <c r="C3" t="s">
        <v>7</v>
      </c>
    </row>
    <row r="4" spans="1:14" x14ac:dyDescent="0.2">
      <c r="B4">
        <v>1999</v>
      </c>
      <c r="C4">
        <v>2000</v>
      </c>
      <c r="D4">
        <v>2001</v>
      </c>
      <c r="E4">
        <v>2002</v>
      </c>
      <c r="F4">
        <v>2003</v>
      </c>
      <c r="G4">
        <v>2004</v>
      </c>
      <c r="H4">
        <v>2005</v>
      </c>
      <c r="I4">
        <v>2006</v>
      </c>
      <c r="J4">
        <v>2007</v>
      </c>
      <c r="K4">
        <v>2008</v>
      </c>
      <c r="N4" t="s">
        <v>1</v>
      </c>
    </row>
    <row r="5" spans="1:14" x14ac:dyDescent="0.2">
      <c r="A5" t="s">
        <v>13</v>
      </c>
      <c r="B5" s="1">
        <v>-15.11</v>
      </c>
      <c r="C5" s="1">
        <v>16.41</v>
      </c>
      <c r="D5" s="1">
        <v>26.96</v>
      </c>
      <c r="E5" s="1">
        <v>40.82</v>
      </c>
      <c r="F5" s="1">
        <v>10.84</v>
      </c>
      <c r="G5" s="1">
        <v>2.74</v>
      </c>
      <c r="H5" s="1">
        <v>51.95</v>
      </c>
      <c r="I5" s="1">
        <v>28.76</v>
      </c>
      <c r="J5" s="1">
        <v>112.83</v>
      </c>
      <c r="K5" s="1">
        <v>78.81</v>
      </c>
      <c r="M5" t="s">
        <v>13</v>
      </c>
      <c r="N5" s="1">
        <f t="shared" ref="N5:N15" si="0">AVERAGE(B5:K5)</f>
        <v>35.500999999999998</v>
      </c>
    </row>
    <row r="6" spans="1:14" x14ac:dyDescent="0.2">
      <c r="A6" t="s">
        <v>8</v>
      </c>
      <c r="B6" s="1">
        <v>14.36</v>
      </c>
      <c r="C6" s="1">
        <v>13.62</v>
      </c>
      <c r="D6" s="1">
        <v>15.08</v>
      </c>
      <c r="E6" s="1">
        <v>14.13</v>
      </c>
      <c r="F6" s="1">
        <v>15.33</v>
      </c>
      <c r="G6" s="1">
        <v>19.91</v>
      </c>
      <c r="H6" s="1">
        <v>22.14</v>
      </c>
      <c r="I6" s="1">
        <v>22.9</v>
      </c>
      <c r="J6" s="1">
        <v>24.43</v>
      </c>
      <c r="K6" s="1">
        <v>26.84</v>
      </c>
      <c r="M6" t="s">
        <v>8</v>
      </c>
      <c r="N6" s="1">
        <f t="shared" si="0"/>
        <v>18.874000000000002</v>
      </c>
    </row>
    <row r="7" spans="1:14" x14ac:dyDescent="0.2">
      <c r="A7" t="s">
        <v>2</v>
      </c>
      <c r="B7" s="1">
        <v>11.4</v>
      </c>
      <c r="C7" s="1">
        <v>11.41</v>
      </c>
      <c r="D7" s="1">
        <v>14.39</v>
      </c>
      <c r="E7" s="1">
        <v>10.39</v>
      </c>
      <c r="F7" s="1">
        <v>14.97</v>
      </c>
      <c r="G7" s="1">
        <v>17.239999999999998</v>
      </c>
      <c r="H7" s="1">
        <v>19.21</v>
      </c>
      <c r="I7" s="1">
        <v>22.88</v>
      </c>
      <c r="J7" s="1">
        <v>21.47</v>
      </c>
      <c r="K7" s="1">
        <v>35.4</v>
      </c>
      <c r="M7" t="s">
        <v>2</v>
      </c>
      <c r="N7" s="1">
        <f t="shared" si="0"/>
        <v>17.875999999999998</v>
      </c>
    </row>
    <row r="8" spans="1:14" x14ac:dyDescent="0.2">
      <c r="A8" t="s">
        <v>3</v>
      </c>
      <c r="B8" s="1">
        <v>13.54</v>
      </c>
      <c r="C8" s="1">
        <v>14.32</v>
      </c>
      <c r="D8" s="1">
        <v>13.96</v>
      </c>
      <c r="E8" s="1">
        <v>14.8</v>
      </c>
      <c r="F8" s="1">
        <v>18.03</v>
      </c>
      <c r="G8" s="1">
        <v>17.940000000000001</v>
      </c>
      <c r="H8" s="1">
        <v>20.96</v>
      </c>
      <c r="I8" s="1">
        <v>20.96</v>
      </c>
      <c r="J8" s="1">
        <v>25.94</v>
      </c>
      <c r="K8" s="1">
        <v>36.29</v>
      </c>
      <c r="M8" t="s">
        <v>3</v>
      </c>
      <c r="N8" s="1">
        <f t="shared" si="0"/>
        <v>19.673999999999999</v>
      </c>
    </row>
    <row r="9" spans="1:14" x14ac:dyDescent="0.2">
      <c r="A9" t="s">
        <v>9</v>
      </c>
      <c r="B9" s="1">
        <v>5.35</v>
      </c>
      <c r="C9" s="1">
        <v>5.86</v>
      </c>
      <c r="D9" s="1">
        <v>5.54</v>
      </c>
      <c r="E9" s="1">
        <v>5.41</v>
      </c>
      <c r="F9" s="1">
        <v>8.5</v>
      </c>
      <c r="G9" s="1">
        <v>7.73</v>
      </c>
      <c r="H9" s="1">
        <v>8.7100000000000009</v>
      </c>
      <c r="I9" s="1">
        <v>8.2200000000000006</v>
      </c>
      <c r="J9" s="1">
        <v>10.78</v>
      </c>
      <c r="K9" s="1">
        <v>24.65</v>
      </c>
      <c r="M9" t="s">
        <v>9</v>
      </c>
      <c r="N9" s="1">
        <f t="shared" si="0"/>
        <v>9.0749999999999993</v>
      </c>
    </row>
    <row r="10" spans="1:14" x14ac:dyDescent="0.2">
      <c r="A10" t="s">
        <v>14</v>
      </c>
      <c r="B10" s="1">
        <v>12.34</v>
      </c>
      <c r="C10" s="1">
        <v>12.45</v>
      </c>
      <c r="D10" s="1">
        <v>11.78</v>
      </c>
      <c r="E10" s="1">
        <v>9.57</v>
      </c>
      <c r="F10" s="1">
        <v>11.05</v>
      </c>
      <c r="G10" s="1">
        <v>11.87</v>
      </c>
      <c r="H10" s="1">
        <v>11.21</v>
      </c>
      <c r="I10" s="1">
        <v>11</v>
      </c>
      <c r="J10" s="1">
        <v>14.25</v>
      </c>
      <c r="K10" s="1">
        <v>16.11</v>
      </c>
      <c r="M10" t="s">
        <v>14</v>
      </c>
      <c r="N10" s="1">
        <f t="shared" si="0"/>
        <v>12.163</v>
      </c>
    </row>
    <row r="11" spans="1:14" x14ac:dyDescent="0.2">
      <c r="A11" t="s">
        <v>15</v>
      </c>
      <c r="B11" s="1">
        <v>11.14</v>
      </c>
      <c r="C11" s="1">
        <v>10.63</v>
      </c>
      <c r="D11" s="1">
        <v>10.61</v>
      </c>
      <c r="E11" s="1">
        <v>9.26</v>
      </c>
      <c r="F11" s="1">
        <v>11.08</v>
      </c>
      <c r="G11" s="1">
        <v>12.59</v>
      </c>
      <c r="H11" s="1">
        <v>16.25</v>
      </c>
      <c r="I11" s="1">
        <v>15.44</v>
      </c>
      <c r="J11" s="1">
        <v>20.9</v>
      </c>
      <c r="K11" s="1">
        <v>24.09</v>
      </c>
      <c r="M11" t="s">
        <v>15</v>
      </c>
      <c r="N11" s="1">
        <f t="shared" si="0"/>
        <v>14.199000000000002</v>
      </c>
    </row>
    <row r="12" spans="1:14" x14ac:dyDescent="0.2">
      <c r="A12" t="s">
        <v>12</v>
      </c>
      <c r="B12" s="1">
        <v>29.6</v>
      </c>
      <c r="C12" s="1">
        <v>26.04</v>
      </c>
      <c r="D12" s="1">
        <v>27.71</v>
      </c>
      <c r="E12" s="1">
        <v>30.11</v>
      </c>
      <c r="F12" s="1">
        <v>29.47</v>
      </c>
      <c r="G12" s="1">
        <v>29.43</v>
      </c>
      <c r="H12" s="1">
        <v>30.9</v>
      </c>
      <c r="I12" s="1">
        <v>32.549999999999997</v>
      </c>
      <c r="J12" s="1">
        <v>32.700000000000003</v>
      </c>
      <c r="K12" s="1">
        <v>34.24</v>
      </c>
      <c r="M12" t="s">
        <v>12</v>
      </c>
      <c r="N12" s="1">
        <f t="shared" si="0"/>
        <v>30.274999999999999</v>
      </c>
    </row>
    <row r="13" spans="1:14" x14ac:dyDescent="0.2">
      <c r="A13" t="s">
        <v>10</v>
      </c>
      <c r="B13" s="1">
        <v>4.66</v>
      </c>
      <c r="C13" s="1">
        <v>3.91</v>
      </c>
      <c r="D13" s="1">
        <v>3.56</v>
      </c>
      <c r="E13" s="1">
        <v>2.61</v>
      </c>
      <c r="F13" s="1">
        <v>2.1800000000000002</v>
      </c>
      <c r="G13" s="1">
        <v>3.01</v>
      </c>
      <c r="H13" s="1">
        <v>3.77</v>
      </c>
      <c r="I13" s="1">
        <v>4.4000000000000004</v>
      </c>
      <c r="J13" s="1">
        <v>5.18</v>
      </c>
      <c r="K13" s="1">
        <v>3.99</v>
      </c>
      <c r="M13" t="s">
        <v>10</v>
      </c>
      <c r="N13" s="1">
        <f t="shared" si="0"/>
        <v>3.7270000000000003</v>
      </c>
    </row>
    <row r="14" spans="1:14" x14ac:dyDescent="0.2">
      <c r="A14" t="s">
        <v>11</v>
      </c>
      <c r="B14" s="1">
        <v>27.97</v>
      </c>
      <c r="C14" s="1">
        <v>21.56</v>
      </c>
      <c r="D14" s="1">
        <v>23.26</v>
      </c>
      <c r="E14" s="1">
        <v>22.32</v>
      </c>
      <c r="F14" s="1">
        <v>21.99</v>
      </c>
      <c r="G14" s="1">
        <v>23.53</v>
      </c>
      <c r="H14" s="1">
        <v>22.98</v>
      </c>
      <c r="I14" s="1">
        <v>24.26</v>
      </c>
      <c r="J14" s="1">
        <v>27.93</v>
      </c>
      <c r="K14" s="1">
        <v>29.88</v>
      </c>
      <c r="M14" t="s">
        <v>11</v>
      </c>
      <c r="N14" s="1">
        <f t="shared" si="0"/>
        <v>24.567999999999998</v>
      </c>
    </row>
    <row r="15" spans="1:14" x14ac:dyDescent="0.2">
      <c r="A15" t="s">
        <v>34</v>
      </c>
      <c r="B15" s="1">
        <f t="shared" ref="B15:K15" si="1">SUM(B6:B14)</f>
        <v>130.35999999999999</v>
      </c>
      <c r="C15" s="1">
        <f t="shared" si="1"/>
        <v>119.79999999999998</v>
      </c>
      <c r="D15" s="1">
        <f t="shared" si="1"/>
        <v>125.89</v>
      </c>
      <c r="E15" s="1">
        <f t="shared" si="1"/>
        <v>118.6</v>
      </c>
      <c r="F15" s="1">
        <f t="shared" si="1"/>
        <v>132.6</v>
      </c>
      <c r="G15" s="1">
        <f t="shared" si="1"/>
        <v>143.25</v>
      </c>
      <c r="H15" s="1">
        <f>SUM(H6:H14)</f>
        <v>156.13000000000002</v>
      </c>
      <c r="I15" s="1">
        <f>SUM(I6:I14)</f>
        <v>162.60999999999999</v>
      </c>
      <c r="J15" s="1">
        <f>SUM(J6:J14)</f>
        <v>183.58000000000004</v>
      </c>
      <c r="K15" s="1">
        <f t="shared" si="1"/>
        <v>231.49000000000004</v>
      </c>
      <c r="M15" t="s">
        <v>33</v>
      </c>
      <c r="N15" s="1">
        <f t="shared" si="0"/>
        <v>150.43100000000001</v>
      </c>
    </row>
    <row r="16" spans="1:14" x14ac:dyDescent="0.2">
      <c r="A16" t="s">
        <v>16</v>
      </c>
      <c r="B16" s="1">
        <v>9.3699999999999992</v>
      </c>
      <c r="C16" s="1">
        <v>9.3699999999999992</v>
      </c>
      <c r="D16" s="1">
        <v>16.23</v>
      </c>
      <c r="E16" s="1">
        <v>8.33</v>
      </c>
      <c r="F16" s="1">
        <v>11.21</v>
      </c>
      <c r="G16" s="1">
        <v>9.8000000000000007</v>
      </c>
      <c r="H16" s="1">
        <v>11.26</v>
      </c>
      <c r="I16" s="1">
        <v>11.3</v>
      </c>
      <c r="J16" s="1">
        <v>11.17</v>
      </c>
      <c r="K16" s="1">
        <v>10.76</v>
      </c>
      <c r="M16" t="s">
        <v>16</v>
      </c>
      <c r="N16" s="1">
        <f>AVERAGE(B16:K16)</f>
        <v>10.88</v>
      </c>
    </row>
  </sheetData>
  <phoneticPr fontId="1" type="noConversion"/>
  <printOptions headings="1" gridLines="1"/>
  <pageMargins left="0.5" right="0.5" top="0.5" bottom="0.5" header="0.5" footer="0.5"/>
  <pageSetup scale="53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16"/>
  <sheetViews>
    <sheetView zoomScale="50" workbookViewId="0">
      <selection activeCell="I9" sqref="I9"/>
    </sheetView>
  </sheetViews>
  <sheetFormatPr defaultRowHeight="12.75" x14ac:dyDescent="0.2"/>
  <cols>
    <col min="1" max="1" width="17.140625" customWidth="1"/>
    <col min="2" max="5" width="12.85546875" customWidth="1"/>
    <col min="6" max="11" width="9.85546875" customWidth="1"/>
    <col min="13" max="13" width="12.85546875" customWidth="1"/>
  </cols>
  <sheetData>
    <row r="2" spans="1:14" x14ac:dyDescent="0.2">
      <c r="D2" t="s">
        <v>17</v>
      </c>
      <c r="E2" s="14" t="s">
        <v>51</v>
      </c>
    </row>
    <row r="3" spans="1:14" x14ac:dyDescent="0.2">
      <c r="C3" t="s">
        <v>7</v>
      </c>
    </row>
    <row r="4" spans="1:14" x14ac:dyDescent="0.2">
      <c r="B4">
        <v>1999</v>
      </c>
      <c r="C4">
        <v>2000</v>
      </c>
      <c r="D4">
        <v>2001</v>
      </c>
      <c r="E4">
        <v>2002</v>
      </c>
      <c r="F4">
        <v>2003</v>
      </c>
      <c r="G4">
        <v>2004</v>
      </c>
      <c r="H4">
        <v>2005</v>
      </c>
      <c r="I4">
        <v>2006</v>
      </c>
      <c r="J4">
        <v>2007</v>
      </c>
      <c r="K4">
        <v>2008</v>
      </c>
      <c r="N4" t="s">
        <v>1</v>
      </c>
    </row>
    <row r="5" spans="1:14" x14ac:dyDescent="0.2">
      <c r="A5" t="s">
        <v>13</v>
      </c>
      <c r="B5" s="1">
        <v>10.07</v>
      </c>
      <c r="C5" s="1">
        <v>14.7</v>
      </c>
      <c r="D5" s="1">
        <v>12.08</v>
      </c>
      <c r="E5" s="1">
        <v>30.76</v>
      </c>
      <c r="F5" s="1">
        <v>40.89</v>
      </c>
      <c r="G5" s="1">
        <v>-0.04</v>
      </c>
      <c r="H5" s="1">
        <v>38.159999999999997</v>
      </c>
      <c r="I5" s="1">
        <v>-6.76</v>
      </c>
      <c r="J5" s="1">
        <v>153.27000000000001</v>
      </c>
      <c r="K5" s="1">
        <v>66.7</v>
      </c>
      <c r="M5" t="s">
        <v>13</v>
      </c>
      <c r="N5" s="1">
        <f t="shared" ref="N5:N16" si="0">AVERAGE(B5:K5)</f>
        <v>35.982999999999997</v>
      </c>
    </row>
    <row r="6" spans="1:14" x14ac:dyDescent="0.2">
      <c r="A6" t="s">
        <v>8</v>
      </c>
      <c r="B6" s="1">
        <v>16.739999999999998</v>
      </c>
      <c r="C6" s="1">
        <v>17.649999999999999</v>
      </c>
      <c r="D6" s="1">
        <v>21.16</v>
      </c>
      <c r="E6" s="1">
        <v>22.94</v>
      </c>
      <c r="F6" s="1">
        <v>26.64</v>
      </c>
      <c r="G6" s="1">
        <v>28.22</v>
      </c>
      <c r="H6" s="1">
        <v>34.659999999999997</v>
      </c>
      <c r="I6" s="1">
        <v>36.26</v>
      </c>
      <c r="J6" s="1">
        <v>37.979999999999997</v>
      </c>
      <c r="K6" s="1">
        <v>41.7</v>
      </c>
      <c r="M6" t="s">
        <v>8</v>
      </c>
      <c r="N6" s="1">
        <f t="shared" si="0"/>
        <v>28.395</v>
      </c>
    </row>
    <row r="7" spans="1:14" x14ac:dyDescent="0.2">
      <c r="A7" t="s">
        <v>2</v>
      </c>
      <c r="B7" s="1">
        <v>7.72</v>
      </c>
      <c r="C7" s="1">
        <v>6.31</v>
      </c>
      <c r="D7" s="1">
        <v>7.55</v>
      </c>
      <c r="E7" s="1">
        <v>9.23</v>
      </c>
      <c r="F7" s="1">
        <v>9.4700000000000006</v>
      </c>
      <c r="G7" s="1">
        <v>9.17</v>
      </c>
      <c r="H7" s="1">
        <v>8.57</v>
      </c>
      <c r="I7" s="1">
        <v>7.38</v>
      </c>
      <c r="J7" s="1">
        <v>4.5199999999999996</v>
      </c>
      <c r="K7" s="1">
        <v>10.67</v>
      </c>
      <c r="M7" t="s">
        <v>2</v>
      </c>
      <c r="N7" s="1">
        <f t="shared" si="0"/>
        <v>8.0590000000000011</v>
      </c>
    </row>
    <row r="8" spans="1:14" x14ac:dyDescent="0.2">
      <c r="A8" t="s">
        <v>3</v>
      </c>
      <c r="B8" s="1">
        <v>20.98</v>
      </c>
      <c r="C8" s="1">
        <v>19.47</v>
      </c>
      <c r="D8" s="1">
        <v>18.399999999999999</v>
      </c>
      <c r="E8" s="1">
        <v>15.86</v>
      </c>
      <c r="F8" s="1">
        <v>14.77</v>
      </c>
      <c r="G8" s="1">
        <v>13.47</v>
      </c>
      <c r="H8" s="1">
        <v>12.64</v>
      </c>
      <c r="I8" s="1">
        <v>12.62</v>
      </c>
      <c r="J8" s="1">
        <v>12.6</v>
      </c>
      <c r="K8" s="1">
        <v>23.42</v>
      </c>
      <c r="M8" t="s">
        <v>3</v>
      </c>
      <c r="N8" s="1">
        <f t="shared" si="0"/>
        <v>16.423000000000002</v>
      </c>
    </row>
    <row r="9" spans="1:14" x14ac:dyDescent="0.2">
      <c r="A9" t="s">
        <v>9</v>
      </c>
      <c r="B9" s="1">
        <v>7.48</v>
      </c>
      <c r="C9" s="1">
        <v>8.02</v>
      </c>
      <c r="D9" s="1">
        <v>6.83</v>
      </c>
      <c r="E9" s="1">
        <v>6.53</v>
      </c>
      <c r="F9" s="1">
        <v>8.49</v>
      </c>
      <c r="G9" s="1">
        <v>9.34</v>
      </c>
      <c r="H9" s="1">
        <v>9.83</v>
      </c>
      <c r="I9" s="1">
        <v>10.31</v>
      </c>
      <c r="J9" s="1">
        <v>12.57</v>
      </c>
      <c r="K9" s="1">
        <v>23.58</v>
      </c>
      <c r="M9" t="s">
        <v>9</v>
      </c>
      <c r="N9" s="1">
        <f t="shared" si="0"/>
        <v>10.298</v>
      </c>
    </row>
    <row r="10" spans="1:14" x14ac:dyDescent="0.2">
      <c r="A10" t="s">
        <v>14</v>
      </c>
      <c r="B10" s="1">
        <v>12.49</v>
      </c>
      <c r="C10" s="1">
        <v>13.73</v>
      </c>
      <c r="D10" s="1">
        <v>12.8</v>
      </c>
      <c r="E10" s="1">
        <v>12.12</v>
      </c>
      <c r="F10" s="1">
        <v>9.7200000000000006</v>
      </c>
      <c r="G10" s="1">
        <v>9.94</v>
      </c>
      <c r="H10" s="1">
        <v>10.89</v>
      </c>
      <c r="I10" s="1">
        <v>11.47</v>
      </c>
      <c r="J10" s="1">
        <v>14.05</v>
      </c>
      <c r="K10" s="1">
        <v>17.79</v>
      </c>
      <c r="M10" t="s">
        <v>14</v>
      </c>
      <c r="N10" s="1">
        <f t="shared" si="0"/>
        <v>12.5</v>
      </c>
    </row>
    <row r="11" spans="1:14" x14ac:dyDescent="0.2">
      <c r="A11" t="s">
        <v>15</v>
      </c>
      <c r="B11" s="1">
        <v>9.98</v>
      </c>
      <c r="C11" s="1">
        <v>13.39</v>
      </c>
      <c r="D11" s="1">
        <v>12.43</v>
      </c>
      <c r="E11" s="1">
        <v>11</v>
      </c>
      <c r="F11" s="1">
        <v>12.73</v>
      </c>
      <c r="G11" s="1">
        <v>12.86</v>
      </c>
      <c r="H11" s="1">
        <v>15.94</v>
      </c>
      <c r="I11" s="1">
        <v>17.329999999999998</v>
      </c>
      <c r="J11" s="1">
        <v>16.27</v>
      </c>
      <c r="K11" s="1">
        <v>24.25</v>
      </c>
      <c r="M11" t="s">
        <v>15</v>
      </c>
      <c r="N11" s="1">
        <f t="shared" si="0"/>
        <v>14.618</v>
      </c>
    </row>
    <row r="12" spans="1:14" x14ac:dyDescent="0.2">
      <c r="A12" t="s">
        <v>12</v>
      </c>
      <c r="B12" s="1">
        <v>35.04</v>
      </c>
      <c r="C12" s="1">
        <v>35.020000000000003</v>
      </c>
      <c r="D12" s="1">
        <v>33.020000000000003</v>
      </c>
      <c r="E12" s="1">
        <v>35.76</v>
      </c>
      <c r="F12" s="1">
        <v>35.18</v>
      </c>
      <c r="G12" s="1">
        <v>33.630000000000003</v>
      </c>
      <c r="H12" s="1">
        <v>34.82</v>
      </c>
      <c r="I12" s="1">
        <v>37.200000000000003</v>
      </c>
      <c r="J12" s="1">
        <v>37.619999999999997</v>
      </c>
      <c r="K12" s="1">
        <v>42.35</v>
      </c>
      <c r="M12" t="s">
        <v>12</v>
      </c>
      <c r="N12" s="1">
        <f t="shared" si="0"/>
        <v>35.964000000000006</v>
      </c>
    </row>
    <row r="13" spans="1:14" x14ac:dyDescent="0.2">
      <c r="A13" t="s">
        <v>10</v>
      </c>
      <c r="B13" s="1">
        <v>5.99</v>
      </c>
      <c r="C13" s="1">
        <v>3.06</v>
      </c>
      <c r="D13" s="1">
        <v>2.98</v>
      </c>
      <c r="E13" s="1">
        <v>3.54</v>
      </c>
      <c r="F13" s="1">
        <v>2.7</v>
      </c>
      <c r="G13" s="1">
        <v>2.58</v>
      </c>
      <c r="H13" s="1">
        <v>2.82</v>
      </c>
      <c r="I13" s="1">
        <v>4.3600000000000003</v>
      </c>
      <c r="J13" s="1">
        <v>4.8499999999999996</v>
      </c>
      <c r="K13" s="1">
        <v>3.29</v>
      </c>
      <c r="M13" t="s">
        <v>10</v>
      </c>
      <c r="N13" s="1">
        <f t="shared" si="0"/>
        <v>3.617</v>
      </c>
    </row>
    <row r="14" spans="1:14" x14ac:dyDescent="0.2">
      <c r="A14" t="s">
        <v>11</v>
      </c>
      <c r="B14" s="1">
        <v>35.21</v>
      </c>
      <c r="C14" s="1">
        <v>27.73</v>
      </c>
      <c r="D14" s="1">
        <v>33.130000000000003</v>
      </c>
      <c r="E14" s="1">
        <v>25.93</v>
      </c>
      <c r="F14" s="1">
        <v>25.87</v>
      </c>
      <c r="G14" s="1">
        <v>28.15</v>
      </c>
      <c r="H14" s="1">
        <v>29.78</v>
      </c>
      <c r="I14" s="1">
        <v>27.54</v>
      </c>
      <c r="J14" s="1">
        <v>32.99</v>
      </c>
      <c r="K14" s="1">
        <v>33.29</v>
      </c>
      <c r="M14" t="s">
        <v>11</v>
      </c>
      <c r="N14" s="1">
        <f t="shared" si="0"/>
        <v>29.962</v>
      </c>
    </row>
    <row r="15" spans="1:14" x14ac:dyDescent="0.2">
      <c r="A15" t="s">
        <v>33</v>
      </c>
      <c r="B15" s="1">
        <f t="shared" ref="B15:K15" si="1">SUM(B6:B14)</f>
        <v>151.63</v>
      </c>
      <c r="C15" s="1">
        <f t="shared" si="1"/>
        <v>144.38</v>
      </c>
      <c r="D15" s="1">
        <f t="shared" si="1"/>
        <v>148.30000000000001</v>
      </c>
      <c r="E15" s="1">
        <f t="shared" si="1"/>
        <v>142.91</v>
      </c>
      <c r="F15" s="1">
        <f t="shared" si="1"/>
        <v>145.57</v>
      </c>
      <c r="G15" s="1">
        <f t="shared" si="1"/>
        <v>147.35999999999999</v>
      </c>
      <c r="H15" s="1">
        <f>SUM(H6:H14)</f>
        <v>159.94999999999999</v>
      </c>
      <c r="I15" s="1">
        <f>SUM(I6:I14)</f>
        <v>164.47</v>
      </c>
      <c r="J15" s="1">
        <f>SUM(J6:J14)</f>
        <v>173.45</v>
      </c>
      <c r="K15" s="1">
        <f t="shared" si="1"/>
        <v>220.33999999999997</v>
      </c>
      <c r="M15" t="s">
        <v>33</v>
      </c>
      <c r="N15" s="1">
        <f t="shared" si="0"/>
        <v>159.83599999999998</v>
      </c>
    </row>
    <row r="16" spans="1:14" x14ac:dyDescent="0.2">
      <c r="A16" t="s">
        <v>16</v>
      </c>
      <c r="B16" s="1">
        <v>12.1</v>
      </c>
      <c r="C16" s="1">
        <v>12.09</v>
      </c>
      <c r="D16" s="1">
        <v>21.45</v>
      </c>
      <c r="E16" s="1">
        <v>10.26</v>
      </c>
      <c r="F16" s="1">
        <v>11.95</v>
      </c>
      <c r="G16" s="1">
        <v>10.42</v>
      </c>
      <c r="H16" s="1">
        <v>11.18</v>
      </c>
      <c r="I16" s="1">
        <v>12.72</v>
      </c>
      <c r="J16" s="1">
        <v>11.32</v>
      </c>
      <c r="K16" s="1">
        <v>11.13</v>
      </c>
      <c r="M16" t="s">
        <v>16</v>
      </c>
      <c r="N16" s="1">
        <f t="shared" si="0"/>
        <v>12.461999999999998</v>
      </c>
    </row>
  </sheetData>
  <phoneticPr fontId="1" type="noConversion"/>
  <printOptions headings="1" gridLines="1"/>
  <pageMargins left="0.75" right="0.75" top="1" bottom="1" header="0.5" footer="0.5"/>
  <pageSetup scale="5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16"/>
  <sheetViews>
    <sheetView zoomScale="50" workbookViewId="0">
      <selection activeCell="K5" sqref="K5"/>
    </sheetView>
  </sheetViews>
  <sheetFormatPr defaultRowHeight="12.75" x14ac:dyDescent="0.2"/>
  <cols>
    <col min="1" max="1" width="17.140625" customWidth="1"/>
    <col min="2" max="5" width="12.85546875" customWidth="1"/>
    <col min="6" max="11" width="9.85546875" customWidth="1"/>
    <col min="13" max="13" width="12.85546875" customWidth="1"/>
  </cols>
  <sheetData>
    <row r="2" spans="1:14" x14ac:dyDescent="0.2">
      <c r="D2" t="s">
        <v>32</v>
      </c>
      <c r="E2" s="14" t="s">
        <v>51</v>
      </c>
    </row>
    <row r="3" spans="1:14" x14ac:dyDescent="0.2">
      <c r="C3" t="s">
        <v>7</v>
      </c>
    </row>
    <row r="4" spans="1:14" x14ac:dyDescent="0.2">
      <c r="B4">
        <v>1999</v>
      </c>
      <c r="C4">
        <v>2000</v>
      </c>
      <c r="D4">
        <v>2001</v>
      </c>
      <c r="E4">
        <v>2002</v>
      </c>
      <c r="F4">
        <v>2003</v>
      </c>
      <c r="G4">
        <v>2004</v>
      </c>
      <c r="H4">
        <v>2005</v>
      </c>
      <c r="I4">
        <v>2006</v>
      </c>
      <c r="J4">
        <v>2007</v>
      </c>
      <c r="K4">
        <v>2008</v>
      </c>
      <c r="N4" t="s">
        <v>1</v>
      </c>
    </row>
    <row r="5" spans="1:14" x14ac:dyDescent="0.2">
      <c r="A5" t="s">
        <v>13</v>
      </c>
      <c r="B5" s="1">
        <v>5.63</v>
      </c>
      <c r="C5" s="1">
        <v>25.79</v>
      </c>
      <c r="D5" s="1">
        <v>53.74</v>
      </c>
      <c r="E5" s="1">
        <v>39.97</v>
      </c>
      <c r="F5" s="1">
        <v>65.89</v>
      </c>
      <c r="G5" s="1">
        <v>78.39</v>
      </c>
      <c r="H5" s="1">
        <v>54.75</v>
      </c>
      <c r="I5" s="1">
        <v>-5.68</v>
      </c>
      <c r="J5" s="1">
        <v>97.41</v>
      </c>
      <c r="K5" s="1">
        <v>79.13</v>
      </c>
      <c r="M5" t="s">
        <v>13</v>
      </c>
      <c r="N5" s="1">
        <f t="shared" ref="N5:N15" si="0">AVERAGE(B5:K5)</f>
        <v>49.501999999999995</v>
      </c>
    </row>
    <row r="6" spans="1:14" x14ac:dyDescent="0.2">
      <c r="A6" t="s">
        <v>8</v>
      </c>
      <c r="B6" s="1">
        <v>16.329999999999998</v>
      </c>
      <c r="C6" s="1">
        <v>17.57</v>
      </c>
      <c r="D6" s="1">
        <v>16.670000000000002</v>
      </c>
      <c r="E6" s="1">
        <v>21.01</v>
      </c>
      <c r="F6" s="1">
        <v>19.940000000000001</v>
      </c>
      <c r="G6" s="1">
        <v>18.3</v>
      </c>
      <c r="H6" s="1">
        <v>28.62</v>
      </c>
      <c r="I6" s="1">
        <v>20.79</v>
      </c>
      <c r="J6" s="1">
        <v>25.24</v>
      </c>
      <c r="K6" s="1">
        <v>41.84</v>
      </c>
      <c r="M6" t="s">
        <v>8</v>
      </c>
      <c r="N6" s="1">
        <f t="shared" si="0"/>
        <v>22.631</v>
      </c>
    </row>
    <row r="7" spans="1:14" x14ac:dyDescent="0.2">
      <c r="A7" t="s">
        <v>2</v>
      </c>
      <c r="B7" s="1">
        <v>11.69</v>
      </c>
      <c r="C7" s="1">
        <v>10.34</v>
      </c>
      <c r="D7" s="1">
        <v>10.49</v>
      </c>
      <c r="E7" s="1">
        <v>8.18</v>
      </c>
      <c r="F7" s="1">
        <v>17.14</v>
      </c>
      <c r="G7" s="1">
        <v>17.37</v>
      </c>
      <c r="H7" s="1">
        <v>21.48</v>
      </c>
      <c r="I7" s="1">
        <v>20.65</v>
      </c>
      <c r="J7" s="1">
        <v>20.86</v>
      </c>
      <c r="K7" s="1">
        <v>31.04</v>
      </c>
      <c r="M7" t="s">
        <v>2</v>
      </c>
      <c r="N7" s="1">
        <f t="shared" si="0"/>
        <v>16.923999999999999</v>
      </c>
    </row>
    <row r="8" spans="1:14" x14ac:dyDescent="0.2">
      <c r="A8" t="s">
        <v>3</v>
      </c>
      <c r="B8" s="1">
        <v>28.89</v>
      </c>
      <c r="C8" s="1">
        <v>16.87</v>
      </c>
      <c r="D8" s="1">
        <v>25.81</v>
      </c>
      <c r="E8" s="1">
        <v>21.85</v>
      </c>
      <c r="F8" s="1">
        <v>24.18</v>
      </c>
      <c r="G8" s="1">
        <v>32.42</v>
      </c>
      <c r="H8" s="1">
        <v>35.25</v>
      </c>
      <c r="I8" s="1">
        <v>25.23</v>
      </c>
      <c r="J8" s="1">
        <v>35.5</v>
      </c>
      <c r="K8" s="1">
        <v>64.27</v>
      </c>
      <c r="M8" t="s">
        <v>3</v>
      </c>
      <c r="N8" s="1">
        <f t="shared" si="0"/>
        <v>31.027000000000005</v>
      </c>
    </row>
    <row r="9" spans="1:14" x14ac:dyDescent="0.2">
      <c r="A9" t="s">
        <v>9</v>
      </c>
      <c r="B9" s="1">
        <v>7.87</v>
      </c>
      <c r="C9" s="1">
        <v>13.18</v>
      </c>
      <c r="D9" s="1">
        <v>14.89</v>
      </c>
      <c r="E9" s="1">
        <v>14.12</v>
      </c>
      <c r="F9" s="1">
        <v>13.61</v>
      </c>
      <c r="G9" s="1">
        <v>9.94</v>
      </c>
      <c r="H9" s="1">
        <v>13.01</v>
      </c>
      <c r="I9" s="1">
        <v>12.91</v>
      </c>
      <c r="J9" s="1">
        <v>15.17</v>
      </c>
      <c r="K9" s="1">
        <v>27.3</v>
      </c>
      <c r="M9" t="s">
        <v>9</v>
      </c>
      <c r="N9" s="1">
        <f t="shared" si="0"/>
        <v>14.2</v>
      </c>
    </row>
    <row r="10" spans="1:14" x14ac:dyDescent="0.2">
      <c r="A10" t="s">
        <v>14</v>
      </c>
      <c r="B10" s="1">
        <v>16.96</v>
      </c>
      <c r="C10" s="1">
        <v>11.45</v>
      </c>
      <c r="D10" s="1">
        <v>12.1</v>
      </c>
      <c r="E10" s="1">
        <v>11.86</v>
      </c>
      <c r="F10" s="1">
        <v>15.17</v>
      </c>
      <c r="G10" s="1">
        <v>12.65</v>
      </c>
      <c r="H10" s="1">
        <v>17.32</v>
      </c>
      <c r="I10" s="1">
        <v>17.97</v>
      </c>
      <c r="J10" s="1">
        <v>17.670000000000002</v>
      </c>
      <c r="K10" s="1">
        <v>22.73</v>
      </c>
      <c r="M10" t="s">
        <v>14</v>
      </c>
      <c r="N10" s="1">
        <f t="shared" si="0"/>
        <v>15.587999999999997</v>
      </c>
    </row>
    <row r="11" spans="1:14" x14ac:dyDescent="0.2">
      <c r="A11" t="s">
        <v>15</v>
      </c>
      <c r="B11" s="1">
        <v>9.9600000000000009</v>
      </c>
      <c r="C11" s="1">
        <v>14.43</v>
      </c>
      <c r="D11" s="1">
        <v>22.62</v>
      </c>
      <c r="E11" s="1">
        <v>15.95</v>
      </c>
      <c r="F11" s="1">
        <v>13.35</v>
      </c>
      <c r="G11" s="1">
        <v>20.22</v>
      </c>
      <c r="H11" s="1">
        <v>21.61</v>
      </c>
      <c r="I11" s="1">
        <v>21.61</v>
      </c>
      <c r="J11" s="1">
        <v>20.51</v>
      </c>
      <c r="K11" s="1">
        <v>27.47</v>
      </c>
      <c r="M11" t="s">
        <v>15</v>
      </c>
      <c r="N11" s="1">
        <f t="shared" si="0"/>
        <v>18.773</v>
      </c>
    </row>
    <row r="12" spans="1:14" x14ac:dyDescent="0.2">
      <c r="A12" t="s">
        <v>12</v>
      </c>
      <c r="B12" s="1">
        <v>32.299999999999997</v>
      </c>
      <c r="C12" s="1">
        <v>31.24</v>
      </c>
      <c r="D12" s="1">
        <v>33.71</v>
      </c>
      <c r="E12" s="1">
        <v>34.83</v>
      </c>
      <c r="F12" s="1">
        <v>36.590000000000003</v>
      </c>
      <c r="G12" s="1">
        <v>34.92</v>
      </c>
      <c r="H12" s="1">
        <v>34.14</v>
      </c>
      <c r="I12" s="1">
        <v>34.4</v>
      </c>
      <c r="J12" s="1">
        <v>34.31</v>
      </c>
      <c r="K12" s="1">
        <v>38.380000000000003</v>
      </c>
      <c r="M12" t="s">
        <v>12</v>
      </c>
      <c r="N12" s="1">
        <f t="shared" si="0"/>
        <v>34.481999999999992</v>
      </c>
    </row>
    <row r="13" spans="1:14" x14ac:dyDescent="0.2">
      <c r="A13" t="s">
        <v>10</v>
      </c>
      <c r="B13" s="1">
        <v>7.82</v>
      </c>
      <c r="C13" s="1">
        <v>5.41</v>
      </c>
      <c r="D13" s="1">
        <v>4.21</v>
      </c>
      <c r="E13" s="1">
        <v>5.15</v>
      </c>
      <c r="F13" s="1">
        <v>4.18</v>
      </c>
      <c r="G13" s="1">
        <v>4.92</v>
      </c>
      <c r="H13" s="1">
        <v>4.28</v>
      </c>
      <c r="I13" s="1">
        <v>4.05</v>
      </c>
      <c r="J13" s="1">
        <v>7.45</v>
      </c>
      <c r="K13" s="1">
        <v>5.49</v>
      </c>
      <c r="M13" t="s">
        <v>10</v>
      </c>
      <c r="N13" s="1">
        <f t="shared" si="0"/>
        <v>5.2960000000000012</v>
      </c>
    </row>
    <row r="14" spans="1:14" x14ac:dyDescent="0.2">
      <c r="A14" t="s">
        <v>11</v>
      </c>
      <c r="B14" s="1">
        <v>44.23</v>
      </c>
      <c r="C14" s="1">
        <v>38.19</v>
      </c>
      <c r="D14" s="1">
        <v>35.67</v>
      </c>
      <c r="E14" s="1">
        <v>37.74</v>
      </c>
      <c r="F14" s="1">
        <v>35.479999999999997</v>
      </c>
      <c r="G14" s="1">
        <v>40.54</v>
      </c>
      <c r="H14" s="1">
        <v>38.92</v>
      </c>
      <c r="I14" s="1">
        <v>32.96</v>
      </c>
      <c r="J14" s="1">
        <v>39.479999999999997</v>
      </c>
      <c r="K14" s="1">
        <v>48.18</v>
      </c>
      <c r="M14" t="s">
        <v>11</v>
      </c>
      <c r="N14" s="1">
        <f t="shared" si="0"/>
        <v>39.138999999999996</v>
      </c>
    </row>
    <row r="15" spans="1:14" x14ac:dyDescent="0.2">
      <c r="A15" t="s">
        <v>33</v>
      </c>
      <c r="B15" s="1">
        <f t="shared" ref="B15:K15" si="1">SUM(B6:B14)</f>
        <v>176.05</v>
      </c>
      <c r="C15" s="1">
        <f t="shared" si="1"/>
        <v>158.68</v>
      </c>
      <c r="D15" s="1">
        <f t="shared" si="1"/>
        <v>176.17000000000002</v>
      </c>
      <c r="E15" s="1">
        <f t="shared" si="1"/>
        <v>170.69000000000003</v>
      </c>
      <c r="F15" s="1">
        <f t="shared" si="1"/>
        <v>179.64000000000001</v>
      </c>
      <c r="G15" s="1">
        <f t="shared" si="1"/>
        <v>191.27999999999997</v>
      </c>
      <c r="H15" s="1">
        <f>SUM(H6:H14)</f>
        <v>214.63</v>
      </c>
      <c r="I15" s="1">
        <f>SUM(I6:I14)</f>
        <v>190.57000000000002</v>
      </c>
      <c r="J15" s="1">
        <f>SUM(J6:J14)</f>
        <v>216.18999999999997</v>
      </c>
      <c r="K15" s="1">
        <f t="shared" si="1"/>
        <v>306.7</v>
      </c>
      <c r="M15" t="s">
        <v>33</v>
      </c>
      <c r="N15" s="1">
        <f t="shared" si="0"/>
        <v>198.06</v>
      </c>
    </row>
    <row r="16" spans="1:14" x14ac:dyDescent="0.2">
      <c r="A16" t="s">
        <v>16</v>
      </c>
      <c r="B16" s="1">
        <v>9.7100000000000009</v>
      </c>
      <c r="C16" s="1">
        <v>9.89</v>
      </c>
      <c r="D16" s="1">
        <v>9.6999999999999993</v>
      </c>
      <c r="E16" s="1">
        <v>8.98</v>
      </c>
      <c r="F16" s="1">
        <v>11.13</v>
      </c>
      <c r="G16" s="1">
        <v>9.2899999999999991</v>
      </c>
      <c r="H16" s="1">
        <v>12.2</v>
      </c>
      <c r="I16" s="1">
        <v>10.37</v>
      </c>
      <c r="J16" s="1">
        <v>10.78</v>
      </c>
      <c r="K16" s="1">
        <v>9.92</v>
      </c>
      <c r="M16" t="s">
        <v>16</v>
      </c>
      <c r="N16" s="1">
        <f>AVERAGE(B16:K16)</f>
        <v>10.197000000000001</v>
      </c>
    </row>
  </sheetData>
  <phoneticPr fontId="1" type="noConversion"/>
  <printOptions headings="1" gridLines="1"/>
  <pageMargins left="0.75" right="0.75" top="1" bottom="1" header="0.5" footer="0.5"/>
  <pageSetup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16"/>
  <sheetViews>
    <sheetView zoomScale="50" workbookViewId="0">
      <selection activeCell="K5" sqref="K5"/>
    </sheetView>
  </sheetViews>
  <sheetFormatPr defaultRowHeight="12.75" x14ac:dyDescent="0.2"/>
  <cols>
    <col min="1" max="1" width="17.140625" customWidth="1"/>
    <col min="2" max="5" width="12.85546875" customWidth="1"/>
    <col min="6" max="11" width="9.85546875" customWidth="1"/>
    <col min="13" max="13" width="12.85546875" customWidth="1"/>
  </cols>
  <sheetData>
    <row r="2" spans="1:14" x14ac:dyDescent="0.2">
      <c r="D2" t="s">
        <v>6</v>
      </c>
      <c r="E2" s="14" t="s">
        <v>51</v>
      </c>
    </row>
    <row r="3" spans="1:14" x14ac:dyDescent="0.2">
      <c r="C3" t="s">
        <v>7</v>
      </c>
    </row>
    <row r="4" spans="1:14" x14ac:dyDescent="0.2">
      <c r="B4">
        <v>1999</v>
      </c>
      <c r="C4">
        <v>2000</v>
      </c>
      <c r="D4">
        <v>2001</v>
      </c>
      <c r="E4">
        <v>2002</v>
      </c>
      <c r="F4">
        <v>2003</v>
      </c>
      <c r="G4">
        <v>2004</v>
      </c>
      <c r="H4">
        <v>2005</v>
      </c>
      <c r="I4">
        <v>2006</v>
      </c>
      <c r="J4">
        <v>2007</v>
      </c>
      <c r="K4">
        <v>2008</v>
      </c>
      <c r="N4" t="s">
        <v>1</v>
      </c>
    </row>
    <row r="5" spans="1:14" x14ac:dyDescent="0.2">
      <c r="A5" t="s">
        <v>13</v>
      </c>
      <c r="B5" s="1">
        <v>18.670000000000002</v>
      </c>
      <c r="C5" s="1">
        <v>7.71</v>
      </c>
      <c r="D5" s="1">
        <v>5.3</v>
      </c>
      <c r="E5" s="1">
        <v>42.57</v>
      </c>
      <c r="F5" s="1">
        <v>16.39</v>
      </c>
      <c r="G5" s="1">
        <v>-60.47</v>
      </c>
      <c r="H5" s="1">
        <v>24.65</v>
      </c>
      <c r="I5" s="1">
        <v>21.19</v>
      </c>
      <c r="J5" s="1">
        <v>159.16</v>
      </c>
      <c r="K5" s="1">
        <v>5.5</v>
      </c>
      <c r="M5" t="s">
        <v>13</v>
      </c>
      <c r="N5" s="1">
        <f t="shared" ref="N5:N16" si="0">AVERAGE(B5:K5)</f>
        <v>24.067</v>
      </c>
    </row>
    <row r="6" spans="1:14" x14ac:dyDescent="0.2">
      <c r="A6" t="s">
        <v>8</v>
      </c>
      <c r="B6" s="1">
        <v>24.04</v>
      </c>
      <c r="C6" s="1">
        <v>25.61</v>
      </c>
      <c r="D6" s="1">
        <v>23.86</v>
      </c>
      <c r="E6" s="1">
        <v>27.12</v>
      </c>
      <c r="F6" s="1">
        <v>28.76</v>
      </c>
      <c r="G6" s="1">
        <v>36.86</v>
      </c>
      <c r="H6" s="1">
        <v>38.1</v>
      </c>
      <c r="I6" s="1">
        <v>39</v>
      </c>
      <c r="J6" s="1">
        <v>43.44</v>
      </c>
      <c r="K6" s="1">
        <v>53.44</v>
      </c>
      <c r="M6" t="s">
        <v>8</v>
      </c>
      <c r="N6" s="1">
        <f t="shared" si="0"/>
        <v>34.022999999999996</v>
      </c>
    </row>
    <row r="7" spans="1:14" x14ac:dyDescent="0.2">
      <c r="A7" t="s">
        <v>2</v>
      </c>
      <c r="B7" s="1">
        <v>28.5</v>
      </c>
      <c r="C7" s="1">
        <v>21.3</v>
      </c>
      <c r="D7" s="1">
        <v>28.09</v>
      </c>
      <c r="E7" s="1">
        <v>24.71</v>
      </c>
      <c r="F7" s="1">
        <v>25.66</v>
      </c>
      <c r="G7" s="1">
        <v>36.51</v>
      </c>
      <c r="H7" s="1">
        <v>38.32</v>
      </c>
      <c r="I7" s="1">
        <v>37.049999999999997</v>
      </c>
      <c r="J7" s="1">
        <v>42.43</v>
      </c>
      <c r="K7" s="1">
        <v>66.27</v>
      </c>
      <c r="M7" t="s">
        <v>2</v>
      </c>
      <c r="N7" s="1">
        <f t="shared" si="0"/>
        <v>34.884</v>
      </c>
    </row>
    <row r="8" spans="1:14" x14ac:dyDescent="0.2">
      <c r="A8" t="s">
        <v>3</v>
      </c>
      <c r="B8" s="1">
        <v>26.12</v>
      </c>
      <c r="C8" s="1">
        <v>22.58</v>
      </c>
      <c r="D8" s="1">
        <v>24.36</v>
      </c>
      <c r="E8" s="1">
        <v>17.55</v>
      </c>
      <c r="F8" s="1">
        <v>16.72</v>
      </c>
      <c r="G8" s="1">
        <v>16.989999999999998</v>
      </c>
      <c r="H8" s="1">
        <v>16.13</v>
      </c>
      <c r="I8" s="1">
        <v>13.43</v>
      </c>
      <c r="J8" s="1">
        <v>15.65</v>
      </c>
      <c r="K8" s="1">
        <v>21.21</v>
      </c>
      <c r="M8" t="s">
        <v>3</v>
      </c>
      <c r="N8" s="1">
        <f t="shared" si="0"/>
        <v>19.074000000000002</v>
      </c>
    </row>
    <row r="9" spans="1:14" x14ac:dyDescent="0.2">
      <c r="A9" t="s">
        <v>9</v>
      </c>
      <c r="B9" s="1">
        <v>6.27</v>
      </c>
      <c r="C9" s="1">
        <v>7.3</v>
      </c>
      <c r="D9" s="1">
        <v>6.24</v>
      </c>
      <c r="E9" s="1">
        <v>7.91</v>
      </c>
      <c r="F9" s="1">
        <v>9.56</v>
      </c>
      <c r="G9" s="1">
        <v>10.1</v>
      </c>
      <c r="H9" s="1">
        <v>10.02</v>
      </c>
      <c r="I9" s="1">
        <v>12.52</v>
      </c>
      <c r="J9" s="1">
        <v>17.920000000000002</v>
      </c>
      <c r="K9" s="1">
        <v>29.29</v>
      </c>
      <c r="M9" t="s">
        <v>9</v>
      </c>
      <c r="N9" s="1">
        <f t="shared" si="0"/>
        <v>11.712999999999999</v>
      </c>
    </row>
    <row r="10" spans="1:14" x14ac:dyDescent="0.2">
      <c r="A10" t="s">
        <v>14</v>
      </c>
      <c r="B10" s="1">
        <v>15.1</v>
      </c>
      <c r="C10" s="1">
        <v>14.43</v>
      </c>
      <c r="D10" s="1">
        <v>12.45</v>
      </c>
      <c r="E10" s="1">
        <v>13.65</v>
      </c>
      <c r="F10" s="1">
        <v>13.81</v>
      </c>
      <c r="G10" s="1">
        <v>12.4</v>
      </c>
      <c r="H10" s="1">
        <v>15.63</v>
      </c>
      <c r="I10" s="1">
        <v>14.12</v>
      </c>
      <c r="J10" s="1">
        <v>18.190000000000001</v>
      </c>
      <c r="K10" s="1">
        <v>23.42</v>
      </c>
      <c r="M10" t="s">
        <v>14</v>
      </c>
      <c r="N10" s="1">
        <f t="shared" si="0"/>
        <v>15.319999999999999</v>
      </c>
    </row>
    <row r="11" spans="1:14" x14ac:dyDescent="0.2">
      <c r="A11" t="s">
        <v>15</v>
      </c>
      <c r="B11" s="1">
        <v>11.85</v>
      </c>
      <c r="C11" s="1">
        <v>12.04</v>
      </c>
      <c r="D11" s="1">
        <v>18.45</v>
      </c>
      <c r="E11" s="1">
        <v>16.350000000000001</v>
      </c>
      <c r="F11" s="1">
        <v>16.72</v>
      </c>
      <c r="G11" s="1">
        <v>15.06</v>
      </c>
      <c r="H11" s="1">
        <v>23.65</v>
      </c>
      <c r="I11" s="1">
        <v>23.21</v>
      </c>
      <c r="J11" s="1">
        <v>24.34</v>
      </c>
      <c r="K11" s="1">
        <v>38.49</v>
      </c>
      <c r="M11" t="s">
        <v>15</v>
      </c>
      <c r="N11" s="1">
        <f t="shared" si="0"/>
        <v>20.016000000000002</v>
      </c>
    </row>
    <row r="12" spans="1:14" x14ac:dyDescent="0.2">
      <c r="A12" t="s">
        <v>12</v>
      </c>
      <c r="B12" s="1">
        <v>35.42</v>
      </c>
      <c r="C12" s="1">
        <v>36.159999999999997</v>
      </c>
      <c r="D12" s="1">
        <v>35.92</v>
      </c>
      <c r="E12" s="1">
        <v>38.020000000000003</v>
      </c>
      <c r="F12" s="1">
        <v>36.32</v>
      </c>
      <c r="G12" s="1">
        <v>34.53</v>
      </c>
      <c r="H12" s="1">
        <v>34.64</v>
      </c>
      <c r="I12" s="1">
        <v>36.54</v>
      </c>
      <c r="J12" s="1">
        <v>35.36</v>
      </c>
      <c r="K12" s="1">
        <v>39.1</v>
      </c>
      <c r="M12" t="s">
        <v>12</v>
      </c>
      <c r="N12" s="1">
        <f t="shared" si="0"/>
        <v>36.201000000000008</v>
      </c>
    </row>
    <row r="13" spans="1:14" x14ac:dyDescent="0.2">
      <c r="A13" t="s">
        <v>10</v>
      </c>
      <c r="B13" s="1">
        <v>5.45</v>
      </c>
      <c r="C13" s="1">
        <v>4.4400000000000004</v>
      </c>
      <c r="D13" s="1">
        <v>2.83</v>
      </c>
      <c r="E13" s="1">
        <v>3.72</v>
      </c>
      <c r="F13" s="1">
        <v>3.36</v>
      </c>
      <c r="G13" s="1">
        <v>3.94</v>
      </c>
      <c r="H13" s="1">
        <v>4.9000000000000004</v>
      </c>
      <c r="I13" s="1">
        <v>5.96</v>
      </c>
      <c r="J13" s="1">
        <v>7.03</v>
      </c>
      <c r="K13" s="1">
        <v>5.51</v>
      </c>
      <c r="M13" t="s">
        <v>10</v>
      </c>
      <c r="N13" s="1">
        <f t="shared" si="0"/>
        <v>4.7140000000000004</v>
      </c>
    </row>
    <row r="14" spans="1:14" x14ac:dyDescent="0.2">
      <c r="A14" t="s">
        <v>11</v>
      </c>
      <c r="B14" s="1">
        <v>31.28</v>
      </c>
      <c r="C14" s="1">
        <v>29.83</v>
      </c>
      <c r="D14" s="1">
        <v>36.47</v>
      </c>
      <c r="E14" s="1">
        <v>32.72</v>
      </c>
      <c r="F14" s="1">
        <v>32.909999999999997</v>
      </c>
      <c r="G14" s="1">
        <v>32.33</v>
      </c>
      <c r="H14" s="1">
        <v>37.44</v>
      </c>
      <c r="I14" s="1">
        <v>33.68</v>
      </c>
      <c r="J14" s="1">
        <v>38.369999999999997</v>
      </c>
      <c r="K14" s="1">
        <v>45.47</v>
      </c>
      <c r="M14" t="s">
        <v>11</v>
      </c>
      <c r="N14" s="1">
        <f t="shared" si="0"/>
        <v>35.049999999999997</v>
      </c>
    </row>
    <row r="15" spans="1:14" x14ac:dyDescent="0.2">
      <c r="A15" t="s">
        <v>33</v>
      </c>
      <c r="B15" s="1">
        <f t="shared" ref="B15:K15" si="1">SUM(B6:B14)</f>
        <v>184.02999999999997</v>
      </c>
      <c r="C15" s="1">
        <f t="shared" si="1"/>
        <v>173.69</v>
      </c>
      <c r="D15" s="1">
        <f t="shared" si="1"/>
        <v>188.67000000000002</v>
      </c>
      <c r="E15" s="1">
        <f t="shared" si="1"/>
        <v>181.75</v>
      </c>
      <c r="F15" s="1">
        <f t="shared" si="1"/>
        <v>183.82000000000002</v>
      </c>
      <c r="G15" s="1">
        <f t="shared" si="1"/>
        <v>198.71999999999997</v>
      </c>
      <c r="H15" s="1">
        <f>SUM(H6:H14)</f>
        <v>218.83</v>
      </c>
      <c r="I15" s="1">
        <f>SUM(I6:I14)</f>
        <v>215.51</v>
      </c>
      <c r="J15" s="1">
        <f>SUM(J6:J14)</f>
        <v>242.73000000000005</v>
      </c>
      <c r="K15" s="1">
        <f t="shared" si="1"/>
        <v>322.20000000000005</v>
      </c>
      <c r="M15" t="s">
        <v>34</v>
      </c>
      <c r="N15" s="1">
        <f t="shared" si="0"/>
        <v>210.99499999999998</v>
      </c>
    </row>
    <row r="16" spans="1:14" x14ac:dyDescent="0.2">
      <c r="A16" t="s">
        <v>16</v>
      </c>
      <c r="B16" s="1">
        <v>12.16</v>
      </c>
      <c r="C16" s="1">
        <v>12.17</v>
      </c>
      <c r="D16" s="1">
        <v>21.45</v>
      </c>
      <c r="E16" s="1">
        <v>10.85</v>
      </c>
      <c r="F16" s="1">
        <v>12.57</v>
      </c>
      <c r="G16" s="1">
        <v>10.93</v>
      </c>
      <c r="H16" s="1">
        <v>11.49</v>
      </c>
      <c r="I16" s="1">
        <v>12.5</v>
      </c>
      <c r="J16" s="1">
        <v>11.51</v>
      </c>
      <c r="K16" s="1">
        <v>11.01</v>
      </c>
      <c r="M16" t="s">
        <v>16</v>
      </c>
      <c r="N16" s="1">
        <f t="shared" si="0"/>
        <v>12.664</v>
      </c>
    </row>
  </sheetData>
  <phoneticPr fontId="1" type="noConversion"/>
  <printOptions headings="1" gridLines="1"/>
  <pageMargins left="0.75" right="0.75" top="1" bottom="1" header="0.5" footer="0.5"/>
  <pageSetup scale="5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54"/>
  <sheetViews>
    <sheetView tabSelected="1" zoomScale="50" workbookViewId="0">
      <selection activeCell="W38" sqref="W38"/>
    </sheetView>
  </sheetViews>
  <sheetFormatPr defaultRowHeight="12.75" x14ac:dyDescent="0.2"/>
  <cols>
    <col min="1" max="1" width="17.28515625" customWidth="1"/>
    <col min="2" max="2" width="15.28515625" customWidth="1"/>
    <col min="3" max="3" width="9.28515625" bestFit="1" customWidth="1"/>
    <col min="4" max="4" width="9.7109375" bestFit="1" customWidth="1"/>
    <col min="5" max="8" width="9.7109375" customWidth="1"/>
    <col min="9" max="9" width="9.7109375" bestFit="1" customWidth="1"/>
    <col min="11" max="11" width="9.7109375" bestFit="1" customWidth="1"/>
    <col min="12" max="12" width="9" bestFit="1" customWidth="1"/>
    <col min="17" max="17" width="12.42578125" customWidth="1"/>
    <col min="18" max="18" width="10.5703125" customWidth="1"/>
    <col min="19" max="19" width="10.42578125" bestFit="1" customWidth="1"/>
    <col min="20" max="27" width="9" bestFit="1" customWidth="1"/>
    <col min="28" max="28" width="9" customWidth="1"/>
    <col min="29" max="29" width="13.28515625" customWidth="1"/>
    <col min="30" max="30" width="11.85546875" customWidth="1"/>
  </cols>
  <sheetData>
    <row r="1" spans="1:30" ht="15" x14ac:dyDescent="0.2">
      <c r="I1" s="2"/>
      <c r="J1" s="2"/>
      <c r="K1" s="2"/>
      <c r="L1" s="2"/>
      <c r="M1" s="2"/>
      <c r="N1" s="2"/>
      <c r="O1" s="2"/>
      <c r="P1" s="2"/>
      <c r="Q1" s="2"/>
      <c r="R1" s="2" t="s">
        <v>21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" x14ac:dyDescent="0.2">
      <c r="I2" s="2"/>
      <c r="J2" s="2"/>
      <c r="K2" s="2"/>
      <c r="L2" s="2"/>
      <c r="M2" s="2"/>
      <c r="N2" s="2"/>
      <c r="O2" s="2"/>
      <c r="P2" s="2"/>
      <c r="Q2" s="2"/>
      <c r="R2" s="2">
        <v>1999</v>
      </c>
      <c r="S2" s="2">
        <v>2000</v>
      </c>
      <c r="T2" s="2">
        <v>2001</v>
      </c>
      <c r="U2" s="2">
        <v>2002</v>
      </c>
      <c r="V2" s="2">
        <v>2003</v>
      </c>
      <c r="W2" s="2">
        <v>2004</v>
      </c>
      <c r="X2" s="2">
        <v>2005</v>
      </c>
      <c r="Y2" s="2">
        <v>2006</v>
      </c>
      <c r="Z2" s="2">
        <v>2007</v>
      </c>
      <c r="AA2" s="2">
        <v>2008</v>
      </c>
      <c r="AB2" s="10" t="s">
        <v>42</v>
      </c>
      <c r="AC2" s="13" t="s">
        <v>49</v>
      </c>
      <c r="AD2" s="13" t="s">
        <v>50</v>
      </c>
    </row>
    <row r="3" spans="1:30" ht="15" x14ac:dyDescent="0.2">
      <c r="I3" s="2"/>
      <c r="J3" s="5"/>
      <c r="K3" s="5"/>
      <c r="L3" s="5"/>
      <c r="M3" s="2"/>
      <c r="N3" s="2"/>
      <c r="O3" s="2"/>
      <c r="P3" s="2"/>
      <c r="Q3" s="2" t="s">
        <v>4</v>
      </c>
      <c r="R3" s="4">
        <v>98.29</v>
      </c>
      <c r="S3" s="4">
        <v>123</v>
      </c>
      <c r="T3" s="4">
        <v>101.84</v>
      </c>
      <c r="U3" s="4">
        <v>116</v>
      </c>
      <c r="V3" s="4">
        <v>130.96</v>
      </c>
      <c r="W3" s="4">
        <v>150.1</v>
      </c>
      <c r="X3" s="4">
        <v>142.26</v>
      </c>
      <c r="Y3" s="4">
        <v>145.27000000000001</v>
      </c>
      <c r="Z3" s="4">
        <v>261.51</v>
      </c>
      <c r="AA3" s="4">
        <v>307.35000000000002</v>
      </c>
      <c r="AB3" s="4">
        <f>STDEVA(R3:AA3)</f>
        <v>69.86508805468506</v>
      </c>
      <c r="AC3" s="5">
        <f t="shared" ref="AC3:AC10" si="0">AVERAGE(R3:AA3)</f>
        <v>157.65799999999999</v>
      </c>
      <c r="AD3" s="5">
        <f>AVERAGE(Y3:AA3)</f>
        <v>238.04333333333332</v>
      </c>
    </row>
    <row r="4" spans="1:30" ht="15" x14ac:dyDescent="0.2">
      <c r="I4" s="4"/>
      <c r="J4" s="5"/>
      <c r="K4" s="5"/>
      <c r="L4" s="5"/>
      <c r="M4" s="2"/>
      <c r="N4" s="2"/>
      <c r="O4" s="2"/>
      <c r="P4" s="2"/>
      <c r="Q4" s="2" t="s">
        <v>26</v>
      </c>
      <c r="R4" s="4">
        <v>108.86</v>
      </c>
      <c r="S4" s="4">
        <v>108.2</v>
      </c>
      <c r="T4" s="4">
        <v>104.89</v>
      </c>
      <c r="U4" s="4">
        <v>113.15</v>
      </c>
      <c r="V4" s="4">
        <v>133.03</v>
      </c>
      <c r="W4" s="4">
        <v>162.19</v>
      </c>
      <c r="X4" s="4">
        <v>133.76</v>
      </c>
      <c r="Y4" s="4">
        <v>98.75</v>
      </c>
      <c r="Z4" s="4">
        <v>198.84</v>
      </c>
      <c r="AA4" s="4">
        <v>210.11</v>
      </c>
      <c r="AB4" s="4">
        <f t="shared" ref="AB4:AB22" si="1">STDEVA(R4:AA4)</f>
        <v>40.157982685057029</v>
      </c>
      <c r="AC4" s="5">
        <f>AVERAGE(R4:AA4)</f>
        <v>137.17799999999997</v>
      </c>
      <c r="AD4" s="5">
        <f t="shared" ref="AD4:AD11" si="2">AVERAGE(Y4:AA4)</f>
        <v>169.23333333333335</v>
      </c>
    </row>
    <row r="5" spans="1:30" ht="15" x14ac:dyDescent="0.2">
      <c r="I5" s="4"/>
      <c r="J5" s="2"/>
      <c r="K5" s="2"/>
      <c r="L5" s="2"/>
      <c r="M5" s="2"/>
      <c r="N5" s="2"/>
      <c r="O5" s="2"/>
      <c r="P5" s="2"/>
      <c r="Q5" s="2" t="s">
        <v>5</v>
      </c>
      <c r="R5" s="4">
        <v>110.68</v>
      </c>
      <c r="S5" s="4">
        <v>108.18</v>
      </c>
      <c r="T5" s="4">
        <v>107.32</v>
      </c>
      <c r="U5" s="4">
        <v>142.56</v>
      </c>
      <c r="V5" s="4">
        <v>174.45</v>
      </c>
      <c r="W5" s="4">
        <v>163.44</v>
      </c>
      <c r="X5" s="4">
        <v>131.5</v>
      </c>
      <c r="Y5" s="4">
        <v>168.11</v>
      </c>
      <c r="Z5" s="4">
        <v>227.69</v>
      </c>
      <c r="AA5" s="4">
        <v>365.42</v>
      </c>
      <c r="AB5" s="4">
        <f t="shared" si="1"/>
        <v>78.236137749763628</v>
      </c>
      <c r="AC5" s="5">
        <f t="shared" si="0"/>
        <v>169.93500000000003</v>
      </c>
      <c r="AD5" s="5">
        <f t="shared" si="2"/>
        <v>253.74</v>
      </c>
    </row>
    <row r="6" spans="1:30" ht="15" x14ac:dyDescent="0.2">
      <c r="I6" s="4"/>
      <c r="J6" s="2"/>
      <c r="K6" s="2"/>
      <c r="L6" s="2"/>
      <c r="M6" s="2"/>
      <c r="N6" s="2"/>
      <c r="O6" s="2"/>
      <c r="P6" s="2"/>
      <c r="Q6" s="2" t="s">
        <v>18</v>
      </c>
      <c r="R6" s="4">
        <v>137.1</v>
      </c>
      <c r="S6" s="4">
        <v>126.79</v>
      </c>
      <c r="T6" s="4">
        <v>137.94</v>
      </c>
      <c r="U6" s="4">
        <v>139.05000000000001</v>
      </c>
      <c r="V6" s="4">
        <v>160.03</v>
      </c>
      <c r="W6" s="4">
        <v>179.42</v>
      </c>
      <c r="X6" s="4">
        <v>161.83000000000001</v>
      </c>
      <c r="Y6" s="4">
        <v>162.54</v>
      </c>
      <c r="Z6" s="4">
        <v>228.67</v>
      </c>
      <c r="AA6" s="4">
        <v>326.64999999999998</v>
      </c>
      <c r="AB6" s="4">
        <f t="shared" si="1"/>
        <v>60.430813847094754</v>
      </c>
      <c r="AC6" s="5">
        <f t="shared" si="0"/>
        <v>176.00200000000001</v>
      </c>
      <c r="AD6" s="5">
        <f t="shared" si="2"/>
        <v>239.28666666666663</v>
      </c>
    </row>
    <row r="7" spans="1:30" ht="15" x14ac:dyDescent="0.2">
      <c r="I7" s="4"/>
      <c r="J7" s="2"/>
      <c r="K7" s="2"/>
      <c r="L7" s="2"/>
      <c r="M7" s="2"/>
      <c r="N7" s="2"/>
      <c r="O7" s="2"/>
      <c r="P7" s="2"/>
      <c r="Q7" s="2" t="s">
        <v>27</v>
      </c>
      <c r="R7" s="4">
        <v>115.26</v>
      </c>
      <c r="S7" s="4">
        <v>136.22999999999999</v>
      </c>
      <c r="T7" s="4">
        <v>152.85</v>
      </c>
      <c r="U7" s="4">
        <v>159.44</v>
      </c>
      <c r="V7" s="4">
        <v>143.43</v>
      </c>
      <c r="W7" s="4">
        <v>145.97</v>
      </c>
      <c r="X7" s="4">
        <v>208.27</v>
      </c>
      <c r="Y7" s="4">
        <v>191.37</v>
      </c>
      <c r="Z7" s="4">
        <v>296.41000000000003</v>
      </c>
      <c r="AA7" s="4">
        <v>310.3</v>
      </c>
      <c r="AB7" s="4">
        <f t="shared" si="1"/>
        <v>67.38429441972697</v>
      </c>
      <c r="AC7" s="5">
        <f t="shared" si="0"/>
        <v>185.95300000000003</v>
      </c>
      <c r="AD7" s="5">
        <f t="shared" si="2"/>
        <v>266.0266666666667</v>
      </c>
    </row>
    <row r="8" spans="1:30" ht="15" x14ac:dyDescent="0.2">
      <c r="I8" s="4"/>
      <c r="J8" s="2"/>
      <c r="K8" s="2"/>
      <c r="L8" s="2"/>
      <c r="M8" s="2"/>
      <c r="N8" s="2"/>
      <c r="O8" s="2"/>
      <c r="P8" s="2"/>
      <c r="Q8" s="2" t="s">
        <v>17</v>
      </c>
      <c r="R8" s="4">
        <v>161.75</v>
      </c>
      <c r="S8" s="4">
        <v>159.09</v>
      </c>
      <c r="T8" s="4">
        <v>160.37</v>
      </c>
      <c r="U8" s="4">
        <v>173.68</v>
      </c>
      <c r="V8" s="4">
        <v>186.45</v>
      </c>
      <c r="W8" s="4">
        <v>147.33000000000001</v>
      </c>
      <c r="X8" s="4">
        <v>198.09</v>
      </c>
      <c r="Y8" s="4">
        <v>157.71</v>
      </c>
      <c r="Z8" s="4">
        <v>326.72000000000003</v>
      </c>
      <c r="AA8" s="4">
        <v>287.04000000000002</v>
      </c>
      <c r="AB8" s="4">
        <f t="shared" si="1"/>
        <v>61.109410268250251</v>
      </c>
      <c r="AC8" s="5">
        <f t="shared" si="0"/>
        <v>195.82300000000004</v>
      </c>
      <c r="AD8" s="5">
        <f t="shared" si="2"/>
        <v>257.15666666666669</v>
      </c>
    </row>
    <row r="9" spans="1:30" ht="15" x14ac:dyDescent="0.2">
      <c r="I9" s="4"/>
      <c r="J9" s="2"/>
      <c r="K9" s="2"/>
      <c r="L9" s="2"/>
      <c r="M9" s="2"/>
      <c r="N9" s="2"/>
      <c r="O9" s="2"/>
      <c r="P9" s="2"/>
      <c r="Q9" s="2" t="s">
        <v>30</v>
      </c>
      <c r="R9" s="4">
        <v>181.69</v>
      </c>
      <c r="S9" s="4">
        <v>184.47</v>
      </c>
      <c r="T9" s="4">
        <v>229.9</v>
      </c>
      <c r="U9" s="4">
        <v>210.68</v>
      </c>
      <c r="V9" s="4">
        <v>245.54</v>
      </c>
      <c r="W9" s="4">
        <v>269.67</v>
      </c>
      <c r="X9" s="4">
        <v>269.39</v>
      </c>
      <c r="Y9" s="4">
        <v>188.48</v>
      </c>
      <c r="Z9" s="4">
        <v>313.60000000000002</v>
      </c>
      <c r="AA9" s="4">
        <v>385.83</v>
      </c>
      <c r="AB9" s="4">
        <f t="shared" si="1"/>
        <v>64.918483115365504</v>
      </c>
      <c r="AC9" s="5">
        <f>AVERAGE(R9:AA9)</f>
        <v>247.92500000000001</v>
      </c>
      <c r="AD9" s="5">
        <f t="shared" si="2"/>
        <v>295.97000000000003</v>
      </c>
    </row>
    <row r="10" spans="1:30" ht="15" x14ac:dyDescent="0.2">
      <c r="I10" s="4"/>
      <c r="J10" s="2"/>
      <c r="K10" s="2"/>
      <c r="L10" s="2"/>
      <c r="M10" s="2"/>
      <c r="N10" s="2"/>
      <c r="O10" s="2"/>
      <c r="P10" s="2"/>
      <c r="Q10" s="2" t="s">
        <v>6</v>
      </c>
      <c r="R10" s="4">
        <v>206.71</v>
      </c>
      <c r="S10" s="4">
        <v>183.55</v>
      </c>
      <c r="T10" s="4">
        <v>193.97</v>
      </c>
      <c r="U10" s="4">
        <v>224.21</v>
      </c>
      <c r="V10" s="4">
        <v>201.57</v>
      </c>
      <c r="W10" s="4">
        <v>138.25</v>
      </c>
      <c r="X10" s="4">
        <v>244.47</v>
      </c>
      <c r="Y10" s="4">
        <v>236.71</v>
      </c>
      <c r="Z10" s="4">
        <v>401.89</v>
      </c>
      <c r="AA10" s="4">
        <v>327.7</v>
      </c>
      <c r="AB10" s="4">
        <f t="shared" si="1"/>
        <v>76.19817146391685</v>
      </c>
      <c r="AC10" s="5">
        <f t="shared" si="0"/>
        <v>235.90299999999996</v>
      </c>
      <c r="AD10" s="5">
        <f t="shared" si="2"/>
        <v>322.09999999999997</v>
      </c>
    </row>
    <row r="11" spans="1:30" ht="15" x14ac:dyDescent="0.2">
      <c r="I11" s="4"/>
      <c r="J11" s="2"/>
      <c r="K11" s="2"/>
      <c r="L11" s="2"/>
      <c r="M11" s="2"/>
      <c r="N11" s="2"/>
      <c r="O11" s="2"/>
      <c r="P11" s="2"/>
      <c r="Q11" s="2" t="s">
        <v>52</v>
      </c>
      <c r="R11" s="4"/>
      <c r="S11" s="4"/>
      <c r="T11" s="4"/>
      <c r="U11" s="4"/>
      <c r="V11" s="4"/>
      <c r="W11" s="4"/>
      <c r="X11" s="4"/>
      <c r="Y11" s="4">
        <v>165.23</v>
      </c>
      <c r="Z11" s="4">
        <v>320.95999999999998</v>
      </c>
      <c r="AA11" s="4">
        <v>258.27</v>
      </c>
      <c r="AB11" s="4">
        <f t="shared" si="1"/>
        <v>78.356355411244991</v>
      </c>
      <c r="AC11" s="5"/>
      <c r="AD11" s="5">
        <f t="shared" si="2"/>
        <v>248.15333333333331</v>
      </c>
    </row>
    <row r="12" spans="1:30" ht="15" x14ac:dyDescent="0.2">
      <c r="I12" s="4"/>
      <c r="J12" s="2"/>
      <c r="K12" s="2"/>
      <c r="L12" s="2"/>
      <c r="M12" s="2"/>
      <c r="N12" s="2"/>
      <c r="O12" s="2"/>
      <c r="P12" s="2"/>
      <c r="Q12" s="2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5"/>
      <c r="AD12" s="5"/>
    </row>
    <row r="13" spans="1:30" ht="15" x14ac:dyDescent="0.2">
      <c r="I13" s="2"/>
      <c r="J13" s="2"/>
      <c r="K13" s="2"/>
      <c r="L13" s="2"/>
      <c r="M13" s="2"/>
      <c r="N13" s="2"/>
      <c r="O13" s="2"/>
      <c r="P13" s="2"/>
      <c r="Q13" s="2"/>
      <c r="R13" s="2" t="s">
        <v>22</v>
      </c>
      <c r="S13" s="2"/>
      <c r="T13" s="2"/>
      <c r="U13" s="2"/>
      <c r="V13" s="2"/>
      <c r="W13" s="2"/>
      <c r="X13" s="2"/>
      <c r="Y13" s="2"/>
      <c r="Z13" s="2"/>
      <c r="AA13" s="2"/>
      <c r="AB13" s="4"/>
      <c r="AC13" s="5"/>
      <c r="AD13" s="5"/>
    </row>
    <row r="14" spans="1:30" ht="15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>
        <v>1999</v>
      </c>
      <c r="S14" s="2">
        <v>2000</v>
      </c>
      <c r="T14" s="2">
        <v>2001</v>
      </c>
      <c r="U14" s="2">
        <v>2002</v>
      </c>
      <c r="V14" s="2">
        <v>2003</v>
      </c>
      <c r="W14" s="2">
        <v>2004</v>
      </c>
      <c r="X14" s="2">
        <v>2005</v>
      </c>
      <c r="Y14" s="2">
        <v>2006</v>
      </c>
      <c r="Z14" s="2">
        <v>2007</v>
      </c>
      <c r="AA14" s="2">
        <v>2008</v>
      </c>
      <c r="AB14" s="4" t="s">
        <v>42</v>
      </c>
      <c r="AC14" s="13" t="s">
        <v>49</v>
      </c>
      <c r="AD14" s="13" t="s">
        <v>50</v>
      </c>
    </row>
    <row r="15" spans="1:30" ht="1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 t="s">
        <v>4</v>
      </c>
      <c r="R15" s="4">
        <v>-12.93</v>
      </c>
      <c r="S15" s="4">
        <v>9.35</v>
      </c>
      <c r="T15" s="4">
        <v>-18.579999999999998</v>
      </c>
      <c r="U15" s="4">
        <v>5.8</v>
      </c>
      <c r="V15" s="4">
        <v>11.06</v>
      </c>
      <c r="W15" s="4">
        <v>20.59</v>
      </c>
      <c r="X15" s="4">
        <v>-2.35</v>
      </c>
      <c r="Y15" s="4">
        <v>2.14</v>
      </c>
      <c r="Z15" s="4">
        <v>95.66</v>
      </c>
      <c r="AA15" s="4">
        <v>88.81</v>
      </c>
      <c r="AB15" s="4">
        <f t="shared" si="1"/>
        <v>39.785353321151852</v>
      </c>
      <c r="AC15" s="5">
        <f t="shared" ref="AC15:AC22" si="3">AVERAGE(R15:AA15)</f>
        <v>19.955000000000002</v>
      </c>
      <c r="AD15" s="5">
        <f t="shared" ref="AD15:AD22" si="4">AVERAGE(Y15:AA15)</f>
        <v>62.20333333333334</v>
      </c>
    </row>
    <row r="16" spans="1:30" ht="1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 t="s">
        <v>26</v>
      </c>
      <c r="R16" s="4">
        <v>9.58</v>
      </c>
      <c r="S16" s="4">
        <v>0.26</v>
      </c>
      <c r="T16" s="4">
        <v>-12.33</v>
      </c>
      <c r="U16" s="4">
        <v>8.98</v>
      </c>
      <c r="V16" s="4">
        <v>18.45</v>
      </c>
      <c r="W16" s="4">
        <v>40.32</v>
      </c>
      <c r="X16" s="4">
        <v>-0.59</v>
      </c>
      <c r="Y16" s="4">
        <v>-32.03</v>
      </c>
      <c r="Z16" s="4">
        <v>65.08</v>
      </c>
      <c r="AA16" s="4">
        <v>40.07</v>
      </c>
      <c r="AB16" s="4">
        <f t="shared" si="1"/>
        <v>28.400489217226131</v>
      </c>
      <c r="AC16" s="5">
        <f>AVERAGE(R16:AA16)</f>
        <v>13.779</v>
      </c>
      <c r="AD16" s="5">
        <f t="shared" si="4"/>
        <v>24.373333333333335</v>
      </c>
    </row>
    <row r="17" spans="1:30" ht="15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 t="s">
        <v>5</v>
      </c>
      <c r="R17" s="4">
        <v>6.18</v>
      </c>
      <c r="S17" s="4">
        <v>-1.7</v>
      </c>
      <c r="T17" s="4">
        <v>-6.15</v>
      </c>
      <c r="U17" s="4">
        <v>35.799999999999997</v>
      </c>
      <c r="V17" s="4">
        <v>50.86</v>
      </c>
      <c r="W17" s="4">
        <v>33.25</v>
      </c>
      <c r="X17" s="4">
        <v>-3.06</v>
      </c>
      <c r="Y17" s="4">
        <v>27.03</v>
      </c>
      <c r="Z17" s="4">
        <v>75.38</v>
      </c>
      <c r="AA17" s="4">
        <v>159.16999999999999</v>
      </c>
      <c r="AB17" s="4">
        <f t="shared" si="1"/>
        <v>50.127897577651858</v>
      </c>
      <c r="AC17" s="5">
        <f t="shared" si="3"/>
        <v>37.676000000000002</v>
      </c>
      <c r="AD17" s="5">
        <f t="shared" si="4"/>
        <v>87.193333333333328</v>
      </c>
    </row>
    <row r="18" spans="1:30" ht="1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 t="s">
        <v>18</v>
      </c>
      <c r="R18" s="4">
        <v>0.22</v>
      </c>
      <c r="S18" s="4">
        <v>-3.49</v>
      </c>
      <c r="T18" s="4">
        <v>2.23</v>
      </c>
      <c r="U18" s="4">
        <v>6.85</v>
      </c>
      <c r="V18" s="4">
        <v>19.75</v>
      </c>
      <c r="W18" s="4">
        <v>26.09</v>
      </c>
      <c r="X18" s="4">
        <v>-2</v>
      </c>
      <c r="Y18" s="4">
        <v>-11.39</v>
      </c>
      <c r="Z18" s="4">
        <v>41.32</v>
      </c>
      <c r="AA18" s="4">
        <v>87.07</v>
      </c>
      <c r="AB18" s="4">
        <f t="shared" si="1"/>
        <v>29.4012691525005</v>
      </c>
      <c r="AC18" s="5">
        <f t="shared" si="3"/>
        <v>16.664999999999999</v>
      </c>
      <c r="AD18" s="5">
        <f t="shared" si="4"/>
        <v>39</v>
      </c>
    </row>
    <row r="19" spans="1:30" ht="1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 t="s">
        <v>27</v>
      </c>
      <c r="R19" s="4">
        <v>-15.11</v>
      </c>
      <c r="S19" s="4">
        <v>16.41</v>
      </c>
      <c r="T19" s="4">
        <v>26.96</v>
      </c>
      <c r="U19" s="4">
        <v>40.82</v>
      </c>
      <c r="V19" s="4">
        <v>10.84</v>
      </c>
      <c r="W19" s="4">
        <v>2.74</v>
      </c>
      <c r="X19" s="4">
        <v>51.95</v>
      </c>
      <c r="Y19" s="4">
        <v>28.76</v>
      </c>
      <c r="Z19" s="4">
        <v>112.83</v>
      </c>
      <c r="AA19" s="4">
        <v>78.81</v>
      </c>
      <c r="AB19" s="4">
        <f t="shared" si="1"/>
        <v>37.830150365372155</v>
      </c>
      <c r="AC19" s="5">
        <f t="shared" si="3"/>
        <v>35.500999999999998</v>
      </c>
      <c r="AD19" s="5">
        <f t="shared" si="4"/>
        <v>73.466666666666669</v>
      </c>
    </row>
    <row r="20" spans="1:30" ht="1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 t="s">
        <v>17</v>
      </c>
      <c r="R20" s="4">
        <v>10.07</v>
      </c>
      <c r="S20" s="4">
        <v>14.7</v>
      </c>
      <c r="T20" s="4">
        <v>12.08</v>
      </c>
      <c r="U20" s="4">
        <v>30.76</v>
      </c>
      <c r="V20" s="4">
        <v>40.89</v>
      </c>
      <c r="W20" s="4">
        <v>-0.04</v>
      </c>
      <c r="X20" s="4">
        <v>38.159999999999997</v>
      </c>
      <c r="Y20" s="4">
        <v>-6.76</v>
      </c>
      <c r="Z20" s="4">
        <v>153.27000000000001</v>
      </c>
      <c r="AA20" s="4">
        <v>66.7</v>
      </c>
      <c r="AB20" s="4">
        <f t="shared" si="1"/>
        <v>46.638438855614467</v>
      </c>
      <c r="AC20" s="5">
        <f t="shared" si="3"/>
        <v>35.982999999999997</v>
      </c>
      <c r="AD20" s="5">
        <f t="shared" si="4"/>
        <v>71.070000000000007</v>
      </c>
    </row>
    <row r="21" spans="1:30" ht="1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 t="s">
        <v>30</v>
      </c>
      <c r="R21" s="4">
        <v>5.63</v>
      </c>
      <c r="S21" s="4">
        <v>25.79</v>
      </c>
      <c r="T21" s="4">
        <v>53.74</v>
      </c>
      <c r="U21" s="4">
        <v>39.97</v>
      </c>
      <c r="V21" s="4">
        <v>65.89</v>
      </c>
      <c r="W21" s="4">
        <v>78.39</v>
      </c>
      <c r="X21" s="4">
        <v>54.75</v>
      </c>
      <c r="Y21" s="4">
        <v>-5.68</v>
      </c>
      <c r="Z21" s="4">
        <v>97.41</v>
      </c>
      <c r="AA21" s="4">
        <v>79.13</v>
      </c>
      <c r="AB21" s="4">
        <f t="shared" si="1"/>
        <v>33.240710582055854</v>
      </c>
      <c r="AC21" s="5">
        <f>AVERAGE(R21:AA21)</f>
        <v>49.501999999999995</v>
      </c>
      <c r="AD21" s="5">
        <f t="shared" si="4"/>
        <v>56.953333333333326</v>
      </c>
    </row>
    <row r="22" spans="1:30" ht="1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 t="s">
        <v>6</v>
      </c>
      <c r="R22" s="4">
        <v>18.670000000000002</v>
      </c>
      <c r="S22" s="4">
        <v>7.71</v>
      </c>
      <c r="T22" s="4">
        <v>5.3</v>
      </c>
      <c r="U22" s="4">
        <v>42.57</v>
      </c>
      <c r="V22" s="4">
        <v>16.39</v>
      </c>
      <c r="W22" s="4">
        <v>-60.47</v>
      </c>
      <c r="X22" s="4">
        <v>24.65</v>
      </c>
      <c r="Y22" s="4">
        <v>21.19</v>
      </c>
      <c r="Z22" s="4">
        <v>159.16</v>
      </c>
      <c r="AA22" s="4">
        <v>5.5</v>
      </c>
      <c r="AB22" s="4">
        <f t="shared" si="1"/>
        <v>54.569171404537357</v>
      </c>
      <c r="AC22" s="5">
        <f t="shared" si="3"/>
        <v>24.067</v>
      </c>
      <c r="AD22" s="5">
        <f t="shared" si="4"/>
        <v>61.949999999999996</v>
      </c>
    </row>
    <row r="23" spans="1:30" ht="1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 t="s">
        <v>52</v>
      </c>
      <c r="R23" s="4"/>
      <c r="S23" s="4"/>
      <c r="T23" s="4"/>
      <c r="U23" s="4"/>
      <c r="V23" s="4"/>
      <c r="W23" s="4"/>
      <c r="X23" s="4"/>
      <c r="Y23" s="4">
        <v>60.68</v>
      </c>
      <c r="Z23" s="4">
        <v>147.31</v>
      </c>
      <c r="AA23" s="4">
        <v>14.33</v>
      </c>
      <c r="AB23" s="4">
        <f>STDEVA(R23:AA23)</f>
        <v>67.499086166653626</v>
      </c>
      <c r="AC23" s="5"/>
      <c r="AD23" s="5">
        <f>AVERAGE(Y23:AA23)</f>
        <v>74.106666666666669</v>
      </c>
    </row>
    <row r="24" spans="1:30" ht="1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30" ht="15" x14ac:dyDescent="0.2">
      <c r="R25" s="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6"/>
    </row>
    <row r="26" spans="1:30" ht="15" x14ac:dyDescent="0.2">
      <c r="Y26" s="4"/>
      <c r="Z26" s="4"/>
      <c r="AA26" s="4"/>
    </row>
    <row r="27" spans="1:30" ht="15" x14ac:dyDescent="0.2">
      <c r="R27" s="2"/>
      <c r="S27" s="13" t="s">
        <v>43</v>
      </c>
      <c r="T27" s="3"/>
      <c r="U27" s="2"/>
    </row>
    <row r="28" spans="1:30" ht="15" x14ac:dyDescent="0.2">
      <c r="U28" s="2"/>
    </row>
    <row r="29" spans="1:30" ht="15" x14ac:dyDescent="0.2">
      <c r="R29" s="2"/>
      <c r="S29" s="2" t="s">
        <v>23</v>
      </c>
      <c r="T29" s="2" t="s">
        <v>24</v>
      </c>
      <c r="U29" s="4"/>
    </row>
    <row r="30" spans="1:30" ht="15" x14ac:dyDescent="0.2">
      <c r="R30" s="2" t="s">
        <v>4</v>
      </c>
      <c r="S30" s="4">
        <v>157.66</v>
      </c>
      <c r="T30" s="4">
        <v>19.95</v>
      </c>
      <c r="U30" s="4"/>
    </row>
    <row r="31" spans="1:30" ht="15" x14ac:dyDescent="0.2">
      <c r="R31" s="2" t="s">
        <v>26</v>
      </c>
      <c r="S31" s="4">
        <v>137.18</v>
      </c>
      <c r="T31" s="4">
        <v>13.78</v>
      </c>
      <c r="U31" s="4"/>
    </row>
    <row r="32" spans="1:30" ht="15" x14ac:dyDescent="0.2">
      <c r="R32" s="2" t="s">
        <v>5</v>
      </c>
      <c r="S32" s="4">
        <v>169.94</v>
      </c>
      <c r="T32" s="4">
        <v>37.659999999999997</v>
      </c>
      <c r="U32" s="4"/>
    </row>
    <row r="33" spans="18:21" ht="15" x14ac:dyDescent="0.2">
      <c r="R33" s="2" t="s">
        <v>18</v>
      </c>
      <c r="S33" s="4">
        <v>176</v>
      </c>
      <c r="T33" s="4">
        <v>16.670000000000002</v>
      </c>
      <c r="U33" s="4"/>
    </row>
    <row r="34" spans="18:21" ht="15" x14ac:dyDescent="0.2">
      <c r="R34" s="2" t="s">
        <v>20</v>
      </c>
      <c r="S34" s="4">
        <v>185.95</v>
      </c>
      <c r="T34" s="4">
        <v>35.5</v>
      </c>
      <c r="U34" s="2"/>
    </row>
    <row r="35" spans="18:21" ht="15" x14ac:dyDescent="0.2">
      <c r="R35" s="2" t="s">
        <v>17</v>
      </c>
      <c r="S35" s="4">
        <v>195.82</v>
      </c>
      <c r="T35" s="4">
        <v>35.979999999999997</v>
      </c>
      <c r="U35" s="4"/>
    </row>
    <row r="36" spans="18:21" ht="15" x14ac:dyDescent="0.2">
      <c r="R36" s="2" t="s">
        <v>31</v>
      </c>
      <c r="S36" s="4">
        <v>247.93</v>
      </c>
      <c r="T36" s="4">
        <v>49.5</v>
      </c>
      <c r="U36" s="4"/>
    </row>
    <row r="37" spans="18:21" ht="15" x14ac:dyDescent="0.2">
      <c r="R37" s="2" t="s">
        <v>6</v>
      </c>
      <c r="S37" s="4">
        <v>235.9</v>
      </c>
      <c r="T37" s="4">
        <v>24.07</v>
      </c>
      <c r="U37" s="4"/>
    </row>
    <row r="38" spans="18:21" ht="15" x14ac:dyDescent="0.2">
      <c r="R38" s="2" t="s">
        <v>52</v>
      </c>
      <c r="S38" s="2"/>
      <c r="T38" s="2"/>
      <c r="U38" s="2"/>
    </row>
    <row r="43" spans="18:21" ht="15" x14ac:dyDescent="0.2">
      <c r="R43" s="2"/>
      <c r="S43" s="13" t="s">
        <v>48</v>
      </c>
      <c r="T43" s="3"/>
      <c r="U43" s="2"/>
    </row>
    <row r="44" spans="18:21" ht="15" x14ac:dyDescent="0.2">
      <c r="U44" s="2"/>
    </row>
    <row r="45" spans="18:21" ht="15" x14ac:dyDescent="0.2">
      <c r="R45" s="2"/>
      <c r="S45" s="2" t="s">
        <v>23</v>
      </c>
      <c r="T45" s="2" t="s">
        <v>24</v>
      </c>
      <c r="U45" s="4"/>
    </row>
    <row r="46" spans="18:21" ht="15" x14ac:dyDescent="0.2">
      <c r="R46" s="2" t="s">
        <v>4</v>
      </c>
      <c r="S46" s="4">
        <v>238.04</v>
      </c>
      <c r="T46" s="4">
        <v>62.17</v>
      </c>
    </row>
    <row r="47" spans="18:21" ht="15" x14ac:dyDescent="0.2">
      <c r="R47" s="2" t="s">
        <v>26</v>
      </c>
      <c r="S47" s="4">
        <v>169.23</v>
      </c>
      <c r="T47" s="16">
        <v>24.37</v>
      </c>
    </row>
    <row r="48" spans="18:21" ht="15" x14ac:dyDescent="0.2">
      <c r="R48" s="2" t="s">
        <v>5</v>
      </c>
      <c r="S48" s="4">
        <v>253.74</v>
      </c>
      <c r="T48" s="16">
        <v>87.19</v>
      </c>
    </row>
    <row r="49" spans="18:20" ht="15" x14ac:dyDescent="0.2">
      <c r="R49" s="2" t="s">
        <v>18</v>
      </c>
      <c r="S49" s="4">
        <v>239.29</v>
      </c>
      <c r="T49" s="16">
        <v>39</v>
      </c>
    </row>
    <row r="50" spans="18:20" ht="15" x14ac:dyDescent="0.2">
      <c r="R50" s="2" t="s">
        <v>20</v>
      </c>
      <c r="S50" s="4">
        <v>266.02999999999997</v>
      </c>
      <c r="T50" s="16">
        <v>73.47</v>
      </c>
    </row>
    <row r="51" spans="18:20" ht="15" x14ac:dyDescent="0.2">
      <c r="R51" s="2" t="s">
        <v>17</v>
      </c>
      <c r="S51" s="4">
        <v>257.16000000000003</v>
      </c>
      <c r="T51" s="16">
        <v>71.069999999999993</v>
      </c>
    </row>
    <row r="52" spans="18:20" ht="15" x14ac:dyDescent="0.2">
      <c r="R52" s="2" t="s">
        <v>31</v>
      </c>
      <c r="S52" s="4">
        <v>295.97000000000003</v>
      </c>
      <c r="T52" s="16">
        <v>56.95</v>
      </c>
    </row>
    <row r="53" spans="18:20" ht="15" x14ac:dyDescent="0.2">
      <c r="R53" s="2" t="s">
        <v>6</v>
      </c>
      <c r="S53" s="4">
        <v>322.10000000000002</v>
      </c>
      <c r="T53" s="16">
        <v>61.95</v>
      </c>
    </row>
    <row r="54" spans="18:20" ht="15" x14ac:dyDescent="0.2">
      <c r="R54" s="2" t="s">
        <v>52</v>
      </c>
      <c r="S54" s="4">
        <v>248.15</v>
      </c>
      <c r="T54" s="17">
        <v>74.11</v>
      </c>
    </row>
  </sheetData>
  <sheetProtection sheet="1" objects="1" scenarios="1"/>
  <phoneticPr fontId="1" type="noConversion"/>
  <pageMargins left="0.75" right="0.75" top="1" bottom="1" header="0.5" footer="0.5"/>
  <pageSetup scale="47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2"/>
  <sheetViews>
    <sheetView zoomScale="50" workbookViewId="0">
      <selection activeCell="P56" sqref="P56"/>
    </sheetView>
  </sheetViews>
  <sheetFormatPr defaultRowHeight="12.75" x14ac:dyDescent="0.2"/>
  <cols>
    <col min="1" max="1" width="17.28515625" customWidth="1"/>
    <col min="2" max="2" width="15.28515625" customWidth="1"/>
    <col min="3" max="3" width="9.28515625" bestFit="1" customWidth="1"/>
    <col min="4" max="5" width="9.7109375" bestFit="1" customWidth="1"/>
    <col min="7" max="7" width="9.7109375" bestFit="1" customWidth="1"/>
    <col min="8" max="8" width="9" bestFit="1" customWidth="1"/>
    <col min="13" max="13" width="14.28515625" customWidth="1"/>
    <col min="14" max="14" width="9.7109375" customWidth="1"/>
    <col min="15" max="15" width="17.85546875" customWidth="1"/>
    <col min="16" max="16" width="10.5703125" customWidth="1"/>
    <col min="17" max="19" width="9" bestFit="1" customWidth="1"/>
    <col min="20" max="25" width="10.140625" bestFit="1" customWidth="1"/>
    <col min="26" max="26" width="10.140625" customWidth="1"/>
    <col min="27" max="28" width="14" customWidth="1"/>
    <col min="34" max="34" width="15.7109375" customWidth="1"/>
    <col min="35" max="35" width="12.85546875" customWidth="1"/>
    <col min="36" max="36" width="13.28515625" customWidth="1"/>
    <col min="37" max="37" width="12.42578125" customWidth="1"/>
    <col min="38" max="38" width="11.140625" customWidth="1"/>
    <col min="39" max="39" width="11.7109375" customWidth="1"/>
    <col min="40" max="40" width="13.28515625" customWidth="1"/>
  </cols>
  <sheetData>
    <row r="1" spans="1:40" ht="18" x14ac:dyDescent="0.25">
      <c r="E1" s="2"/>
      <c r="F1" s="2"/>
      <c r="G1" s="2"/>
      <c r="H1" s="2"/>
      <c r="I1" s="2"/>
      <c r="J1" s="2"/>
      <c r="K1" s="2"/>
      <c r="L1" s="2"/>
      <c r="M1" s="2"/>
      <c r="O1" s="9" t="s">
        <v>35</v>
      </c>
      <c r="P1" s="8"/>
      <c r="Q1" s="8"/>
      <c r="R1" s="8"/>
    </row>
    <row r="2" spans="1:40" ht="18" x14ac:dyDescent="0.25">
      <c r="E2" s="2"/>
      <c r="F2" s="2"/>
      <c r="G2" s="2"/>
      <c r="H2" s="2"/>
      <c r="I2" s="2"/>
      <c r="J2" s="2"/>
      <c r="K2" s="2"/>
      <c r="L2" s="2"/>
      <c r="M2" s="2"/>
      <c r="O2" s="12" t="s">
        <v>44</v>
      </c>
      <c r="P2" s="8"/>
      <c r="Q2" s="8"/>
      <c r="R2" s="8"/>
      <c r="S2" s="2"/>
      <c r="T2" s="2"/>
      <c r="U2" s="2"/>
      <c r="V2" s="2"/>
      <c r="W2" s="2"/>
      <c r="X2" s="2"/>
      <c r="Y2" s="2"/>
      <c r="Z2" s="2"/>
      <c r="AA2" s="2"/>
    </row>
    <row r="3" spans="1:40" ht="18" x14ac:dyDescent="0.25">
      <c r="E3" s="2"/>
      <c r="F3" s="5"/>
      <c r="G3" s="5"/>
      <c r="H3" s="5"/>
      <c r="I3" s="2"/>
      <c r="J3" s="2"/>
      <c r="K3" s="2"/>
      <c r="L3" s="2"/>
      <c r="M3" s="2"/>
      <c r="O3" s="2"/>
      <c r="P3" s="2" t="s">
        <v>28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H3" s="9" t="s">
        <v>36</v>
      </c>
      <c r="AI3" s="8"/>
      <c r="AJ3" s="8"/>
      <c r="AK3" s="8"/>
    </row>
    <row r="4" spans="1:40" ht="18" x14ac:dyDescent="0.25">
      <c r="E4" s="4"/>
      <c r="F4" s="5"/>
      <c r="G4" s="5"/>
      <c r="H4" s="5"/>
      <c r="I4" s="2"/>
      <c r="J4" s="2"/>
      <c r="K4" s="2"/>
      <c r="L4" s="2"/>
      <c r="M4" s="2"/>
      <c r="O4" s="2"/>
      <c r="P4" s="2">
        <v>1999</v>
      </c>
      <c r="Q4" s="2">
        <v>2000</v>
      </c>
      <c r="R4" s="2">
        <v>2001</v>
      </c>
      <c r="S4" s="2">
        <v>2002</v>
      </c>
      <c r="T4" s="2">
        <v>2003</v>
      </c>
      <c r="U4" s="2">
        <v>2004</v>
      </c>
      <c r="V4" s="2">
        <v>2005</v>
      </c>
      <c r="W4" s="2">
        <v>2006</v>
      </c>
      <c r="X4" s="2">
        <v>2007</v>
      </c>
      <c r="Y4" s="2">
        <v>2008</v>
      </c>
      <c r="Z4" s="2" t="s">
        <v>42</v>
      </c>
      <c r="AA4" s="15" t="s">
        <v>45</v>
      </c>
      <c r="AB4" s="15" t="s">
        <v>46</v>
      </c>
      <c r="AH4" s="9" t="s">
        <v>41</v>
      </c>
      <c r="AI4" s="8"/>
      <c r="AJ4" s="8"/>
      <c r="AK4" s="8"/>
      <c r="AL4" s="2"/>
      <c r="AM4" s="2"/>
      <c r="AN4" s="2"/>
    </row>
    <row r="5" spans="1:40" ht="15" x14ac:dyDescent="0.2">
      <c r="E5" s="4"/>
      <c r="F5" s="2"/>
      <c r="G5" s="2"/>
      <c r="H5" s="2"/>
      <c r="I5" s="2"/>
      <c r="J5" s="2"/>
      <c r="K5" s="2"/>
      <c r="L5" s="2"/>
      <c r="M5" s="2"/>
      <c r="O5" s="13" t="s">
        <v>47</v>
      </c>
      <c r="P5" s="4">
        <v>111.22</v>
      </c>
      <c r="Q5" s="4">
        <v>113.65</v>
      </c>
      <c r="R5" s="4">
        <v>120.42</v>
      </c>
      <c r="S5" s="4">
        <v>110.2</v>
      </c>
      <c r="T5" s="4">
        <v>119.91</v>
      </c>
      <c r="U5" s="4">
        <v>129.51</v>
      </c>
      <c r="V5" s="4">
        <v>144.61000000000001</v>
      </c>
      <c r="W5" s="4">
        <v>143.12</v>
      </c>
      <c r="X5" s="4">
        <v>165.85</v>
      </c>
      <c r="Y5" s="4">
        <v>218.64</v>
      </c>
      <c r="Z5" s="4">
        <f>+STDEVA(P5:Y5)</f>
        <v>33.563919798232966</v>
      </c>
      <c r="AA5" s="5">
        <f t="shared" ref="AA5:AA12" si="0">AVERAGE(P5:Y5)</f>
        <v>137.71300000000002</v>
      </c>
      <c r="AB5" s="5">
        <f t="shared" ref="AB5:AB12" si="1">AVERAGE(W5:Y5)</f>
        <v>175.87</v>
      </c>
    </row>
    <row r="6" spans="1:40" ht="15" x14ac:dyDescent="0.2">
      <c r="E6" s="4"/>
      <c r="F6" s="2"/>
      <c r="G6" s="2"/>
      <c r="H6" s="2"/>
      <c r="I6" s="2"/>
      <c r="J6" s="2"/>
      <c r="K6" s="2"/>
      <c r="L6" s="2"/>
      <c r="M6" s="2"/>
      <c r="O6" s="2" t="s">
        <v>26</v>
      </c>
      <c r="P6" s="4">
        <v>99.28</v>
      </c>
      <c r="Q6" s="4">
        <v>107.94</v>
      </c>
      <c r="R6" s="4">
        <v>117.22</v>
      </c>
      <c r="S6" s="4">
        <v>104.18</v>
      </c>
      <c r="T6" s="4">
        <v>114.58</v>
      </c>
      <c r="U6" s="4">
        <v>121.88</v>
      </c>
      <c r="V6" s="4">
        <v>134.35</v>
      </c>
      <c r="W6" s="4">
        <v>130.78</v>
      </c>
      <c r="X6" s="4">
        <v>133.76</v>
      </c>
      <c r="Y6" s="4">
        <v>170.04</v>
      </c>
      <c r="Z6" s="4">
        <f>+STDEVA(P6:Y6)</f>
        <v>20.454490650656076</v>
      </c>
      <c r="AA6" s="5">
        <f t="shared" si="0"/>
        <v>123.401</v>
      </c>
      <c r="AB6" s="5">
        <f t="shared" si="1"/>
        <v>144.85999999999999</v>
      </c>
      <c r="AH6" s="2"/>
      <c r="AI6" s="2" t="s">
        <v>28</v>
      </c>
      <c r="AJ6" s="2"/>
      <c r="AK6" s="2"/>
      <c r="AL6" s="2"/>
      <c r="AM6" s="2"/>
      <c r="AN6" s="2"/>
    </row>
    <row r="7" spans="1:40" ht="15" x14ac:dyDescent="0.2">
      <c r="E7" s="4"/>
      <c r="F7" s="2"/>
      <c r="G7" s="2"/>
      <c r="H7" s="2"/>
      <c r="I7" s="2"/>
      <c r="J7" s="2"/>
      <c r="K7" s="2"/>
      <c r="L7" s="2"/>
      <c r="M7" s="2"/>
      <c r="O7" s="2" t="s">
        <v>5</v>
      </c>
      <c r="P7" s="4">
        <v>104.5</v>
      </c>
      <c r="Q7" s="4">
        <v>109.87</v>
      </c>
      <c r="R7" s="4">
        <v>113.47</v>
      </c>
      <c r="S7" s="4">
        <v>106.76</v>
      </c>
      <c r="T7" s="4">
        <v>123.6</v>
      </c>
      <c r="U7" s="4">
        <v>130.19</v>
      </c>
      <c r="V7" s="4">
        <v>134.56</v>
      </c>
      <c r="W7" s="4">
        <v>141.08000000000001</v>
      </c>
      <c r="X7" s="4">
        <v>152.31</v>
      </c>
      <c r="Y7" s="4">
        <v>206.25</v>
      </c>
      <c r="Z7" s="4">
        <f t="shared" ref="Z7:Z12" si="2">+STDEVA(P7:Y7)</f>
        <v>30.393949123687893</v>
      </c>
      <c r="AA7" s="5">
        <f t="shared" si="0"/>
        <v>132.25900000000001</v>
      </c>
      <c r="AB7" s="5">
        <f t="shared" si="1"/>
        <v>166.54666666666665</v>
      </c>
      <c r="AH7" s="2"/>
      <c r="AI7" s="2">
        <v>1999</v>
      </c>
      <c r="AJ7" s="2">
        <v>2000</v>
      </c>
      <c r="AK7" s="2">
        <v>2001</v>
      </c>
      <c r="AL7" s="2">
        <v>2002</v>
      </c>
      <c r="AM7" s="2">
        <v>2003</v>
      </c>
      <c r="AN7" s="10" t="s">
        <v>1</v>
      </c>
    </row>
    <row r="8" spans="1:40" ht="15" x14ac:dyDescent="0.2">
      <c r="E8" s="4"/>
      <c r="F8" s="2"/>
      <c r="G8" s="2"/>
      <c r="H8" s="2"/>
      <c r="I8" s="2"/>
      <c r="J8" s="2"/>
      <c r="K8" s="2"/>
      <c r="L8" s="2"/>
      <c r="M8" s="2"/>
      <c r="O8" s="2" t="s">
        <v>18</v>
      </c>
      <c r="P8" s="4">
        <v>136.88</v>
      </c>
      <c r="Q8" s="4">
        <v>130.28</v>
      </c>
      <c r="R8" s="4">
        <v>135.71</v>
      </c>
      <c r="S8" s="4">
        <v>132.19999999999999</v>
      </c>
      <c r="T8" s="4">
        <v>140.28</v>
      </c>
      <c r="U8" s="4">
        <v>153.33000000000001</v>
      </c>
      <c r="V8" s="4">
        <v>163.83000000000001</v>
      </c>
      <c r="W8" s="4">
        <v>173.93</v>
      </c>
      <c r="X8" s="4">
        <v>187.35</v>
      </c>
      <c r="Y8" s="4">
        <v>239.58</v>
      </c>
      <c r="Z8" s="4">
        <f t="shared" si="2"/>
        <v>34.155431014375729</v>
      </c>
      <c r="AA8" s="5">
        <f t="shared" si="0"/>
        <v>159.33699999999999</v>
      </c>
      <c r="AB8" s="5">
        <f t="shared" si="1"/>
        <v>200.28666666666666</v>
      </c>
      <c r="AH8" s="2" t="s">
        <v>4</v>
      </c>
      <c r="AI8" s="4">
        <v>111.22</v>
      </c>
      <c r="AJ8" s="4">
        <v>113.65</v>
      </c>
      <c r="AK8" s="4">
        <v>120.42</v>
      </c>
      <c r="AL8" s="4">
        <v>110.2</v>
      </c>
      <c r="AM8" s="4">
        <v>119.91</v>
      </c>
      <c r="AN8" s="5">
        <f t="shared" ref="AN8:AN13" si="3">AVERAGE(AI8:AM8)</f>
        <v>115.08</v>
      </c>
    </row>
    <row r="9" spans="1:40" ht="15" x14ac:dyDescent="0.2">
      <c r="E9" s="4"/>
      <c r="F9" s="2"/>
      <c r="G9" s="2"/>
      <c r="H9" s="2"/>
      <c r="I9" s="2"/>
      <c r="J9" s="2"/>
      <c r="K9" s="2"/>
      <c r="L9" s="2"/>
      <c r="M9" s="2"/>
      <c r="O9" s="2" t="s">
        <v>27</v>
      </c>
      <c r="P9" s="4">
        <v>130.37</v>
      </c>
      <c r="Q9" s="4">
        <v>119.82</v>
      </c>
      <c r="R9" s="4">
        <v>125.89</v>
      </c>
      <c r="S9" s="4">
        <v>118.62</v>
      </c>
      <c r="T9" s="4">
        <v>132.59</v>
      </c>
      <c r="U9" s="4">
        <v>143.22999999999999</v>
      </c>
      <c r="V9" s="4">
        <v>156.32</v>
      </c>
      <c r="W9" s="4">
        <v>162.61000000000001</v>
      </c>
      <c r="X9" s="4">
        <v>183.58</v>
      </c>
      <c r="Y9" s="4">
        <v>231.49</v>
      </c>
      <c r="Z9" s="4">
        <f t="shared" si="2"/>
        <v>35.239269067965203</v>
      </c>
      <c r="AA9" s="5">
        <f t="shared" si="0"/>
        <v>150.45199999999997</v>
      </c>
      <c r="AB9" s="5">
        <f t="shared" si="1"/>
        <v>192.56000000000003</v>
      </c>
      <c r="AH9" s="2" t="s">
        <v>26</v>
      </c>
      <c r="AI9" s="4">
        <v>99.28</v>
      </c>
      <c r="AJ9" s="4">
        <v>107.94</v>
      </c>
      <c r="AK9" s="4">
        <v>117.22</v>
      </c>
      <c r="AL9" s="4">
        <v>104.18</v>
      </c>
      <c r="AM9" s="4">
        <v>114.58</v>
      </c>
      <c r="AN9" s="5">
        <f t="shared" si="3"/>
        <v>108.64000000000001</v>
      </c>
    </row>
    <row r="10" spans="1:40" ht="15" x14ac:dyDescent="0.2">
      <c r="E10" s="4"/>
      <c r="F10" s="2"/>
      <c r="G10" s="2"/>
      <c r="H10" s="2"/>
      <c r="I10" s="2"/>
      <c r="J10" s="2"/>
      <c r="K10" s="2"/>
      <c r="L10" s="2"/>
      <c r="M10" s="2"/>
      <c r="O10" s="2" t="s">
        <v>17</v>
      </c>
      <c r="P10" s="4">
        <v>151.68</v>
      </c>
      <c r="Q10" s="4">
        <v>144.38999999999999</v>
      </c>
      <c r="R10" s="4">
        <v>148.29</v>
      </c>
      <c r="S10" s="4">
        <v>142.91999999999999</v>
      </c>
      <c r="T10" s="4">
        <v>145.56</v>
      </c>
      <c r="U10" s="4">
        <v>147.38</v>
      </c>
      <c r="V10" s="4">
        <v>159.93</v>
      </c>
      <c r="W10" s="4">
        <v>164.47</v>
      </c>
      <c r="X10" s="4">
        <v>173.45</v>
      </c>
      <c r="Y10" s="4">
        <v>220.34</v>
      </c>
      <c r="Z10" s="4">
        <f t="shared" si="2"/>
        <v>23.454623069521521</v>
      </c>
      <c r="AA10" s="5">
        <f t="shared" si="0"/>
        <v>159.84099999999998</v>
      </c>
      <c r="AB10" s="5">
        <f t="shared" si="1"/>
        <v>186.08666666666667</v>
      </c>
      <c r="AH10" s="2" t="s">
        <v>5</v>
      </c>
      <c r="AI10" s="4">
        <v>104.5</v>
      </c>
      <c r="AJ10" s="4">
        <v>109.87</v>
      </c>
      <c r="AK10" s="4">
        <v>113.47</v>
      </c>
      <c r="AL10" s="4">
        <v>106.76</v>
      </c>
      <c r="AM10" s="4">
        <v>123.6</v>
      </c>
      <c r="AN10" s="5">
        <f t="shared" si="3"/>
        <v>111.64000000000001</v>
      </c>
    </row>
    <row r="11" spans="1:40" ht="15" x14ac:dyDescent="0.2">
      <c r="E11" s="4"/>
      <c r="F11" s="2"/>
      <c r="G11" s="2"/>
      <c r="H11" s="2"/>
      <c r="I11" s="2"/>
      <c r="J11" s="2"/>
      <c r="K11" s="2"/>
      <c r="L11" s="2"/>
      <c r="M11" s="2"/>
      <c r="O11" s="2" t="s">
        <v>30</v>
      </c>
      <c r="P11" s="4">
        <v>176.06</v>
      </c>
      <c r="Q11" s="4">
        <v>158.68</v>
      </c>
      <c r="R11" s="4">
        <v>176.16</v>
      </c>
      <c r="S11" s="4">
        <v>170.71</v>
      </c>
      <c r="T11" s="4">
        <v>179.65</v>
      </c>
      <c r="U11" s="4">
        <v>191.28</v>
      </c>
      <c r="V11" s="4">
        <v>214.63</v>
      </c>
      <c r="W11" s="4">
        <v>194.16</v>
      </c>
      <c r="X11" s="4">
        <v>216.19</v>
      </c>
      <c r="Y11" s="4">
        <v>306.7</v>
      </c>
      <c r="Z11" s="4">
        <f t="shared" si="2"/>
        <v>42.252053677898104</v>
      </c>
      <c r="AA11" s="5">
        <f t="shared" si="0"/>
        <v>198.42200000000003</v>
      </c>
      <c r="AB11" s="5">
        <f t="shared" si="1"/>
        <v>239.01666666666665</v>
      </c>
      <c r="AH11" s="2" t="s">
        <v>18</v>
      </c>
      <c r="AI11" s="4">
        <v>136.88</v>
      </c>
      <c r="AJ11" s="4">
        <v>130.28</v>
      </c>
      <c r="AK11" s="4">
        <v>135.71</v>
      </c>
      <c r="AL11" s="4">
        <v>132.19999999999999</v>
      </c>
      <c r="AM11" s="4">
        <v>140.28</v>
      </c>
      <c r="AN11" s="5">
        <f t="shared" si="3"/>
        <v>135.07</v>
      </c>
    </row>
    <row r="12" spans="1:40" ht="15" x14ac:dyDescent="0.2">
      <c r="E12" s="2"/>
      <c r="F12" s="2"/>
      <c r="G12" s="2"/>
      <c r="H12" s="2"/>
      <c r="I12" s="2"/>
      <c r="J12" s="2"/>
      <c r="K12" s="2"/>
      <c r="L12" s="2"/>
      <c r="M12" s="2"/>
      <c r="O12" s="2" t="s">
        <v>6</v>
      </c>
      <c r="P12" s="4">
        <v>188.04</v>
      </c>
      <c r="Q12" s="4">
        <v>175.83</v>
      </c>
      <c r="R12" s="4">
        <v>188.67</v>
      </c>
      <c r="S12" s="4">
        <v>181.74</v>
      </c>
      <c r="T12" s="4">
        <v>185.18</v>
      </c>
      <c r="U12" s="4">
        <v>198.72</v>
      </c>
      <c r="V12" s="4">
        <v>219.82</v>
      </c>
      <c r="W12" s="4">
        <v>215.51</v>
      </c>
      <c r="X12" s="4">
        <v>242.73</v>
      </c>
      <c r="Y12" s="4">
        <v>322.2</v>
      </c>
      <c r="Z12" s="4">
        <f t="shared" si="2"/>
        <v>43.969155653581574</v>
      </c>
      <c r="AA12" s="5">
        <f t="shared" si="0"/>
        <v>211.84399999999999</v>
      </c>
      <c r="AB12" s="5">
        <f t="shared" si="1"/>
        <v>260.1466666666667</v>
      </c>
      <c r="AH12" s="2" t="s">
        <v>27</v>
      </c>
      <c r="AI12" s="4">
        <v>130.37</v>
      </c>
      <c r="AJ12" s="4">
        <v>119.82</v>
      </c>
      <c r="AK12" s="4">
        <v>125.89</v>
      </c>
      <c r="AL12" s="4">
        <v>118.62</v>
      </c>
      <c r="AM12" s="4">
        <v>132.59</v>
      </c>
      <c r="AN12" s="5">
        <f t="shared" si="3"/>
        <v>125.458</v>
      </c>
    </row>
    <row r="13" spans="1:40" ht="15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O13" s="2" t="s">
        <v>53</v>
      </c>
      <c r="P13" s="2"/>
      <c r="Q13" s="2"/>
      <c r="R13" s="2"/>
      <c r="S13" s="2"/>
      <c r="T13" s="2"/>
      <c r="U13" s="2"/>
      <c r="V13" s="2"/>
      <c r="W13" s="2">
        <v>197.59</v>
      </c>
      <c r="X13" s="2">
        <v>173.65</v>
      </c>
      <c r="Y13" s="2">
        <v>150.9</v>
      </c>
      <c r="Z13" s="4">
        <f>+STDEVA(P13:Y13)</f>
        <v>23.347527349450541</v>
      </c>
      <c r="AA13" s="5"/>
      <c r="AB13" s="5">
        <f>AVERAGE(W13:Y13)</f>
        <v>174.04666666666665</v>
      </c>
      <c r="AH13" s="2" t="s">
        <v>17</v>
      </c>
      <c r="AI13" s="4">
        <v>151.68</v>
      </c>
      <c r="AJ13" s="4">
        <v>144.38999999999999</v>
      </c>
      <c r="AK13" s="4">
        <v>148.29</v>
      </c>
      <c r="AL13" s="4">
        <v>142.91999999999999</v>
      </c>
      <c r="AM13" s="4">
        <v>145.56</v>
      </c>
      <c r="AN13" s="5">
        <f t="shared" si="3"/>
        <v>146.56799999999998</v>
      </c>
    </row>
    <row r="14" spans="1:40" ht="15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5"/>
      <c r="AB14" s="5"/>
      <c r="AH14" s="2"/>
      <c r="AI14" s="4"/>
      <c r="AJ14" s="4"/>
      <c r="AK14" s="4"/>
      <c r="AL14" s="4"/>
      <c r="AM14" s="4"/>
      <c r="AN14" s="5"/>
    </row>
    <row r="15" spans="1:40" ht="1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O15" s="2"/>
      <c r="P15" s="2" t="s">
        <v>22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5"/>
      <c r="AB15" s="5"/>
      <c r="AH15" s="2" t="s">
        <v>30</v>
      </c>
      <c r="AI15" s="4">
        <v>176.06</v>
      </c>
      <c r="AJ15" s="4">
        <v>158.68</v>
      </c>
      <c r="AK15" s="4">
        <v>176.16</v>
      </c>
      <c r="AL15" s="4">
        <v>170.71</v>
      </c>
      <c r="AM15" s="4">
        <v>179.65</v>
      </c>
      <c r="AN15" s="5">
        <f>AVERAGE(AI15:AM15)</f>
        <v>172.25200000000001</v>
      </c>
    </row>
    <row r="16" spans="1:40" ht="1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O16" s="2"/>
      <c r="P16" s="2">
        <v>1999</v>
      </c>
      <c r="Q16" s="2">
        <v>2000</v>
      </c>
      <c r="R16" s="2">
        <v>2001</v>
      </c>
      <c r="S16" s="2">
        <v>2002</v>
      </c>
      <c r="T16" s="2">
        <v>2003</v>
      </c>
      <c r="U16" s="2">
        <v>2004</v>
      </c>
      <c r="V16" s="2">
        <v>2005</v>
      </c>
      <c r="W16" s="2">
        <v>2006</v>
      </c>
      <c r="X16" s="2">
        <v>2007</v>
      </c>
      <c r="Y16" s="2">
        <v>2008</v>
      </c>
      <c r="Z16" s="2" t="s">
        <v>42</v>
      </c>
      <c r="AA16" s="15" t="s">
        <v>45</v>
      </c>
      <c r="AB16" s="15" t="s">
        <v>46</v>
      </c>
      <c r="AH16" s="2" t="s">
        <v>6</v>
      </c>
      <c r="AI16" s="4">
        <v>188.04</v>
      </c>
      <c r="AJ16" s="4">
        <v>175.83</v>
      </c>
      <c r="AK16" s="4">
        <v>188.67</v>
      </c>
      <c r="AL16" s="4">
        <v>181.74</v>
      </c>
      <c r="AM16" s="4">
        <v>185.18</v>
      </c>
      <c r="AN16" s="5">
        <f>AVERAGE(AI16:AM16)</f>
        <v>183.892</v>
      </c>
    </row>
    <row r="17" spans="1:40" ht="15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O17" s="13" t="s">
        <v>47</v>
      </c>
      <c r="P17" s="4">
        <v>-12.93</v>
      </c>
      <c r="Q17" s="4">
        <v>9.35</v>
      </c>
      <c r="R17" s="4">
        <v>-18.579999999999998</v>
      </c>
      <c r="S17" s="4">
        <v>5.8</v>
      </c>
      <c r="T17" s="4">
        <v>11.06</v>
      </c>
      <c r="U17" s="4">
        <v>20.59</v>
      </c>
      <c r="V17" s="4">
        <v>-2.35</v>
      </c>
      <c r="W17" s="4">
        <v>2.14</v>
      </c>
      <c r="X17" s="4">
        <v>95.66</v>
      </c>
      <c r="Y17" s="4">
        <v>88.71</v>
      </c>
      <c r="Z17" s="4">
        <f t="shared" ref="Z17:Z24" si="4">+STDEVA(P17:Y17)</f>
        <v>39.766131667258982</v>
      </c>
      <c r="AA17" s="5">
        <f t="shared" ref="AA17:AA24" si="5">AVERAGE(P17:Y17)</f>
        <v>19.945</v>
      </c>
      <c r="AB17" s="5">
        <f>AVERAGE(W17:Y17)</f>
        <v>62.169999999999995</v>
      </c>
      <c r="AH17" s="2"/>
      <c r="AI17" s="2"/>
      <c r="AJ17" s="2"/>
      <c r="AK17" s="2"/>
      <c r="AL17" s="2"/>
      <c r="AM17" s="2"/>
      <c r="AN17" s="5"/>
    </row>
    <row r="18" spans="1:40" ht="1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O18" s="2" t="s">
        <v>26</v>
      </c>
      <c r="P18" s="4">
        <v>9.58</v>
      </c>
      <c r="Q18" s="4">
        <v>0.26</v>
      </c>
      <c r="R18" s="4">
        <v>-12.33</v>
      </c>
      <c r="S18" s="4">
        <v>8.98</v>
      </c>
      <c r="T18" s="4">
        <v>18.45</v>
      </c>
      <c r="U18" s="4">
        <v>40.32</v>
      </c>
      <c r="V18" s="4">
        <v>-0.59</v>
      </c>
      <c r="W18" s="4">
        <v>-32.03</v>
      </c>
      <c r="X18" s="4">
        <v>65.08</v>
      </c>
      <c r="Y18" s="4">
        <v>40.07</v>
      </c>
      <c r="Z18" s="4">
        <f t="shared" si="4"/>
        <v>28.400489217226131</v>
      </c>
      <c r="AA18" s="5">
        <f t="shared" si="5"/>
        <v>13.779</v>
      </c>
      <c r="AB18" s="5">
        <f t="shared" ref="AB18:AB23" si="6">AVERAGE(W18:Y18)</f>
        <v>24.373333333333335</v>
      </c>
      <c r="AH18" s="2"/>
      <c r="AI18" s="2" t="s">
        <v>21</v>
      </c>
      <c r="AJ18" s="2"/>
      <c r="AK18" s="2"/>
      <c r="AL18" s="2"/>
      <c r="AM18" s="2"/>
      <c r="AN18" s="2"/>
    </row>
    <row r="19" spans="1:40" ht="1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O19" s="2" t="s">
        <v>5</v>
      </c>
      <c r="P19" s="4">
        <v>6.18</v>
      </c>
      <c r="Q19" s="4">
        <v>-1.7</v>
      </c>
      <c r="R19" s="4">
        <v>-6.15</v>
      </c>
      <c r="S19" s="4">
        <v>35.799999999999997</v>
      </c>
      <c r="T19" s="4">
        <v>50.86</v>
      </c>
      <c r="U19" s="4">
        <v>33.25</v>
      </c>
      <c r="V19" s="4">
        <v>-3.06</v>
      </c>
      <c r="W19" s="4">
        <v>27.03</v>
      </c>
      <c r="X19" s="4">
        <v>75.38</v>
      </c>
      <c r="Y19" s="4">
        <v>159.16999999999999</v>
      </c>
      <c r="Z19" s="4">
        <f t="shared" si="4"/>
        <v>50.127897577651858</v>
      </c>
      <c r="AA19" s="5">
        <f t="shared" si="5"/>
        <v>37.676000000000002</v>
      </c>
      <c r="AB19" s="5">
        <f t="shared" si="6"/>
        <v>87.193333333333328</v>
      </c>
      <c r="AH19" s="2"/>
      <c r="AI19" s="2">
        <v>1999</v>
      </c>
      <c r="AJ19" s="2">
        <v>2000</v>
      </c>
      <c r="AK19" s="2">
        <v>2001</v>
      </c>
      <c r="AL19" s="2">
        <v>2002</v>
      </c>
      <c r="AM19" s="2">
        <v>2003</v>
      </c>
      <c r="AN19" s="10" t="s">
        <v>1</v>
      </c>
    </row>
    <row r="20" spans="1:40" ht="1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O20" s="2" t="s">
        <v>18</v>
      </c>
      <c r="P20" s="4">
        <v>0.22</v>
      </c>
      <c r="Q20" s="4">
        <v>-3.49</v>
      </c>
      <c r="R20" s="4">
        <v>2.23</v>
      </c>
      <c r="S20" s="4">
        <v>6.85</v>
      </c>
      <c r="T20" s="4">
        <v>19.75</v>
      </c>
      <c r="U20" s="4">
        <v>26.09</v>
      </c>
      <c r="V20" s="4">
        <v>-2</v>
      </c>
      <c r="W20" s="4">
        <v>-11.39</v>
      </c>
      <c r="X20" s="4">
        <v>41.32</v>
      </c>
      <c r="Y20" s="4">
        <v>87.07</v>
      </c>
      <c r="Z20" s="4">
        <f t="shared" si="4"/>
        <v>29.4012691525005</v>
      </c>
      <c r="AA20" s="5">
        <f t="shared" si="5"/>
        <v>16.664999999999999</v>
      </c>
      <c r="AB20" s="5">
        <f t="shared" si="6"/>
        <v>39</v>
      </c>
      <c r="AH20" s="2" t="s">
        <v>4</v>
      </c>
      <c r="AI20" s="4">
        <v>98.29</v>
      </c>
      <c r="AJ20" s="4">
        <v>123</v>
      </c>
      <c r="AK20" s="4">
        <v>101.84</v>
      </c>
      <c r="AL20" s="4">
        <v>116</v>
      </c>
      <c r="AM20" s="4">
        <v>130.96</v>
      </c>
      <c r="AN20" s="5">
        <f t="shared" ref="AN20:AN27" si="7">AVERAGE(AI20:AM20)</f>
        <v>114.018</v>
      </c>
    </row>
    <row r="21" spans="1:40" ht="1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O21" s="2" t="s">
        <v>27</v>
      </c>
      <c r="P21" s="4">
        <v>-15.11</v>
      </c>
      <c r="Q21" s="4">
        <v>16.41</v>
      </c>
      <c r="R21" s="4">
        <v>26.96</v>
      </c>
      <c r="S21" s="4">
        <v>40.82</v>
      </c>
      <c r="T21" s="4">
        <v>10.84</v>
      </c>
      <c r="U21" s="4">
        <v>2.74</v>
      </c>
      <c r="V21" s="4">
        <v>51.95</v>
      </c>
      <c r="W21" s="4">
        <v>28.76</v>
      </c>
      <c r="X21" s="4">
        <v>112.83</v>
      </c>
      <c r="Y21" s="4">
        <v>78.81</v>
      </c>
      <c r="Z21" s="4">
        <f t="shared" si="4"/>
        <v>37.830150365372155</v>
      </c>
      <c r="AA21" s="5">
        <f t="shared" si="5"/>
        <v>35.500999999999998</v>
      </c>
      <c r="AB21" s="5">
        <f t="shared" si="6"/>
        <v>73.466666666666669</v>
      </c>
      <c r="AH21" s="2" t="s">
        <v>26</v>
      </c>
      <c r="AI21" s="4">
        <v>108.86</v>
      </c>
      <c r="AJ21" s="4">
        <v>108.2</v>
      </c>
      <c r="AK21" s="4">
        <v>104.89</v>
      </c>
      <c r="AL21" s="4">
        <v>113.15</v>
      </c>
      <c r="AM21" s="4">
        <v>133.03</v>
      </c>
      <c r="AN21" s="5">
        <f>AVERAGE(AI21:AM21)</f>
        <v>113.626</v>
      </c>
    </row>
    <row r="22" spans="1:40" ht="1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O22" s="2" t="s">
        <v>17</v>
      </c>
      <c r="P22" s="4">
        <v>10.07</v>
      </c>
      <c r="Q22" s="4">
        <v>14.7</v>
      </c>
      <c r="R22" s="4">
        <v>12.08</v>
      </c>
      <c r="S22" s="4">
        <v>30.76</v>
      </c>
      <c r="T22" s="4">
        <v>40.89</v>
      </c>
      <c r="U22" s="4">
        <v>-0.04</v>
      </c>
      <c r="V22" s="4">
        <v>38.159999999999997</v>
      </c>
      <c r="W22" s="4">
        <v>-6.76</v>
      </c>
      <c r="X22" s="4">
        <v>153.27000000000001</v>
      </c>
      <c r="Y22" s="4">
        <v>66.7</v>
      </c>
      <c r="Z22" s="4">
        <f t="shared" si="4"/>
        <v>46.638438855614467</v>
      </c>
      <c r="AA22" s="5">
        <f t="shared" si="5"/>
        <v>35.982999999999997</v>
      </c>
      <c r="AB22" s="5">
        <f t="shared" si="6"/>
        <v>71.070000000000007</v>
      </c>
      <c r="AH22" s="2" t="s">
        <v>5</v>
      </c>
      <c r="AI22" s="4">
        <v>110.68</v>
      </c>
      <c r="AJ22" s="4">
        <v>108.18</v>
      </c>
      <c r="AK22" s="4">
        <v>107.32</v>
      </c>
      <c r="AL22" s="4">
        <v>142.56</v>
      </c>
      <c r="AM22" s="4">
        <v>174.45</v>
      </c>
      <c r="AN22" s="5">
        <f t="shared" si="7"/>
        <v>128.63800000000001</v>
      </c>
    </row>
    <row r="23" spans="1:40" ht="1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O23" s="2" t="s">
        <v>30</v>
      </c>
      <c r="P23" s="4">
        <v>5.63</v>
      </c>
      <c r="Q23" s="4">
        <v>25.79</v>
      </c>
      <c r="R23" s="4">
        <v>53.74</v>
      </c>
      <c r="S23" s="4">
        <v>39.97</v>
      </c>
      <c r="T23" s="4">
        <v>65.89</v>
      </c>
      <c r="U23" s="4">
        <v>78.39</v>
      </c>
      <c r="V23" s="4">
        <v>54.75</v>
      </c>
      <c r="W23" s="4">
        <v>-5.68</v>
      </c>
      <c r="X23" s="4">
        <v>97.41</v>
      </c>
      <c r="Y23" s="4">
        <v>79.13</v>
      </c>
      <c r="Z23" s="4">
        <f t="shared" si="4"/>
        <v>33.240710582055854</v>
      </c>
      <c r="AA23" s="5">
        <f t="shared" si="5"/>
        <v>49.501999999999995</v>
      </c>
      <c r="AB23" s="5">
        <f t="shared" si="6"/>
        <v>56.953333333333326</v>
      </c>
      <c r="AH23" s="2" t="s">
        <v>18</v>
      </c>
      <c r="AI23" s="4">
        <v>137.1</v>
      </c>
      <c r="AJ23" s="4">
        <v>126.79</v>
      </c>
      <c r="AK23" s="4">
        <v>137.94</v>
      </c>
      <c r="AL23" s="4">
        <v>139.05000000000001</v>
      </c>
      <c r="AM23" s="4">
        <v>160.03</v>
      </c>
      <c r="AN23" s="5">
        <f t="shared" si="7"/>
        <v>140.18199999999999</v>
      </c>
    </row>
    <row r="24" spans="1:40" ht="1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O24" s="2" t="s">
        <v>6</v>
      </c>
      <c r="P24" s="4">
        <v>18.670000000000002</v>
      </c>
      <c r="Q24" s="4">
        <v>7.71</v>
      </c>
      <c r="R24" s="4">
        <v>5.3</v>
      </c>
      <c r="S24" s="4">
        <v>42.57</v>
      </c>
      <c r="T24" s="4">
        <v>16.39</v>
      </c>
      <c r="U24" s="4">
        <v>-60.47</v>
      </c>
      <c r="V24" s="4">
        <v>24.65</v>
      </c>
      <c r="W24" s="4">
        <v>21.19</v>
      </c>
      <c r="X24" s="4">
        <v>159.16</v>
      </c>
      <c r="Y24" s="4">
        <v>5.5</v>
      </c>
      <c r="Z24" s="4">
        <f t="shared" si="4"/>
        <v>54.569171404537357</v>
      </c>
      <c r="AA24" s="5">
        <f t="shared" si="5"/>
        <v>24.067</v>
      </c>
      <c r="AB24" s="5">
        <f>AVERAGE(W24:Y24)</f>
        <v>61.949999999999996</v>
      </c>
      <c r="AH24" s="2" t="s">
        <v>27</v>
      </c>
      <c r="AI24" s="4">
        <v>115.26</v>
      </c>
      <c r="AJ24" s="4">
        <v>136.22999999999999</v>
      </c>
      <c r="AK24" s="4">
        <v>152.85</v>
      </c>
      <c r="AL24" s="4">
        <v>159.44</v>
      </c>
      <c r="AM24" s="4">
        <v>143.43</v>
      </c>
      <c r="AN24" s="5">
        <f t="shared" si="7"/>
        <v>141.44200000000001</v>
      </c>
    </row>
    <row r="25" spans="1:40" ht="15" x14ac:dyDescent="0.2">
      <c r="O25" s="2" t="s">
        <v>52</v>
      </c>
      <c r="P25" s="4"/>
      <c r="Q25" s="4"/>
      <c r="R25" s="4"/>
      <c r="S25" s="4"/>
      <c r="T25" s="4"/>
      <c r="U25" s="4"/>
      <c r="V25" s="4"/>
      <c r="W25" s="4">
        <v>60.68</v>
      </c>
      <c r="X25" s="4">
        <v>147.31</v>
      </c>
      <c r="Y25" s="4">
        <v>14.33</v>
      </c>
      <c r="Z25" s="4">
        <f>+STDEVA(P25:Y25)</f>
        <v>67.499086166653626</v>
      </c>
      <c r="AA25" s="5"/>
      <c r="AB25" s="5">
        <f>AVERAGE(W25:Y25)</f>
        <v>74.106666666666669</v>
      </c>
      <c r="AH25" s="2" t="s">
        <v>17</v>
      </c>
      <c r="AI25" s="4">
        <v>161.75</v>
      </c>
      <c r="AJ25" s="4">
        <v>159.09</v>
      </c>
      <c r="AK25" s="4">
        <v>160.37</v>
      </c>
      <c r="AL25" s="4">
        <v>173.68</v>
      </c>
      <c r="AM25" s="4">
        <v>186.45</v>
      </c>
      <c r="AN25" s="5">
        <f t="shared" si="7"/>
        <v>168.26800000000003</v>
      </c>
    </row>
    <row r="26" spans="1:40" ht="15" x14ac:dyDescent="0.2">
      <c r="O26" s="2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6"/>
      <c r="AH26" s="2" t="s">
        <v>30</v>
      </c>
      <c r="AI26" s="4">
        <v>181.69</v>
      </c>
      <c r="AJ26" s="4">
        <v>184.47</v>
      </c>
      <c r="AK26" s="4">
        <v>229.9</v>
      </c>
      <c r="AL26" s="4">
        <v>210.68</v>
      </c>
      <c r="AM26" s="4">
        <v>245.54</v>
      </c>
      <c r="AN26" s="5">
        <f>AVERAGE(AI26:AM26)</f>
        <v>210.45599999999999</v>
      </c>
    </row>
    <row r="27" spans="1:40" ht="15" x14ac:dyDescent="0.2">
      <c r="O27" s="2"/>
      <c r="P27" s="13" t="s">
        <v>43</v>
      </c>
      <c r="Q27" s="3"/>
      <c r="R27" s="2"/>
      <c r="U27" s="13"/>
      <c r="AH27" s="2" t="s">
        <v>6</v>
      </c>
      <c r="AI27" s="4">
        <v>206.71</v>
      </c>
      <c r="AJ27" s="4">
        <v>183.55</v>
      </c>
      <c r="AK27" s="4">
        <v>193.97</v>
      </c>
      <c r="AL27" s="4">
        <v>224.21</v>
      </c>
      <c r="AM27" s="4">
        <v>201.57</v>
      </c>
      <c r="AN27" s="5">
        <f t="shared" si="7"/>
        <v>202.00200000000001</v>
      </c>
    </row>
    <row r="28" spans="1:40" ht="15" x14ac:dyDescent="0.2">
      <c r="R28" s="2"/>
    </row>
    <row r="29" spans="1:40" ht="15" x14ac:dyDescent="0.2">
      <c r="O29" s="2"/>
      <c r="P29" s="2" t="s">
        <v>29</v>
      </c>
      <c r="Q29" s="2" t="s">
        <v>24</v>
      </c>
      <c r="R29" s="4"/>
      <c r="AH29" s="2"/>
      <c r="AI29" s="2" t="s">
        <v>22</v>
      </c>
      <c r="AJ29" s="2"/>
      <c r="AK29" s="2"/>
      <c r="AL29" s="2"/>
      <c r="AM29" s="2"/>
      <c r="AN29" s="5"/>
    </row>
    <row r="30" spans="1:40" ht="15" x14ac:dyDescent="0.2">
      <c r="O30" s="13" t="s">
        <v>47</v>
      </c>
      <c r="P30" s="4">
        <v>137.71</v>
      </c>
      <c r="Q30" s="4">
        <v>19.95</v>
      </c>
      <c r="R30" s="4"/>
      <c r="T30" s="13"/>
      <c r="U30" s="2"/>
      <c r="V30" s="2"/>
      <c r="W30" s="4"/>
      <c r="AH30" s="2"/>
      <c r="AI30" s="2">
        <v>1999</v>
      </c>
      <c r="AJ30" s="2">
        <v>2000</v>
      </c>
      <c r="AK30" s="2">
        <v>2001</v>
      </c>
      <c r="AL30" s="2">
        <v>2002</v>
      </c>
      <c r="AM30" s="2">
        <v>2003</v>
      </c>
      <c r="AN30" s="11" t="s">
        <v>1</v>
      </c>
    </row>
    <row r="31" spans="1:40" ht="15" x14ac:dyDescent="0.2">
      <c r="O31" s="2" t="s">
        <v>26</v>
      </c>
      <c r="P31" s="4">
        <v>123.4</v>
      </c>
      <c r="Q31" s="4">
        <v>13.78</v>
      </c>
      <c r="R31" s="4"/>
      <c r="T31" s="2"/>
      <c r="AH31" s="2" t="s">
        <v>4</v>
      </c>
      <c r="AI31" s="4">
        <v>-12.93</v>
      </c>
      <c r="AJ31" s="4">
        <v>9.35</v>
      </c>
      <c r="AK31" s="4">
        <v>-18.579999999999998</v>
      </c>
      <c r="AL31" s="4">
        <v>5.8</v>
      </c>
      <c r="AM31" s="4">
        <v>11.06</v>
      </c>
      <c r="AN31" s="5">
        <f t="shared" ref="AN31:AN36" si="8">AVERAGE(AI31:AM31)</f>
        <v>-1.0599999999999992</v>
      </c>
    </row>
    <row r="32" spans="1:40" ht="15" x14ac:dyDescent="0.2">
      <c r="O32" s="2" t="s">
        <v>5</v>
      </c>
      <c r="P32" s="4">
        <v>132.26</v>
      </c>
      <c r="Q32" s="4">
        <v>37.659999999999997</v>
      </c>
      <c r="R32" s="4"/>
      <c r="T32" s="2"/>
      <c r="AH32" s="2" t="s">
        <v>26</v>
      </c>
      <c r="AI32" s="4">
        <v>9.58</v>
      </c>
      <c r="AJ32" s="4">
        <v>0.26</v>
      </c>
      <c r="AK32" s="4">
        <v>-12.33</v>
      </c>
      <c r="AL32" s="4">
        <v>8.98</v>
      </c>
      <c r="AM32" s="4">
        <v>18.45</v>
      </c>
      <c r="AN32" s="5">
        <f t="shared" si="8"/>
        <v>4.9879999999999995</v>
      </c>
    </row>
    <row r="33" spans="15:40" ht="15" x14ac:dyDescent="0.2">
      <c r="O33" s="2" t="s">
        <v>18</v>
      </c>
      <c r="P33" s="4">
        <v>159.34</v>
      </c>
      <c r="Q33" s="4">
        <v>16.670000000000002</v>
      </c>
      <c r="R33" s="4"/>
      <c r="T33" s="2"/>
      <c r="AH33" s="2" t="s">
        <v>5</v>
      </c>
      <c r="AI33" s="4">
        <v>6.18</v>
      </c>
      <c r="AJ33" s="4">
        <v>-1.7</v>
      </c>
      <c r="AK33" s="4">
        <v>-6.15</v>
      </c>
      <c r="AL33" s="4">
        <v>35.799999999999997</v>
      </c>
      <c r="AM33" s="4">
        <v>50.86</v>
      </c>
      <c r="AN33" s="5">
        <f t="shared" si="8"/>
        <v>16.997999999999998</v>
      </c>
    </row>
    <row r="34" spans="15:40" ht="15" x14ac:dyDescent="0.2">
      <c r="O34" s="2" t="s">
        <v>27</v>
      </c>
      <c r="P34" s="4">
        <v>150.44999999999999</v>
      </c>
      <c r="Q34" s="4">
        <v>35.5</v>
      </c>
      <c r="R34" s="2"/>
      <c r="U34" s="13"/>
      <c r="AH34" s="2" t="s">
        <v>18</v>
      </c>
      <c r="AI34" s="4">
        <v>0.22</v>
      </c>
      <c r="AJ34" s="4">
        <v>-3.49</v>
      </c>
      <c r="AK34" s="4">
        <v>2.23</v>
      </c>
      <c r="AL34" s="4">
        <v>6.85</v>
      </c>
      <c r="AM34" s="4">
        <v>19.75</v>
      </c>
      <c r="AN34" s="5">
        <f t="shared" si="8"/>
        <v>5.1120000000000001</v>
      </c>
    </row>
    <row r="35" spans="15:40" ht="15" x14ac:dyDescent="0.2">
      <c r="O35" s="2" t="s">
        <v>17</v>
      </c>
      <c r="P35" s="4">
        <v>159.84</v>
      </c>
      <c r="Q35" s="4">
        <v>35.979999999999997</v>
      </c>
      <c r="R35" s="4"/>
      <c r="AH35" s="2" t="s">
        <v>27</v>
      </c>
      <c r="AI35" s="4">
        <v>-15.11</v>
      </c>
      <c r="AJ35" s="4">
        <v>16.41</v>
      </c>
      <c r="AK35" s="4">
        <v>26.96</v>
      </c>
      <c r="AL35" s="4">
        <v>40.82</v>
      </c>
      <c r="AM35" s="4">
        <v>10.84</v>
      </c>
      <c r="AN35" s="5">
        <f t="shared" si="8"/>
        <v>15.984</v>
      </c>
    </row>
    <row r="36" spans="15:40" ht="15" x14ac:dyDescent="0.2">
      <c r="O36" s="2" t="s">
        <v>30</v>
      </c>
      <c r="P36" s="4">
        <v>198.42</v>
      </c>
      <c r="Q36" s="4">
        <v>49.5</v>
      </c>
      <c r="R36" s="4"/>
      <c r="AH36" s="2" t="s">
        <v>17</v>
      </c>
      <c r="AI36" s="4">
        <v>10.07</v>
      </c>
      <c r="AJ36" s="4">
        <v>14.7</v>
      </c>
      <c r="AK36" s="4">
        <v>12.08</v>
      </c>
      <c r="AL36" s="4">
        <v>30.76</v>
      </c>
      <c r="AM36" s="4">
        <v>40.89</v>
      </c>
      <c r="AN36" s="5">
        <f t="shared" si="8"/>
        <v>21.7</v>
      </c>
    </row>
    <row r="37" spans="15:40" ht="15" x14ac:dyDescent="0.2">
      <c r="O37" s="2" t="s">
        <v>6</v>
      </c>
      <c r="P37" s="4">
        <v>211.84</v>
      </c>
      <c r="Q37" s="4">
        <v>24.07</v>
      </c>
      <c r="R37" s="4"/>
      <c r="T37" s="13"/>
      <c r="U37" s="2"/>
      <c r="AH37" s="2" t="s">
        <v>30</v>
      </c>
      <c r="AI37" s="4">
        <v>5.63</v>
      </c>
      <c r="AJ37" s="4">
        <v>25.79</v>
      </c>
      <c r="AK37" s="4">
        <v>53.74</v>
      </c>
      <c r="AL37" s="4">
        <v>39.97</v>
      </c>
      <c r="AM37" s="4">
        <v>65.89</v>
      </c>
      <c r="AN37" s="5">
        <f>AVERAGE(AI37:AM37)</f>
        <v>38.203999999999994</v>
      </c>
    </row>
    <row r="38" spans="15:40" ht="15" x14ac:dyDescent="0.2">
      <c r="O38" s="2"/>
      <c r="P38" s="2"/>
      <c r="Q38" s="2"/>
      <c r="R38" s="2"/>
      <c r="AH38" s="2" t="s">
        <v>6</v>
      </c>
      <c r="AI38" s="4">
        <v>18.670000000000002</v>
      </c>
      <c r="AJ38" s="4">
        <v>7.71</v>
      </c>
      <c r="AK38" s="4">
        <v>5.3</v>
      </c>
      <c r="AL38" s="4">
        <v>42.57</v>
      </c>
      <c r="AM38" s="4">
        <v>16.39</v>
      </c>
      <c r="AN38" s="5">
        <f>AVERAGE(AI38:AM38)</f>
        <v>18.128</v>
      </c>
    </row>
    <row r="39" spans="15:40" ht="15" x14ac:dyDescent="0.2">
      <c r="AH39" s="2"/>
      <c r="AI39" s="4"/>
      <c r="AJ39" s="4"/>
      <c r="AK39" s="4"/>
      <c r="AL39" s="4"/>
      <c r="AM39" s="4"/>
      <c r="AN39" s="6"/>
    </row>
    <row r="40" spans="15:40" ht="15" x14ac:dyDescent="0.2">
      <c r="P40" s="13" t="s">
        <v>48</v>
      </c>
      <c r="AH40" s="2"/>
      <c r="AJ40" s="3" t="s">
        <v>25</v>
      </c>
      <c r="AK40" s="3"/>
      <c r="AL40" s="2"/>
      <c r="AM40" s="4"/>
      <c r="AN40" s="6"/>
    </row>
    <row r="41" spans="15:40" ht="15" x14ac:dyDescent="0.2">
      <c r="AH41" s="2"/>
      <c r="AI41" s="10" t="s">
        <v>37</v>
      </c>
      <c r="AJ41" s="10" t="s">
        <v>38</v>
      </c>
      <c r="AK41" s="2" t="s">
        <v>24</v>
      </c>
      <c r="AL41" s="4"/>
    </row>
    <row r="42" spans="15:40" ht="15" x14ac:dyDescent="0.2">
      <c r="P42" s="2" t="s">
        <v>29</v>
      </c>
      <c r="Q42" s="2" t="s">
        <v>24</v>
      </c>
      <c r="AH42" s="2" t="s">
        <v>4</v>
      </c>
      <c r="AI42" s="4">
        <v>114.03</v>
      </c>
      <c r="AJ42" s="4">
        <v>115.08</v>
      </c>
      <c r="AK42" s="4">
        <v>-1.06</v>
      </c>
      <c r="AL42" s="4"/>
    </row>
    <row r="43" spans="15:40" ht="15" x14ac:dyDescent="0.2">
      <c r="O43" s="13" t="s">
        <v>47</v>
      </c>
      <c r="P43" s="4">
        <v>175.87</v>
      </c>
      <c r="Q43" s="4">
        <v>62.17</v>
      </c>
      <c r="AH43" s="2" t="s">
        <v>26</v>
      </c>
      <c r="AI43" s="4">
        <v>113.63</v>
      </c>
      <c r="AJ43" s="4">
        <v>108.64</v>
      </c>
      <c r="AK43" s="4">
        <v>4.99</v>
      </c>
      <c r="AL43" s="4"/>
    </row>
    <row r="44" spans="15:40" ht="15" x14ac:dyDescent="0.2">
      <c r="O44" s="2" t="s">
        <v>26</v>
      </c>
      <c r="P44" s="16">
        <v>144.86000000000001</v>
      </c>
      <c r="Q44" s="16">
        <v>24.37</v>
      </c>
      <c r="AH44" s="2" t="s">
        <v>5</v>
      </c>
      <c r="AI44" s="4">
        <v>128.63999999999999</v>
      </c>
      <c r="AJ44" s="4">
        <v>111.64</v>
      </c>
      <c r="AK44" s="4">
        <v>17</v>
      </c>
      <c r="AL44" s="4"/>
    </row>
    <row r="45" spans="15:40" ht="15" x14ac:dyDescent="0.2">
      <c r="O45" s="2" t="s">
        <v>5</v>
      </c>
      <c r="P45" s="16">
        <v>165.55</v>
      </c>
      <c r="Q45" s="16">
        <v>87.19</v>
      </c>
      <c r="AH45" s="2" t="s">
        <v>18</v>
      </c>
      <c r="AI45" s="4">
        <v>140.18</v>
      </c>
      <c r="AJ45" s="4">
        <v>135.07</v>
      </c>
      <c r="AK45" s="4">
        <v>5.1100000000000003</v>
      </c>
      <c r="AL45" s="4"/>
    </row>
    <row r="46" spans="15:40" ht="15" x14ac:dyDescent="0.2">
      <c r="O46" s="2" t="s">
        <v>18</v>
      </c>
      <c r="P46" s="16">
        <v>200.29</v>
      </c>
      <c r="Q46" s="16">
        <v>39</v>
      </c>
      <c r="AH46" s="2" t="s">
        <v>27</v>
      </c>
      <c r="AI46" s="4">
        <v>141.44</v>
      </c>
      <c r="AJ46" s="4">
        <v>125.46</v>
      </c>
      <c r="AK46" s="4">
        <v>15.98</v>
      </c>
      <c r="AL46" s="2"/>
    </row>
    <row r="47" spans="15:40" ht="15" x14ac:dyDescent="0.2">
      <c r="O47" s="2" t="s">
        <v>27</v>
      </c>
      <c r="P47" s="16">
        <v>192.56</v>
      </c>
      <c r="Q47" s="16">
        <v>73.47</v>
      </c>
      <c r="AH47" s="2" t="s">
        <v>17</v>
      </c>
      <c r="AI47" s="4">
        <v>168.27</v>
      </c>
      <c r="AJ47" s="4">
        <v>146.57</v>
      </c>
      <c r="AK47" s="4">
        <v>21.7</v>
      </c>
      <c r="AL47" s="4"/>
    </row>
    <row r="48" spans="15:40" ht="15" x14ac:dyDescent="0.2">
      <c r="O48" s="2" t="s">
        <v>17</v>
      </c>
      <c r="P48" s="16">
        <v>186.09</v>
      </c>
      <c r="Q48" s="16">
        <v>71.069999999999993</v>
      </c>
      <c r="AH48" s="2" t="s">
        <v>30</v>
      </c>
      <c r="AI48" s="4">
        <v>210.46</v>
      </c>
      <c r="AJ48" s="4">
        <v>172.25</v>
      </c>
      <c r="AK48" s="4">
        <v>38.200000000000003</v>
      </c>
      <c r="AL48" s="4"/>
    </row>
    <row r="49" spans="15:38" ht="15" x14ac:dyDescent="0.2">
      <c r="O49" s="2" t="s">
        <v>30</v>
      </c>
      <c r="P49" s="16">
        <v>239.02</v>
      </c>
      <c r="Q49" s="16">
        <v>56.95</v>
      </c>
      <c r="AH49" s="2" t="s">
        <v>6</v>
      </c>
      <c r="AI49" s="4">
        <v>202</v>
      </c>
      <c r="AJ49" s="4">
        <v>183.89</v>
      </c>
      <c r="AK49" s="4">
        <v>18.13</v>
      </c>
      <c r="AL49" s="4"/>
    </row>
    <row r="50" spans="15:38" ht="15" x14ac:dyDescent="0.2">
      <c r="O50" s="2" t="s">
        <v>6</v>
      </c>
      <c r="P50" s="16">
        <v>260.14999999999998</v>
      </c>
      <c r="Q50" s="16">
        <v>61.95</v>
      </c>
      <c r="AH50" s="2"/>
    </row>
    <row r="51" spans="15:38" ht="15" x14ac:dyDescent="0.2">
      <c r="O51" s="13" t="s">
        <v>52</v>
      </c>
      <c r="P51" s="16">
        <v>174.05</v>
      </c>
      <c r="Q51" s="16">
        <v>74.11</v>
      </c>
      <c r="AH51" s="2" t="s">
        <v>40</v>
      </c>
    </row>
    <row r="52" spans="15:38" ht="15" x14ac:dyDescent="0.2">
      <c r="AH52" s="2" t="s">
        <v>39</v>
      </c>
    </row>
  </sheetData>
  <sheetProtection sheet="1" objects="1" scenarios="1"/>
  <phoneticPr fontId="1" type="noConversion"/>
  <pageMargins left="0.5" right="0.5" top="0.5" bottom="0.5" header="0.5" footer="0.5"/>
  <pageSetup scale="5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Wheat</vt:lpstr>
      <vt:lpstr>Flax</vt:lpstr>
      <vt:lpstr>Barley</vt:lpstr>
      <vt:lpstr>Canola</vt:lpstr>
      <vt:lpstr>Sunflower(Oil)</vt:lpstr>
      <vt:lpstr>Soybeans</vt:lpstr>
      <vt:lpstr>Pinto Bean</vt:lpstr>
      <vt:lpstr>Corn</vt:lpstr>
      <vt:lpstr>Inc Summary</vt:lpstr>
      <vt:lpstr>Exp Summary</vt:lpstr>
      <vt:lpstr>Barley!Print_Area</vt:lpstr>
      <vt:lpstr>Canola!Print_Area</vt:lpstr>
      <vt:lpstr>Corn!Print_Area</vt:lpstr>
      <vt:lpstr>'Exp Summary'!Print_Area</vt:lpstr>
      <vt:lpstr>Flax!Print_Area</vt:lpstr>
      <vt:lpstr>'Inc Summary'!Print_Area</vt:lpstr>
      <vt:lpstr>'Pinto Bean'!Print_Area</vt:lpstr>
      <vt:lpstr>Soybeans!Print_Area</vt:lpstr>
      <vt:lpstr>'Sunflower(Oil)'!Print_Area</vt:lpstr>
      <vt:lpstr>Wheat!Print_Area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Crop Income Trends</dc:title>
  <dc:creator>Jay Olson</dc:creator>
  <cp:lastModifiedBy>xlParse</cp:lastModifiedBy>
  <cp:lastPrinted>2009-05-12T14:29:16Z</cp:lastPrinted>
  <dcterms:created xsi:type="dcterms:W3CDTF">2004-08-06T13:49:37Z</dcterms:created>
  <dcterms:modified xsi:type="dcterms:W3CDTF">2017-10-07T06:44:31Z</dcterms:modified>
</cp:coreProperties>
</file>