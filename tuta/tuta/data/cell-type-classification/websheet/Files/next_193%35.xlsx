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-15" yWindow="-15" windowWidth="14055" windowHeight="4770" firstSheet="10" activeTab="13"/>
  </bookViews>
  <sheets>
    <sheet name="Fig1" sheetId="42" r:id="rId1"/>
    <sheet name="Fig2" sheetId="45" r:id="rId2"/>
    <sheet name="Fig 3" sheetId="41" r:id="rId3"/>
    <sheet name="Fig4" sheetId="44" r:id="rId4"/>
    <sheet name="Fig 5" sheetId="39" r:id="rId5"/>
    <sheet name="Fig6" sheetId="46" r:id="rId6"/>
    <sheet name="Fig7" sheetId="49" r:id="rId7"/>
    <sheet name="Fig 8" sheetId="50" r:id="rId8"/>
    <sheet name="Fig9" sheetId="51" r:id="rId9"/>
    <sheet name="Fig 10" sheetId="52" r:id="rId10"/>
    <sheet name="Fig 11" sheetId="47" r:id="rId11"/>
    <sheet name="Fig 12" sheetId="53" r:id="rId12"/>
    <sheet name="Fig13" sheetId="55" r:id="rId13"/>
    <sheet name="Fig 14" sheetId="56" r:id="rId14"/>
    <sheet name="Sheet1" sheetId="9" r:id="rId15"/>
    <sheet name="preps" sheetId="2" r:id="rId16"/>
    <sheet name="Sheet2" sheetId="33" r:id="rId17"/>
    <sheet name="Sheet3" sheetId="34" r:id="rId18"/>
    <sheet name="Sheet4" sheetId="37" r:id="rId19"/>
    <sheet name="Sheet5" sheetId="43" r:id="rId20"/>
    <sheet name="Sheet6" sheetId="48" r:id="rId21"/>
    <sheet name="Sheet7" sheetId="54" r:id="rId22"/>
  </sheets>
  <calcPr calcId="125725"/>
</workbook>
</file>

<file path=xl/calcChain.xml><?xml version="1.0" encoding="utf-8"?>
<calcChain xmlns="http://schemas.openxmlformats.org/spreadsheetml/2006/main">
  <c r="C8" i="54" l="1"/>
  <c r="C7" i="54"/>
  <c r="C6" i="54"/>
  <c r="C5" i="54"/>
  <c r="C4" i="54"/>
  <c r="C3" i="54"/>
  <c r="C2" i="54"/>
  <c r="B8" i="54"/>
  <c r="B7" i="54"/>
  <c r="B6" i="54"/>
  <c r="B5" i="54"/>
  <c r="B4" i="54"/>
  <c r="B3" i="54"/>
  <c r="B2" i="54"/>
  <c r="L3" i="48"/>
  <c r="L2" i="48"/>
  <c r="I17" i="48"/>
  <c r="I16" i="48"/>
  <c r="I15" i="48"/>
  <c r="I14" i="48"/>
  <c r="I13" i="48"/>
  <c r="I12" i="48"/>
  <c r="I11" i="48"/>
  <c r="I10" i="48"/>
  <c r="I9" i="48"/>
  <c r="I8" i="48"/>
  <c r="I7" i="48"/>
  <c r="I6" i="48"/>
  <c r="I5" i="48"/>
  <c r="I4" i="48"/>
  <c r="I3" i="48"/>
  <c r="I2" i="48"/>
  <c r="G147" i="9"/>
  <c r="G146" i="9"/>
  <c r="G145" i="9"/>
  <c r="G144" i="9"/>
  <c r="G127" i="9"/>
  <c r="G126" i="9"/>
  <c r="G125" i="9"/>
  <c r="G124" i="9"/>
  <c r="G123" i="9"/>
  <c r="G122" i="9"/>
  <c r="G121" i="9"/>
  <c r="G118" i="9"/>
  <c r="G117" i="9"/>
  <c r="G116" i="9"/>
  <c r="G115" i="9"/>
  <c r="G113" i="9"/>
  <c r="G112" i="9"/>
</calcChain>
</file>

<file path=xl/sharedStrings.xml><?xml version="1.0" encoding="utf-8"?>
<sst xmlns="http://schemas.openxmlformats.org/spreadsheetml/2006/main" count="781" uniqueCount="264">
  <si>
    <t>C:\VICTORIA\AR</t>
  </si>
  <si>
    <t>CHERproj\handcoun</t>
  </si>
  <si>
    <t>ts\alldone\d9</t>
  </si>
  <si>
    <t>total word cou</t>
  </si>
  <si>
    <t>nt:  13643</t>
  </si>
  <si>
    <t>n modifying pp</t>
  </si>
  <si>
    <t>count: 88   norm</t>
  </si>
  <si>
    <t>ed/1000:     6.45</t>
  </si>
  <si>
    <t>counts (raw &amp;</t>
  </si>
  <si>
    <t>normed per 1000):</t>
  </si>
  <si>
    <t>preps:</t>
  </si>
  <si>
    <t>raw count:</t>
  </si>
  <si>
    <t>normed count:</t>
  </si>
  <si>
    <t>in</t>
  </si>
  <si>
    <t>with</t>
  </si>
  <si>
    <t>for</t>
  </si>
  <si>
    <t>on</t>
  </si>
  <si>
    <t>from</t>
  </si>
  <si>
    <t>to</t>
  </si>
  <si>
    <t>at</t>
  </si>
  <si>
    <t>like</t>
  </si>
  <si>
    <t>over</t>
  </si>
  <si>
    <t>into</t>
  </si>
  <si>
    <t>against</t>
  </si>
  <si>
    <t>round</t>
  </si>
  <si>
    <t>inside</t>
  </si>
  <si>
    <t>by</t>
  </si>
  <si>
    <t>ts\alldone\d2.txt</t>
  </si>
  <si>
    <t>nt:  10811</t>
  </si>
  <si>
    <t>count: 34   norm</t>
  </si>
  <si>
    <t>ed/1000:     3.14</t>
  </si>
  <si>
    <t>upon</t>
  </si>
  <si>
    <t>beyond</t>
  </si>
  <si>
    <t>before</t>
  </si>
  <si>
    <t>without</t>
  </si>
  <si>
    <t>count: 187   nor</t>
  </si>
  <si>
    <t>med/1000:     9.80</t>
  </si>
  <si>
    <t>about</t>
  </si>
  <si>
    <t>after</t>
  </si>
  <si>
    <t>through</t>
  </si>
  <si>
    <t>between</t>
  </si>
  <si>
    <t>under</t>
  </si>
  <si>
    <t>below</t>
  </si>
  <si>
    <t>around</t>
  </si>
  <si>
    <t>amongst</t>
  </si>
  <si>
    <t>near</t>
  </si>
  <si>
    <t>than</t>
  </si>
  <si>
    <t>within</t>
  </si>
  <si>
    <t>of.</t>
  </si>
  <si>
    <t>betwixt</t>
  </si>
  <si>
    <t>towards</t>
  </si>
  <si>
    <t>nt:  30192</t>
  </si>
  <si>
    <t>count: 256   nor</t>
  </si>
  <si>
    <t>med/1000:     8.48</t>
  </si>
  <si>
    <t>above</t>
  </si>
  <si>
    <t>as</t>
  </si>
  <si>
    <t>across</t>
  </si>
  <si>
    <t>nt:  36739</t>
  </si>
  <si>
    <t>count: 520   nor</t>
  </si>
  <si>
    <t>med/1000:    14.15</t>
  </si>
  <si>
    <t>per</t>
  </si>
  <si>
    <t>among</t>
  </si>
  <si>
    <t>toward</t>
  </si>
  <si>
    <t>during</t>
  </si>
  <si>
    <t>throughout</t>
  </si>
  <si>
    <t>along</t>
  </si>
  <si>
    <t>worth</t>
  </si>
  <si>
    <t>behind</t>
  </si>
  <si>
    <t>ts\alldone\m9</t>
  </si>
  <si>
    <t>nt:  20787</t>
  </si>
  <si>
    <t>count: 588   nor</t>
  </si>
  <si>
    <t>med/1000:    28.29</t>
  </si>
  <si>
    <t>despite</t>
  </si>
  <si>
    <t>ts\alldone\n2</t>
  </si>
  <si>
    <t>nt:  11067</t>
  </si>
  <si>
    <t>count: 124   nor</t>
  </si>
  <si>
    <t>med/1000:    11.20</t>
  </si>
  <si>
    <t>ts\alldone\n9</t>
  </si>
  <si>
    <t>nt:  11360</t>
  </si>
  <si>
    <t>count: 226   nor</t>
  </si>
  <si>
    <t>med/1000:    19.89</t>
  </si>
  <si>
    <t>of</t>
  </si>
  <si>
    <t>18th</t>
  </si>
  <si>
    <t>20th</t>
  </si>
  <si>
    <t>drama</t>
  </si>
  <si>
    <t>news</t>
  </si>
  <si>
    <t>Drama: OF</t>
  </si>
  <si>
    <t>Drama: other</t>
  </si>
  <si>
    <t>News: OF</t>
  </si>
  <si>
    <t>News: other</t>
  </si>
  <si>
    <t>Acad</t>
  </si>
  <si>
    <t>preps modifying nouns - rate per 1000 words</t>
  </si>
  <si>
    <t>number of different prepositions modifying nouns</t>
  </si>
  <si>
    <t>Drama</t>
  </si>
  <si>
    <t>News</t>
  </si>
  <si>
    <t>Medical</t>
  </si>
  <si>
    <t>19th</t>
  </si>
  <si>
    <t>medical</t>
  </si>
  <si>
    <t>N+That</t>
  </si>
  <si>
    <t>Acad Science</t>
  </si>
  <si>
    <t>N+To</t>
  </si>
  <si>
    <t>N+OF+ING</t>
  </si>
  <si>
    <t>Rates per 1,000 words</t>
  </si>
  <si>
    <t>Number of different head nouns</t>
  </si>
  <si>
    <t>N+IN+ING</t>
  </si>
  <si>
    <t>N+ON+ING</t>
  </si>
  <si>
    <t>acad med-sci</t>
  </si>
  <si>
    <t>N+FOR+ING</t>
  </si>
  <si>
    <t>Other preps</t>
  </si>
  <si>
    <t>Acad = Medical</t>
  </si>
  <si>
    <t>OF phrases</t>
  </si>
  <si>
    <t>med</t>
  </si>
  <si>
    <t>Drama nouns</t>
  </si>
  <si>
    <t>fiction nouns</t>
  </si>
  <si>
    <t>news nouns</t>
  </si>
  <si>
    <t>medical nouns</t>
  </si>
  <si>
    <t>17th C.</t>
  </si>
  <si>
    <t>18th C.</t>
  </si>
  <si>
    <t>19th C.</t>
  </si>
  <si>
    <t>20th C.</t>
  </si>
  <si>
    <t>Fiction</t>
  </si>
  <si>
    <t>NN</t>
  </si>
  <si>
    <t>Adjs</t>
  </si>
  <si>
    <t>Rels</t>
  </si>
  <si>
    <t>Nouns</t>
  </si>
  <si>
    <t>NN in academic wr</t>
  </si>
  <si>
    <t>All nmod PPs</t>
  </si>
  <si>
    <t>Med</t>
  </si>
  <si>
    <t>Appositive noun phrases</t>
  </si>
  <si>
    <t>1850-99</t>
  </si>
  <si>
    <t>NP, NP -- News</t>
  </si>
  <si>
    <t>NP (NP) -- News</t>
  </si>
  <si>
    <t>NP (NP*) -- News</t>
  </si>
  <si>
    <t>NP, NP -- Acad</t>
  </si>
  <si>
    <t>NP (NP) -- Acad</t>
  </si>
  <si>
    <t>NP (NP*) -- Acad</t>
  </si>
  <si>
    <t>D2</t>
  </si>
  <si>
    <t>D9</t>
  </si>
  <si>
    <t>N2</t>
  </si>
  <si>
    <t>N9</t>
  </si>
  <si>
    <t>M2</t>
  </si>
  <si>
    <t>M5</t>
  </si>
  <si>
    <t>M6</t>
  </si>
  <si>
    <t>M9</t>
  </si>
  <si>
    <t>Academic</t>
  </si>
  <si>
    <t>ON</t>
  </si>
  <si>
    <t>EMEMT</t>
  </si>
  <si>
    <t>date</t>
  </si>
  <si>
    <t>A/1000</t>
  </si>
  <si>
    <t>NM/1000</t>
  </si>
  <si>
    <t>NML/1000</t>
  </si>
  <si>
    <t>NMA/1000</t>
  </si>
  <si>
    <t>total</t>
  </si>
  <si>
    <t>other</t>
  </si>
  <si>
    <t>1375-1449</t>
  </si>
  <si>
    <t>1450-1499</t>
  </si>
  <si>
    <t>1500-1599</t>
  </si>
  <si>
    <t>1600-1700</t>
  </si>
  <si>
    <t>ced 17th c</t>
  </si>
  <si>
    <t>Mod conv</t>
  </si>
  <si>
    <t>Mod acad</t>
  </si>
  <si>
    <t>IN</t>
  </si>
  <si>
    <t>1375-1449 Med</t>
  </si>
  <si>
    <t>1450-1499 Med</t>
  </si>
  <si>
    <t>1500-1599 Med</t>
  </si>
  <si>
    <t>1600-1700 Med</t>
  </si>
  <si>
    <t>1600-1700 dialogues</t>
  </si>
  <si>
    <t>20th c conv</t>
  </si>
  <si>
    <t>20th c acad</t>
  </si>
  <si>
    <t>IN:  20th c conv</t>
  </si>
  <si>
    <t>IN:  20th c acad</t>
  </si>
  <si>
    <t>ON:  20th c acad</t>
  </si>
  <si>
    <t>ON:  20th c conv</t>
  </si>
  <si>
    <t xml:space="preserve">NP, NP </t>
  </si>
  <si>
    <t xml:space="preserve">NP (NP) </t>
  </si>
  <si>
    <t>18th c. Academic</t>
  </si>
  <si>
    <t>18th c. News</t>
  </si>
  <si>
    <t>20th c. Academic</t>
  </si>
  <si>
    <t>20th c. News</t>
  </si>
  <si>
    <t>Obs</t>
  </si>
  <si>
    <t>register</t>
  </si>
  <si>
    <t>year</t>
  </si>
  <si>
    <t>_FREQ</t>
  </si>
  <si>
    <t>adj_pre</t>
  </si>
  <si>
    <t>noun_pre</t>
  </si>
  <si>
    <t>rels</t>
  </si>
  <si>
    <t>.</t>
  </si>
  <si>
    <t>ac_hist</t>
  </si>
  <si>
    <t>ac_othr</t>
  </si>
  <si>
    <t>ac_scmd</t>
  </si>
  <si>
    <t>debates</t>
  </si>
  <si>
    <t>drama__</t>
  </si>
  <si>
    <t>news_tm</t>
  </si>
  <si>
    <t>newspap</t>
  </si>
  <si>
    <t>novels_</t>
  </si>
  <si>
    <t>pt__mod</t>
  </si>
  <si>
    <t>sci_mod</t>
  </si>
  <si>
    <t>2    year</t>
  </si>
  <si>
    <t>_    adj_pr</t>
  </si>
  <si>
    <t>e    noun_p</t>
  </si>
  <si>
    <t>re     rels</t>
  </si>
  <si>
    <t>wordcou</t>
  </si>
  <si>
    <t>acad</t>
  </si>
  <si>
    <t>The SAS Sys</t>
  </si>
  <si>
    <t>tem</t>
  </si>
  <si>
    <t>15:56 Thurs</t>
  </si>
  <si>
    <t>day, Decemb</t>
  </si>
  <si>
    <t>The SA</t>
  </si>
  <si>
    <t>_    nouns</t>
  </si>
  <si>
    <t>register2</t>
  </si>
  <si>
    <t>yea</t>
  </si>
  <si>
    <t>r    _FREQ</t>
  </si>
  <si>
    <t>adj_pr</t>
  </si>
  <si>
    <t>nominaliza</t>
  </si>
  <si>
    <t>Newspapers</t>
  </si>
  <si>
    <t>nouns</t>
  </si>
  <si>
    <t>nominalizations</t>
  </si>
  <si>
    <t>wordcount</t>
  </si>
  <si>
    <t>pop sci</t>
  </si>
  <si>
    <t xml:space="preserve"> </t>
  </si>
  <si>
    <t>extrapolated</t>
  </si>
  <si>
    <t xml:space="preserve">Register                                                                </t>
  </si>
  <si>
    <t>Wordcount</t>
  </si>
  <si>
    <t xml:space="preserve"> simple </t>
  </si>
  <si>
    <t xml:space="preserve">  perfect</t>
  </si>
  <si>
    <t>progressive</t>
  </si>
  <si>
    <t xml:space="preserve">passive </t>
  </si>
  <si>
    <t xml:space="preserve">multi </t>
  </si>
  <si>
    <t xml:space="preserve">modal   </t>
  </si>
  <si>
    <t xml:space="preserve">1800-PT             </t>
  </si>
  <si>
    <t xml:space="preserve">1850-PT             </t>
  </si>
  <si>
    <t xml:space="preserve">1875-PT             </t>
  </si>
  <si>
    <t xml:space="preserve">1900-PT             </t>
  </si>
  <si>
    <t xml:space="preserve">1925-PT             </t>
  </si>
  <si>
    <t xml:space="preserve">1985-PT             </t>
  </si>
  <si>
    <t xml:space="preserve">1875-SCI            </t>
  </si>
  <si>
    <t xml:space="preserve">1900-SCI            </t>
  </si>
  <si>
    <t xml:space="preserve">1925-SCI            </t>
  </si>
  <si>
    <t xml:space="preserve">1985-SCI            </t>
  </si>
  <si>
    <t xml:space="preserve">1965-RAsci          </t>
  </si>
  <si>
    <t xml:space="preserve">1985-RAsci          </t>
  </si>
  <si>
    <t xml:space="preserve">2005-RAsci          </t>
  </si>
  <si>
    <t xml:space="preserve">1965-RAother        </t>
  </si>
  <si>
    <t xml:space="preserve">1985-RAother        </t>
  </si>
  <si>
    <t xml:space="preserve">2005-RAother        </t>
  </si>
  <si>
    <t>hard sci</t>
  </si>
  <si>
    <t>soft sci</t>
  </si>
  <si>
    <t>Total VPs</t>
  </si>
  <si>
    <t>19th c</t>
  </si>
  <si>
    <t>20th c</t>
  </si>
  <si>
    <t xml:space="preserve">FiniteVerb                    </t>
  </si>
  <si>
    <t xml:space="preserve">   ac_scmd 1900 nrmd</t>
  </si>
  <si>
    <t xml:space="preserve">   ac_scmd 2005 nrmd</t>
  </si>
  <si>
    <t xml:space="preserve">is                        </t>
  </si>
  <si>
    <t xml:space="preserve">are                       </t>
  </si>
  <si>
    <t xml:space="preserve">made                    </t>
  </si>
  <si>
    <t xml:space="preserve">seen                    </t>
  </si>
  <si>
    <t xml:space="preserve">found    </t>
  </si>
  <si>
    <t xml:space="preserve">was                     </t>
  </si>
  <si>
    <t xml:space="preserve">be                  </t>
  </si>
  <si>
    <t>atrb adjs</t>
  </si>
  <si>
    <t>BE + ADJ</t>
  </si>
  <si>
    <t>it is ADJ that/to</t>
  </si>
  <si>
    <t>there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</si>
</sst>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0"/>
      <color indexed="8"/>
      <name val="Arial"/>
    </font>
    <font>
      <sz val="10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0" borderId="0" xfId="1" applyFont="1"/>
    <xf numFmtId="0" fontId="2" fillId="0" borderId="0" xfId="1"/>
    <xf numFmtId="0" fontId="3" fillId="0" borderId="0" xfId="0" applyFont="1"/>
    <xf numFmtId="0" fontId="2" fillId="0" borderId="0" xfId="1" quotePrefix="1" applyFont="1"/>
    <xf numFmtId="0" fontId="4" fillId="0" borderId="0" xfId="1" applyFont="1"/>
    <xf numFmtId="0" fontId="2" fillId="0" borderId="0" xfId="1" applyFill="1"/>
    <xf numFmtId="11" fontId="0" fillId="0" borderId="0" xfId="0" applyNumberFormat="1"/>
  </cellXfs>
  <cellStyles count="2">
    <cellStyle name="Normal" xfId="0" builtinId="0"/>
    <cellStyle name="Normal_17cDialogue_subsampleDescription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worksheet" Target="worksheets/sheet4.xml"/><Relationship Id="rId26" Type="http://schemas.openxmlformats.org/officeDocument/2006/relationships/calcChain" Target="calcChain.xml"/><Relationship Id="rId3" Type="http://schemas.openxmlformats.org/officeDocument/2006/relationships/chartsheet" Target="chartsheets/sheet3.xml"/><Relationship Id="rId21" Type="http://schemas.openxmlformats.org/officeDocument/2006/relationships/worksheet" Target="worksheets/sheet7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worksheet" Target="worksheets/sheet3.xml"/><Relationship Id="rId25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2.xml"/><Relationship Id="rId20" Type="http://schemas.openxmlformats.org/officeDocument/2006/relationships/worksheet" Target="worksheets/sheet6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24" Type="http://schemas.openxmlformats.org/officeDocument/2006/relationships/styles" Target="styles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1.xml"/><Relationship Id="rId23" Type="http://schemas.openxmlformats.org/officeDocument/2006/relationships/theme" Target="theme/theme1.xml"/><Relationship Id="rId10" Type="http://schemas.openxmlformats.org/officeDocument/2006/relationships/chartsheet" Target="chartsheets/sheet10.xml"/><Relationship Id="rId19" Type="http://schemas.openxmlformats.org/officeDocument/2006/relationships/worksheet" Target="worksheets/sheet5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Relationship Id="rId22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1:  Historical use of nominalizations</a:t>
            </a:r>
          </a:p>
        </c:rich>
      </c:tx>
      <c:layout>
        <c:manualLayout>
          <c:xMode val="edge"/>
          <c:yMode val="edge"/>
          <c:x val="0.31853497711449763"/>
          <c:y val="2.39260467645459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32186459489471E-2"/>
          <c:y val="0.14355628058727596"/>
          <c:w val="0.77025527192008925"/>
          <c:h val="0.76998368678629692"/>
        </c:manualLayout>
      </c:layout>
      <c:lineChart>
        <c:grouping val="standard"/>
        <c:varyColors val="0"/>
        <c:ser>
          <c:idx val="1"/>
          <c:order val="0"/>
          <c:tx>
            <c:v>Academic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Sheet4!$C$21:$C$23</c:f>
              <c:strCache>
                <c:ptCount val="3"/>
                <c:pt idx="0">
                  <c:v>18th</c:v>
                </c:pt>
                <c:pt idx="1">
                  <c:v>19th</c:v>
                </c:pt>
                <c:pt idx="2">
                  <c:v>20th</c:v>
                </c:pt>
              </c:strCache>
            </c:strRef>
          </c:cat>
          <c:val>
            <c:numRef>
              <c:f>Sheet4!$J$21:$J$23</c:f>
              <c:numCache>
                <c:formatCode>General</c:formatCode>
                <c:ptCount val="3"/>
                <c:pt idx="0">
                  <c:v>31.4</c:v>
                </c:pt>
                <c:pt idx="1">
                  <c:v>48.8</c:v>
                </c:pt>
                <c:pt idx="2">
                  <c:v>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35-45A2-B6C9-AE3E319BCFD4}"/>
            </c:ext>
          </c:extLst>
        </c:ser>
        <c:ser>
          <c:idx val="4"/>
          <c:order val="1"/>
          <c:tx>
            <c:v>Newspapers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x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Sheet4!$C$21:$C$23</c:f>
              <c:strCache>
                <c:ptCount val="3"/>
                <c:pt idx="0">
                  <c:v>18th</c:v>
                </c:pt>
                <c:pt idx="1">
                  <c:v>19th</c:v>
                </c:pt>
                <c:pt idx="2">
                  <c:v>20th</c:v>
                </c:pt>
              </c:strCache>
            </c:strRef>
          </c:cat>
          <c:val>
            <c:numRef>
              <c:f>Sheet4!$J$35:$J$37</c:f>
              <c:numCache>
                <c:formatCode>General</c:formatCode>
                <c:ptCount val="3"/>
                <c:pt idx="0">
                  <c:v>38.9</c:v>
                </c:pt>
                <c:pt idx="1">
                  <c:v>54.3</c:v>
                </c:pt>
                <c:pt idx="2">
                  <c:v>55.4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35-45A2-B6C9-AE3E319BCFD4}"/>
            </c:ext>
          </c:extLst>
        </c:ser>
        <c:ser>
          <c:idx val="0"/>
          <c:order val="2"/>
          <c:tx>
            <c:v>Novels</c:v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square"/>
            <c:size val="3"/>
            <c:spPr>
              <a:solidFill>
                <a:srgbClr val="333333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cat>
            <c:strRef>
              <c:f>Sheet4!$C$21:$C$23</c:f>
              <c:strCache>
                <c:ptCount val="3"/>
                <c:pt idx="0">
                  <c:v>18th</c:v>
                </c:pt>
                <c:pt idx="1">
                  <c:v>19th</c:v>
                </c:pt>
                <c:pt idx="2">
                  <c:v>20th</c:v>
                </c:pt>
              </c:strCache>
            </c:strRef>
          </c:cat>
          <c:val>
            <c:numRef>
              <c:f>Sheet4!$J$39:$J$41</c:f>
              <c:numCache>
                <c:formatCode>General</c:formatCode>
                <c:ptCount val="3"/>
                <c:pt idx="0">
                  <c:v>39.1</c:v>
                </c:pt>
                <c:pt idx="1">
                  <c:v>27.8</c:v>
                </c:pt>
                <c:pt idx="2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35-45A2-B6C9-AE3E319BCFD4}"/>
            </c:ext>
          </c:extLst>
        </c:ser>
        <c:ser>
          <c:idx val="2"/>
          <c:order val="3"/>
          <c:tx>
            <c:v>Drama</c:v>
          </c:tx>
          <c:spPr>
            <a:ln w="25400" cap="flat" cmpd="sng" algn="ctr">
              <a:solidFill>
                <a:schemeClr val="dk1"/>
              </a:solidFill>
              <a:prstDash val="sysDot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sysDot"/>
              </a:ln>
              <a:effectLst/>
            </c:spPr>
          </c:marker>
          <c:val>
            <c:numRef>
              <c:f>Sheet4!$J$29:$J$31</c:f>
              <c:numCache>
                <c:formatCode>General</c:formatCode>
                <c:ptCount val="3"/>
                <c:pt idx="0">
                  <c:v>24.5</c:v>
                </c:pt>
                <c:pt idx="1">
                  <c:v>20.100000000000001</c:v>
                </c:pt>
                <c:pt idx="2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35-45A2-B6C9-AE3E319BC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20104"/>
        <c:axId val="1"/>
      </c:lineChart>
      <c:catAx>
        <c:axId val="127920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Century</a:t>
                </a:r>
              </a:p>
            </c:rich>
          </c:tx>
          <c:layout>
            <c:manualLayout>
              <c:xMode val="edge"/>
              <c:yMode val="edge"/>
              <c:x val="0.4273030180804237"/>
              <c:y val="0.9624796084828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9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Rate per 1,000 words</a:t>
                </a:r>
              </a:p>
            </c:rich>
          </c:tx>
          <c:layout>
            <c:manualLayout>
              <c:xMode val="edge"/>
              <c:yMode val="edge"/>
              <c:x val="1.6648136132203964E-2"/>
              <c:y val="0.417618270799347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2010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6903436624987573"/>
          <c:y val="0.32463295269168024"/>
          <c:w val="1"/>
          <c:h val="0.465380448977319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Figure 2:  Historical use of nominalizations in academic sub-registers</a:t>
            </a:r>
          </a:p>
        </c:rich>
      </c:tx>
      <c:layout>
        <c:manualLayout>
          <c:xMode val="edge"/>
          <c:yMode val="edge"/>
          <c:x val="0.17451122061858079"/>
          <c:y val="2.3926046764545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86499599576817E-2"/>
          <c:y val="0.14355628058727582"/>
          <c:w val="0.77025527192008958"/>
          <c:h val="0.76998368678629692"/>
        </c:manualLayout>
      </c:layout>
      <c:lineChart>
        <c:grouping val="standard"/>
        <c:varyColors val="0"/>
        <c:ser>
          <c:idx val="1"/>
          <c:order val="0"/>
          <c:tx>
            <c:v>Science research articles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Sheet5!$C$26:$C$35</c:f>
              <c:numCache>
                <c:formatCode>General</c:formatCode>
                <c:ptCount val="10"/>
                <c:pt idx="0">
                  <c:v>1700</c:v>
                </c:pt>
                <c:pt idx="1">
                  <c:v>1750</c:v>
                </c:pt>
                <c:pt idx="2">
                  <c:v>1800</c:v>
                </c:pt>
                <c:pt idx="3">
                  <c:v>1850</c:v>
                </c:pt>
                <c:pt idx="4">
                  <c:v>1875</c:v>
                </c:pt>
                <c:pt idx="5">
                  <c:v>1900</c:v>
                </c:pt>
                <c:pt idx="6">
                  <c:v>1925</c:v>
                </c:pt>
                <c:pt idx="7">
                  <c:v>1965</c:v>
                </c:pt>
                <c:pt idx="8">
                  <c:v>1985</c:v>
                </c:pt>
                <c:pt idx="9">
                  <c:v>2005</c:v>
                </c:pt>
              </c:numCache>
            </c:numRef>
          </c:cat>
          <c:val>
            <c:numRef>
              <c:f>Sheet5!$F$10:$F$19</c:f>
              <c:numCache>
                <c:formatCode>General</c:formatCode>
                <c:ptCount val="10"/>
                <c:pt idx="0">
                  <c:v>27.2</c:v>
                </c:pt>
                <c:pt idx="1">
                  <c:v>37.6</c:v>
                </c:pt>
                <c:pt idx="2">
                  <c:v>47.1</c:v>
                </c:pt>
                <c:pt idx="3">
                  <c:v>49.3</c:v>
                </c:pt>
                <c:pt idx="4">
                  <c:v>50.1</c:v>
                </c:pt>
                <c:pt idx="5">
                  <c:v>55.8</c:v>
                </c:pt>
                <c:pt idx="6">
                  <c:v>55.1</c:v>
                </c:pt>
                <c:pt idx="7">
                  <c:v>53.5</c:v>
                </c:pt>
                <c:pt idx="8">
                  <c:v>56.2</c:v>
                </c:pt>
                <c:pt idx="9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E-479F-8940-E60D336CCC44}"/>
            </c:ext>
          </c:extLst>
        </c:ser>
        <c:ser>
          <c:idx val="4"/>
          <c:order val="1"/>
          <c:tx>
            <c:v>Non-science research articles</c:v>
          </c:tx>
          <c:spPr>
            <a:ln w="28575" cap="flat" cmpd="sng" algn="ctr">
              <a:solidFill>
                <a:schemeClr val="dk1"/>
              </a:solidFill>
              <a:prstDash val="dashDot"/>
            </a:ln>
            <a:effectLst/>
          </c:spPr>
          <c:marker>
            <c:spPr>
              <a:solidFill>
                <a:srgbClr val="FFFFFF"/>
              </a:solidFill>
              <a:ln w="28575">
                <a:solidFill>
                  <a:srgbClr val="000000"/>
                </a:solidFill>
                <a:prstDash val="dashDot"/>
              </a:ln>
            </c:spPr>
          </c:marker>
          <c:cat>
            <c:numRef>
              <c:f>Sheet5!$C$26:$C$35</c:f>
              <c:numCache>
                <c:formatCode>General</c:formatCode>
                <c:ptCount val="10"/>
                <c:pt idx="0">
                  <c:v>1700</c:v>
                </c:pt>
                <c:pt idx="1">
                  <c:v>1750</c:v>
                </c:pt>
                <c:pt idx="2">
                  <c:v>1800</c:v>
                </c:pt>
                <c:pt idx="3">
                  <c:v>1850</c:v>
                </c:pt>
                <c:pt idx="4">
                  <c:v>1875</c:v>
                </c:pt>
                <c:pt idx="5">
                  <c:v>1900</c:v>
                </c:pt>
                <c:pt idx="6">
                  <c:v>1925</c:v>
                </c:pt>
                <c:pt idx="7">
                  <c:v>1965</c:v>
                </c:pt>
                <c:pt idx="8">
                  <c:v>1985</c:v>
                </c:pt>
                <c:pt idx="9">
                  <c:v>2005</c:v>
                </c:pt>
              </c:numCache>
            </c:numRef>
          </c:cat>
          <c:val>
            <c:numRef>
              <c:f>Sheet5!$F$26:$F$35</c:f>
              <c:numCache>
                <c:formatCode>General</c:formatCode>
                <c:ptCount val="10"/>
                <c:pt idx="0">
                  <c:v>27.2</c:v>
                </c:pt>
                <c:pt idx="1">
                  <c:v>37.6</c:v>
                </c:pt>
                <c:pt idx="2">
                  <c:v>47.1</c:v>
                </c:pt>
                <c:pt idx="3">
                  <c:v>49.3</c:v>
                </c:pt>
                <c:pt idx="4">
                  <c:v>50.1</c:v>
                </c:pt>
                <c:pt idx="5">
                  <c:v>55.8</c:v>
                </c:pt>
                <c:pt idx="6">
                  <c:v>55.1</c:v>
                </c:pt>
                <c:pt idx="7">
                  <c:v>62.1</c:v>
                </c:pt>
                <c:pt idx="8">
                  <c:v>64.2</c:v>
                </c:pt>
                <c:pt idx="9">
                  <c:v>66.599999999999994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E-479F-8940-E60D336CCC44}"/>
            </c:ext>
          </c:extLst>
        </c:ser>
        <c:ser>
          <c:idx val="0"/>
          <c:order val="2"/>
          <c:tx>
            <c:v>Popular science articles</c:v>
          </c:tx>
          <c:spPr>
            <a:ln w="25400" cap="flat" cmpd="sng" algn="ctr">
              <a:solidFill>
                <a:schemeClr val="dk1"/>
              </a:solidFill>
              <a:prstDash val="sysDot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sysDot"/>
              </a:ln>
              <a:effectLst/>
            </c:spPr>
          </c:marker>
          <c:cat>
            <c:numRef>
              <c:f>Sheet5!$C$26:$C$35</c:f>
              <c:numCache>
                <c:formatCode>General</c:formatCode>
                <c:ptCount val="10"/>
                <c:pt idx="0">
                  <c:v>1700</c:v>
                </c:pt>
                <c:pt idx="1">
                  <c:v>1750</c:v>
                </c:pt>
                <c:pt idx="2">
                  <c:v>1800</c:v>
                </c:pt>
                <c:pt idx="3">
                  <c:v>1850</c:v>
                </c:pt>
                <c:pt idx="4">
                  <c:v>1875</c:v>
                </c:pt>
                <c:pt idx="5">
                  <c:v>1900</c:v>
                </c:pt>
                <c:pt idx="6">
                  <c:v>1925</c:v>
                </c:pt>
                <c:pt idx="7">
                  <c:v>1965</c:v>
                </c:pt>
                <c:pt idx="8">
                  <c:v>1985</c:v>
                </c:pt>
                <c:pt idx="9">
                  <c:v>2005</c:v>
                </c:pt>
              </c:numCache>
            </c:numRef>
          </c:cat>
          <c:val>
            <c:numRef>
              <c:f>Sheet5!$F$39:$F$47</c:f>
              <c:numCache>
                <c:formatCode>General</c:formatCode>
                <c:ptCount val="9"/>
                <c:pt idx="0">
                  <c:v>27.2</c:v>
                </c:pt>
                <c:pt idx="1">
                  <c:v>37.6</c:v>
                </c:pt>
                <c:pt idx="2">
                  <c:v>47.1</c:v>
                </c:pt>
                <c:pt idx="3">
                  <c:v>49.3</c:v>
                </c:pt>
                <c:pt idx="4">
                  <c:v>50.1</c:v>
                </c:pt>
                <c:pt idx="5">
                  <c:v>55.8</c:v>
                </c:pt>
                <c:pt idx="6">
                  <c:v>55.1</c:v>
                </c:pt>
                <c:pt idx="7">
                  <c:v>58</c:v>
                </c:pt>
                <c:pt idx="8">
                  <c:v>61.8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E-479F-8940-E60D336CC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51080"/>
        <c:axId val="1"/>
      </c:lineChart>
      <c:catAx>
        <c:axId val="126151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Century</a:t>
                </a:r>
              </a:p>
            </c:rich>
          </c:tx>
          <c:layout>
            <c:manualLayout>
              <c:xMode val="edge"/>
              <c:yMode val="edge"/>
              <c:x val="0.4273030180804237"/>
              <c:y val="0.962479608482871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per 1,000 words</a:t>
                </a:r>
              </a:p>
            </c:rich>
          </c:tx>
          <c:layout>
            <c:manualLayout>
              <c:xMode val="edge"/>
              <c:yMode val="edge"/>
              <c:x val="1.6648136132203964E-2"/>
              <c:y val="0.4176182707993474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6151080"/>
        <c:crosses val="autoZero"/>
        <c:crossBetween val="between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6903436624987573"/>
          <c:y val="0.32463295269168024"/>
          <c:w val="1"/>
          <c:h val="0.64156315697079469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Figure 3:  Historical use of nouns</a:t>
            </a:r>
          </a:p>
        </c:rich>
      </c:tx>
      <c:layout>
        <c:manualLayout>
          <c:xMode val="edge"/>
          <c:yMode val="edge"/>
          <c:x val="0.31853497711449763"/>
          <c:y val="1.30505709624796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86499599576776E-2"/>
          <c:y val="0.14355628058727568"/>
          <c:w val="0.77025527192008925"/>
          <c:h val="0.76998368678629692"/>
        </c:manualLayout>
      </c:layout>
      <c:lineChart>
        <c:grouping val="standard"/>
        <c:varyColors val="0"/>
        <c:ser>
          <c:idx val="1"/>
          <c:order val="0"/>
          <c:tx>
            <c:v>Academic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Sheet4!$C$21:$C$23</c:f>
              <c:strCache>
                <c:ptCount val="3"/>
                <c:pt idx="0">
                  <c:v>18th</c:v>
                </c:pt>
                <c:pt idx="1">
                  <c:v>19th</c:v>
                </c:pt>
                <c:pt idx="2">
                  <c:v>20th</c:v>
                </c:pt>
              </c:strCache>
            </c:strRef>
          </c:cat>
          <c:val>
            <c:numRef>
              <c:f>Sheet4!$E$21:$E$23</c:f>
              <c:numCache>
                <c:formatCode>General</c:formatCode>
                <c:ptCount val="3"/>
                <c:pt idx="0">
                  <c:v>235.3</c:v>
                </c:pt>
                <c:pt idx="1">
                  <c:v>248.9</c:v>
                </c:pt>
                <c:pt idx="2">
                  <c:v>328.7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F1-48E2-BC46-B35287B1EE5F}"/>
            </c:ext>
          </c:extLst>
        </c:ser>
        <c:ser>
          <c:idx val="4"/>
          <c:order val="1"/>
          <c:tx>
            <c:v>Newspapers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Sheet4!$C$21:$C$23</c:f>
              <c:strCache>
                <c:ptCount val="3"/>
                <c:pt idx="0">
                  <c:v>18th</c:v>
                </c:pt>
                <c:pt idx="1">
                  <c:v>19th</c:v>
                </c:pt>
                <c:pt idx="2">
                  <c:v>20th</c:v>
                </c:pt>
              </c:strCache>
            </c:strRef>
          </c:cat>
          <c:val>
            <c:numRef>
              <c:f>Sheet4!$E$35:$E$37</c:f>
              <c:numCache>
                <c:formatCode>General</c:formatCode>
                <c:ptCount val="3"/>
                <c:pt idx="0">
                  <c:v>285.8</c:v>
                </c:pt>
                <c:pt idx="1">
                  <c:v>270.10000000000002</c:v>
                </c:pt>
                <c:pt idx="2">
                  <c:v>310.8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F1-48E2-BC46-B35287B1EE5F}"/>
            </c:ext>
          </c:extLst>
        </c:ser>
        <c:ser>
          <c:idx val="0"/>
          <c:order val="2"/>
          <c:tx>
            <c:v>Novels</c:v>
          </c:tx>
          <c:spPr>
            <a:ln w="25400" cap="flat" cmpd="sng" algn="ctr">
              <a:solidFill>
                <a:schemeClr val="dk1"/>
              </a:solidFill>
              <a:prstDash val="dash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dash"/>
              </a:ln>
              <a:effectLst/>
            </c:spPr>
          </c:marker>
          <c:cat>
            <c:strRef>
              <c:f>Sheet4!$C$21:$C$23</c:f>
              <c:strCache>
                <c:ptCount val="3"/>
                <c:pt idx="0">
                  <c:v>18th</c:v>
                </c:pt>
                <c:pt idx="1">
                  <c:v>19th</c:v>
                </c:pt>
                <c:pt idx="2">
                  <c:v>20th</c:v>
                </c:pt>
              </c:strCache>
            </c:strRef>
          </c:cat>
          <c:val>
            <c:numRef>
              <c:f>Sheet4!$E$39:$E$41</c:f>
              <c:numCache>
                <c:formatCode>General</c:formatCode>
                <c:ptCount val="3"/>
                <c:pt idx="0">
                  <c:v>211.4</c:v>
                </c:pt>
                <c:pt idx="1">
                  <c:v>213.5</c:v>
                </c:pt>
                <c:pt idx="2">
                  <c:v>223.2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F1-48E2-BC46-B35287B1EE5F}"/>
            </c:ext>
          </c:extLst>
        </c:ser>
        <c:ser>
          <c:idx val="2"/>
          <c:order val="3"/>
          <c:tx>
            <c:v>Drama</c:v>
          </c:tx>
          <c:spPr>
            <a:ln w="25400" cap="flat" cmpd="sng" algn="ctr">
              <a:solidFill>
                <a:schemeClr val="dk1"/>
              </a:solidFill>
              <a:prstDash val="sysDash"/>
            </a:ln>
            <a:effectLst/>
          </c:spPr>
          <c:marker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Sheet4!$E$29:$E$31</c:f>
              <c:numCache>
                <c:formatCode>General</c:formatCode>
                <c:ptCount val="3"/>
                <c:pt idx="0">
                  <c:v>198.2</c:v>
                </c:pt>
                <c:pt idx="1">
                  <c:v>194.7</c:v>
                </c:pt>
                <c:pt idx="2">
                  <c:v>189.1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F1-48E2-BC46-B35287B1E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18728"/>
        <c:axId val="1"/>
      </c:lineChart>
      <c:catAx>
        <c:axId val="127618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Century</a:t>
                </a:r>
              </a:p>
            </c:rich>
          </c:tx>
          <c:layout>
            <c:manualLayout>
              <c:xMode val="edge"/>
              <c:yMode val="edge"/>
              <c:x val="0.4273030180804237"/>
              <c:y val="0.962479608482871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per 1,000 words</a:t>
                </a:r>
              </a:p>
            </c:rich>
          </c:tx>
          <c:layout>
            <c:manualLayout>
              <c:xMode val="edge"/>
              <c:yMode val="edge"/>
              <c:x val="1.6648136132203964E-2"/>
              <c:y val="0.4176182707993474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7618728"/>
        <c:crosses val="autoZero"/>
        <c:crossBetween val="between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6903436624987573"/>
          <c:y val="0.32463295269168024"/>
          <c:w val="1"/>
          <c:h val="0.46538044897731989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Figure 4:  Historical use of nouns </a:t>
            </a:r>
            <a:r>
              <a:rPr lang="en-US" sz="1400" b="1" i="0" u="none" strike="noStrike" baseline="0"/>
              <a:t>in academic sub-registers</a:t>
            </a:r>
            <a:endParaRPr lang="en-US" sz="1400"/>
          </a:p>
        </c:rich>
      </c:tx>
      <c:layout>
        <c:manualLayout>
          <c:xMode val="edge"/>
          <c:yMode val="edge"/>
          <c:x val="0.24281114637953108"/>
          <c:y val="3.697661772702555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86499599576803E-2"/>
          <c:y val="0.14355628058727576"/>
          <c:w val="0.77025527192008936"/>
          <c:h val="0.76998368678629692"/>
        </c:manualLayout>
      </c:layout>
      <c:lineChart>
        <c:grouping val="standard"/>
        <c:varyColors val="0"/>
        <c:ser>
          <c:idx val="1"/>
          <c:order val="0"/>
          <c:tx>
            <c:v>Science research articles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Sheet5!$C$26:$C$35</c:f>
              <c:numCache>
                <c:formatCode>General</c:formatCode>
                <c:ptCount val="10"/>
                <c:pt idx="0">
                  <c:v>1700</c:v>
                </c:pt>
                <c:pt idx="1">
                  <c:v>1750</c:v>
                </c:pt>
                <c:pt idx="2">
                  <c:v>1800</c:v>
                </c:pt>
                <c:pt idx="3">
                  <c:v>1850</c:v>
                </c:pt>
                <c:pt idx="4">
                  <c:v>1875</c:v>
                </c:pt>
                <c:pt idx="5">
                  <c:v>1900</c:v>
                </c:pt>
                <c:pt idx="6">
                  <c:v>1925</c:v>
                </c:pt>
                <c:pt idx="7">
                  <c:v>1965</c:v>
                </c:pt>
                <c:pt idx="8">
                  <c:v>1985</c:v>
                </c:pt>
                <c:pt idx="9">
                  <c:v>2005</c:v>
                </c:pt>
              </c:numCache>
            </c:numRef>
          </c:cat>
          <c:val>
            <c:numRef>
              <c:f>Sheet5!$E$10:$E$19</c:f>
              <c:numCache>
                <c:formatCode>General</c:formatCode>
                <c:ptCount val="10"/>
                <c:pt idx="0">
                  <c:v>239.4</c:v>
                </c:pt>
                <c:pt idx="1">
                  <c:v>229.3</c:v>
                </c:pt>
                <c:pt idx="2">
                  <c:v>239</c:v>
                </c:pt>
                <c:pt idx="3">
                  <c:v>250.4</c:v>
                </c:pt>
                <c:pt idx="4">
                  <c:v>257.89999999999998</c:v>
                </c:pt>
                <c:pt idx="5">
                  <c:v>270.3</c:v>
                </c:pt>
                <c:pt idx="6">
                  <c:v>276</c:v>
                </c:pt>
                <c:pt idx="7">
                  <c:v>353.1</c:v>
                </c:pt>
                <c:pt idx="8">
                  <c:v>372.5</c:v>
                </c:pt>
                <c:pt idx="9">
                  <c:v>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B-41E8-B627-909F7E0C9668}"/>
            </c:ext>
          </c:extLst>
        </c:ser>
        <c:ser>
          <c:idx val="4"/>
          <c:order val="1"/>
          <c:tx>
            <c:v>Non-science research articles</c:v>
          </c:tx>
          <c:spPr>
            <a:ln w="28575" cap="flat" cmpd="sng" algn="ctr">
              <a:solidFill>
                <a:schemeClr val="dk1"/>
              </a:solidFill>
              <a:prstDash val="dashDot"/>
            </a:ln>
            <a:effectLst/>
          </c:spPr>
          <c:marker>
            <c:spPr>
              <a:solidFill>
                <a:srgbClr val="FFFFFF"/>
              </a:solidFill>
              <a:ln w="28575">
                <a:solidFill>
                  <a:srgbClr val="000000"/>
                </a:solidFill>
                <a:prstDash val="dashDot"/>
              </a:ln>
            </c:spPr>
          </c:marker>
          <c:cat>
            <c:numRef>
              <c:f>Sheet5!$C$26:$C$35</c:f>
              <c:numCache>
                <c:formatCode>General</c:formatCode>
                <c:ptCount val="10"/>
                <c:pt idx="0">
                  <c:v>1700</c:v>
                </c:pt>
                <c:pt idx="1">
                  <c:v>1750</c:v>
                </c:pt>
                <c:pt idx="2">
                  <c:v>1800</c:v>
                </c:pt>
                <c:pt idx="3">
                  <c:v>1850</c:v>
                </c:pt>
                <c:pt idx="4">
                  <c:v>1875</c:v>
                </c:pt>
                <c:pt idx="5">
                  <c:v>1900</c:v>
                </c:pt>
                <c:pt idx="6">
                  <c:v>1925</c:v>
                </c:pt>
                <c:pt idx="7">
                  <c:v>1965</c:v>
                </c:pt>
                <c:pt idx="8">
                  <c:v>1985</c:v>
                </c:pt>
                <c:pt idx="9">
                  <c:v>2005</c:v>
                </c:pt>
              </c:numCache>
            </c:numRef>
          </c:cat>
          <c:val>
            <c:numRef>
              <c:f>Sheet5!$E$26:$E$35</c:f>
              <c:numCache>
                <c:formatCode>General</c:formatCode>
                <c:ptCount val="10"/>
                <c:pt idx="0">
                  <c:v>239.4</c:v>
                </c:pt>
                <c:pt idx="1">
                  <c:v>229.3</c:v>
                </c:pt>
                <c:pt idx="2">
                  <c:v>239</c:v>
                </c:pt>
                <c:pt idx="3">
                  <c:v>250.4</c:v>
                </c:pt>
                <c:pt idx="4">
                  <c:v>257.89999999999998</c:v>
                </c:pt>
                <c:pt idx="5">
                  <c:v>270.3</c:v>
                </c:pt>
                <c:pt idx="6">
                  <c:v>276</c:v>
                </c:pt>
                <c:pt idx="7">
                  <c:v>324.39999999999998</c:v>
                </c:pt>
                <c:pt idx="8">
                  <c:v>342</c:v>
                </c:pt>
                <c:pt idx="9">
                  <c:v>357.9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0B-41E8-B627-909F7E0C9668}"/>
            </c:ext>
          </c:extLst>
        </c:ser>
        <c:ser>
          <c:idx val="0"/>
          <c:order val="2"/>
          <c:tx>
            <c:v>Popular science articles</c:v>
          </c:tx>
          <c:spPr>
            <a:ln w="25400" cap="flat" cmpd="sng" algn="ctr">
              <a:solidFill>
                <a:schemeClr val="dk1"/>
              </a:solidFill>
              <a:prstDash val="sysDot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sysDot"/>
              </a:ln>
              <a:effectLst/>
            </c:spPr>
          </c:marker>
          <c:cat>
            <c:numRef>
              <c:f>Sheet5!$C$26:$C$35</c:f>
              <c:numCache>
                <c:formatCode>General</c:formatCode>
                <c:ptCount val="10"/>
                <c:pt idx="0">
                  <c:v>1700</c:v>
                </c:pt>
                <c:pt idx="1">
                  <c:v>1750</c:v>
                </c:pt>
                <c:pt idx="2">
                  <c:v>1800</c:v>
                </c:pt>
                <c:pt idx="3">
                  <c:v>1850</c:v>
                </c:pt>
                <c:pt idx="4">
                  <c:v>1875</c:v>
                </c:pt>
                <c:pt idx="5">
                  <c:v>1900</c:v>
                </c:pt>
                <c:pt idx="6">
                  <c:v>1925</c:v>
                </c:pt>
                <c:pt idx="7">
                  <c:v>1965</c:v>
                </c:pt>
                <c:pt idx="8">
                  <c:v>1985</c:v>
                </c:pt>
                <c:pt idx="9">
                  <c:v>2005</c:v>
                </c:pt>
              </c:numCache>
            </c:numRef>
          </c:cat>
          <c:val>
            <c:numRef>
              <c:f>Sheet5!$E$39:$E$47</c:f>
              <c:numCache>
                <c:formatCode>General</c:formatCode>
                <c:ptCount val="9"/>
                <c:pt idx="0">
                  <c:v>239.4</c:v>
                </c:pt>
                <c:pt idx="1">
                  <c:v>229.3</c:v>
                </c:pt>
                <c:pt idx="2">
                  <c:v>239</c:v>
                </c:pt>
                <c:pt idx="3">
                  <c:v>250.4</c:v>
                </c:pt>
                <c:pt idx="4">
                  <c:v>257.89999999999998</c:v>
                </c:pt>
                <c:pt idx="5">
                  <c:v>270.3</c:v>
                </c:pt>
                <c:pt idx="6">
                  <c:v>276</c:v>
                </c:pt>
                <c:pt idx="7">
                  <c:v>295</c:v>
                </c:pt>
                <c:pt idx="8">
                  <c:v>312.39999999999998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0B-41E8-B627-909F7E0C9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51736"/>
        <c:axId val="1"/>
      </c:lineChart>
      <c:catAx>
        <c:axId val="126151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Century</a:t>
                </a:r>
              </a:p>
            </c:rich>
          </c:tx>
          <c:layout>
            <c:manualLayout>
              <c:xMode val="edge"/>
              <c:yMode val="edge"/>
              <c:x val="0.4273030180804237"/>
              <c:y val="0.962479608482871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per 1,000 words</a:t>
                </a:r>
              </a:p>
            </c:rich>
          </c:tx>
          <c:layout>
            <c:manualLayout>
              <c:xMode val="edge"/>
              <c:yMode val="edge"/>
              <c:x val="1.6648136132203964E-2"/>
              <c:y val="0.4176182707993474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6151736"/>
        <c:crosses val="autoZero"/>
        <c:crossBetween val="between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6903436624987573"/>
          <c:y val="0.32463295269168024"/>
          <c:w val="1"/>
          <c:h val="0.64156315697079469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5:  Historical use of nouns as nominal premodifiers</a:t>
            </a:r>
          </a:p>
        </c:rich>
      </c:tx>
      <c:layout>
        <c:manualLayout>
          <c:xMode val="edge"/>
          <c:yMode val="edge"/>
          <c:x val="0.17599600161338408"/>
          <c:y val="4.13268080478520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32186459489471E-2"/>
          <c:y val="0.14355628058727582"/>
          <c:w val="0.77025527192008902"/>
          <c:h val="0.76998368678629692"/>
        </c:manualLayout>
      </c:layout>
      <c:lineChart>
        <c:grouping val="standard"/>
        <c:varyColors val="0"/>
        <c:ser>
          <c:idx val="1"/>
          <c:order val="0"/>
          <c:tx>
            <c:v>Academic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Sheet4!$C$21:$C$23</c:f>
              <c:strCache>
                <c:ptCount val="3"/>
                <c:pt idx="0">
                  <c:v>18th</c:v>
                </c:pt>
                <c:pt idx="1">
                  <c:v>19th</c:v>
                </c:pt>
                <c:pt idx="2">
                  <c:v>20th</c:v>
                </c:pt>
              </c:strCache>
            </c:strRef>
          </c:cat>
          <c:val>
            <c:numRef>
              <c:f>Sheet4!$G$21:$G$23</c:f>
              <c:numCache>
                <c:formatCode>General</c:formatCode>
                <c:ptCount val="3"/>
                <c:pt idx="0">
                  <c:v>7.2</c:v>
                </c:pt>
                <c:pt idx="1">
                  <c:v>11.5</c:v>
                </c:pt>
                <c:pt idx="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6-4472-8672-C233F740CB2F}"/>
            </c:ext>
          </c:extLst>
        </c:ser>
        <c:ser>
          <c:idx val="4"/>
          <c:order val="1"/>
          <c:tx>
            <c:v>Newspapers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x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Sheet4!$C$21:$C$23</c:f>
              <c:strCache>
                <c:ptCount val="3"/>
                <c:pt idx="0">
                  <c:v>18th</c:v>
                </c:pt>
                <c:pt idx="1">
                  <c:v>19th</c:v>
                </c:pt>
                <c:pt idx="2">
                  <c:v>20th</c:v>
                </c:pt>
              </c:strCache>
            </c:strRef>
          </c:cat>
          <c:val>
            <c:numRef>
              <c:f>Sheet4!$G$35:$G$37</c:f>
              <c:numCache>
                <c:formatCode>General</c:formatCode>
                <c:ptCount val="3"/>
                <c:pt idx="0">
                  <c:v>9.4</c:v>
                </c:pt>
                <c:pt idx="1">
                  <c:v>11.8</c:v>
                </c:pt>
                <c:pt idx="2">
                  <c:v>31.2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6-4472-8672-C233F740CB2F}"/>
            </c:ext>
          </c:extLst>
        </c:ser>
        <c:ser>
          <c:idx val="0"/>
          <c:order val="2"/>
          <c:tx>
            <c:v>Novels</c:v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square"/>
            <c:size val="3"/>
            <c:spPr>
              <a:solidFill>
                <a:srgbClr val="333333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cat>
            <c:strRef>
              <c:f>Sheet4!$C$21:$C$23</c:f>
              <c:strCache>
                <c:ptCount val="3"/>
                <c:pt idx="0">
                  <c:v>18th</c:v>
                </c:pt>
                <c:pt idx="1">
                  <c:v>19th</c:v>
                </c:pt>
                <c:pt idx="2">
                  <c:v>20th</c:v>
                </c:pt>
              </c:strCache>
            </c:strRef>
          </c:cat>
          <c:val>
            <c:numRef>
              <c:f>Sheet4!$G$39:$G$41</c:f>
              <c:numCache>
                <c:formatCode>General</c:formatCode>
                <c:ptCount val="3"/>
                <c:pt idx="0">
                  <c:v>5.4</c:v>
                </c:pt>
                <c:pt idx="1">
                  <c:v>7.9</c:v>
                </c:pt>
                <c:pt idx="2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E6-4472-8672-C233F740CB2F}"/>
            </c:ext>
          </c:extLst>
        </c:ser>
        <c:ser>
          <c:idx val="2"/>
          <c:order val="3"/>
          <c:tx>
            <c:v>Drama</c:v>
          </c:tx>
          <c:spPr>
            <a:ln w="25400" cap="flat" cmpd="sng" algn="ctr">
              <a:solidFill>
                <a:schemeClr val="dk1"/>
              </a:solidFill>
              <a:prstDash val="sysDot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sysDot"/>
              </a:ln>
              <a:effectLst/>
            </c:spPr>
          </c:marker>
          <c:val>
            <c:numRef>
              <c:f>Sheet4!$G$29:$G$31</c:f>
              <c:numCache>
                <c:formatCode>General</c:formatCode>
                <c:ptCount val="3"/>
                <c:pt idx="0">
                  <c:v>7.4</c:v>
                </c:pt>
                <c:pt idx="1">
                  <c:v>7.4</c:v>
                </c:pt>
                <c:pt idx="2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E6-4472-8672-C233F740C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25024"/>
        <c:axId val="1"/>
      </c:lineChart>
      <c:catAx>
        <c:axId val="12792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Century</a:t>
                </a:r>
              </a:p>
            </c:rich>
          </c:tx>
          <c:layout>
            <c:manualLayout>
              <c:xMode val="edge"/>
              <c:yMode val="edge"/>
              <c:x val="0.4273030180804237"/>
              <c:y val="0.9624796084828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9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Rate per 1,000 words</a:t>
                </a:r>
              </a:p>
            </c:rich>
          </c:tx>
          <c:layout>
            <c:manualLayout>
              <c:xMode val="edge"/>
              <c:yMode val="edge"/>
              <c:x val="1.6648136132203964E-2"/>
              <c:y val="0.417618270799347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2502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6903436624987573"/>
          <c:y val="0.32463295269168024"/>
          <c:w val="1"/>
          <c:h val="0.465380448977319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Figure 6:  Historical use of nouns as nominal pre-modifiers </a:t>
            </a:r>
            <a:r>
              <a:rPr lang="en-US" sz="1400" b="1" i="0" u="none" strike="noStrike" baseline="0"/>
              <a:t>in academic sub-registers</a:t>
            </a:r>
            <a:endParaRPr lang="en-US" sz="1400"/>
          </a:p>
        </c:rich>
      </c:tx>
      <c:layout>
        <c:manualLayout>
          <c:xMode val="edge"/>
          <c:yMode val="edge"/>
          <c:x val="0.105605106711327"/>
          <c:y val="2.61011419249592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86499599576831E-2"/>
          <c:y val="0.1435562805872759"/>
          <c:w val="0.7702552719200898"/>
          <c:h val="0.76998368678629692"/>
        </c:manualLayout>
      </c:layout>
      <c:lineChart>
        <c:grouping val="standard"/>
        <c:varyColors val="0"/>
        <c:ser>
          <c:idx val="1"/>
          <c:order val="0"/>
          <c:tx>
            <c:v>Science research articles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Sheet5!$C$26:$C$35</c:f>
              <c:numCache>
                <c:formatCode>General</c:formatCode>
                <c:ptCount val="10"/>
                <c:pt idx="0">
                  <c:v>1700</c:v>
                </c:pt>
                <c:pt idx="1">
                  <c:v>1750</c:v>
                </c:pt>
                <c:pt idx="2">
                  <c:v>1800</c:v>
                </c:pt>
                <c:pt idx="3">
                  <c:v>1850</c:v>
                </c:pt>
                <c:pt idx="4">
                  <c:v>1875</c:v>
                </c:pt>
                <c:pt idx="5">
                  <c:v>1900</c:v>
                </c:pt>
                <c:pt idx="6">
                  <c:v>1925</c:v>
                </c:pt>
                <c:pt idx="7">
                  <c:v>1965</c:v>
                </c:pt>
                <c:pt idx="8">
                  <c:v>1985</c:v>
                </c:pt>
                <c:pt idx="9">
                  <c:v>2005</c:v>
                </c:pt>
              </c:numCache>
            </c:numRef>
          </c:cat>
          <c:val>
            <c:numRef>
              <c:f>Sheet5!$H$10:$H$19</c:f>
              <c:numCache>
                <c:formatCode>General</c:formatCode>
                <c:ptCount val="10"/>
                <c:pt idx="0">
                  <c:v>6.4</c:v>
                </c:pt>
                <c:pt idx="1">
                  <c:v>8.3000000000000007</c:v>
                </c:pt>
                <c:pt idx="2">
                  <c:v>10.1</c:v>
                </c:pt>
                <c:pt idx="3">
                  <c:v>10.1</c:v>
                </c:pt>
                <c:pt idx="4">
                  <c:v>14.6</c:v>
                </c:pt>
                <c:pt idx="5">
                  <c:v>17.8</c:v>
                </c:pt>
                <c:pt idx="6">
                  <c:v>23.5</c:v>
                </c:pt>
                <c:pt idx="7">
                  <c:v>50.3</c:v>
                </c:pt>
                <c:pt idx="8">
                  <c:v>60.1</c:v>
                </c:pt>
                <c:pt idx="9">
                  <c:v>76.599999999999994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E-4560-AB91-E292AD4518E0}"/>
            </c:ext>
          </c:extLst>
        </c:ser>
        <c:ser>
          <c:idx val="4"/>
          <c:order val="1"/>
          <c:tx>
            <c:v>Non-science research articles</c:v>
          </c:tx>
          <c:spPr>
            <a:ln w="28575" cap="flat" cmpd="sng" algn="ctr">
              <a:solidFill>
                <a:schemeClr val="dk1"/>
              </a:solidFill>
              <a:prstDash val="dashDot"/>
            </a:ln>
            <a:effectLst/>
          </c:spPr>
          <c:marker>
            <c:spPr>
              <a:solidFill>
                <a:srgbClr val="FFFFFF"/>
              </a:solidFill>
              <a:ln w="28575">
                <a:solidFill>
                  <a:srgbClr val="000000"/>
                </a:solidFill>
                <a:prstDash val="dashDot"/>
              </a:ln>
            </c:spPr>
          </c:marker>
          <c:cat>
            <c:numRef>
              <c:f>Sheet5!$C$26:$C$35</c:f>
              <c:numCache>
                <c:formatCode>General</c:formatCode>
                <c:ptCount val="10"/>
                <c:pt idx="0">
                  <c:v>1700</c:v>
                </c:pt>
                <c:pt idx="1">
                  <c:v>1750</c:v>
                </c:pt>
                <c:pt idx="2">
                  <c:v>1800</c:v>
                </c:pt>
                <c:pt idx="3">
                  <c:v>1850</c:v>
                </c:pt>
                <c:pt idx="4">
                  <c:v>1875</c:v>
                </c:pt>
                <c:pt idx="5">
                  <c:v>1900</c:v>
                </c:pt>
                <c:pt idx="6">
                  <c:v>1925</c:v>
                </c:pt>
                <c:pt idx="7">
                  <c:v>1965</c:v>
                </c:pt>
                <c:pt idx="8">
                  <c:v>1985</c:v>
                </c:pt>
                <c:pt idx="9">
                  <c:v>2005</c:v>
                </c:pt>
              </c:numCache>
            </c:numRef>
          </c:cat>
          <c:val>
            <c:numRef>
              <c:f>Sheet5!$H$26:$H$35</c:f>
              <c:numCache>
                <c:formatCode>General</c:formatCode>
                <c:ptCount val="10"/>
                <c:pt idx="0">
                  <c:v>6.4</c:v>
                </c:pt>
                <c:pt idx="1">
                  <c:v>8.3000000000000007</c:v>
                </c:pt>
                <c:pt idx="2">
                  <c:v>10.1</c:v>
                </c:pt>
                <c:pt idx="3">
                  <c:v>10.1</c:v>
                </c:pt>
                <c:pt idx="4">
                  <c:v>14.6</c:v>
                </c:pt>
                <c:pt idx="5">
                  <c:v>17.8</c:v>
                </c:pt>
                <c:pt idx="6">
                  <c:v>23.5</c:v>
                </c:pt>
                <c:pt idx="7">
                  <c:v>36.1</c:v>
                </c:pt>
                <c:pt idx="8">
                  <c:v>46.4</c:v>
                </c:pt>
                <c:pt idx="9">
                  <c:v>52.2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4E-4560-AB91-E292AD4518E0}"/>
            </c:ext>
          </c:extLst>
        </c:ser>
        <c:ser>
          <c:idx val="0"/>
          <c:order val="2"/>
          <c:tx>
            <c:v>Popular science articles</c:v>
          </c:tx>
          <c:spPr>
            <a:ln w="25400" cap="flat" cmpd="sng" algn="ctr">
              <a:solidFill>
                <a:schemeClr val="dk1"/>
              </a:solidFill>
              <a:prstDash val="sysDot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sysDot"/>
              </a:ln>
              <a:effectLst/>
            </c:spPr>
          </c:marker>
          <c:cat>
            <c:numRef>
              <c:f>Sheet5!$C$26:$C$35</c:f>
              <c:numCache>
                <c:formatCode>General</c:formatCode>
                <c:ptCount val="10"/>
                <c:pt idx="0">
                  <c:v>1700</c:v>
                </c:pt>
                <c:pt idx="1">
                  <c:v>1750</c:v>
                </c:pt>
                <c:pt idx="2">
                  <c:v>1800</c:v>
                </c:pt>
                <c:pt idx="3">
                  <c:v>1850</c:v>
                </c:pt>
                <c:pt idx="4">
                  <c:v>1875</c:v>
                </c:pt>
                <c:pt idx="5">
                  <c:v>1900</c:v>
                </c:pt>
                <c:pt idx="6">
                  <c:v>1925</c:v>
                </c:pt>
                <c:pt idx="7">
                  <c:v>1965</c:v>
                </c:pt>
                <c:pt idx="8">
                  <c:v>1985</c:v>
                </c:pt>
                <c:pt idx="9">
                  <c:v>2005</c:v>
                </c:pt>
              </c:numCache>
            </c:numRef>
          </c:cat>
          <c:val>
            <c:numRef>
              <c:f>Sheet5!$H$39:$H$47</c:f>
              <c:numCache>
                <c:formatCode>General</c:formatCode>
                <c:ptCount val="9"/>
                <c:pt idx="0">
                  <c:v>6.4</c:v>
                </c:pt>
                <c:pt idx="1">
                  <c:v>8.3000000000000007</c:v>
                </c:pt>
                <c:pt idx="2">
                  <c:v>10.1</c:v>
                </c:pt>
                <c:pt idx="3">
                  <c:v>10.1</c:v>
                </c:pt>
                <c:pt idx="4">
                  <c:v>14.6</c:v>
                </c:pt>
                <c:pt idx="5">
                  <c:v>17.8</c:v>
                </c:pt>
                <c:pt idx="6">
                  <c:v>23.5</c:v>
                </c:pt>
                <c:pt idx="7">
                  <c:v>33</c:v>
                </c:pt>
                <c:pt idx="8">
                  <c:v>43.2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4E-4560-AB91-E292AD451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53376"/>
        <c:axId val="1"/>
      </c:lineChart>
      <c:catAx>
        <c:axId val="12615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Century</a:t>
                </a:r>
              </a:p>
            </c:rich>
          </c:tx>
          <c:layout>
            <c:manualLayout>
              <c:xMode val="edge"/>
              <c:yMode val="edge"/>
              <c:x val="0.4273030180804237"/>
              <c:y val="0.962479608482871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per 1,000 words</a:t>
                </a:r>
              </a:p>
            </c:rich>
          </c:tx>
          <c:layout>
            <c:manualLayout>
              <c:xMode val="edge"/>
              <c:yMode val="edge"/>
              <c:x val="1.6648136132203964E-2"/>
              <c:y val="0.4176182707993474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6153376"/>
        <c:crosses val="autoZero"/>
        <c:crossBetween val="between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6903436624987573"/>
          <c:y val="0.32463295269168024"/>
          <c:w val="1"/>
          <c:h val="0.64156315697079469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Figure 7:  Historical use of simple verb phrases (no marked aspect, voice, modality) </a:t>
            </a:r>
            <a:r>
              <a:rPr lang="en-US" sz="1400" b="1" i="0" u="none" strike="noStrike" baseline="0"/>
              <a:t>in academic registers</a:t>
            </a:r>
            <a:endParaRPr lang="en-US" sz="1400"/>
          </a:p>
        </c:rich>
      </c:tx>
      <c:layout>
        <c:manualLayout>
          <c:xMode val="edge"/>
          <c:yMode val="edge"/>
          <c:x val="0.12993318485523386"/>
          <c:y val="1.957585644371941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86499599576873E-2"/>
          <c:y val="0.14355628058727601"/>
          <c:w val="0.77025527192009002"/>
          <c:h val="0.76998368678629692"/>
        </c:manualLayout>
      </c:layout>
      <c:lineChart>
        <c:grouping val="standard"/>
        <c:varyColors val="0"/>
        <c:ser>
          <c:idx val="1"/>
          <c:order val="0"/>
          <c:tx>
            <c:v>Science research articles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Sheet6!$A$29:$A$36</c:f>
              <c:numCache>
                <c:formatCode>General</c:formatCode>
                <c:ptCount val="8"/>
                <c:pt idx="0">
                  <c:v>1800</c:v>
                </c:pt>
                <c:pt idx="1">
                  <c:v>1850</c:v>
                </c:pt>
                <c:pt idx="2">
                  <c:v>1875</c:v>
                </c:pt>
                <c:pt idx="3">
                  <c:v>1900</c:v>
                </c:pt>
                <c:pt idx="4">
                  <c:v>1925</c:v>
                </c:pt>
                <c:pt idx="5">
                  <c:v>1965</c:v>
                </c:pt>
                <c:pt idx="6">
                  <c:v>1985</c:v>
                </c:pt>
                <c:pt idx="7">
                  <c:v>2005</c:v>
                </c:pt>
              </c:numCache>
            </c:numRef>
          </c:cat>
          <c:val>
            <c:numRef>
              <c:f>Sheet6!$C$29:$C$36</c:f>
              <c:numCache>
                <c:formatCode>General</c:formatCode>
                <c:ptCount val="8"/>
                <c:pt idx="0">
                  <c:v>52.71</c:v>
                </c:pt>
                <c:pt idx="1">
                  <c:v>44.8</c:v>
                </c:pt>
                <c:pt idx="2">
                  <c:v>52.2</c:v>
                </c:pt>
                <c:pt idx="3">
                  <c:v>49.5</c:v>
                </c:pt>
                <c:pt idx="4">
                  <c:v>49.4</c:v>
                </c:pt>
                <c:pt idx="5">
                  <c:v>37.979999999999997</c:v>
                </c:pt>
                <c:pt idx="6">
                  <c:v>37.090000000000003</c:v>
                </c:pt>
                <c:pt idx="7">
                  <c:v>37.15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30-4C08-A780-3D845F81E25F}"/>
            </c:ext>
          </c:extLst>
        </c:ser>
        <c:ser>
          <c:idx val="4"/>
          <c:order val="1"/>
          <c:tx>
            <c:v>Non-science research articles</c:v>
          </c:tx>
          <c:spPr>
            <a:ln w="28575" cap="flat" cmpd="sng" algn="ctr">
              <a:solidFill>
                <a:schemeClr val="dk1"/>
              </a:solidFill>
              <a:prstDash val="dashDot"/>
            </a:ln>
            <a:effectLst/>
          </c:spPr>
          <c:marker>
            <c:spPr>
              <a:solidFill>
                <a:srgbClr val="FFFFFF"/>
              </a:solidFill>
              <a:ln w="28575">
                <a:solidFill>
                  <a:srgbClr val="000000"/>
                </a:solidFill>
                <a:prstDash val="dashDot"/>
              </a:ln>
            </c:spPr>
          </c:marker>
          <c:cat>
            <c:numRef>
              <c:f>Sheet6!$A$29:$A$36</c:f>
              <c:numCache>
                <c:formatCode>General</c:formatCode>
                <c:ptCount val="8"/>
                <c:pt idx="0">
                  <c:v>1800</c:v>
                </c:pt>
                <c:pt idx="1">
                  <c:v>1850</c:v>
                </c:pt>
                <c:pt idx="2">
                  <c:v>1875</c:v>
                </c:pt>
                <c:pt idx="3">
                  <c:v>1900</c:v>
                </c:pt>
                <c:pt idx="4">
                  <c:v>1925</c:v>
                </c:pt>
                <c:pt idx="5">
                  <c:v>1965</c:v>
                </c:pt>
                <c:pt idx="6">
                  <c:v>1985</c:v>
                </c:pt>
                <c:pt idx="7">
                  <c:v>2005</c:v>
                </c:pt>
              </c:numCache>
            </c:numRef>
          </c:cat>
          <c:val>
            <c:numRef>
              <c:f>Sheet6!$C$39:$C$46</c:f>
              <c:numCache>
                <c:formatCode>General</c:formatCode>
                <c:ptCount val="8"/>
                <c:pt idx="0">
                  <c:v>52.71</c:v>
                </c:pt>
                <c:pt idx="1">
                  <c:v>44.8</c:v>
                </c:pt>
                <c:pt idx="2">
                  <c:v>52.2</c:v>
                </c:pt>
                <c:pt idx="3">
                  <c:v>49.5</c:v>
                </c:pt>
                <c:pt idx="4">
                  <c:v>49.4</c:v>
                </c:pt>
                <c:pt idx="5">
                  <c:v>49.7</c:v>
                </c:pt>
                <c:pt idx="6">
                  <c:v>46.5</c:v>
                </c:pt>
                <c:pt idx="7">
                  <c:v>49.4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30-4C08-A780-3D845F81E25F}"/>
            </c:ext>
          </c:extLst>
        </c:ser>
        <c:ser>
          <c:idx val="0"/>
          <c:order val="2"/>
          <c:tx>
            <c:v>Popular science articles</c:v>
          </c:tx>
          <c:spPr>
            <a:ln w="25400" cap="flat" cmpd="sng" algn="ctr">
              <a:solidFill>
                <a:schemeClr val="dk1"/>
              </a:solidFill>
              <a:prstDash val="sysDot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sysDot"/>
              </a:ln>
              <a:effectLst/>
            </c:spPr>
          </c:marker>
          <c:cat>
            <c:numRef>
              <c:f>Sheet6!$A$29:$A$36</c:f>
              <c:numCache>
                <c:formatCode>General</c:formatCode>
                <c:ptCount val="8"/>
                <c:pt idx="0">
                  <c:v>1800</c:v>
                </c:pt>
                <c:pt idx="1">
                  <c:v>1850</c:v>
                </c:pt>
                <c:pt idx="2">
                  <c:v>1875</c:v>
                </c:pt>
                <c:pt idx="3">
                  <c:v>1900</c:v>
                </c:pt>
                <c:pt idx="4">
                  <c:v>1925</c:v>
                </c:pt>
                <c:pt idx="5">
                  <c:v>1965</c:v>
                </c:pt>
                <c:pt idx="6">
                  <c:v>1985</c:v>
                </c:pt>
                <c:pt idx="7">
                  <c:v>2005</c:v>
                </c:pt>
              </c:numCache>
            </c:numRef>
          </c:cat>
          <c:val>
            <c:numRef>
              <c:f>Sheet6!$C$20:$C$26</c:f>
              <c:numCache>
                <c:formatCode>General</c:formatCode>
                <c:ptCount val="7"/>
                <c:pt idx="0">
                  <c:v>52.71</c:v>
                </c:pt>
                <c:pt idx="1">
                  <c:v>44.8</c:v>
                </c:pt>
                <c:pt idx="2">
                  <c:v>52.2</c:v>
                </c:pt>
                <c:pt idx="3">
                  <c:v>49.5</c:v>
                </c:pt>
                <c:pt idx="4">
                  <c:v>49.4</c:v>
                </c:pt>
                <c:pt idx="5">
                  <c:v>48.7</c:v>
                </c:pt>
                <c:pt idx="6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30-4C08-A780-3D845F81E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99152"/>
        <c:axId val="1"/>
      </c:lineChart>
      <c:catAx>
        <c:axId val="12539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Century</a:t>
                </a:r>
              </a:p>
            </c:rich>
          </c:tx>
          <c:layout>
            <c:manualLayout>
              <c:xMode val="edge"/>
              <c:yMode val="edge"/>
              <c:x val="0.4273030180804237"/>
              <c:y val="0.962479608482871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per 1,000 words</a:t>
                </a:r>
              </a:p>
            </c:rich>
          </c:tx>
          <c:layout>
            <c:manualLayout>
              <c:xMode val="edge"/>
              <c:yMode val="edge"/>
              <c:x val="1.6648136132203964E-2"/>
              <c:y val="0.4176182707993474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5399152"/>
        <c:crosses val="autoZero"/>
        <c:crossBetween val="between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6903436624987573"/>
          <c:y val="0.32463295269168024"/>
          <c:w val="1"/>
          <c:h val="0.64156315697079469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Figure 8:  Historical use of perfect aspect verb phrases </a:t>
            </a:r>
            <a:r>
              <a:rPr lang="en-US" sz="1400" b="1" i="0" u="none" strike="noStrike" baseline="0"/>
              <a:t>in academic registers</a:t>
            </a:r>
            <a:r>
              <a:rPr lang="en-US" sz="1400"/>
              <a:t> </a:t>
            </a:r>
          </a:p>
        </c:rich>
      </c:tx>
      <c:layout>
        <c:manualLayout>
          <c:xMode val="edge"/>
          <c:yMode val="edge"/>
          <c:x val="0.10472651386282728"/>
          <c:y val="2.61011419249592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86499599576887E-2"/>
          <c:y val="0.14355628058727607"/>
          <c:w val="0.77025527192009013"/>
          <c:h val="0.76998368678629692"/>
        </c:manualLayout>
      </c:layout>
      <c:lineChart>
        <c:grouping val="standard"/>
        <c:varyColors val="0"/>
        <c:ser>
          <c:idx val="1"/>
          <c:order val="0"/>
          <c:tx>
            <c:v>Science research articles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Sheet6!$A$29:$A$36</c:f>
              <c:numCache>
                <c:formatCode>General</c:formatCode>
                <c:ptCount val="8"/>
                <c:pt idx="0">
                  <c:v>1800</c:v>
                </c:pt>
                <c:pt idx="1">
                  <c:v>1850</c:v>
                </c:pt>
                <c:pt idx="2">
                  <c:v>1875</c:v>
                </c:pt>
                <c:pt idx="3">
                  <c:v>1900</c:v>
                </c:pt>
                <c:pt idx="4">
                  <c:v>1925</c:v>
                </c:pt>
                <c:pt idx="5">
                  <c:v>1965</c:v>
                </c:pt>
                <c:pt idx="6">
                  <c:v>1985</c:v>
                </c:pt>
                <c:pt idx="7">
                  <c:v>2005</c:v>
                </c:pt>
              </c:numCache>
            </c:numRef>
          </c:cat>
          <c:val>
            <c:numRef>
              <c:f>Sheet6!$D$29:$D$36</c:f>
              <c:numCache>
                <c:formatCode>General</c:formatCode>
                <c:ptCount val="8"/>
                <c:pt idx="0">
                  <c:v>5.6</c:v>
                </c:pt>
                <c:pt idx="1">
                  <c:v>4.8</c:v>
                </c:pt>
                <c:pt idx="2">
                  <c:v>6</c:v>
                </c:pt>
                <c:pt idx="3">
                  <c:v>5</c:v>
                </c:pt>
                <c:pt idx="4">
                  <c:v>6.5</c:v>
                </c:pt>
                <c:pt idx="5">
                  <c:v>2.82</c:v>
                </c:pt>
                <c:pt idx="6">
                  <c:v>2.93</c:v>
                </c:pt>
                <c:pt idx="7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C6-4299-B149-90AF8845AA3A}"/>
            </c:ext>
          </c:extLst>
        </c:ser>
        <c:ser>
          <c:idx val="4"/>
          <c:order val="1"/>
          <c:tx>
            <c:v>Non-science research articles</c:v>
          </c:tx>
          <c:spPr>
            <a:ln w="28575" cap="flat" cmpd="sng" algn="ctr">
              <a:solidFill>
                <a:schemeClr val="dk1"/>
              </a:solidFill>
              <a:prstDash val="dashDot"/>
            </a:ln>
            <a:effectLst/>
          </c:spPr>
          <c:marker>
            <c:spPr>
              <a:solidFill>
                <a:srgbClr val="FFFFFF"/>
              </a:solidFill>
              <a:ln w="28575">
                <a:solidFill>
                  <a:srgbClr val="000000"/>
                </a:solidFill>
                <a:prstDash val="dashDot"/>
              </a:ln>
            </c:spPr>
          </c:marker>
          <c:cat>
            <c:numRef>
              <c:f>Sheet6!$A$29:$A$36</c:f>
              <c:numCache>
                <c:formatCode>General</c:formatCode>
                <c:ptCount val="8"/>
                <c:pt idx="0">
                  <c:v>1800</c:v>
                </c:pt>
                <c:pt idx="1">
                  <c:v>1850</c:v>
                </c:pt>
                <c:pt idx="2">
                  <c:v>1875</c:v>
                </c:pt>
                <c:pt idx="3">
                  <c:v>1900</c:v>
                </c:pt>
                <c:pt idx="4">
                  <c:v>1925</c:v>
                </c:pt>
                <c:pt idx="5">
                  <c:v>1965</c:v>
                </c:pt>
                <c:pt idx="6">
                  <c:v>1985</c:v>
                </c:pt>
                <c:pt idx="7">
                  <c:v>2005</c:v>
                </c:pt>
              </c:numCache>
            </c:numRef>
          </c:cat>
          <c:val>
            <c:numRef>
              <c:f>Sheet6!$D$39:$D$46</c:f>
              <c:numCache>
                <c:formatCode>General</c:formatCode>
                <c:ptCount val="8"/>
                <c:pt idx="0">
                  <c:v>5.6</c:v>
                </c:pt>
                <c:pt idx="1">
                  <c:v>4.8</c:v>
                </c:pt>
                <c:pt idx="2">
                  <c:v>6</c:v>
                </c:pt>
                <c:pt idx="3">
                  <c:v>5</c:v>
                </c:pt>
                <c:pt idx="4">
                  <c:v>6.5</c:v>
                </c:pt>
                <c:pt idx="5">
                  <c:v>4.43</c:v>
                </c:pt>
                <c:pt idx="6">
                  <c:v>3.62</c:v>
                </c:pt>
                <c:pt idx="7">
                  <c:v>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C6-4299-B149-90AF8845AA3A}"/>
            </c:ext>
          </c:extLst>
        </c:ser>
        <c:ser>
          <c:idx val="0"/>
          <c:order val="2"/>
          <c:tx>
            <c:v>Popular science articles</c:v>
          </c:tx>
          <c:spPr>
            <a:ln w="25400" cap="flat" cmpd="sng" algn="ctr">
              <a:solidFill>
                <a:schemeClr val="dk1"/>
              </a:solidFill>
              <a:prstDash val="sysDot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sysDot"/>
              </a:ln>
              <a:effectLst/>
            </c:spPr>
          </c:marker>
          <c:cat>
            <c:numRef>
              <c:f>Sheet6!$A$29:$A$36</c:f>
              <c:numCache>
                <c:formatCode>General</c:formatCode>
                <c:ptCount val="8"/>
                <c:pt idx="0">
                  <c:v>1800</c:v>
                </c:pt>
                <c:pt idx="1">
                  <c:v>1850</c:v>
                </c:pt>
                <c:pt idx="2">
                  <c:v>1875</c:v>
                </c:pt>
                <c:pt idx="3">
                  <c:v>1900</c:v>
                </c:pt>
                <c:pt idx="4">
                  <c:v>1925</c:v>
                </c:pt>
                <c:pt idx="5">
                  <c:v>1965</c:v>
                </c:pt>
                <c:pt idx="6">
                  <c:v>1985</c:v>
                </c:pt>
                <c:pt idx="7">
                  <c:v>2005</c:v>
                </c:pt>
              </c:numCache>
            </c:numRef>
          </c:cat>
          <c:val>
            <c:numRef>
              <c:f>Sheet6!$D$20:$D$26</c:f>
              <c:numCache>
                <c:formatCode>General</c:formatCode>
                <c:ptCount val="7"/>
                <c:pt idx="0">
                  <c:v>5.6</c:v>
                </c:pt>
                <c:pt idx="1">
                  <c:v>4.8</c:v>
                </c:pt>
                <c:pt idx="2">
                  <c:v>6</c:v>
                </c:pt>
                <c:pt idx="3">
                  <c:v>5</c:v>
                </c:pt>
                <c:pt idx="4">
                  <c:v>6.5</c:v>
                </c:pt>
                <c:pt idx="5">
                  <c:v>5.7</c:v>
                </c:pt>
                <c:pt idx="6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C6-4299-B149-90AF8845A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21744"/>
        <c:axId val="1"/>
      </c:lineChart>
      <c:catAx>
        <c:axId val="12792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Century</a:t>
                </a:r>
              </a:p>
            </c:rich>
          </c:tx>
          <c:layout>
            <c:manualLayout>
              <c:xMode val="edge"/>
              <c:yMode val="edge"/>
              <c:x val="0.4273030180804237"/>
              <c:y val="0.962479608482871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per 1,000 words</a:t>
                </a:r>
              </a:p>
            </c:rich>
          </c:tx>
          <c:layout>
            <c:manualLayout>
              <c:xMode val="edge"/>
              <c:yMode val="edge"/>
              <c:x val="1.6648136132203964E-2"/>
              <c:y val="0.4176182707993474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7921744"/>
        <c:crosses val="autoZero"/>
        <c:crossBetween val="between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6903436624987573"/>
          <c:y val="0.32463295269168024"/>
          <c:w val="1"/>
          <c:h val="0.64156315697079469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Figure 9:  Historical use of passive voice verb phrases </a:t>
            </a:r>
            <a:r>
              <a:rPr lang="en-US" sz="1400" b="1" i="0" u="none" strike="noStrike" baseline="0"/>
              <a:t>in academic registers</a:t>
            </a:r>
            <a:r>
              <a:rPr lang="en-US" sz="1400"/>
              <a:t> </a:t>
            </a:r>
          </a:p>
        </c:rich>
      </c:tx>
      <c:layout>
        <c:manualLayout>
          <c:xMode val="edge"/>
          <c:yMode val="edge"/>
          <c:x val="0.14184603873290894"/>
          <c:y val="5.002718868950516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86499599576901E-2"/>
          <c:y val="0.14355628058727615"/>
          <c:w val="0.77025527192009025"/>
          <c:h val="0.76998368678629692"/>
        </c:manualLayout>
      </c:layout>
      <c:lineChart>
        <c:grouping val="standard"/>
        <c:varyColors val="0"/>
        <c:ser>
          <c:idx val="1"/>
          <c:order val="0"/>
          <c:tx>
            <c:v>Science research articles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Sheet6!$A$29:$A$36</c:f>
              <c:numCache>
                <c:formatCode>General</c:formatCode>
                <c:ptCount val="8"/>
                <c:pt idx="0">
                  <c:v>1800</c:v>
                </c:pt>
                <c:pt idx="1">
                  <c:v>1850</c:v>
                </c:pt>
                <c:pt idx="2">
                  <c:v>1875</c:v>
                </c:pt>
                <c:pt idx="3">
                  <c:v>1900</c:v>
                </c:pt>
                <c:pt idx="4">
                  <c:v>1925</c:v>
                </c:pt>
                <c:pt idx="5">
                  <c:v>1965</c:v>
                </c:pt>
                <c:pt idx="6">
                  <c:v>1985</c:v>
                </c:pt>
                <c:pt idx="7">
                  <c:v>2005</c:v>
                </c:pt>
              </c:numCache>
            </c:numRef>
          </c:cat>
          <c:val>
            <c:numRef>
              <c:f>Sheet6!$F$29:$F$36</c:f>
              <c:numCache>
                <c:formatCode>General</c:formatCode>
                <c:ptCount val="8"/>
                <c:pt idx="0">
                  <c:v>25</c:v>
                </c:pt>
                <c:pt idx="1">
                  <c:v>20.5</c:v>
                </c:pt>
                <c:pt idx="2">
                  <c:v>20</c:v>
                </c:pt>
                <c:pt idx="3">
                  <c:v>19</c:v>
                </c:pt>
                <c:pt idx="4">
                  <c:v>22</c:v>
                </c:pt>
                <c:pt idx="5">
                  <c:v>19.95</c:v>
                </c:pt>
                <c:pt idx="6">
                  <c:v>16.55</c:v>
                </c:pt>
                <c:pt idx="7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02-4008-BF61-F886D50C5F00}"/>
            </c:ext>
          </c:extLst>
        </c:ser>
        <c:ser>
          <c:idx val="4"/>
          <c:order val="1"/>
          <c:tx>
            <c:v>Non-science research articles</c:v>
          </c:tx>
          <c:spPr>
            <a:ln w="28575" cap="flat" cmpd="sng" algn="ctr">
              <a:solidFill>
                <a:schemeClr val="dk1"/>
              </a:solidFill>
              <a:prstDash val="dashDot"/>
            </a:ln>
            <a:effectLst/>
          </c:spPr>
          <c:marker>
            <c:spPr>
              <a:solidFill>
                <a:srgbClr val="FFFFFF"/>
              </a:solidFill>
              <a:ln w="28575">
                <a:solidFill>
                  <a:srgbClr val="000000"/>
                </a:solidFill>
                <a:prstDash val="dashDot"/>
              </a:ln>
            </c:spPr>
          </c:marker>
          <c:cat>
            <c:numRef>
              <c:f>Sheet6!$A$29:$A$36</c:f>
              <c:numCache>
                <c:formatCode>General</c:formatCode>
                <c:ptCount val="8"/>
                <c:pt idx="0">
                  <c:v>1800</c:v>
                </c:pt>
                <c:pt idx="1">
                  <c:v>1850</c:v>
                </c:pt>
                <c:pt idx="2">
                  <c:v>1875</c:v>
                </c:pt>
                <c:pt idx="3">
                  <c:v>1900</c:v>
                </c:pt>
                <c:pt idx="4">
                  <c:v>1925</c:v>
                </c:pt>
                <c:pt idx="5">
                  <c:v>1965</c:v>
                </c:pt>
                <c:pt idx="6">
                  <c:v>1985</c:v>
                </c:pt>
                <c:pt idx="7">
                  <c:v>2005</c:v>
                </c:pt>
              </c:numCache>
            </c:numRef>
          </c:cat>
          <c:val>
            <c:numRef>
              <c:f>Sheet6!$F$39:$F$46</c:f>
              <c:numCache>
                <c:formatCode>General</c:formatCode>
                <c:ptCount val="8"/>
                <c:pt idx="0">
                  <c:v>25</c:v>
                </c:pt>
                <c:pt idx="1">
                  <c:v>20.5</c:v>
                </c:pt>
                <c:pt idx="2">
                  <c:v>20</c:v>
                </c:pt>
                <c:pt idx="3">
                  <c:v>19</c:v>
                </c:pt>
                <c:pt idx="4">
                  <c:v>22</c:v>
                </c:pt>
                <c:pt idx="5">
                  <c:v>16.39</c:v>
                </c:pt>
                <c:pt idx="6">
                  <c:v>16.850000000000001</c:v>
                </c:pt>
                <c:pt idx="7">
                  <c:v>14.01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02-4008-BF61-F886D50C5F00}"/>
            </c:ext>
          </c:extLst>
        </c:ser>
        <c:ser>
          <c:idx val="0"/>
          <c:order val="2"/>
          <c:tx>
            <c:v>Popular science articles</c:v>
          </c:tx>
          <c:spPr>
            <a:ln w="25400" cap="flat" cmpd="sng" algn="ctr">
              <a:solidFill>
                <a:schemeClr val="dk1"/>
              </a:solidFill>
              <a:prstDash val="sysDot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sysDot"/>
              </a:ln>
              <a:effectLst/>
            </c:spPr>
          </c:marker>
          <c:cat>
            <c:numRef>
              <c:f>Sheet6!$A$29:$A$36</c:f>
              <c:numCache>
                <c:formatCode>General</c:formatCode>
                <c:ptCount val="8"/>
                <c:pt idx="0">
                  <c:v>1800</c:v>
                </c:pt>
                <c:pt idx="1">
                  <c:v>1850</c:v>
                </c:pt>
                <c:pt idx="2">
                  <c:v>1875</c:v>
                </c:pt>
                <c:pt idx="3">
                  <c:v>1900</c:v>
                </c:pt>
                <c:pt idx="4">
                  <c:v>1925</c:v>
                </c:pt>
                <c:pt idx="5">
                  <c:v>1965</c:v>
                </c:pt>
                <c:pt idx="6">
                  <c:v>1985</c:v>
                </c:pt>
                <c:pt idx="7">
                  <c:v>2005</c:v>
                </c:pt>
              </c:numCache>
            </c:numRef>
          </c:cat>
          <c:val>
            <c:numRef>
              <c:f>Sheet6!$F$20:$F$26</c:f>
              <c:numCache>
                <c:formatCode>General</c:formatCode>
                <c:ptCount val="7"/>
                <c:pt idx="0">
                  <c:v>25</c:v>
                </c:pt>
                <c:pt idx="1">
                  <c:v>20.5</c:v>
                </c:pt>
                <c:pt idx="2">
                  <c:v>20</c:v>
                </c:pt>
                <c:pt idx="3">
                  <c:v>19</c:v>
                </c:pt>
                <c:pt idx="4">
                  <c:v>22</c:v>
                </c:pt>
                <c:pt idx="5">
                  <c:v>20.5</c:v>
                </c:pt>
                <c:pt idx="6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02-4008-BF61-F886D50C5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97840"/>
        <c:axId val="1"/>
      </c:lineChart>
      <c:catAx>
        <c:axId val="12539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Century</a:t>
                </a:r>
              </a:p>
            </c:rich>
          </c:tx>
          <c:layout>
            <c:manualLayout>
              <c:xMode val="edge"/>
              <c:yMode val="edge"/>
              <c:x val="0.4273030180804237"/>
              <c:y val="0.962479608482871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per 1,000 words</a:t>
                </a:r>
              </a:p>
            </c:rich>
          </c:tx>
          <c:layout>
            <c:manualLayout>
              <c:xMode val="edge"/>
              <c:yMode val="edge"/>
              <c:x val="1.6648136132203964E-2"/>
              <c:y val="0.4176182707993474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5397840"/>
        <c:crosses val="autoZero"/>
        <c:crossBetween val="between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6903436624987573"/>
          <c:y val="0.32463295269168024"/>
          <c:w val="1"/>
          <c:h val="0.64156315697079469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Figure 10:  Historical use of verb phrases with modal verbs </a:t>
            </a:r>
            <a:r>
              <a:rPr lang="en-US" sz="1400" b="1" i="0" u="none" strike="noStrike" baseline="0"/>
              <a:t>in academic registers</a:t>
            </a:r>
            <a:endParaRPr lang="en-US" sz="1400"/>
          </a:p>
        </c:rich>
      </c:tx>
      <c:layout>
        <c:manualLayout>
          <c:xMode val="edge"/>
          <c:yMode val="edge"/>
          <c:x val="0.12942835931700075"/>
          <c:y val="4.3501903208265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86499599576914E-2"/>
          <c:y val="0.14355628058727624"/>
          <c:w val="0.77025527192009036"/>
          <c:h val="0.76998368678629692"/>
        </c:manualLayout>
      </c:layout>
      <c:lineChart>
        <c:grouping val="standard"/>
        <c:varyColors val="0"/>
        <c:ser>
          <c:idx val="1"/>
          <c:order val="0"/>
          <c:tx>
            <c:v>Science research articles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Sheet6!$A$29:$A$36</c:f>
              <c:numCache>
                <c:formatCode>General</c:formatCode>
                <c:ptCount val="8"/>
                <c:pt idx="0">
                  <c:v>1800</c:v>
                </c:pt>
                <c:pt idx="1">
                  <c:v>1850</c:v>
                </c:pt>
                <c:pt idx="2">
                  <c:v>1875</c:v>
                </c:pt>
                <c:pt idx="3">
                  <c:v>1900</c:v>
                </c:pt>
                <c:pt idx="4">
                  <c:v>1925</c:v>
                </c:pt>
                <c:pt idx="5">
                  <c:v>1965</c:v>
                </c:pt>
                <c:pt idx="6">
                  <c:v>1985</c:v>
                </c:pt>
                <c:pt idx="7">
                  <c:v>2005</c:v>
                </c:pt>
              </c:numCache>
            </c:numRef>
          </c:cat>
          <c:val>
            <c:numRef>
              <c:f>Sheet6!$H$29:$H$36</c:f>
              <c:numCache>
                <c:formatCode>General</c:formatCode>
                <c:ptCount val="8"/>
                <c:pt idx="0">
                  <c:v>9.4</c:v>
                </c:pt>
                <c:pt idx="1">
                  <c:v>9.1999999999999993</c:v>
                </c:pt>
                <c:pt idx="2">
                  <c:v>10.4</c:v>
                </c:pt>
                <c:pt idx="3">
                  <c:v>9.3000000000000007</c:v>
                </c:pt>
                <c:pt idx="4">
                  <c:v>11.7</c:v>
                </c:pt>
                <c:pt idx="5">
                  <c:v>5.6</c:v>
                </c:pt>
                <c:pt idx="6">
                  <c:v>4.63</c:v>
                </c:pt>
                <c:pt idx="7">
                  <c:v>4.1100000000000003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7-49D0-8EF3-EC7DC905F775}"/>
            </c:ext>
          </c:extLst>
        </c:ser>
        <c:ser>
          <c:idx val="4"/>
          <c:order val="1"/>
          <c:tx>
            <c:v>Non-science research articles</c:v>
          </c:tx>
          <c:spPr>
            <a:ln w="28575" cap="flat" cmpd="sng" algn="ctr">
              <a:solidFill>
                <a:schemeClr val="dk1"/>
              </a:solidFill>
              <a:prstDash val="dashDot"/>
            </a:ln>
            <a:effectLst/>
          </c:spPr>
          <c:marker>
            <c:spPr>
              <a:solidFill>
                <a:srgbClr val="FFFFFF"/>
              </a:solidFill>
              <a:ln w="28575">
                <a:solidFill>
                  <a:srgbClr val="000000"/>
                </a:solidFill>
                <a:prstDash val="dashDot"/>
              </a:ln>
            </c:spPr>
          </c:marker>
          <c:cat>
            <c:numRef>
              <c:f>Sheet6!$A$29:$A$36</c:f>
              <c:numCache>
                <c:formatCode>General</c:formatCode>
                <c:ptCount val="8"/>
                <c:pt idx="0">
                  <c:v>1800</c:v>
                </c:pt>
                <c:pt idx="1">
                  <c:v>1850</c:v>
                </c:pt>
                <c:pt idx="2">
                  <c:v>1875</c:v>
                </c:pt>
                <c:pt idx="3">
                  <c:v>1900</c:v>
                </c:pt>
                <c:pt idx="4">
                  <c:v>1925</c:v>
                </c:pt>
                <c:pt idx="5">
                  <c:v>1965</c:v>
                </c:pt>
                <c:pt idx="6">
                  <c:v>1985</c:v>
                </c:pt>
                <c:pt idx="7">
                  <c:v>2005</c:v>
                </c:pt>
              </c:numCache>
            </c:numRef>
          </c:cat>
          <c:val>
            <c:numRef>
              <c:f>Sheet6!$H$39:$H$46</c:f>
              <c:numCache>
                <c:formatCode>General</c:formatCode>
                <c:ptCount val="8"/>
                <c:pt idx="0">
                  <c:v>9.4</c:v>
                </c:pt>
                <c:pt idx="1">
                  <c:v>9.1999999999999993</c:v>
                </c:pt>
                <c:pt idx="2">
                  <c:v>10.4</c:v>
                </c:pt>
                <c:pt idx="3">
                  <c:v>9.3000000000000007</c:v>
                </c:pt>
                <c:pt idx="4">
                  <c:v>11.7</c:v>
                </c:pt>
                <c:pt idx="5">
                  <c:v>8.7899999999999991</c:v>
                </c:pt>
                <c:pt idx="6">
                  <c:v>7.92</c:v>
                </c:pt>
                <c:pt idx="7">
                  <c:v>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7-49D0-8EF3-EC7DC905F775}"/>
            </c:ext>
          </c:extLst>
        </c:ser>
        <c:ser>
          <c:idx val="0"/>
          <c:order val="2"/>
          <c:tx>
            <c:v>Popular science articles</c:v>
          </c:tx>
          <c:spPr>
            <a:ln w="25400" cap="flat" cmpd="sng" algn="ctr">
              <a:solidFill>
                <a:schemeClr val="dk1"/>
              </a:solidFill>
              <a:prstDash val="sysDot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sysDot"/>
              </a:ln>
              <a:effectLst/>
            </c:spPr>
          </c:marker>
          <c:cat>
            <c:numRef>
              <c:f>Sheet6!$A$29:$A$36</c:f>
              <c:numCache>
                <c:formatCode>General</c:formatCode>
                <c:ptCount val="8"/>
                <c:pt idx="0">
                  <c:v>1800</c:v>
                </c:pt>
                <c:pt idx="1">
                  <c:v>1850</c:v>
                </c:pt>
                <c:pt idx="2">
                  <c:v>1875</c:v>
                </c:pt>
                <c:pt idx="3">
                  <c:v>1900</c:v>
                </c:pt>
                <c:pt idx="4">
                  <c:v>1925</c:v>
                </c:pt>
                <c:pt idx="5">
                  <c:v>1965</c:v>
                </c:pt>
                <c:pt idx="6">
                  <c:v>1985</c:v>
                </c:pt>
                <c:pt idx="7">
                  <c:v>2005</c:v>
                </c:pt>
              </c:numCache>
            </c:numRef>
          </c:cat>
          <c:val>
            <c:numRef>
              <c:f>Sheet6!$H$20:$H$26</c:f>
              <c:numCache>
                <c:formatCode>General</c:formatCode>
                <c:ptCount val="7"/>
                <c:pt idx="0">
                  <c:v>9.4</c:v>
                </c:pt>
                <c:pt idx="1">
                  <c:v>9.1999999999999993</c:v>
                </c:pt>
                <c:pt idx="2">
                  <c:v>10.4</c:v>
                </c:pt>
                <c:pt idx="3">
                  <c:v>9.3000000000000007</c:v>
                </c:pt>
                <c:pt idx="4">
                  <c:v>11.7</c:v>
                </c:pt>
                <c:pt idx="5">
                  <c:v>10.8</c:v>
                </c:pt>
                <c:pt idx="6">
                  <c:v>10.199999999999999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07-49D0-8EF3-EC7DC905F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850800"/>
        <c:axId val="1"/>
      </c:lineChart>
      <c:catAx>
        <c:axId val="126850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Century</a:t>
                </a:r>
              </a:p>
            </c:rich>
          </c:tx>
          <c:layout>
            <c:manualLayout>
              <c:xMode val="edge"/>
              <c:yMode val="edge"/>
              <c:x val="0.4273030180804237"/>
              <c:y val="0.962479608482871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per 1,000 words</a:t>
                </a:r>
              </a:p>
            </c:rich>
          </c:tx>
          <c:layout>
            <c:manualLayout>
              <c:xMode val="edge"/>
              <c:yMode val="edge"/>
              <c:x val="1.6648136132203964E-2"/>
              <c:y val="0.4176182707993474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6850800"/>
        <c:crosses val="autoZero"/>
        <c:crossBetween val="between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6903436624987573"/>
          <c:y val="0.32463295269168024"/>
          <c:w val="1"/>
          <c:h val="0.64156315697079469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Figure 11:  Historical use of relative clauses </a:t>
            </a:r>
            <a:r>
              <a:rPr lang="en-US" sz="1400" b="1" i="0" u="none" strike="noStrike" baseline="0"/>
              <a:t>in academic registers</a:t>
            </a:r>
            <a:r>
              <a:rPr lang="en-US" sz="1400"/>
              <a:t> </a:t>
            </a:r>
          </a:p>
        </c:rich>
      </c:tx>
      <c:layout>
        <c:manualLayout>
          <c:xMode val="edge"/>
          <c:yMode val="edge"/>
          <c:x val="0.14333081972771222"/>
          <c:y val="3.697661772702555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86499599576845E-2"/>
          <c:y val="0.14355628058727596"/>
          <c:w val="0.77025527192008991"/>
          <c:h val="0.76998368678629692"/>
        </c:manualLayout>
      </c:layout>
      <c:lineChart>
        <c:grouping val="standard"/>
        <c:varyColors val="0"/>
        <c:ser>
          <c:idx val="1"/>
          <c:order val="0"/>
          <c:tx>
            <c:v>Science research articles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Sheet5!$C$26:$C$35</c:f>
              <c:numCache>
                <c:formatCode>General</c:formatCode>
                <c:ptCount val="10"/>
                <c:pt idx="0">
                  <c:v>1700</c:v>
                </c:pt>
                <c:pt idx="1">
                  <c:v>1750</c:v>
                </c:pt>
                <c:pt idx="2">
                  <c:v>1800</c:v>
                </c:pt>
                <c:pt idx="3">
                  <c:v>1850</c:v>
                </c:pt>
                <c:pt idx="4">
                  <c:v>1875</c:v>
                </c:pt>
                <c:pt idx="5">
                  <c:v>1900</c:v>
                </c:pt>
                <c:pt idx="6">
                  <c:v>1925</c:v>
                </c:pt>
                <c:pt idx="7">
                  <c:v>1965</c:v>
                </c:pt>
                <c:pt idx="8">
                  <c:v>1985</c:v>
                </c:pt>
                <c:pt idx="9">
                  <c:v>2005</c:v>
                </c:pt>
              </c:numCache>
            </c:numRef>
          </c:cat>
          <c:val>
            <c:numRef>
              <c:f>Sheet5!$I$10:$I$19</c:f>
              <c:numCache>
                <c:formatCode>General</c:formatCode>
                <c:ptCount val="10"/>
                <c:pt idx="0">
                  <c:v>11.8</c:v>
                </c:pt>
                <c:pt idx="1">
                  <c:v>11.9</c:v>
                </c:pt>
                <c:pt idx="2">
                  <c:v>11.1</c:v>
                </c:pt>
                <c:pt idx="3">
                  <c:v>9.5</c:v>
                </c:pt>
                <c:pt idx="4">
                  <c:v>9.6999999999999993</c:v>
                </c:pt>
                <c:pt idx="5">
                  <c:v>8.8000000000000007</c:v>
                </c:pt>
                <c:pt idx="6">
                  <c:v>8.8000000000000007</c:v>
                </c:pt>
                <c:pt idx="7">
                  <c:v>4.4000000000000004</c:v>
                </c:pt>
                <c:pt idx="8">
                  <c:v>4.2</c:v>
                </c:pt>
                <c:pt idx="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6-4D4E-9CF7-FE31DE491614}"/>
            </c:ext>
          </c:extLst>
        </c:ser>
        <c:ser>
          <c:idx val="4"/>
          <c:order val="1"/>
          <c:tx>
            <c:v>Non-science research articles</c:v>
          </c:tx>
          <c:spPr>
            <a:ln w="28575" cap="flat" cmpd="sng" algn="ctr">
              <a:solidFill>
                <a:schemeClr val="dk1"/>
              </a:solidFill>
              <a:prstDash val="dashDot"/>
            </a:ln>
            <a:effectLst/>
          </c:spPr>
          <c:marker>
            <c:spPr>
              <a:solidFill>
                <a:srgbClr val="FFFFFF"/>
              </a:solidFill>
              <a:ln w="28575">
                <a:solidFill>
                  <a:srgbClr val="000000"/>
                </a:solidFill>
                <a:prstDash val="dashDot"/>
              </a:ln>
            </c:spPr>
          </c:marker>
          <c:cat>
            <c:numRef>
              <c:f>Sheet5!$C$26:$C$35</c:f>
              <c:numCache>
                <c:formatCode>General</c:formatCode>
                <c:ptCount val="10"/>
                <c:pt idx="0">
                  <c:v>1700</c:v>
                </c:pt>
                <c:pt idx="1">
                  <c:v>1750</c:v>
                </c:pt>
                <c:pt idx="2">
                  <c:v>1800</c:v>
                </c:pt>
                <c:pt idx="3">
                  <c:v>1850</c:v>
                </c:pt>
                <c:pt idx="4">
                  <c:v>1875</c:v>
                </c:pt>
                <c:pt idx="5">
                  <c:v>1900</c:v>
                </c:pt>
                <c:pt idx="6">
                  <c:v>1925</c:v>
                </c:pt>
                <c:pt idx="7">
                  <c:v>1965</c:v>
                </c:pt>
                <c:pt idx="8">
                  <c:v>1985</c:v>
                </c:pt>
                <c:pt idx="9">
                  <c:v>2005</c:v>
                </c:pt>
              </c:numCache>
            </c:numRef>
          </c:cat>
          <c:val>
            <c:numRef>
              <c:f>Sheet5!$I$26:$I$35</c:f>
              <c:numCache>
                <c:formatCode>General</c:formatCode>
                <c:ptCount val="10"/>
                <c:pt idx="0">
                  <c:v>11.8</c:v>
                </c:pt>
                <c:pt idx="1">
                  <c:v>11.9</c:v>
                </c:pt>
                <c:pt idx="2">
                  <c:v>11.1</c:v>
                </c:pt>
                <c:pt idx="3">
                  <c:v>9.5</c:v>
                </c:pt>
                <c:pt idx="4">
                  <c:v>9.6999999999999993</c:v>
                </c:pt>
                <c:pt idx="5">
                  <c:v>8.8000000000000007</c:v>
                </c:pt>
                <c:pt idx="6">
                  <c:v>8.8000000000000007</c:v>
                </c:pt>
                <c:pt idx="7">
                  <c:v>7.3</c:v>
                </c:pt>
                <c:pt idx="8">
                  <c:v>6.6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6-4D4E-9CF7-FE31DE491614}"/>
            </c:ext>
          </c:extLst>
        </c:ser>
        <c:ser>
          <c:idx val="0"/>
          <c:order val="2"/>
          <c:tx>
            <c:v>Popular science articles</c:v>
          </c:tx>
          <c:spPr>
            <a:ln w="25400" cap="flat" cmpd="sng" algn="ctr">
              <a:solidFill>
                <a:schemeClr val="dk1"/>
              </a:solidFill>
              <a:prstDash val="sysDot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sysDot"/>
              </a:ln>
              <a:effectLst/>
            </c:spPr>
          </c:marker>
          <c:cat>
            <c:numRef>
              <c:f>Sheet5!$C$26:$C$35</c:f>
              <c:numCache>
                <c:formatCode>General</c:formatCode>
                <c:ptCount val="10"/>
                <c:pt idx="0">
                  <c:v>1700</c:v>
                </c:pt>
                <c:pt idx="1">
                  <c:v>1750</c:v>
                </c:pt>
                <c:pt idx="2">
                  <c:v>1800</c:v>
                </c:pt>
                <c:pt idx="3">
                  <c:v>1850</c:v>
                </c:pt>
                <c:pt idx="4">
                  <c:v>1875</c:v>
                </c:pt>
                <c:pt idx="5">
                  <c:v>1900</c:v>
                </c:pt>
                <c:pt idx="6">
                  <c:v>1925</c:v>
                </c:pt>
                <c:pt idx="7">
                  <c:v>1965</c:v>
                </c:pt>
                <c:pt idx="8">
                  <c:v>1985</c:v>
                </c:pt>
                <c:pt idx="9">
                  <c:v>2005</c:v>
                </c:pt>
              </c:numCache>
            </c:numRef>
          </c:cat>
          <c:val>
            <c:numRef>
              <c:f>Sheet5!$I$39:$I$47</c:f>
              <c:numCache>
                <c:formatCode>General</c:formatCode>
                <c:ptCount val="9"/>
                <c:pt idx="0">
                  <c:v>11.8</c:v>
                </c:pt>
                <c:pt idx="1">
                  <c:v>11.9</c:v>
                </c:pt>
                <c:pt idx="2">
                  <c:v>11.1</c:v>
                </c:pt>
                <c:pt idx="3">
                  <c:v>9.5</c:v>
                </c:pt>
                <c:pt idx="4">
                  <c:v>9.6999999999999993</c:v>
                </c:pt>
                <c:pt idx="5">
                  <c:v>8.8000000000000007</c:v>
                </c:pt>
                <c:pt idx="6">
                  <c:v>8.8000000000000007</c:v>
                </c:pt>
                <c:pt idx="7">
                  <c:v>8.1</c:v>
                </c:pt>
                <c:pt idx="8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D6-4D4E-9CF7-FE31DE491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848176"/>
        <c:axId val="1"/>
      </c:lineChart>
      <c:catAx>
        <c:axId val="12684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Century</a:t>
                </a:r>
              </a:p>
            </c:rich>
          </c:tx>
          <c:layout>
            <c:manualLayout>
              <c:xMode val="edge"/>
              <c:yMode val="edge"/>
              <c:x val="0.4273030180804237"/>
              <c:y val="0.962479608482871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per 1,000 words</a:t>
                </a:r>
              </a:p>
            </c:rich>
          </c:tx>
          <c:layout>
            <c:manualLayout>
              <c:xMode val="edge"/>
              <c:yMode val="edge"/>
              <c:x val="1.6648136132203964E-2"/>
              <c:y val="0.4176182707993474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6848176"/>
        <c:crosses val="autoZero"/>
        <c:crossBetween val="between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6903436624987573"/>
          <c:y val="0.32463295269168024"/>
          <c:w val="1"/>
          <c:h val="0.64156315697079469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Figure 12:  Historical change in the use of nouns versus verbs:  Academic writing</a:t>
            </a:r>
          </a:p>
        </c:rich>
      </c:tx>
      <c:layout>
        <c:manualLayout>
          <c:xMode val="edge"/>
          <c:yMode val="edge"/>
          <c:x val="0.13195248700816631"/>
          <c:y val="5.87275693311582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86499599576803E-2"/>
          <c:y val="0.14355628058727576"/>
          <c:w val="0.77025527192008936"/>
          <c:h val="0.76998368678629692"/>
        </c:manualLayout>
      </c:layout>
      <c:lineChart>
        <c:grouping val="standard"/>
        <c:varyColors val="0"/>
        <c:ser>
          <c:idx val="1"/>
          <c:order val="0"/>
          <c:tx>
            <c:v>Total nouns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Sheet4!$C$22:$C$23</c:f>
              <c:strCache>
                <c:ptCount val="2"/>
                <c:pt idx="0">
                  <c:v>19th</c:v>
                </c:pt>
                <c:pt idx="1">
                  <c:v>20th</c:v>
                </c:pt>
              </c:strCache>
            </c:strRef>
          </c:cat>
          <c:val>
            <c:numRef>
              <c:f>Sheet4!$E$22:$E$23</c:f>
              <c:numCache>
                <c:formatCode>General</c:formatCode>
                <c:ptCount val="2"/>
                <c:pt idx="0">
                  <c:v>248.9</c:v>
                </c:pt>
                <c:pt idx="1">
                  <c:v>328.7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7D-49D5-B1D8-0FEB7CAE262A}"/>
            </c:ext>
          </c:extLst>
        </c:ser>
        <c:ser>
          <c:idx val="0"/>
          <c:order val="1"/>
          <c:tx>
            <c:v>Total verbs</c:v>
          </c:tx>
          <c:val>
            <c:numRef>
              <c:f>Sheet6!$L$2:$L$3</c:f>
              <c:numCache>
                <c:formatCode>General</c:formatCode>
                <c:ptCount val="2"/>
                <c:pt idx="0">
                  <c:v>90.75</c:v>
                </c:pt>
                <c:pt idx="1">
                  <c:v>75.666666666666671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7D-49D5-B1D8-0FEB7CAE2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20040"/>
        <c:axId val="1"/>
      </c:lineChart>
      <c:catAx>
        <c:axId val="127620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Century</a:t>
                </a:r>
              </a:p>
            </c:rich>
          </c:tx>
          <c:layout>
            <c:manualLayout>
              <c:xMode val="edge"/>
              <c:yMode val="edge"/>
              <c:x val="0.4273030180804237"/>
              <c:y val="0.962479608482871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per 1,000 words</a:t>
                </a:r>
              </a:p>
            </c:rich>
          </c:tx>
          <c:layout>
            <c:manualLayout>
              <c:xMode val="edge"/>
              <c:yMode val="edge"/>
              <c:x val="1.6648136132203964E-2"/>
              <c:y val="0.4176182707993474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7620040"/>
        <c:crosses val="autoZero"/>
        <c:crossBetween val="between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6903436624987573"/>
          <c:y val="0.32463295269168024"/>
          <c:w val="0.98454296219654058"/>
          <c:h val="0.40329706747504845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Figure 13:  Main</a:t>
            </a:r>
            <a:r>
              <a:rPr lang="en-US" sz="1400" baseline="0"/>
              <a:t> verbs that have decreased the most from 1900 to 2005 </a:t>
            </a:r>
            <a:endParaRPr lang="en-US" sz="1400"/>
          </a:p>
        </c:rich>
      </c:tx>
      <c:layout>
        <c:manualLayout>
          <c:xMode val="edge"/>
          <c:yMode val="edge"/>
          <c:x val="0.14184603873290894"/>
          <c:y val="5.002718868950516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666690049044537"/>
          <c:y val="0.14355628058727624"/>
          <c:w val="0.73907487621953716"/>
          <c:h val="0.76998368678629692"/>
        </c:manualLayout>
      </c:layout>
      <c:barChart>
        <c:barDir val="col"/>
        <c:grouping val="clustered"/>
        <c:varyColors val="0"/>
        <c:ser>
          <c:idx val="1"/>
          <c:order val="0"/>
          <c:tx>
            <c:v>1900 Science Articles</c:v>
          </c:tx>
          <c:spPr>
            <a:solidFill>
              <a:schemeClr val="bg1">
                <a:lumMod val="75000"/>
              </a:schemeClr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cat>
            <c:strRef>
              <c:f>Sheet7!$A$2:$A$8</c:f>
              <c:strCache>
                <c:ptCount val="7"/>
                <c:pt idx="0">
                  <c:v>is                        </c:v>
                </c:pt>
                <c:pt idx="1">
                  <c:v>are                       </c:v>
                </c:pt>
                <c:pt idx="2">
                  <c:v>made                    </c:v>
                </c:pt>
                <c:pt idx="3">
                  <c:v>seen                    </c:v>
                </c:pt>
                <c:pt idx="4">
                  <c:v>found    </c:v>
                </c:pt>
                <c:pt idx="5">
                  <c:v>was                     </c:v>
                </c:pt>
                <c:pt idx="6">
                  <c:v>be                  </c:v>
                </c:pt>
              </c:strCache>
            </c:strRef>
          </c:cat>
          <c:val>
            <c:numRef>
              <c:f>Sheet7!$B$2:$B$8</c:f>
              <c:numCache>
                <c:formatCode>General</c:formatCode>
                <c:ptCount val="7"/>
                <c:pt idx="0">
                  <c:v>9350</c:v>
                </c:pt>
                <c:pt idx="1">
                  <c:v>3330</c:v>
                </c:pt>
                <c:pt idx="2">
                  <c:v>1160</c:v>
                </c:pt>
                <c:pt idx="3">
                  <c:v>990</c:v>
                </c:pt>
                <c:pt idx="4">
                  <c:v>1580</c:v>
                </c:pt>
                <c:pt idx="5">
                  <c:v>2540</c:v>
                </c:pt>
                <c:pt idx="6">
                  <c:v>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B-46F6-81F1-79576B3D5D03}"/>
            </c:ext>
          </c:extLst>
        </c:ser>
        <c:ser>
          <c:idx val="4"/>
          <c:order val="1"/>
          <c:tx>
            <c:v>2005 Science Articles</c:v>
          </c:tx>
          <c:spPr>
            <a:solidFill>
              <a:srgbClr val="000000"/>
            </a:solidFill>
            <a:ln w="254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Sheet7!$A$2:$A$8</c:f>
              <c:strCache>
                <c:ptCount val="7"/>
                <c:pt idx="0">
                  <c:v>is                        </c:v>
                </c:pt>
                <c:pt idx="1">
                  <c:v>are                       </c:v>
                </c:pt>
                <c:pt idx="2">
                  <c:v>made                    </c:v>
                </c:pt>
                <c:pt idx="3">
                  <c:v>seen                    </c:v>
                </c:pt>
                <c:pt idx="4">
                  <c:v>found    </c:v>
                </c:pt>
                <c:pt idx="5">
                  <c:v>was                     </c:v>
                </c:pt>
                <c:pt idx="6">
                  <c:v>be                  </c:v>
                </c:pt>
              </c:strCache>
            </c:strRef>
          </c:cat>
          <c:val>
            <c:numRef>
              <c:f>Sheet7!$C$2:$C$8</c:f>
              <c:numCache>
                <c:formatCode>General</c:formatCode>
                <c:ptCount val="7"/>
                <c:pt idx="0">
                  <c:v>4200</c:v>
                </c:pt>
                <c:pt idx="1">
                  <c:v>1980</c:v>
                </c:pt>
                <c:pt idx="2">
                  <c:v>160</c:v>
                </c:pt>
                <c:pt idx="3">
                  <c:v>100</c:v>
                </c:pt>
                <c:pt idx="4">
                  <c:v>700</c:v>
                </c:pt>
                <c:pt idx="5">
                  <c:v>1700</c:v>
                </c:pt>
                <c:pt idx="6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8B-46F6-81F1-79576B3D5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921416"/>
        <c:axId val="1"/>
      </c:barChart>
      <c:catAx>
        <c:axId val="127921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Verb</a:t>
                </a:r>
              </a:p>
            </c:rich>
          </c:tx>
          <c:layout>
            <c:manualLayout>
              <c:xMode val="edge"/>
              <c:yMode val="edge"/>
              <c:x val="0.4273030180804237"/>
              <c:y val="0.962479608482871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 anchor="b" anchorCtr="1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50"/>
        <c:tickLblSkip val="1"/>
        <c:tickMarkSkip val="1"/>
        <c:noMultiLvlLbl val="0"/>
      </c:catAx>
      <c:valAx>
        <c:axId val="1"/>
        <c:scaling>
          <c:orientation val="minMax"/>
          <c:max val="1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per 1,000,000 words</a:t>
                </a:r>
              </a:p>
            </c:rich>
          </c:tx>
          <c:layout>
            <c:manualLayout>
              <c:xMode val="edge"/>
              <c:yMode val="edge"/>
              <c:x val="1.813291712700723E-2"/>
              <c:y val="0.4067427949972811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7921416"/>
        <c:crosses val="autoZero"/>
        <c:crossBetween val="between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6903436624987573"/>
          <c:y val="0.32463295269168024"/>
          <c:w val="1"/>
          <c:h val="0.64255753512050795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Figure 14:  Historical change in the use of BE-clause construction types:  </a:t>
            </a:r>
          </a:p>
          <a:p>
            <a:pPr>
              <a:defRPr sz="1400"/>
            </a:pPr>
            <a:r>
              <a:rPr lang="en-US" sz="1400"/>
              <a:t>Science research articles</a:t>
            </a:r>
          </a:p>
        </c:rich>
      </c:tx>
      <c:layout>
        <c:manualLayout>
          <c:xMode val="edge"/>
          <c:yMode val="edge"/>
          <c:x val="0.13195248700816631"/>
          <c:y val="5.87275693311582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86499599576817E-2"/>
          <c:y val="0.14355628058727582"/>
          <c:w val="0.74055965721434036"/>
          <c:h val="0.76998368678629692"/>
        </c:manualLayout>
      </c:layout>
      <c:lineChart>
        <c:grouping val="standard"/>
        <c:varyColors val="0"/>
        <c:ser>
          <c:idx val="1"/>
          <c:order val="0"/>
          <c:tx>
            <c:strRef>
              <c:f>Sheet7!$D$15</c:f>
              <c:strCache>
                <c:ptCount val="1"/>
                <c:pt idx="0">
                  <c:v>BE + ADJ</c:v>
                </c:pt>
              </c:strCache>
            </c:strRef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Sheet4!$C$22:$C$23</c:f>
              <c:strCache>
                <c:ptCount val="2"/>
                <c:pt idx="0">
                  <c:v>19th</c:v>
                </c:pt>
                <c:pt idx="1">
                  <c:v>20th</c:v>
                </c:pt>
              </c:strCache>
            </c:strRef>
          </c:cat>
          <c:val>
            <c:numRef>
              <c:f>Sheet7!$B$15:$C$15</c:f>
              <c:numCache>
                <c:formatCode>General</c:formatCode>
                <c:ptCount val="2"/>
                <c:pt idx="0">
                  <c:v>5.6</c:v>
                </c:pt>
                <c:pt idx="1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E-429C-AE4B-8341B6926B7F}"/>
            </c:ext>
          </c:extLst>
        </c:ser>
        <c:ser>
          <c:idx val="0"/>
          <c:order val="1"/>
          <c:tx>
            <c:strRef>
              <c:f>Sheet7!$D$16</c:f>
              <c:strCache>
                <c:ptCount val="1"/>
                <c:pt idx="0">
                  <c:v>it is ADJ that/to</c:v>
                </c:pt>
              </c:strCache>
            </c:strRef>
          </c:tx>
          <c:val>
            <c:numRef>
              <c:f>Sheet7!$B$16:$C$16</c:f>
              <c:numCache>
                <c:formatCode>General</c:formatCode>
                <c:ptCount val="2"/>
                <c:pt idx="0">
                  <c:v>0.84</c:v>
                </c:pt>
                <c:pt idx="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FE-429C-AE4B-8341B6926B7F}"/>
            </c:ext>
          </c:extLst>
        </c:ser>
        <c:ser>
          <c:idx val="2"/>
          <c:order val="2"/>
          <c:tx>
            <c:strRef>
              <c:f>Sheet7!$D$17</c:f>
              <c:strCache>
                <c:ptCount val="1"/>
                <c:pt idx="0">
                  <c:v>there is</c:v>
                </c:pt>
              </c:strCache>
            </c:strRef>
          </c:tx>
          <c:val>
            <c:numRef>
              <c:f>Sheet7!$B$17:$C$17</c:f>
              <c:numCache>
                <c:formatCode>General</c:formatCode>
                <c:ptCount val="2"/>
                <c:pt idx="0">
                  <c:v>1.5</c:v>
                </c:pt>
                <c:pt idx="1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FE-429C-AE4B-8341B6926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16432"/>
        <c:axId val="1"/>
      </c:lineChart>
      <c:catAx>
        <c:axId val="127616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Century</a:t>
                </a:r>
              </a:p>
            </c:rich>
          </c:tx>
          <c:layout>
            <c:manualLayout>
              <c:xMode val="edge"/>
              <c:yMode val="edge"/>
              <c:x val="0.4273030180804237"/>
              <c:y val="0.962479608482871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7.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per 1,000 words</a:t>
                </a:r>
              </a:p>
            </c:rich>
          </c:tx>
          <c:layout>
            <c:manualLayout>
              <c:xMode val="edge"/>
              <c:yMode val="edge"/>
              <c:x val="1.6648136132203964E-2"/>
              <c:y val="0.4176182707993474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7616432"/>
        <c:crosses val="autoZero"/>
        <c:crossBetween val="between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4379308933822017"/>
          <c:y val="0.32463295269168024"/>
          <c:w val="0.99999999999999989"/>
          <c:h val="0.52310764580202351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6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6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1"/>
  <sheetViews>
    <sheetView zoomScale="96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6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Chart4"/>
  <sheetViews>
    <sheetView zoomScale="96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6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6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6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6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6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6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6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6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tabSelected="1" zoomScale="96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D0C66EB4-0D30-4A9A-B08D-4AEB77EC0B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8D48B74D-F24F-4C65-9654-E799ECB5E5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DE1A120B-7713-4A5D-956A-C2939D3FB0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2AE398D3-0B2C-427F-A1C0-E4FCB7C839F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2AECDDCD-6E7E-4299-84F4-FE8A07C8CD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0126264F-1E12-4C2A-A61C-1485A200B4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B4D82E32-0B9B-44A7-9A52-EF5430FD1D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C10F77A6-11E0-4DBA-A732-B3B135F92E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5CEEDE14-5FB1-43C3-B60C-EF1C43B997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EB708B74-8E0B-4D86-A0E4-4E4F4910140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42B4241B-465A-4AEB-8280-66739CEB9E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47AF2429-BDD8-465C-9FB3-0A2ED09E24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DA9B7D11-77D0-49F4-9557-74759B80FF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66CD0C7B-2FD9-4113-BBDF-69290BD07A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3:U147"/>
  <sheetViews>
    <sheetView topLeftCell="A109" workbookViewId="0">
      <selection activeCell="J102" sqref="J102"/>
    </sheetView>
  </sheetViews>
  <sheetFormatPr defaultRowHeight="12.75" x14ac:dyDescent="0.2"/>
  <cols>
    <col min="1" max="1" width="18" customWidth="1"/>
  </cols>
  <sheetData>
    <row r="3" spans="1:13" x14ac:dyDescent="0.2">
      <c r="A3" t="s">
        <v>91</v>
      </c>
      <c r="G3" t="s">
        <v>92</v>
      </c>
    </row>
    <row r="4" spans="1:13" x14ac:dyDescent="0.2">
      <c r="A4" t="s">
        <v>82</v>
      </c>
      <c r="B4" t="s">
        <v>83</v>
      </c>
    </row>
    <row r="5" spans="1:13" x14ac:dyDescent="0.2">
      <c r="C5" t="s">
        <v>84</v>
      </c>
      <c r="G5" t="s">
        <v>82</v>
      </c>
      <c r="H5" t="s">
        <v>83</v>
      </c>
    </row>
    <row r="6" spans="1:13" x14ac:dyDescent="0.2">
      <c r="A6">
        <v>9.5</v>
      </c>
      <c r="B6">
        <v>12.6</v>
      </c>
      <c r="C6" t="s">
        <v>86</v>
      </c>
      <c r="F6" t="s">
        <v>93</v>
      </c>
      <c r="G6">
        <v>11</v>
      </c>
      <c r="H6">
        <v>15</v>
      </c>
    </row>
    <row r="7" spans="1:13" x14ac:dyDescent="0.2">
      <c r="A7">
        <v>3.1</v>
      </c>
      <c r="B7">
        <v>6.5</v>
      </c>
      <c r="C7" t="s">
        <v>87</v>
      </c>
      <c r="F7" t="s">
        <v>94</v>
      </c>
      <c r="G7">
        <v>21</v>
      </c>
      <c r="H7">
        <v>22</v>
      </c>
    </row>
    <row r="8" spans="1:13" x14ac:dyDescent="0.2">
      <c r="C8" t="s">
        <v>85</v>
      </c>
      <c r="F8" t="s">
        <v>95</v>
      </c>
      <c r="G8">
        <v>28</v>
      </c>
      <c r="H8">
        <v>27</v>
      </c>
    </row>
    <row r="9" spans="1:13" x14ac:dyDescent="0.2">
      <c r="A9">
        <v>38</v>
      </c>
      <c r="B9">
        <v>26</v>
      </c>
      <c r="C9" t="s">
        <v>88</v>
      </c>
    </row>
    <row r="10" spans="1:13" x14ac:dyDescent="0.2">
      <c r="A10">
        <v>11.2</v>
      </c>
      <c r="B10">
        <v>20</v>
      </c>
      <c r="C10" t="s">
        <v>89</v>
      </c>
    </row>
    <row r="11" spans="1:13" x14ac:dyDescent="0.2">
      <c r="C11" t="s">
        <v>109</v>
      </c>
      <c r="J11" t="s">
        <v>82</v>
      </c>
      <c r="K11" t="s">
        <v>96</v>
      </c>
      <c r="L11" t="s">
        <v>83</v>
      </c>
      <c r="M11" t="s">
        <v>109</v>
      </c>
    </row>
    <row r="12" spans="1:13" x14ac:dyDescent="0.2">
      <c r="A12">
        <v>31</v>
      </c>
      <c r="B12">
        <v>31</v>
      </c>
      <c r="C12" t="s">
        <v>110</v>
      </c>
      <c r="D12" t="s">
        <v>111</v>
      </c>
      <c r="J12">
        <v>31</v>
      </c>
      <c r="K12">
        <v>34</v>
      </c>
      <c r="L12">
        <v>31</v>
      </c>
      <c r="M12" t="s">
        <v>110</v>
      </c>
    </row>
    <row r="13" spans="1:13" x14ac:dyDescent="0.2">
      <c r="A13">
        <v>10.5</v>
      </c>
      <c r="B13">
        <v>29</v>
      </c>
      <c r="C13" t="s">
        <v>108</v>
      </c>
      <c r="D13" t="s">
        <v>111</v>
      </c>
      <c r="J13">
        <v>10.5</v>
      </c>
      <c r="K13">
        <v>12</v>
      </c>
      <c r="L13">
        <v>29.2</v>
      </c>
      <c r="M13" t="s">
        <v>108</v>
      </c>
    </row>
    <row r="18" spans="1:13" x14ac:dyDescent="0.2">
      <c r="A18" t="s">
        <v>82</v>
      </c>
      <c r="B18" t="s">
        <v>96</v>
      </c>
      <c r="C18">
        <v>1965</v>
      </c>
      <c r="D18">
        <v>2005</v>
      </c>
      <c r="E18" t="s">
        <v>97</v>
      </c>
    </row>
    <row r="19" spans="1:13" x14ac:dyDescent="0.2">
      <c r="A19">
        <v>3.25</v>
      </c>
      <c r="B19">
        <v>4.5</v>
      </c>
      <c r="C19">
        <v>9</v>
      </c>
      <c r="D19">
        <v>8.6</v>
      </c>
      <c r="E19" t="s">
        <v>13</v>
      </c>
    </row>
    <row r="20" spans="1:13" x14ac:dyDescent="0.2">
      <c r="A20">
        <v>0.73</v>
      </c>
      <c r="B20">
        <v>1</v>
      </c>
      <c r="C20">
        <v>3.9</v>
      </c>
      <c r="D20">
        <v>5</v>
      </c>
      <c r="E20" t="s">
        <v>15</v>
      </c>
    </row>
    <row r="21" spans="1:13" x14ac:dyDescent="0.2">
      <c r="A21">
        <v>0.9</v>
      </c>
      <c r="B21">
        <v>1.3</v>
      </c>
      <c r="C21">
        <v>2.4</v>
      </c>
      <c r="D21">
        <v>2.5</v>
      </c>
      <c r="E21" t="s">
        <v>16</v>
      </c>
    </row>
    <row r="22" spans="1:13" x14ac:dyDescent="0.2">
      <c r="A22">
        <v>0.37</v>
      </c>
      <c r="B22">
        <v>0.5</v>
      </c>
      <c r="C22">
        <v>1.9</v>
      </c>
      <c r="D22">
        <v>2.2000000000000002</v>
      </c>
      <c r="E22" t="s">
        <v>14</v>
      </c>
    </row>
    <row r="28" spans="1:13" x14ac:dyDescent="0.2">
      <c r="A28" t="s">
        <v>82</v>
      </c>
      <c r="B28" t="s">
        <v>96</v>
      </c>
      <c r="C28" t="s">
        <v>83</v>
      </c>
      <c r="D28" t="s">
        <v>98</v>
      </c>
      <c r="E28" t="s">
        <v>102</v>
      </c>
      <c r="I28" t="s">
        <v>82</v>
      </c>
      <c r="J28" t="s">
        <v>96</v>
      </c>
      <c r="K28" t="s">
        <v>83</v>
      </c>
      <c r="L28" t="s">
        <v>98</v>
      </c>
      <c r="M28" t="s">
        <v>103</v>
      </c>
    </row>
    <row r="29" spans="1:13" x14ac:dyDescent="0.2">
      <c r="A29">
        <v>0</v>
      </c>
      <c r="B29">
        <v>0.1</v>
      </c>
      <c r="C29">
        <v>0.1</v>
      </c>
      <c r="D29" t="s">
        <v>93</v>
      </c>
      <c r="I29">
        <v>0</v>
      </c>
      <c r="J29">
        <v>2</v>
      </c>
      <c r="K29">
        <v>2</v>
      </c>
      <c r="L29" t="s">
        <v>93</v>
      </c>
    </row>
    <row r="30" spans="1:13" x14ac:dyDescent="0.2">
      <c r="A30">
        <v>0</v>
      </c>
      <c r="B30">
        <v>0.5</v>
      </c>
      <c r="C30">
        <v>1</v>
      </c>
      <c r="D30" t="s">
        <v>94</v>
      </c>
      <c r="I30">
        <v>0</v>
      </c>
      <c r="J30">
        <v>10</v>
      </c>
      <c r="K30">
        <v>17</v>
      </c>
      <c r="L30" t="s">
        <v>94</v>
      </c>
    </row>
    <row r="31" spans="1:13" x14ac:dyDescent="0.2">
      <c r="A31">
        <v>0</v>
      </c>
      <c r="B31">
        <v>0.5</v>
      </c>
      <c r="C31">
        <v>0.8</v>
      </c>
      <c r="D31" t="s">
        <v>90</v>
      </c>
      <c r="I31">
        <v>3</v>
      </c>
      <c r="J31">
        <v>29</v>
      </c>
      <c r="K31">
        <v>24</v>
      </c>
      <c r="L31" t="s">
        <v>90</v>
      </c>
    </row>
    <row r="32" spans="1:13" x14ac:dyDescent="0.2">
      <c r="D32" t="s">
        <v>100</v>
      </c>
      <c r="L32" t="s">
        <v>100</v>
      </c>
    </row>
    <row r="33" spans="1:12" x14ac:dyDescent="0.2">
      <c r="A33">
        <v>0.1</v>
      </c>
      <c r="B33">
        <v>0.2</v>
      </c>
      <c r="C33">
        <v>0.2</v>
      </c>
      <c r="D33" t="s">
        <v>93</v>
      </c>
      <c r="I33">
        <v>6</v>
      </c>
      <c r="J33">
        <v>4</v>
      </c>
      <c r="K33">
        <v>4</v>
      </c>
      <c r="L33" t="s">
        <v>93</v>
      </c>
    </row>
    <row r="34" spans="1:12" x14ac:dyDescent="0.2">
      <c r="A34">
        <v>0.4</v>
      </c>
      <c r="B34">
        <v>0.8</v>
      </c>
      <c r="C34">
        <v>1.4</v>
      </c>
      <c r="D34" t="s">
        <v>94</v>
      </c>
      <c r="I34">
        <v>7</v>
      </c>
      <c r="J34">
        <v>15</v>
      </c>
      <c r="K34">
        <v>16</v>
      </c>
      <c r="L34" t="s">
        <v>94</v>
      </c>
    </row>
    <row r="35" spans="1:12" x14ac:dyDescent="0.2">
      <c r="A35">
        <v>0.3</v>
      </c>
      <c r="B35">
        <v>0.5</v>
      </c>
      <c r="C35">
        <v>0.25</v>
      </c>
      <c r="D35" t="s">
        <v>90</v>
      </c>
      <c r="I35">
        <v>11</v>
      </c>
      <c r="J35">
        <v>16</v>
      </c>
      <c r="K35">
        <v>14</v>
      </c>
      <c r="L35" t="s">
        <v>90</v>
      </c>
    </row>
    <row r="37" spans="1:12" x14ac:dyDescent="0.2">
      <c r="A37">
        <v>0.9</v>
      </c>
      <c r="B37">
        <v>1.4</v>
      </c>
      <c r="C37">
        <v>1.2</v>
      </c>
      <c r="D37" t="s">
        <v>101</v>
      </c>
      <c r="E37" t="s">
        <v>106</v>
      </c>
    </row>
    <row r="38" spans="1:12" x14ac:dyDescent="0.2">
      <c r="A38">
        <v>0.03</v>
      </c>
      <c r="B38">
        <v>0.12</v>
      </c>
      <c r="C38">
        <v>0.35</v>
      </c>
      <c r="D38" t="s">
        <v>104</v>
      </c>
    </row>
    <row r="39" spans="1:12" x14ac:dyDescent="0.2">
      <c r="A39">
        <v>0</v>
      </c>
      <c r="B39">
        <v>0.01</v>
      </c>
      <c r="C39">
        <v>0.1</v>
      </c>
      <c r="D39" t="s">
        <v>105</v>
      </c>
    </row>
    <row r="40" spans="1:12" x14ac:dyDescent="0.2">
      <c r="A40">
        <v>0.04</v>
      </c>
      <c r="B40">
        <v>0.1</v>
      </c>
      <c r="C40">
        <v>0.3</v>
      </c>
      <c r="D40" t="s">
        <v>107</v>
      </c>
    </row>
    <row r="42" spans="1:12" x14ac:dyDescent="0.2">
      <c r="A42">
        <v>1725</v>
      </c>
      <c r="B42">
        <v>1775</v>
      </c>
      <c r="C42">
        <v>1825</v>
      </c>
      <c r="D42">
        <v>1875</v>
      </c>
      <c r="E42">
        <v>1925</v>
      </c>
      <c r="F42">
        <v>1965</v>
      </c>
      <c r="G42">
        <v>1985</v>
      </c>
      <c r="H42">
        <v>2005</v>
      </c>
      <c r="I42" t="s">
        <v>99</v>
      </c>
    </row>
    <row r="43" spans="1:12" x14ac:dyDescent="0.2">
      <c r="A43">
        <v>0</v>
      </c>
      <c r="B43">
        <v>0.1</v>
      </c>
      <c r="C43">
        <v>0.2</v>
      </c>
      <c r="D43">
        <v>0.6</v>
      </c>
      <c r="E43">
        <v>1.1000000000000001</v>
      </c>
      <c r="F43">
        <v>0.5</v>
      </c>
      <c r="G43">
        <v>0.4</v>
      </c>
      <c r="H43">
        <v>0.4</v>
      </c>
      <c r="I43" t="s">
        <v>98</v>
      </c>
    </row>
    <row r="44" spans="1:12" x14ac:dyDescent="0.2">
      <c r="A44">
        <v>0.3</v>
      </c>
      <c r="B44">
        <v>0.4</v>
      </c>
      <c r="C44">
        <v>0.5</v>
      </c>
      <c r="D44">
        <v>0.5</v>
      </c>
      <c r="E44">
        <v>0.3</v>
      </c>
      <c r="F44">
        <v>0.2</v>
      </c>
      <c r="G44">
        <v>0.2</v>
      </c>
      <c r="H44">
        <v>0.2</v>
      </c>
      <c r="I44" t="s">
        <v>100</v>
      </c>
    </row>
    <row r="48" spans="1:12" x14ac:dyDescent="0.2">
      <c r="C48" t="s">
        <v>124</v>
      </c>
    </row>
    <row r="49" spans="2:11" x14ac:dyDescent="0.2">
      <c r="C49" t="s">
        <v>112</v>
      </c>
      <c r="D49" t="s">
        <v>113</v>
      </c>
      <c r="E49" t="s">
        <v>115</v>
      </c>
      <c r="J49" t="s">
        <v>114</v>
      </c>
    </row>
    <row r="50" spans="2:11" x14ac:dyDescent="0.2">
      <c r="B50" t="s">
        <v>116</v>
      </c>
      <c r="C50">
        <v>156.4</v>
      </c>
      <c r="D50">
        <v>168.9</v>
      </c>
      <c r="E50">
        <v>172.3</v>
      </c>
      <c r="J50">
        <v>218.3</v>
      </c>
    </row>
    <row r="51" spans="2:11" x14ac:dyDescent="0.2">
      <c r="B51" t="s">
        <v>117</v>
      </c>
      <c r="C51">
        <v>151.9</v>
      </c>
      <c r="D51">
        <v>179.9</v>
      </c>
      <c r="E51">
        <v>184.4</v>
      </c>
      <c r="J51">
        <v>240.3</v>
      </c>
    </row>
    <row r="52" spans="2:11" x14ac:dyDescent="0.2">
      <c r="B52" t="s">
        <v>118</v>
      </c>
      <c r="C52">
        <v>149.6</v>
      </c>
      <c r="D52">
        <v>176.5</v>
      </c>
      <c r="E52">
        <v>202.6</v>
      </c>
      <c r="J52">
        <v>246.5</v>
      </c>
    </row>
    <row r="53" spans="2:11" x14ac:dyDescent="0.2">
      <c r="B53" t="s">
        <v>119</v>
      </c>
      <c r="C53">
        <v>141.1</v>
      </c>
      <c r="D53">
        <v>186.8</v>
      </c>
      <c r="E53">
        <v>255</v>
      </c>
      <c r="J53">
        <v>274.3</v>
      </c>
    </row>
    <row r="55" spans="2:11" x14ac:dyDescent="0.2">
      <c r="C55" t="s">
        <v>93</v>
      </c>
      <c r="D55" t="s">
        <v>120</v>
      </c>
      <c r="E55" t="s">
        <v>95</v>
      </c>
      <c r="J55" t="s">
        <v>94</v>
      </c>
    </row>
    <row r="58" spans="2:11" x14ac:dyDescent="0.2">
      <c r="C58" t="s">
        <v>121</v>
      </c>
      <c r="D58" t="s">
        <v>121</v>
      </c>
      <c r="E58" t="s">
        <v>121</v>
      </c>
      <c r="H58" t="s">
        <v>126</v>
      </c>
    </row>
    <row r="59" spans="2:11" x14ac:dyDescent="0.2">
      <c r="C59">
        <v>9.1999999999999993</v>
      </c>
      <c r="D59">
        <v>7.4</v>
      </c>
      <c r="E59">
        <v>10.4</v>
      </c>
      <c r="H59" t="s">
        <v>93</v>
      </c>
      <c r="I59" t="s">
        <v>120</v>
      </c>
      <c r="J59" t="s">
        <v>127</v>
      </c>
    </row>
    <row r="60" spans="2:11" x14ac:dyDescent="0.2">
      <c r="C60">
        <v>9.1</v>
      </c>
      <c r="D60">
        <v>8.6</v>
      </c>
      <c r="E60">
        <v>8</v>
      </c>
      <c r="G60" t="s">
        <v>117</v>
      </c>
      <c r="H60">
        <v>13.3</v>
      </c>
      <c r="I60">
        <v>30.7</v>
      </c>
      <c r="J60">
        <v>41.1</v>
      </c>
      <c r="K60">
        <v>3.9</v>
      </c>
    </row>
    <row r="61" spans="2:11" x14ac:dyDescent="0.2">
      <c r="C61">
        <v>12</v>
      </c>
      <c r="D61">
        <v>11.6</v>
      </c>
      <c r="E61">
        <v>8.8000000000000007</v>
      </c>
      <c r="G61" t="s">
        <v>119</v>
      </c>
      <c r="H61">
        <v>19.7</v>
      </c>
      <c r="I61">
        <v>22</v>
      </c>
      <c r="J61">
        <v>60.2</v>
      </c>
      <c r="K61">
        <v>3.5</v>
      </c>
    </row>
    <row r="62" spans="2:11" x14ac:dyDescent="0.2">
      <c r="C62">
        <v>10.6</v>
      </c>
      <c r="D62">
        <v>18.899999999999999</v>
      </c>
      <c r="E62">
        <v>34.4</v>
      </c>
    </row>
    <row r="64" spans="2:11" x14ac:dyDescent="0.2">
      <c r="C64" t="s">
        <v>122</v>
      </c>
      <c r="D64" t="s">
        <v>122</v>
      </c>
      <c r="E64" t="s">
        <v>122</v>
      </c>
    </row>
    <row r="65" spans="3:5" x14ac:dyDescent="0.2">
      <c r="C65">
        <v>22.5</v>
      </c>
      <c r="D65">
        <v>26</v>
      </c>
      <c r="E65">
        <v>27.5</v>
      </c>
    </row>
    <row r="66" spans="3:5" x14ac:dyDescent="0.2">
      <c r="C66">
        <v>22.2</v>
      </c>
      <c r="D66">
        <v>28.7</v>
      </c>
      <c r="E66">
        <v>33</v>
      </c>
    </row>
    <row r="67" spans="3:5" x14ac:dyDescent="0.2">
      <c r="C67">
        <v>22.5</v>
      </c>
      <c r="D67">
        <v>30.1</v>
      </c>
      <c r="E67">
        <v>42</v>
      </c>
    </row>
    <row r="68" spans="3:5" x14ac:dyDescent="0.2">
      <c r="C68">
        <v>18.2</v>
      </c>
      <c r="D68">
        <v>29</v>
      </c>
      <c r="E68">
        <v>57</v>
      </c>
    </row>
    <row r="71" spans="3:5" x14ac:dyDescent="0.2">
      <c r="C71" t="s">
        <v>123</v>
      </c>
      <c r="D71" t="s">
        <v>123</v>
      </c>
      <c r="E71" t="s">
        <v>123</v>
      </c>
    </row>
    <row r="72" spans="3:5" x14ac:dyDescent="0.2">
      <c r="C72">
        <v>2.8</v>
      </c>
      <c r="D72">
        <v>4.2</v>
      </c>
      <c r="E72">
        <v>3.3</v>
      </c>
    </row>
    <row r="73" spans="3:5" x14ac:dyDescent="0.2">
      <c r="C73">
        <v>2.6</v>
      </c>
      <c r="D73">
        <v>4.0999999999999996</v>
      </c>
      <c r="E73">
        <v>3.9</v>
      </c>
    </row>
    <row r="74" spans="3:5" x14ac:dyDescent="0.2">
      <c r="C74">
        <v>3.1</v>
      </c>
      <c r="D74">
        <v>6.2</v>
      </c>
      <c r="E74">
        <v>3.5</v>
      </c>
    </row>
    <row r="75" spans="3:5" x14ac:dyDescent="0.2">
      <c r="C75">
        <v>1.8</v>
      </c>
      <c r="D75">
        <v>5.3</v>
      </c>
      <c r="E75">
        <v>3.5</v>
      </c>
    </row>
    <row r="78" spans="3:5" x14ac:dyDescent="0.2">
      <c r="E78" t="s">
        <v>125</v>
      </c>
    </row>
    <row r="79" spans="3:5" x14ac:dyDescent="0.2">
      <c r="C79">
        <v>1725</v>
      </c>
      <c r="D79">
        <v>30</v>
      </c>
      <c r="E79">
        <v>6.4401000000000002</v>
      </c>
    </row>
    <row r="80" spans="3:5" x14ac:dyDescent="0.2">
      <c r="C80">
        <v>1775</v>
      </c>
      <c r="D80">
        <v>31</v>
      </c>
      <c r="E80">
        <v>8.3160871000000007</v>
      </c>
    </row>
    <row r="81" spans="2:21" x14ac:dyDescent="0.2">
      <c r="C81">
        <v>1825</v>
      </c>
      <c r="D81">
        <v>30</v>
      </c>
      <c r="E81">
        <v>8.3571966999999994</v>
      </c>
    </row>
    <row r="82" spans="2:21" x14ac:dyDescent="0.2">
      <c r="C82">
        <v>1875</v>
      </c>
      <c r="D82">
        <v>40</v>
      </c>
      <c r="E82">
        <v>7.6060350000000003</v>
      </c>
    </row>
    <row r="83" spans="2:21" x14ac:dyDescent="0.2">
      <c r="C83">
        <v>1925</v>
      </c>
      <c r="D83">
        <v>20</v>
      </c>
      <c r="E83">
        <v>20</v>
      </c>
    </row>
    <row r="84" spans="2:21" x14ac:dyDescent="0.2">
      <c r="C84">
        <v>1965</v>
      </c>
      <c r="D84">
        <v>71</v>
      </c>
      <c r="E84">
        <v>64.199498599999998</v>
      </c>
    </row>
    <row r="85" spans="2:21" x14ac:dyDescent="0.2">
      <c r="C85">
        <v>1985</v>
      </c>
      <c r="D85">
        <v>44</v>
      </c>
      <c r="E85">
        <v>71.192277300000001</v>
      </c>
    </row>
    <row r="86" spans="2:21" x14ac:dyDescent="0.2">
      <c r="C86">
        <v>2005</v>
      </c>
      <c r="D86">
        <v>52</v>
      </c>
      <c r="E86">
        <v>84.900730800000005</v>
      </c>
    </row>
    <row r="90" spans="2:21" x14ac:dyDescent="0.2">
      <c r="B90" t="s">
        <v>128</v>
      </c>
    </row>
    <row r="91" spans="2:21" x14ac:dyDescent="0.2">
      <c r="D91" t="s">
        <v>129</v>
      </c>
      <c r="E91">
        <v>2005</v>
      </c>
      <c r="R91" t="s">
        <v>175</v>
      </c>
      <c r="S91" t="s">
        <v>176</v>
      </c>
      <c r="T91" t="s">
        <v>177</v>
      </c>
      <c r="U91" t="s">
        <v>178</v>
      </c>
    </row>
    <row r="92" spans="2:21" x14ac:dyDescent="0.2">
      <c r="D92">
        <v>1.2</v>
      </c>
      <c r="E92">
        <v>3.5</v>
      </c>
      <c r="J92" t="s">
        <v>130</v>
      </c>
      <c r="M92">
        <v>1.2</v>
      </c>
      <c r="N92">
        <v>3.5</v>
      </c>
      <c r="Q92" t="s">
        <v>173</v>
      </c>
      <c r="R92">
        <v>0.55000000000000004</v>
      </c>
      <c r="S92">
        <v>1.2</v>
      </c>
      <c r="T92">
        <v>0.65</v>
      </c>
      <c r="U92">
        <v>3.5</v>
      </c>
    </row>
    <row r="93" spans="2:21" x14ac:dyDescent="0.2">
      <c r="D93">
        <v>0.06</v>
      </c>
      <c r="E93">
        <v>0.25</v>
      </c>
      <c r="J93" t="s">
        <v>131</v>
      </c>
      <c r="M93">
        <v>0.06</v>
      </c>
      <c r="N93">
        <v>0.25</v>
      </c>
      <c r="Q93" t="s">
        <v>174</v>
      </c>
      <c r="R93">
        <v>0.06</v>
      </c>
      <c r="S93">
        <v>0.06</v>
      </c>
      <c r="T93">
        <v>4.7</v>
      </c>
      <c r="U93">
        <v>0.25</v>
      </c>
    </row>
    <row r="94" spans="2:21" x14ac:dyDescent="0.2">
      <c r="D94">
        <v>0</v>
      </c>
      <c r="E94">
        <v>0</v>
      </c>
      <c r="J94" t="s">
        <v>132</v>
      </c>
    </row>
    <row r="95" spans="2:21" x14ac:dyDescent="0.2">
      <c r="D95">
        <v>0.55000000000000004</v>
      </c>
      <c r="E95">
        <v>0.65</v>
      </c>
      <c r="J95" t="s">
        <v>133</v>
      </c>
      <c r="M95">
        <v>0.55000000000000004</v>
      </c>
      <c r="N95">
        <v>0.65</v>
      </c>
      <c r="P95" t="s">
        <v>133</v>
      </c>
    </row>
    <row r="96" spans="2:21" x14ac:dyDescent="0.2">
      <c r="D96">
        <v>0.06</v>
      </c>
      <c r="E96">
        <v>2.1</v>
      </c>
      <c r="J96" t="s">
        <v>134</v>
      </c>
      <c r="M96">
        <v>0.06</v>
      </c>
      <c r="N96">
        <v>4.7</v>
      </c>
      <c r="P96" t="s">
        <v>134</v>
      </c>
    </row>
    <row r="97" spans="1:11" x14ac:dyDescent="0.2">
      <c r="D97">
        <v>0</v>
      </c>
      <c r="E97">
        <v>2.6</v>
      </c>
      <c r="J97" t="s">
        <v>135</v>
      </c>
    </row>
    <row r="101" spans="1:11" x14ac:dyDescent="0.2">
      <c r="D101">
        <v>0.6</v>
      </c>
      <c r="E101">
        <v>5.4</v>
      </c>
      <c r="J101" t="s">
        <v>144</v>
      </c>
    </row>
    <row r="102" spans="1:11" x14ac:dyDescent="0.2">
      <c r="D102">
        <v>1.3</v>
      </c>
      <c r="E102">
        <v>3.8</v>
      </c>
      <c r="J102" t="s">
        <v>214</v>
      </c>
    </row>
    <row r="103" spans="1:11" x14ac:dyDescent="0.2">
      <c r="J103" t="s">
        <v>120</v>
      </c>
    </row>
    <row r="110" spans="1:11" ht="15" x14ac:dyDescent="0.25">
      <c r="A110" s="1" t="s">
        <v>145</v>
      </c>
      <c r="B110" s="2"/>
      <c r="C110" s="2"/>
      <c r="D110" s="2"/>
      <c r="E110" s="2"/>
      <c r="F110" s="2"/>
      <c r="G110" s="2"/>
      <c r="H110" s="1" t="s">
        <v>146</v>
      </c>
      <c r="I110" s="2"/>
      <c r="J110" s="2"/>
      <c r="K110" s="2"/>
    </row>
    <row r="111" spans="1:11" ht="15" x14ac:dyDescent="0.25">
      <c r="A111" s="1" t="s">
        <v>147</v>
      </c>
      <c r="B111" s="3" t="s">
        <v>148</v>
      </c>
      <c r="C111" s="3" t="s">
        <v>149</v>
      </c>
      <c r="D111" s="3" t="s">
        <v>150</v>
      </c>
      <c r="E111" s="3" t="s">
        <v>151</v>
      </c>
      <c r="F111" s="1" t="s">
        <v>152</v>
      </c>
      <c r="G111" s="1" t="s">
        <v>153</v>
      </c>
      <c r="H111" s="2"/>
      <c r="I111" s="2"/>
      <c r="J111" s="2"/>
      <c r="K111" s="2"/>
    </row>
    <row r="112" spans="1:11" ht="15" x14ac:dyDescent="0.25">
      <c r="A112" s="1" t="s">
        <v>154</v>
      </c>
      <c r="B112" s="3"/>
      <c r="C112" s="3">
        <v>0.1</v>
      </c>
      <c r="D112" s="3">
        <v>0.1</v>
      </c>
      <c r="E112" s="3">
        <v>0</v>
      </c>
      <c r="F112" s="1">
        <v>1.9</v>
      </c>
      <c r="G112" s="2">
        <f t="shared" ref="G112:G118" si="0">F112-C112</f>
        <v>1.7999999999999998</v>
      </c>
      <c r="H112" s="2"/>
      <c r="I112" s="2"/>
      <c r="J112" s="2"/>
      <c r="K112" s="2"/>
    </row>
    <row r="113" spans="1:11" ht="15" x14ac:dyDescent="0.25">
      <c r="A113" s="1" t="s">
        <v>155</v>
      </c>
      <c r="B113" s="3"/>
      <c r="C113" s="3">
        <v>1.4999999999999999E-2</v>
      </c>
      <c r="D113" s="3">
        <v>1.4999999999999999E-2</v>
      </c>
      <c r="E113" s="3">
        <v>0</v>
      </c>
      <c r="F113" s="1">
        <v>2</v>
      </c>
      <c r="G113" s="2">
        <f t="shared" si="0"/>
        <v>1.9850000000000001</v>
      </c>
      <c r="H113" s="2"/>
      <c r="I113" s="2"/>
      <c r="J113" s="2"/>
      <c r="K113" s="2"/>
    </row>
    <row r="114" spans="1:11" ht="15" x14ac:dyDescent="0.25">
      <c r="A114" s="4" t="s">
        <v>156</v>
      </c>
      <c r="B114" s="2">
        <v>0.56999999999999995</v>
      </c>
      <c r="C114" s="2">
        <v>0.2</v>
      </c>
      <c r="D114" s="2">
        <v>0.2</v>
      </c>
      <c r="E114" s="2">
        <v>0.01</v>
      </c>
      <c r="F114" s="2">
        <v>1</v>
      </c>
      <c r="G114" s="2">
        <v>1</v>
      </c>
      <c r="H114" s="2"/>
      <c r="I114" s="2"/>
      <c r="J114" s="2"/>
      <c r="K114" s="2"/>
    </row>
    <row r="115" spans="1:11" ht="15" x14ac:dyDescent="0.25">
      <c r="A115" s="1" t="s">
        <v>157</v>
      </c>
      <c r="B115" s="2">
        <v>0.88</v>
      </c>
      <c r="C115" s="2">
        <v>0.14000000000000001</v>
      </c>
      <c r="D115" s="2">
        <v>0.11</v>
      </c>
      <c r="E115" s="2">
        <v>0.03</v>
      </c>
      <c r="F115" s="2">
        <v>1.8</v>
      </c>
      <c r="G115" s="2">
        <f t="shared" si="0"/>
        <v>1.6600000000000001</v>
      </c>
      <c r="H115" s="2"/>
      <c r="I115" s="2"/>
      <c r="J115" s="2"/>
      <c r="K115" s="2"/>
    </row>
    <row r="116" spans="1:11" ht="15" x14ac:dyDescent="0.25">
      <c r="A116" s="1" t="s">
        <v>158</v>
      </c>
      <c r="B116" s="2">
        <v>1.4</v>
      </c>
      <c r="C116" s="2">
        <v>0.23</v>
      </c>
      <c r="D116" s="1">
        <v>0.14000000000000001</v>
      </c>
      <c r="E116" s="2">
        <v>0.09</v>
      </c>
      <c r="F116" s="2">
        <v>2.27</v>
      </c>
      <c r="G116" s="2">
        <f t="shared" si="0"/>
        <v>2.04</v>
      </c>
      <c r="H116" s="2"/>
      <c r="I116" s="2"/>
      <c r="J116" s="2"/>
      <c r="K116" s="2"/>
    </row>
    <row r="117" spans="1:11" ht="15" x14ac:dyDescent="0.25">
      <c r="A117" s="1" t="s">
        <v>159</v>
      </c>
      <c r="B117" s="2"/>
      <c r="C117" s="2">
        <v>0.3</v>
      </c>
      <c r="D117" s="2"/>
      <c r="E117" s="2"/>
      <c r="F117" s="2">
        <v>5.0999999999999996</v>
      </c>
      <c r="G117" s="2">
        <f t="shared" si="0"/>
        <v>4.8</v>
      </c>
      <c r="H117" s="2"/>
      <c r="I117" s="2"/>
      <c r="J117" s="2"/>
      <c r="K117" s="2"/>
    </row>
    <row r="118" spans="1:11" ht="15" x14ac:dyDescent="0.25">
      <c r="A118" s="5" t="s">
        <v>160</v>
      </c>
      <c r="B118" s="2"/>
      <c r="C118" s="2">
        <v>2.41</v>
      </c>
      <c r="D118" s="2"/>
      <c r="E118" s="2"/>
      <c r="F118" s="2">
        <v>6.1</v>
      </c>
      <c r="G118" s="2">
        <f t="shared" si="0"/>
        <v>3.6899999999999995</v>
      </c>
      <c r="H118" s="2"/>
      <c r="I118" s="2"/>
      <c r="J118" s="2"/>
      <c r="K118" s="2"/>
    </row>
    <row r="119" spans="1:11" ht="15" x14ac:dyDescent="0.25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5" x14ac:dyDescent="0.25">
      <c r="A120" s="1" t="s">
        <v>161</v>
      </c>
      <c r="B120" s="2"/>
      <c r="C120" s="2"/>
      <c r="D120" s="2"/>
      <c r="E120" s="6"/>
      <c r="F120" s="2"/>
      <c r="G120" s="2"/>
      <c r="H120" s="2"/>
      <c r="I120" s="2"/>
      <c r="J120" s="2"/>
      <c r="K120" s="2"/>
    </row>
    <row r="121" spans="1:11" ht="15" x14ac:dyDescent="0.25">
      <c r="A121" s="1" t="s">
        <v>162</v>
      </c>
      <c r="B121" s="2"/>
      <c r="C121" s="2">
        <v>2.8</v>
      </c>
      <c r="D121" s="2">
        <v>2.7</v>
      </c>
      <c r="E121" s="6">
        <v>0.15</v>
      </c>
      <c r="F121" s="2">
        <v>22.4</v>
      </c>
      <c r="G121" s="2">
        <f t="shared" ref="G121:G127" si="1">F121-C121</f>
        <v>19.599999999999998</v>
      </c>
      <c r="H121" s="2"/>
      <c r="I121" s="2"/>
      <c r="J121" s="2"/>
      <c r="K121" s="2"/>
    </row>
    <row r="122" spans="1:11" ht="15" x14ac:dyDescent="0.25">
      <c r="A122" s="1" t="s">
        <v>163</v>
      </c>
      <c r="B122" s="2"/>
      <c r="C122" s="2">
        <v>1.7</v>
      </c>
      <c r="D122" s="2">
        <v>1.5</v>
      </c>
      <c r="E122" s="6">
        <v>0.17</v>
      </c>
      <c r="F122" s="2">
        <v>21.3</v>
      </c>
      <c r="G122" s="2">
        <f t="shared" si="1"/>
        <v>19.600000000000001</v>
      </c>
      <c r="H122" s="2"/>
      <c r="I122" s="2"/>
      <c r="J122" s="2"/>
      <c r="K122" s="2"/>
    </row>
    <row r="123" spans="1:11" ht="15" x14ac:dyDescent="0.25">
      <c r="A123" s="4" t="s">
        <v>164</v>
      </c>
      <c r="B123" s="2">
        <v>14.5</v>
      </c>
      <c r="C123" s="2">
        <v>2.5</v>
      </c>
      <c r="D123" s="2">
        <v>1.9</v>
      </c>
      <c r="E123" s="2">
        <v>0.4</v>
      </c>
      <c r="F123" s="2">
        <v>22</v>
      </c>
      <c r="G123" s="2">
        <f t="shared" si="1"/>
        <v>19.5</v>
      </c>
      <c r="H123" s="2"/>
      <c r="I123" s="2"/>
      <c r="J123" s="2"/>
      <c r="K123" s="2"/>
    </row>
    <row r="124" spans="1:11" ht="15" x14ac:dyDescent="0.25">
      <c r="A124" s="1" t="s">
        <v>165</v>
      </c>
      <c r="B124" s="2">
        <v>14</v>
      </c>
      <c r="C124" s="2">
        <v>2</v>
      </c>
      <c r="D124" s="2">
        <v>2.2000000000000002</v>
      </c>
      <c r="E124" s="2">
        <v>0.7</v>
      </c>
      <c r="F124" s="2">
        <v>20</v>
      </c>
      <c r="G124" s="2">
        <f t="shared" si="1"/>
        <v>18</v>
      </c>
      <c r="H124" s="2"/>
      <c r="I124" s="2"/>
      <c r="J124" s="2"/>
      <c r="K124" s="2"/>
    </row>
    <row r="125" spans="1:11" ht="15" x14ac:dyDescent="0.25">
      <c r="A125" s="1" t="s">
        <v>166</v>
      </c>
      <c r="B125" s="2">
        <v>8.1999999999999993</v>
      </c>
      <c r="C125" s="2">
        <v>1.9</v>
      </c>
      <c r="D125" s="2">
        <v>1.2</v>
      </c>
      <c r="E125" s="2">
        <v>0.7</v>
      </c>
      <c r="F125" s="2">
        <v>13.7</v>
      </c>
      <c r="G125" s="2">
        <f t="shared" si="1"/>
        <v>11.799999999999999</v>
      </c>
      <c r="H125" s="2"/>
      <c r="I125" s="2"/>
      <c r="J125" s="2"/>
      <c r="K125" s="2"/>
    </row>
    <row r="126" spans="1:11" ht="15" x14ac:dyDescent="0.25">
      <c r="A126" s="1" t="s">
        <v>167</v>
      </c>
      <c r="B126" s="2"/>
      <c r="C126" s="2">
        <v>0.5</v>
      </c>
      <c r="D126" s="2"/>
      <c r="E126" s="2"/>
      <c r="F126" s="2">
        <v>7.4</v>
      </c>
      <c r="G126" s="2">
        <f t="shared" si="1"/>
        <v>6.9</v>
      </c>
      <c r="H126" s="2"/>
      <c r="I126" s="2"/>
      <c r="J126" s="2"/>
      <c r="K126" s="2"/>
    </row>
    <row r="127" spans="1:11" ht="15" x14ac:dyDescent="0.25">
      <c r="A127" s="5" t="s">
        <v>168</v>
      </c>
      <c r="B127" s="2"/>
      <c r="C127" s="2">
        <v>8.8000000000000007</v>
      </c>
      <c r="D127" s="2"/>
      <c r="E127" s="2"/>
      <c r="F127" s="2">
        <v>23.4</v>
      </c>
      <c r="G127" s="2">
        <f t="shared" si="1"/>
        <v>14.599999999999998</v>
      </c>
      <c r="H127" s="2"/>
      <c r="I127" s="2"/>
      <c r="J127" s="2"/>
      <c r="K127" s="2"/>
    </row>
    <row r="128" spans="1:11" ht="15" x14ac:dyDescent="0.25">
      <c r="A128" s="5" t="s">
        <v>161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5" x14ac:dyDescent="0.25">
      <c r="A129" s="1" t="s">
        <v>162</v>
      </c>
      <c r="B129" s="2"/>
      <c r="C129" s="2"/>
      <c r="D129" s="2">
        <v>2.7</v>
      </c>
      <c r="E129" s="6">
        <v>0.15</v>
      </c>
      <c r="F129" s="2"/>
      <c r="G129" s="2"/>
      <c r="H129" s="2"/>
      <c r="I129" s="2"/>
      <c r="J129" s="2"/>
      <c r="K129" s="2"/>
    </row>
    <row r="130" spans="1:11" ht="15" x14ac:dyDescent="0.25">
      <c r="A130" s="1" t="s">
        <v>163</v>
      </c>
      <c r="B130" s="2"/>
      <c r="C130" s="2"/>
      <c r="D130" s="2">
        <v>1.5</v>
      </c>
      <c r="E130" s="6">
        <v>0.17</v>
      </c>
      <c r="F130" s="2"/>
      <c r="G130" s="2"/>
      <c r="H130" s="2"/>
      <c r="I130" s="2"/>
      <c r="J130" s="2"/>
      <c r="K130" s="2"/>
    </row>
    <row r="131" spans="1:11" ht="15" x14ac:dyDescent="0.25">
      <c r="A131" s="4" t="s">
        <v>164</v>
      </c>
      <c r="B131" s="2"/>
      <c r="C131" s="2"/>
      <c r="D131" s="2">
        <v>1.9</v>
      </c>
      <c r="E131" s="2">
        <v>0.4</v>
      </c>
      <c r="F131" s="2"/>
      <c r="G131" s="2"/>
      <c r="H131" s="2"/>
      <c r="I131" s="2"/>
      <c r="J131" s="2"/>
      <c r="K131" s="2"/>
    </row>
    <row r="132" spans="1:11" ht="15" x14ac:dyDescent="0.25">
      <c r="A132" s="1" t="s">
        <v>165</v>
      </c>
      <c r="B132" s="2"/>
      <c r="C132" s="2"/>
      <c r="D132" s="2">
        <v>2.2000000000000002</v>
      </c>
      <c r="E132" s="2">
        <v>0.7</v>
      </c>
      <c r="F132" s="2"/>
      <c r="G132" s="2"/>
      <c r="H132" s="2"/>
      <c r="I132" s="2"/>
      <c r="J132" s="2"/>
      <c r="K132" s="2"/>
    </row>
    <row r="133" spans="1:11" ht="15" x14ac:dyDescent="0.25">
      <c r="A133" s="5" t="s">
        <v>168</v>
      </c>
      <c r="B133" s="2"/>
      <c r="C133" s="2"/>
      <c r="D133" s="2">
        <v>3</v>
      </c>
      <c r="E133" s="2">
        <v>5.8</v>
      </c>
      <c r="F133" s="2"/>
      <c r="G133" s="2"/>
      <c r="H133" s="2"/>
      <c r="I133" s="2"/>
      <c r="J133" s="2"/>
      <c r="K133" s="2"/>
    </row>
    <row r="134" spans="1:11" ht="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5" x14ac:dyDescent="0.25">
      <c r="A136" s="5" t="s">
        <v>145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5" x14ac:dyDescent="0.25">
      <c r="A137" s="1" t="s">
        <v>162</v>
      </c>
      <c r="B137" s="2"/>
      <c r="C137" s="2"/>
      <c r="D137" s="3">
        <v>0.1</v>
      </c>
      <c r="E137" s="3">
        <v>0</v>
      </c>
      <c r="F137" s="2"/>
      <c r="G137" s="2"/>
      <c r="H137" s="2"/>
      <c r="I137" s="2"/>
      <c r="J137" s="2"/>
      <c r="K137" s="2"/>
    </row>
    <row r="138" spans="1:11" ht="15" x14ac:dyDescent="0.25">
      <c r="A138" s="1" t="s">
        <v>163</v>
      </c>
      <c r="B138" s="2"/>
      <c r="C138" s="2"/>
      <c r="D138" s="3">
        <v>1.4999999999999999E-2</v>
      </c>
      <c r="E138" s="3">
        <v>0</v>
      </c>
      <c r="F138" s="2"/>
      <c r="G138" s="2"/>
      <c r="H138" s="2"/>
      <c r="I138" s="2"/>
      <c r="J138" s="2"/>
      <c r="K138" s="2"/>
    </row>
    <row r="139" spans="1:11" ht="15" x14ac:dyDescent="0.25">
      <c r="A139" s="4" t="s">
        <v>164</v>
      </c>
      <c r="B139" s="2"/>
      <c r="C139" s="2"/>
      <c r="D139" s="2">
        <v>0.2</v>
      </c>
      <c r="E139" s="2">
        <v>0.01</v>
      </c>
      <c r="F139" s="2"/>
      <c r="G139" s="2"/>
      <c r="H139" s="2"/>
      <c r="I139" s="2"/>
      <c r="J139" s="2"/>
      <c r="K139" s="2"/>
    </row>
    <row r="140" spans="1:11" ht="15" x14ac:dyDescent="0.25">
      <c r="A140" s="1" t="s">
        <v>165</v>
      </c>
      <c r="B140" s="2"/>
      <c r="C140" s="2"/>
      <c r="D140" s="2">
        <v>0.11</v>
      </c>
      <c r="E140" s="2">
        <v>0.03</v>
      </c>
      <c r="F140" s="2"/>
      <c r="G140" s="2"/>
      <c r="H140" s="2"/>
      <c r="I140" s="2"/>
      <c r="J140" s="2"/>
      <c r="K140" s="2"/>
    </row>
    <row r="141" spans="1:11" ht="15" x14ac:dyDescent="0.25">
      <c r="A141" s="5" t="s">
        <v>168</v>
      </c>
      <c r="B141" s="2"/>
      <c r="C141" s="2"/>
      <c r="D141" s="2">
        <v>1</v>
      </c>
      <c r="E141" s="2">
        <v>1.4</v>
      </c>
      <c r="F141" s="2"/>
      <c r="G141" s="2"/>
      <c r="H141" s="2"/>
      <c r="I141" s="2"/>
      <c r="J141" s="2"/>
      <c r="K141" s="2"/>
    </row>
    <row r="142" spans="1:11" ht="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5" x14ac:dyDescent="0.25">
      <c r="A144" s="1" t="s">
        <v>169</v>
      </c>
      <c r="B144" s="2"/>
      <c r="C144" s="2">
        <v>0.5</v>
      </c>
      <c r="D144" s="2"/>
      <c r="E144" s="2"/>
      <c r="F144" s="2">
        <v>7.4</v>
      </c>
      <c r="G144" s="2">
        <f>F144-C144</f>
        <v>6.9</v>
      </c>
    </row>
    <row r="145" spans="1:7" ht="15" x14ac:dyDescent="0.25">
      <c r="A145" s="5" t="s">
        <v>170</v>
      </c>
      <c r="B145" s="2"/>
      <c r="C145" s="2">
        <v>8.8000000000000007</v>
      </c>
      <c r="D145" s="2"/>
      <c r="E145" s="2"/>
      <c r="F145" s="2">
        <v>23.4</v>
      </c>
      <c r="G145" s="2">
        <f>F145-C145</f>
        <v>14.599999999999998</v>
      </c>
    </row>
    <row r="146" spans="1:7" ht="15" x14ac:dyDescent="0.25">
      <c r="A146" s="1" t="s">
        <v>172</v>
      </c>
      <c r="B146" s="2"/>
      <c r="C146" s="2">
        <v>0.3</v>
      </c>
      <c r="D146" s="2"/>
      <c r="E146" s="2"/>
      <c r="F146" s="2">
        <v>5.0999999999999996</v>
      </c>
      <c r="G146" s="2">
        <f>F146-C146</f>
        <v>4.8</v>
      </c>
    </row>
    <row r="147" spans="1:7" ht="15" x14ac:dyDescent="0.25">
      <c r="A147" s="5" t="s">
        <v>171</v>
      </c>
      <c r="B147" s="2"/>
      <c r="C147" s="2">
        <v>2.41</v>
      </c>
      <c r="D147" s="2"/>
      <c r="E147" s="2"/>
      <c r="F147" s="2">
        <v>6.1</v>
      </c>
      <c r="G147" s="2">
        <f>F147-C147</f>
        <v>3.6899999999999995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2:R103"/>
  <sheetViews>
    <sheetView workbookViewId="0">
      <selection activeCell="P63" sqref="P63"/>
    </sheetView>
  </sheetViews>
  <sheetFormatPr defaultRowHeight="12.75" x14ac:dyDescent="0.2"/>
  <sheetData>
    <row r="2" spans="1:8" x14ac:dyDescent="0.2">
      <c r="A2" t="s">
        <v>0</v>
      </c>
      <c r="B2" t="s">
        <v>1</v>
      </c>
      <c r="C2" t="s">
        <v>27</v>
      </c>
      <c r="F2" t="s">
        <v>0</v>
      </c>
      <c r="G2" t="s">
        <v>1</v>
      </c>
      <c r="H2" t="s">
        <v>2</v>
      </c>
    </row>
    <row r="3" spans="1:8" x14ac:dyDescent="0.2">
      <c r="A3" t="s">
        <v>136</v>
      </c>
      <c r="F3" t="s">
        <v>137</v>
      </c>
    </row>
    <row r="4" spans="1:8" x14ac:dyDescent="0.2">
      <c r="A4" t="s">
        <v>3</v>
      </c>
      <c r="B4" t="s">
        <v>28</v>
      </c>
      <c r="F4" t="s">
        <v>3</v>
      </c>
      <c r="G4" t="s">
        <v>4</v>
      </c>
    </row>
    <row r="5" spans="1:8" x14ac:dyDescent="0.2">
      <c r="A5" t="s">
        <v>5</v>
      </c>
      <c r="B5" t="s">
        <v>29</v>
      </c>
      <c r="C5" t="s">
        <v>30</v>
      </c>
      <c r="F5" t="s">
        <v>5</v>
      </c>
      <c r="G5" t="s">
        <v>6</v>
      </c>
      <c r="H5" t="s">
        <v>7</v>
      </c>
    </row>
    <row r="7" spans="1:8" x14ac:dyDescent="0.2">
      <c r="A7" t="s">
        <v>8</v>
      </c>
      <c r="B7" t="s">
        <v>9</v>
      </c>
      <c r="F7" t="s">
        <v>8</v>
      </c>
      <c r="G7" t="s">
        <v>9</v>
      </c>
    </row>
    <row r="8" spans="1:8" x14ac:dyDescent="0.2">
      <c r="A8" t="s">
        <v>10</v>
      </c>
      <c r="B8" t="s">
        <v>11</v>
      </c>
      <c r="C8" t="s">
        <v>12</v>
      </c>
      <c r="F8" t="s">
        <v>10</v>
      </c>
      <c r="G8" t="s">
        <v>11</v>
      </c>
      <c r="H8" t="s">
        <v>12</v>
      </c>
    </row>
    <row r="9" spans="1:8" x14ac:dyDescent="0.2">
      <c r="A9" t="s">
        <v>81</v>
      </c>
      <c r="C9">
        <v>10</v>
      </c>
      <c r="F9" t="s">
        <v>81</v>
      </c>
      <c r="H9">
        <v>12.6</v>
      </c>
    </row>
    <row r="10" spans="1:8" x14ac:dyDescent="0.2">
      <c r="A10" t="s">
        <v>15</v>
      </c>
      <c r="B10">
        <v>4</v>
      </c>
      <c r="C10">
        <v>0.37</v>
      </c>
      <c r="F10" t="s">
        <v>13</v>
      </c>
      <c r="G10">
        <v>32</v>
      </c>
      <c r="H10">
        <v>2.35</v>
      </c>
    </row>
    <row r="11" spans="1:8" x14ac:dyDescent="0.2">
      <c r="A11" t="s">
        <v>18</v>
      </c>
      <c r="B11">
        <v>6</v>
      </c>
      <c r="C11">
        <v>0.55000000000000004</v>
      </c>
      <c r="F11" t="s">
        <v>14</v>
      </c>
      <c r="G11">
        <v>9</v>
      </c>
      <c r="H11">
        <v>0.66</v>
      </c>
    </row>
    <row r="12" spans="1:8" x14ac:dyDescent="0.2">
      <c r="A12" t="s">
        <v>13</v>
      </c>
      <c r="B12">
        <v>7</v>
      </c>
      <c r="C12">
        <v>0.65</v>
      </c>
      <c r="F12" t="s">
        <v>15</v>
      </c>
      <c r="G12">
        <v>13</v>
      </c>
      <c r="H12">
        <v>0.95</v>
      </c>
    </row>
    <row r="13" spans="1:8" x14ac:dyDescent="0.2">
      <c r="A13" t="s">
        <v>31</v>
      </c>
      <c r="B13">
        <v>3</v>
      </c>
      <c r="C13">
        <v>0.28000000000000003</v>
      </c>
      <c r="F13" t="s">
        <v>16</v>
      </c>
      <c r="G13">
        <v>9</v>
      </c>
      <c r="H13">
        <v>0.66</v>
      </c>
    </row>
    <row r="14" spans="1:8" x14ac:dyDescent="0.2">
      <c r="A14" t="s">
        <v>19</v>
      </c>
      <c r="B14">
        <v>3</v>
      </c>
      <c r="C14">
        <v>0.28000000000000003</v>
      </c>
      <c r="F14" t="s">
        <v>17</v>
      </c>
      <c r="G14">
        <v>5</v>
      </c>
      <c r="H14">
        <v>0.37</v>
      </c>
    </row>
    <row r="15" spans="1:8" x14ac:dyDescent="0.2">
      <c r="A15" t="s">
        <v>14</v>
      </c>
      <c r="B15">
        <v>6</v>
      </c>
      <c r="C15">
        <v>0.55000000000000004</v>
      </c>
      <c r="F15" t="s">
        <v>18</v>
      </c>
      <c r="G15">
        <v>6</v>
      </c>
      <c r="H15">
        <v>0.44</v>
      </c>
    </row>
    <row r="16" spans="1:8" x14ac:dyDescent="0.2">
      <c r="A16" t="s">
        <v>17</v>
      </c>
      <c r="B16">
        <v>2</v>
      </c>
      <c r="C16">
        <v>0.09</v>
      </c>
      <c r="F16" t="s">
        <v>19</v>
      </c>
      <c r="G16">
        <v>3</v>
      </c>
      <c r="H16">
        <v>0.22</v>
      </c>
    </row>
    <row r="17" spans="1:8" x14ac:dyDescent="0.2">
      <c r="A17" t="s">
        <v>32</v>
      </c>
      <c r="B17">
        <v>1</v>
      </c>
      <c r="C17">
        <v>0.09</v>
      </c>
      <c r="F17" t="s">
        <v>20</v>
      </c>
      <c r="G17">
        <v>2</v>
      </c>
      <c r="H17">
        <v>0.15</v>
      </c>
    </row>
    <row r="18" spans="1:8" x14ac:dyDescent="0.2">
      <c r="A18" t="s">
        <v>33</v>
      </c>
      <c r="B18">
        <v>1</v>
      </c>
      <c r="C18">
        <v>0.09</v>
      </c>
      <c r="F18" t="s">
        <v>21</v>
      </c>
      <c r="G18">
        <v>2</v>
      </c>
      <c r="H18">
        <v>0.15</v>
      </c>
    </row>
    <row r="19" spans="1:8" x14ac:dyDescent="0.2">
      <c r="A19" t="s">
        <v>34</v>
      </c>
      <c r="B19">
        <v>1</v>
      </c>
      <c r="C19">
        <v>0.09</v>
      </c>
      <c r="F19" t="s">
        <v>22</v>
      </c>
      <c r="G19">
        <v>2</v>
      </c>
      <c r="H19">
        <v>0.15</v>
      </c>
    </row>
    <row r="20" spans="1:8" x14ac:dyDescent="0.2">
      <c r="C20">
        <v>3.1</v>
      </c>
      <c r="F20" t="s">
        <v>23</v>
      </c>
      <c r="G20">
        <v>2</v>
      </c>
      <c r="H20">
        <v>0.15</v>
      </c>
    </row>
    <row r="21" spans="1:8" x14ac:dyDescent="0.2">
      <c r="F21" t="s">
        <v>24</v>
      </c>
      <c r="G21">
        <v>1</v>
      </c>
      <c r="H21">
        <v>0.15</v>
      </c>
    </row>
    <row r="22" spans="1:8" x14ac:dyDescent="0.2">
      <c r="F22" t="s">
        <v>25</v>
      </c>
      <c r="G22">
        <v>1</v>
      </c>
      <c r="H22">
        <v>0.15</v>
      </c>
    </row>
    <row r="23" spans="1:8" x14ac:dyDescent="0.2">
      <c r="F23" t="s">
        <v>26</v>
      </c>
      <c r="G23">
        <v>1</v>
      </c>
      <c r="H23">
        <v>0.15</v>
      </c>
    </row>
    <row r="24" spans="1:8" x14ac:dyDescent="0.2">
      <c r="H24">
        <v>6.5</v>
      </c>
    </row>
    <row r="29" spans="1:8" x14ac:dyDescent="0.2">
      <c r="A29" t="s">
        <v>0</v>
      </c>
      <c r="B29" t="s">
        <v>1</v>
      </c>
      <c r="C29" t="s">
        <v>73</v>
      </c>
      <c r="F29" t="s">
        <v>0</v>
      </c>
      <c r="G29" t="s">
        <v>1</v>
      </c>
      <c r="H29" t="s">
        <v>77</v>
      </c>
    </row>
    <row r="30" spans="1:8" x14ac:dyDescent="0.2">
      <c r="A30" t="s">
        <v>138</v>
      </c>
      <c r="F30" t="s">
        <v>139</v>
      </c>
    </row>
    <row r="31" spans="1:8" x14ac:dyDescent="0.2">
      <c r="A31" t="s">
        <v>3</v>
      </c>
      <c r="B31" t="s">
        <v>74</v>
      </c>
      <c r="F31" t="s">
        <v>3</v>
      </c>
      <c r="G31" t="s">
        <v>78</v>
      </c>
    </row>
    <row r="32" spans="1:8" x14ac:dyDescent="0.2">
      <c r="A32" t="s">
        <v>5</v>
      </c>
      <c r="B32" t="s">
        <v>75</v>
      </c>
      <c r="C32" t="s">
        <v>76</v>
      </c>
      <c r="F32" t="s">
        <v>5</v>
      </c>
      <c r="G32" t="s">
        <v>79</v>
      </c>
      <c r="H32" t="s">
        <v>80</v>
      </c>
    </row>
    <row r="34" spans="1:8" x14ac:dyDescent="0.2">
      <c r="A34" t="s">
        <v>8</v>
      </c>
      <c r="B34" t="s">
        <v>9</v>
      </c>
      <c r="F34" t="s">
        <v>8</v>
      </c>
      <c r="G34" t="s">
        <v>9</v>
      </c>
    </row>
    <row r="35" spans="1:8" x14ac:dyDescent="0.2">
      <c r="A35" t="s">
        <v>10</v>
      </c>
      <c r="B35" t="s">
        <v>11</v>
      </c>
      <c r="C35" t="s">
        <v>12</v>
      </c>
      <c r="F35" t="s">
        <v>10</v>
      </c>
      <c r="G35" t="s">
        <v>11</v>
      </c>
      <c r="H35" t="s">
        <v>12</v>
      </c>
    </row>
    <row r="36" spans="1:8" x14ac:dyDescent="0.2">
      <c r="A36" t="s">
        <v>81</v>
      </c>
      <c r="C36">
        <v>38</v>
      </c>
      <c r="F36" t="s">
        <v>81</v>
      </c>
      <c r="H36">
        <v>26</v>
      </c>
    </row>
    <row r="37" spans="1:8" x14ac:dyDescent="0.2">
      <c r="A37" t="s">
        <v>19</v>
      </c>
      <c r="B37">
        <v>10</v>
      </c>
      <c r="C37">
        <v>0.9</v>
      </c>
      <c r="F37" t="s">
        <v>16</v>
      </c>
      <c r="G37">
        <v>10</v>
      </c>
      <c r="H37">
        <v>0.88</v>
      </c>
    </row>
    <row r="38" spans="1:8" x14ac:dyDescent="0.2">
      <c r="A38" t="s">
        <v>13</v>
      </c>
      <c r="B38">
        <v>25</v>
      </c>
      <c r="C38">
        <v>2.2599999999999998</v>
      </c>
      <c r="F38" t="s">
        <v>13</v>
      </c>
      <c r="G38">
        <v>65</v>
      </c>
      <c r="H38">
        <v>5.72</v>
      </c>
    </row>
    <row r="39" spans="1:8" x14ac:dyDescent="0.2">
      <c r="A39" t="s">
        <v>17</v>
      </c>
      <c r="B39">
        <v>22</v>
      </c>
      <c r="C39">
        <v>1.99</v>
      </c>
      <c r="F39" t="s">
        <v>14</v>
      </c>
      <c r="G39">
        <v>16</v>
      </c>
      <c r="H39">
        <v>1.41</v>
      </c>
    </row>
    <row r="40" spans="1:8" x14ac:dyDescent="0.2">
      <c r="A40" t="s">
        <v>18</v>
      </c>
      <c r="B40">
        <v>22</v>
      </c>
      <c r="C40">
        <v>1.99</v>
      </c>
      <c r="F40" t="s">
        <v>18</v>
      </c>
      <c r="G40">
        <v>16</v>
      </c>
      <c r="H40">
        <v>1.41</v>
      </c>
    </row>
    <row r="41" spans="1:8" x14ac:dyDescent="0.2">
      <c r="A41" t="s">
        <v>40</v>
      </c>
      <c r="B41">
        <v>4</v>
      </c>
      <c r="C41">
        <v>0.36</v>
      </c>
      <c r="F41" t="s">
        <v>40</v>
      </c>
      <c r="G41">
        <v>9</v>
      </c>
      <c r="H41">
        <v>0.79</v>
      </c>
    </row>
    <row r="42" spans="1:8" x14ac:dyDescent="0.2">
      <c r="A42" t="s">
        <v>41</v>
      </c>
      <c r="B42">
        <v>3</v>
      </c>
      <c r="C42">
        <v>0.27</v>
      </c>
      <c r="F42" t="s">
        <v>15</v>
      </c>
      <c r="G42">
        <v>42</v>
      </c>
      <c r="H42">
        <v>3.7</v>
      </c>
    </row>
    <row r="43" spans="1:8" x14ac:dyDescent="0.2">
      <c r="A43" t="s">
        <v>33</v>
      </c>
      <c r="B43">
        <v>7</v>
      </c>
      <c r="C43">
        <v>0.63</v>
      </c>
      <c r="F43" t="s">
        <v>17</v>
      </c>
      <c r="G43">
        <v>16</v>
      </c>
      <c r="H43">
        <v>1.41</v>
      </c>
    </row>
    <row r="44" spans="1:8" x14ac:dyDescent="0.2">
      <c r="A44" t="s">
        <v>15</v>
      </c>
      <c r="B44">
        <v>7</v>
      </c>
      <c r="C44">
        <v>0.63</v>
      </c>
      <c r="F44" t="s">
        <v>23</v>
      </c>
      <c r="G44">
        <v>11</v>
      </c>
      <c r="H44">
        <v>0.97</v>
      </c>
    </row>
    <row r="45" spans="1:8" x14ac:dyDescent="0.2">
      <c r="A45" t="s">
        <v>16</v>
      </c>
      <c r="B45">
        <v>6</v>
      </c>
      <c r="C45">
        <v>0.54</v>
      </c>
      <c r="F45" t="s">
        <v>21</v>
      </c>
      <c r="G45">
        <v>4</v>
      </c>
      <c r="H45">
        <v>0.35</v>
      </c>
    </row>
    <row r="46" spans="1:8" x14ac:dyDescent="0.2">
      <c r="A46" t="s">
        <v>14</v>
      </c>
      <c r="B46">
        <v>5</v>
      </c>
      <c r="C46">
        <v>0.45</v>
      </c>
      <c r="F46" t="s">
        <v>19</v>
      </c>
      <c r="G46">
        <v>9</v>
      </c>
      <c r="H46">
        <v>0.79</v>
      </c>
    </row>
    <row r="47" spans="1:8" x14ac:dyDescent="0.2">
      <c r="A47" t="s">
        <v>23</v>
      </c>
      <c r="B47">
        <v>4</v>
      </c>
      <c r="C47">
        <v>0.36</v>
      </c>
      <c r="F47" t="s">
        <v>38</v>
      </c>
      <c r="G47">
        <v>3</v>
      </c>
      <c r="H47">
        <v>0.26</v>
      </c>
    </row>
    <row r="48" spans="1:8" x14ac:dyDescent="0.2">
      <c r="A48" t="s">
        <v>50</v>
      </c>
      <c r="B48">
        <v>1</v>
      </c>
      <c r="C48">
        <v>0.09</v>
      </c>
      <c r="F48" t="s">
        <v>26</v>
      </c>
      <c r="G48">
        <v>10</v>
      </c>
      <c r="H48">
        <v>0.88</v>
      </c>
    </row>
    <row r="49" spans="1:18" x14ac:dyDescent="0.2">
      <c r="A49" t="s">
        <v>67</v>
      </c>
      <c r="B49">
        <v>1</v>
      </c>
      <c r="C49">
        <v>0.09</v>
      </c>
      <c r="F49" t="s">
        <v>37</v>
      </c>
      <c r="G49">
        <v>3</v>
      </c>
      <c r="H49">
        <v>0.26</v>
      </c>
    </row>
    <row r="50" spans="1:18" x14ac:dyDescent="0.2">
      <c r="A50" t="s">
        <v>22</v>
      </c>
      <c r="B50">
        <v>1</v>
      </c>
      <c r="C50">
        <v>0.09</v>
      </c>
      <c r="F50" t="s">
        <v>33</v>
      </c>
      <c r="G50">
        <v>2</v>
      </c>
      <c r="H50">
        <v>0.09</v>
      </c>
    </row>
    <row r="51" spans="1:18" x14ac:dyDescent="0.2">
      <c r="A51" t="s">
        <v>47</v>
      </c>
      <c r="B51">
        <v>1</v>
      </c>
      <c r="C51">
        <v>0.09</v>
      </c>
      <c r="F51" t="s">
        <v>55</v>
      </c>
      <c r="G51">
        <v>2</v>
      </c>
      <c r="H51">
        <v>0.09</v>
      </c>
    </row>
    <row r="52" spans="1:18" x14ac:dyDescent="0.2">
      <c r="A52" t="s">
        <v>37</v>
      </c>
      <c r="B52">
        <v>1</v>
      </c>
      <c r="C52">
        <v>0.09</v>
      </c>
      <c r="F52" t="s">
        <v>61</v>
      </c>
      <c r="G52">
        <v>2</v>
      </c>
      <c r="H52">
        <v>0.09</v>
      </c>
    </row>
    <row r="53" spans="1:18" x14ac:dyDescent="0.2">
      <c r="A53" t="s">
        <v>45</v>
      </c>
      <c r="B53">
        <v>1</v>
      </c>
      <c r="C53">
        <v>0.09</v>
      </c>
      <c r="F53" t="s">
        <v>47</v>
      </c>
      <c r="G53">
        <v>2</v>
      </c>
      <c r="H53">
        <v>0.09</v>
      </c>
    </row>
    <row r="54" spans="1:18" x14ac:dyDescent="0.2">
      <c r="A54" t="s">
        <v>31</v>
      </c>
      <c r="B54">
        <v>1</v>
      </c>
      <c r="C54">
        <v>0.09</v>
      </c>
      <c r="F54" t="s">
        <v>54</v>
      </c>
      <c r="G54">
        <v>1</v>
      </c>
      <c r="H54">
        <v>0.09</v>
      </c>
    </row>
    <row r="55" spans="1:18" x14ac:dyDescent="0.2">
      <c r="A55" t="s">
        <v>64</v>
      </c>
      <c r="B55">
        <v>1</v>
      </c>
      <c r="C55">
        <v>0.09</v>
      </c>
      <c r="F55" t="s">
        <v>56</v>
      </c>
      <c r="G55">
        <v>1</v>
      </c>
      <c r="H55">
        <v>0.09</v>
      </c>
    </row>
    <row r="56" spans="1:18" x14ac:dyDescent="0.2">
      <c r="A56" t="s">
        <v>34</v>
      </c>
      <c r="B56">
        <v>1</v>
      </c>
      <c r="C56">
        <v>0.09</v>
      </c>
      <c r="F56" t="s">
        <v>22</v>
      </c>
      <c r="G56">
        <v>1</v>
      </c>
      <c r="H56">
        <v>0.09</v>
      </c>
    </row>
    <row r="57" spans="1:18" x14ac:dyDescent="0.2">
      <c r="C57">
        <v>11.2</v>
      </c>
      <c r="F57" t="s">
        <v>31</v>
      </c>
      <c r="G57">
        <v>1</v>
      </c>
      <c r="H57">
        <v>0.09</v>
      </c>
    </row>
    <row r="58" spans="1:18" x14ac:dyDescent="0.2">
      <c r="H58">
        <v>20</v>
      </c>
    </row>
    <row r="62" spans="1:18" x14ac:dyDescent="0.2">
      <c r="A62" t="s">
        <v>5</v>
      </c>
      <c r="B62" t="s">
        <v>35</v>
      </c>
      <c r="C62" t="s">
        <v>36</v>
      </c>
      <c r="F62" t="s">
        <v>3</v>
      </c>
      <c r="G62" t="s">
        <v>51</v>
      </c>
      <c r="K62" t="s">
        <v>3</v>
      </c>
      <c r="L62" t="s">
        <v>57</v>
      </c>
      <c r="P62" t="s">
        <v>0</v>
      </c>
      <c r="Q62" t="s">
        <v>1</v>
      </c>
      <c r="R62" t="s">
        <v>68</v>
      </c>
    </row>
    <row r="63" spans="1:18" x14ac:dyDescent="0.2">
      <c r="A63" t="s">
        <v>140</v>
      </c>
      <c r="F63" t="s">
        <v>5</v>
      </c>
      <c r="G63" t="s">
        <v>52</v>
      </c>
      <c r="H63" t="s">
        <v>53</v>
      </c>
      <c r="K63" t="s">
        <v>5</v>
      </c>
      <c r="L63" t="s">
        <v>58</v>
      </c>
      <c r="M63" t="s">
        <v>59</v>
      </c>
      <c r="P63" t="s">
        <v>143</v>
      </c>
    </row>
    <row r="64" spans="1:18" x14ac:dyDescent="0.2">
      <c r="A64" t="s">
        <v>8</v>
      </c>
      <c r="B64" t="s">
        <v>9</v>
      </c>
      <c r="F64" t="s">
        <v>141</v>
      </c>
      <c r="K64" t="s">
        <v>142</v>
      </c>
      <c r="P64" t="s">
        <v>3</v>
      </c>
      <c r="Q64" t="s">
        <v>69</v>
      </c>
    </row>
    <row r="65" spans="1:18" x14ac:dyDescent="0.2">
      <c r="A65" t="s">
        <v>10</v>
      </c>
      <c r="B65" t="s">
        <v>11</v>
      </c>
      <c r="C65" t="s">
        <v>12</v>
      </c>
      <c r="F65" t="s">
        <v>8</v>
      </c>
      <c r="G65" t="s">
        <v>9</v>
      </c>
      <c r="K65" t="s">
        <v>8</v>
      </c>
      <c r="L65" t="s">
        <v>9</v>
      </c>
      <c r="P65" t="s">
        <v>5</v>
      </c>
      <c r="Q65" t="s">
        <v>70</v>
      </c>
      <c r="R65" t="s">
        <v>71</v>
      </c>
    </row>
    <row r="66" spans="1:18" x14ac:dyDescent="0.2">
      <c r="A66" t="s">
        <v>48</v>
      </c>
      <c r="C66">
        <v>31</v>
      </c>
      <c r="F66" t="s">
        <v>10</v>
      </c>
      <c r="G66" t="s">
        <v>11</v>
      </c>
      <c r="H66" t="s">
        <v>12</v>
      </c>
      <c r="K66" t="s">
        <v>10</v>
      </c>
      <c r="L66" t="s">
        <v>11</v>
      </c>
      <c r="M66" t="s">
        <v>12</v>
      </c>
    </row>
    <row r="67" spans="1:18" x14ac:dyDescent="0.2">
      <c r="A67" t="s">
        <v>37</v>
      </c>
      <c r="B67">
        <v>5</v>
      </c>
      <c r="C67">
        <v>0.26</v>
      </c>
      <c r="K67" t="s">
        <v>81</v>
      </c>
      <c r="M67">
        <v>34.5</v>
      </c>
      <c r="P67" t="s">
        <v>8</v>
      </c>
      <c r="Q67" t="s">
        <v>9</v>
      </c>
    </row>
    <row r="68" spans="1:18" x14ac:dyDescent="0.2">
      <c r="A68" t="s">
        <v>15</v>
      </c>
      <c r="B68">
        <v>14</v>
      </c>
      <c r="C68">
        <v>0.73</v>
      </c>
      <c r="F68" t="s">
        <v>16</v>
      </c>
      <c r="G68">
        <v>20</v>
      </c>
      <c r="H68">
        <v>0.66</v>
      </c>
      <c r="K68" t="s">
        <v>13</v>
      </c>
      <c r="L68">
        <v>173</v>
      </c>
      <c r="M68">
        <v>4.71</v>
      </c>
      <c r="P68" t="s">
        <v>10</v>
      </c>
      <c r="Q68" t="s">
        <v>11</v>
      </c>
      <c r="R68" t="s">
        <v>12</v>
      </c>
    </row>
    <row r="69" spans="1:18" x14ac:dyDescent="0.2">
      <c r="A69" t="s">
        <v>17</v>
      </c>
      <c r="B69">
        <v>17</v>
      </c>
      <c r="C69">
        <v>0.89</v>
      </c>
      <c r="F69" t="s">
        <v>13</v>
      </c>
      <c r="G69">
        <v>94</v>
      </c>
      <c r="H69">
        <v>3.11</v>
      </c>
      <c r="K69" t="s">
        <v>38</v>
      </c>
      <c r="L69">
        <v>21</v>
      </c>
      <c r="M69">
        <v>0.56999999999999995</v>
      </c>
      <c r="P69" t="s">
        <v>81</v>
      </c>
      <c r="R69">
        <v>31</v>
      </c>
    </row>
    <row r="70" spans="1:18" x14ac:dyDescent="0.2">
      <c r="A70" t="s">
        <v>13</v>
      </c>
      <c r="B70">
        <v>62</v>
      </c>
      <c r="C70">
        <v>3.25</v>
      </c>
      <c r="F70" t="s">
        <v>15</v>
      </c>
      <c r="G70">
        <v>13</v>
      </c>
      <c r="H70">
        <v>0.43</v>
      </c>
      <c r="K70" t="s">
        <v>18</v>
      </c>
      <c r="L70">
        <v>49</v>
      </c>
      <c r="M70">
        <v>1.33</v>
      </c>
      <c r="P70" t="s">
        <v>13</v>
      </c>
      <c r="Q70">
        <v>191</v>
      </c>
      <c r="R70">
        <v>9.19</v>
      </c>
    </row>
    <row r="71" spans="1:18" x14ac:dyDescent="0.2">
      <c r="A71" t="s">
        <v>16</v>
      </c>
      <c r="B71">
        <v>17</v>
      </c>
      <c r="C71">
        <v>0.89</v>
      </c>
      <c r="F71" t="s">
        <v>19</v>
      </c>
      <c r="G71">
        <v>9</v>
      </c>
      <c r="H71">
        <v>0.3</v>
      </c>
      <c r="K71" t="s">
        <v>16</v>
      </c>
      <c r="L71">
        <v>53</v>
      </c>
      <c r="M71">
        <v>1.44</v>
      </c>
      <c r="P71" t="s">
        <v>18</v>
      </c>
      <c r="Q71">
        <v>24</v>
      </c>
      <c r="R71">
        <v>1.1499999999999999</v>
      </c>
    </row>
    <row r="72" spans="1:18" x14ac:dyDescent="0.2">
      <c r="A72" t="s">
        <v>26</v>
      </c>
      <c r="B72">
        <v>6</v>
      </c>
      <c r="C72">
        <v>0.31</v>
      </c>
      <c r="F72" t="s">
        <v>14</v>
      </c>
      <c r="G72">
        <v>10</v>
      </c>
      <c r="H72">
        <v>0.33</v>
      </c>
      <c r="K72" t="s">
        <v>14</v>
      </c>
      <c r="L72">
        <v>20</v>
      </c>
      <c r="M72">
        <v>0.54</v>
      </c>
      <c r="P72" t="s">
        <v>26</v>
      </c>
      <c r="Q72">
        <v>10</v>
      </c>
      <c r="R72">
        <v>0.48</v>
      </c>
    </row>
    <row r="73" spans="1:18" x14ac:dyDescent="0.2">
      <c r="A73" t="s">
        <v>38</v>
      </c>
      <c r="B73">
        <v>3</v>
      </c>
      <c r="C73">
        <v>0.16</v>
      </c>
      <c r="F73" t="s">
        <v>37</v>
      </c>
      <c r="G73">
        <v>7</v>
      </c>
      <c r="H73">
        <v>0.23</v>
      </c>
      <c r="K73" t="s">
        <v>55</v>
      </c>
      <c r="L73">
        <v>22</v>
      </c>
      <c r="M73">
        <v>0.6</v>
      </c>
      <c r="P73" t="s">
        <v>15</v>
      </c>
      <c r="Q73">
        <v>54</v>
      </c>
      <c r="R73">
        <v>2.6</v>
      </c>
    </row>
    <row r="74" spans="1:18" x14ac:dyDescent="0.2">
      <c r="A74" t="s">
        <v>18</v>
      </c>
      <c r="B74">
        <v>20</v>
      </c>
      <c r="C74">
        <v>1.05</v>
      </c>
      <c r="F74" t="s">
        <v>18</v>
      </c>
      <c r="G74">
        <v>28</v>
      </c>
      <c r="H74">
        <v>0.93</v>
      </c>
      <c r="K74" t="s">
        <v>60</v>
      </c>
      <c r="L74">
        <v>5</v>
      </c>
      <c r="M74">
        <v>0.14000000000000001</v>
      </c>
      <c r="P74" t="s">
        <v>19</v>
      </c>
      <c r="Q74">
        <v>14</v>
      </c>
      <c r="R74">
        <v>0.67</v>
      </c>
    </row>
    <row r="75" spans="1:18" x14ac:dyDescent="0.2">
      <c r="A75" t="s">
        <v>14</v>
      </c>
      <c r="B75">
        <v>7</v>
      </c>
      <c r="C75">
        <v>0.37</v>
      </c>
      <c r="F75" t="s">
        <v>26</v>
      </c>
      <c r="G75">
        <v>6</v>
      </c>
      <c r="H75">
        <v>0.2</v>
      </c>
      <c r="K75" t="s">
        <v>33</v>
      </c>
      <c r="L75">
        <v>3</v>
      </c>
      <c r="M75">
        <v>0.08</v>
      </c>
      <c r="P75" t="s">
        <v>41</v>
      </c>
      <c r="Q75">
        <v>7</v>
      </c>
      <c r="R75">
        <v>0.34</v>
      </c>
    </row>
    <row r="76" spans="1:18" x14ac:dyDescent="0.2">
      <c r="A76" t="s">
        <v>19</v>
      </c>
      <c r="B76">
        <v>5</v>
      </c>
      <c r="C76">
        <v>0.26</v>
      </c>
      <c r="F76" t="s">
        <v>17</v>
      </c>
      <c r="G76">
        <v>26</v>
      </c>
      <c r="H76">
        <v>0.86</v>
      </c>
      <c r="K76" t="s">
        <v>21</v>
      </c>
      <c r="L76">
        <v>9</v>
      </c>
      <c r="M76">
        <v>0.24</v>
      </c>
      <c r="P76" t="s">
        <v>16</v>
      </c>
      <c r="Q76">
        <v>24</v>
      </c>
      <c r="R76">
        <v>1.1499999999999999</v>
      </c>
    </row>
    <row r="77" spans="1:18" x14ac:dyDescent="0.2">
      <c r="A77" t="s">
        <v>39</v>
      </c>
      <c r="B77">
        <v>8</v>
      </c>
      <c r="C77">
        <v>0.42</v>
      </c>
      <c r="F77" t="s">
        <v>38</v>
      </c>
      <c r="G77">
        <v>6</v>
      </c>
      <c r="H77">
        <v>0.2</v>
      </c>
      <c r="K77" t="s">
        <v>15</v>
      </c>
      <c r="L77">
        <v>39</v>
      </c>
      <c r="M77">
        <v>1.06</v>
      </c>
      <c r="P77" t="s">
        <v>40</v>
      </c>
      <c r="Q77">
        <v>34</v>
      </c>
      <c r="R77">
        <v>1.64</v>
      </c>
    </row>
    <row r="78" spans="1:18" x14ac:dyDescent="0.2">
      <c r="A78" t="s">
        <v>40</v>
      </c>
      <c r="B78">
        <v>4</v>
      </c>
      <c r="C78">
        <v>0.21</v>
      </c>
      <c r="F78" t="s">
        <v>31</v>
      </c>
      <c r="G78">
        <v>3</v>
      </c>
      <c r="H78">
        <v>0.1</v>
      </c>
      <c r="K78" t="s">
        <v>17</v>
      </c>
      <c r="L78">
        <v>25</v>
      </c>
      <c r="M78">
        <v>0.68</v>
      </c>
      <c r="P78" t="s">
        <v>14</v>
      </c>
      <c r="Q78">
        <v>138</v>
      </c>
      <c r="R78">
        <v>6.64</v>
      </c>
    </row>
    <row r="79" spans="1:18" x14ac:dyDescent="0.2">
      <c r="A79" t="s">
        <v>22</v>
      </c>
      <c r="B79">
        <v>3</v>
      </c>
      <c r="C79">
        <v>0.16</v>
      </c>
      <c r="F79" t="s">
        <v>54</v>
      </c>
      <c r="G79">
        <v>4</v>
      </c>
      <c r="H79">
        <v>0.13</v>
      </c>
      <c r="K79" t="s">
        <v>19</v>
      </c>
      <c r="L79">
        <v>17</v>
      </c>
      <c r="M79">
        <v>0.46</v>
      </c>
      <c r="P79" t="s">
        <v>38</v>
      </c>
      <c r="Q79">
        <v>19</v>
      </c>
      <c r="R79">
        <v>0.91</v>
      </c>
    </row>
    <row r="80" spans="1:18" x14ac:dyDescent="0.2">
      <c r="A80" t="s">
        <v>41</v>
      </c>
      <c r="B80">
        <v>2</v>
      </c>
      <c r="C80">
        <v>0.05</v>
      </c>
      <c r="F80" t="s">
        <v>40</v>
      </c>
      <c r="G80">
        <v>3</v>
      </c>
      <c r="H80">
        <v>0.1</v>
      </c>
      <c r="K80" t="s">
        <v>40</v>
      </c>
      <c r="L80">
        <v>13</v>
      </c>
      <c r="M80">
        <v>0.35</v>
      </c>
      <c r="P80" t="s">
        <v>17</v>
      </c>
      <c r="Q80">
        <v>15</v>
      </c>
      <c r="R80">
        <v>0.72</v>
      </c>
    </row>
    <row r="81" spans="1:18" x14ac:dyDescent="0.2">
      <c r="A81" t="s">
        <v>31</v>
      </c>
      <c r="B81">
        <v>2</v>
      </c>
      <c r="C81">
        <v>0.05</v>
      </c>
      <c r="F81" t="s">
        <v>33</v>
      </c>
      <c r="G81">
        <v>9</v>
      </c>
      <c r="H81">
        <v>0.3</v>
      </c>
      <c r="K81" t="s">
        <v>26</v>
      </c>
      <c r="L81">
        <v>13</v>
      </c>
      <c r="M81">
        <v>0.35</v>
      </c>
      <c r="P81" t="s">
        <v>47</v>
      </c>
      <c r="Q81">
        <v>8</v>
      </c>
      <c r="R81">
        <v>0.38</v>
      </c>
    </row>
    <row r="82" spans="1:18" x14ac:dyDescent="0.2">
      <c r="A82" t="s">
        <v>21</v>
      </c>
      <c r="B82">
        <v>1</v>
      </c>
      <c r="C82">
        <v>0.05</v>
      </c>
      <c r="F82" t="s">
        <v>34</v>
      </c>
      <c r="G82">
        <v>7</v>
      </c>
      <c r="H82">
        <v>0.23</v>
      </c>
      <c r="K82" t="s">
        <v>41</v>
      </c>
      <c r="L82">
        <v>8</v>
      </c>
      <c r="M82">
        <v>0.22</v>
      </c>
      <c r="P82" t="s">
        <v>60</v>
      </c>
      <c r="Q82">
        <v>19</v>
      </c>
      <c r="R82">
        <v>0.91</v>
      </c>
    </row>
    <row r="83" spans="1:18" x14ac:dyDescent="0.2">
      <c r="A83" t="s">
        <v>42</v>
      </c>
      <c r="B83">
        <v>1</v>
      </c>
      <c r="C83">
        <v>0.05</v>
      </c>
      <c r="F83" t="s">
        <v>21</v>
      </c>
      <c r="G83">
        <v>4</v>
      </c>
      <c r="H83">
        <v>0.13</v>
      </c>
      <c r="K83" t="s">
        <v>22</v>
      </c>
      <c r="L83">
        <v>7</v>
      </c>
      <c r="M83">
        <v>0.19</v>
      </c>
      <c r="P83" t="s">
        <v>34</v>
      </c>
      <c r="Q83">
        <v>5</v>
      </c>
      <c r="R83">
        <v>0.24</v>
      </c>
    </row>
    <row r="84" spans="1:18" x14ac:dyDescent="0.2">
      <c r="A84" t="s">
        <v>20</v>
      </c>
      <c r="B84">
        <v>1</v>
      </c>
      <c r="C84">
        <v>0.05</v>
      </c>
      <c r="F84" t="s">
        <v>47</v>
      </c>
      <c r="G84">
        <v>2</v>
      </c>
      <c r="H84">
        <v>0.03</v>
      </c>
      <c r="K84" t="s">
        <v>37</v>
      </c>
      <c r="L84">
        <v>12</v>
      </c>
      <c r="M84">
        <v>0.33</v>
      </c>
      <c r="P84" t="s">
        <v>55</v>
      </c>
      <c r="Q84">
        <v>11</v>
      </c>
      <c r="R84">
        <v>0.53</v>
      </c>
    </row>
    <row r="85" spans="1:18" x14ac:dyDescent="0.2">
      <c r="A85" t="s">
        <v>43</v>
      </c>
      <c r="B85">
        <v>1</v>
      </c>
      <c r="C85">
        <v>0.05</v>
      </c>
      <c r="F85" t="s">
        <v>55</v>
      </c>
      <c r="G85">
        <v>2</v>
      </c>
      <c r="H85">
        <v>0.03</v>
      </c>
      <c r="K85" t="s">
        <v>54</v>
      </c>
      <c r="L85">
        <v>4</v>
      </c>
      <c r="M85">
        <v>0.11</v>
      </c>
      <c r="P85" t="s">
        <v>63</v>
      </c>
      <c r="Q85">
        <v>3</v>
      </c>
      <c r="R85">
        <v>0.14000000000000001</v>
      </c>
    </row>
    <row r="86" spans="1:18" x14ac:dyDescent="0.2">
      <c r="A86" t="s">
        <v>44</v>
      </c>
      <c r="B86">
        <v>1</v>
      </c>
      <c r="C86">
        <v>0.05</v>
      </c>
      <c r="F86" t="s">
        <v>22</v>
      </c>
      <c r="G86">
        <v>1</v>
      </c>
      <c r="H86">
        <v>0.03</v>
      </c>
      <c r="K86" t="s">
        <v>31</v>
      </c>
      <c r="L86">
        <v>6</v>
      </c>
      <c r="M86">
        <v>0.16</v>
      </c>
      <c r="P86" t="s">
        <v>23</v>
      </c>
      <c r="Q86">
        <v>2</v>
      </c>
      <c r="R86">
        <v>0.05</v>
      </c>
    </row>
    <row r="87" spans="1:18" x14ac:dyDescent="0.2">
      <c r="A87" t="s">
        <v>45</v>
      </c>
      <c r="B87">
        <v>1</v>
      </c>
      <c r="C87">
        <v>0.05</v>
      </c>
      <c r="F87" t="s">
        <v>42</v>
      </c>
      <c r="G87">
        <v>1</v>
      </c>
      <c r="H87">
        <v>0.03</v>
      </c>
      <c r="K87" t="s">
        <v>47</v>
      </c>
      <c r="L87">
        <v>2</v>
      </c>
      <c r="M87">
        <v>0.03</v>
      </c>
      <c r="P87" t="s">
        <v>44</v>
      </c>
      <c r="Q87">
        <v>2</v>
      </c>
      <c r="R87">
        <v>0.05</v>
      </c>
    </row>
    <row r="88" spans="1:18" x14ac:dyDescent="0.2">
      <c r="A88" t="s">
        <v>33</v>
      </c>
      <c r="B88">
        <v>1</v>
      </c>
      <c r="C88">
        <v>0.05</v>
      </c>
      <c r="F88" t="s">
        <v>56</v>
      </c>
      <c r="G88">
        <v>1</v>
      </c>
      <c r="H88">
        <v>0.03</v>
      </c>
      <c r="K88" t="s">
        <v>20</v>
      </c>
      <c r="L88">
        <v>2</v>
      </c>
      <c r="M88">
        <v>0.03</v>
      </c>
      <c r="P88" t="s">
        <v>22</v>
      </c>
      <c r="Q88">
        <v>1</v>
      </c>
      <c r="R88">
        <v>0.05</v>
      </c>
    </row>
    <row r="89" spans="1:18" x14ac:dyDescent="0.2">
      <c r="A89" t="s">
        <v>46</v>
      </c>
      <c r="B89">
        <v>1</v>
      </c>
      <c r="C89">
        <v>0.05</v>
      </c>
      <c r="K89" t="s">
        <v>45</v>
      </c>
      <c r="L89">
        <v>2</v>
      </c>
      <c r="M89">
        <v>0.03</v>
      </c>
      <c r="P89" t="s">
        <v>46</v>
      </c>
      <c r="Q89">
        <v>1</v>
      </c>
      <c r="R89">
        <v>0.05</v>
      </c>
    </row>
    <row r="90" spans="1:18" x14ac:dyDescent="0.2">
      <c r="A90" t="s">
        <v>47</v>
      </c>
      <c r="B90">
        <v>1</v>
      </c>
      <c r="C90">
        <v>0.05</v>
      </c>
      <c r="K90" t="s">
        <v>39</v>
      </c>
      <c r="L90">
        <v>2</v>
      </c>
      <c r="M90">
        <v>0.03</v>
      </c>
      <c r="P90" t="s">
        <v>42</v>
      </c>
      <c r="Q90">
        <v>1</v>
      </c>
      <c r="R90">
        <v>0.05</v>
      </c>
    </row>
    <row r="91" spans="1:18" x14ac:dyDescent="0.2">
      <c r="A91" t="s">
        <v>48</v>
      </c>
      <c r="B91">
        <v>1</v>
      </c>
      <c r="C91">
        <v>0.05</v>
      </c>
      <c r="K91" t="s">
        <v>24</v>
      </c>
      <c r="L91">
        <v>2</v>
      </c>
      <c r="M91">
        <v>0.03</v>
      </c>
      <c r="P91" t="s">
        <v>64</v>
      </c>
      <c r="Q91">
        <v>1</v>
      </c>
      <c r="R91">
        <v>0.05</v>
      </c>
    </row>
    <row r="92" spans="1:18" x14ac:dyDescent="0.2">
      <c r="A92" t="s">
        <v>49</v>
      </c>
      <c r="B92">
        <v>1</v>
      </c>
      <c r="C92">
        <v>0.05</v>
      </c>
      <c r="K92" t="s">
        <v>34</v>
      </c>
      <c r="L92">
        <v>1</v>
      </c>
      <c r="M92">
        <v>0.03</v>
      </c>
      <c r="P92" t="s">
        <v>31</v>
      </c>
      <c r="Q92">
        <v>1</v>
      </c>
      <c r="R92">
        <v>0.05</v>
      </c>
    </row>
    <row r="93" spans="1:18" x14ac:dyDescent="0.2">
      <c r="A93" t="s">
        <v>50</v>
      </c>
      <c r="B93">
        <v>1</v>
      </c>
      <c r="C93">
        <v>0.05</v>
      </c>
      <c r="K93" t="s">
        <v>61</v>
      </c>
      <c r="L93">
        <v>1</v>
      </c>
      <c r="M93">
        <v>0.03</v>
      </c>
      <c r="P93" t="s">
        <v>37</v>
      </c>
      <c r="Q93">
        <v>1</v>
      </c>
      <c r="R93">
        <v>0.05</v>
      </c>
    </row>
    <row r="94" spans="1:18" x14ac:dyDescent="0.2">
      <c r="C94">
        <v>10</v>
      </c>
      <c r="K94" t="s">
        <v>62</v>
      </c>
      <c r="L94">
        <v>1</v>
      </c>
      <c r="M94">
        <v>0.03</v>
      </c>
      <c r="P94" t="s">
        <v>72</v>
      </c>
      <c r="Q94">
        <v>1</v>
      </c>
      <c r="R94">
        <v>0.05</v>
      </c>
    </row>
    <row r="95" spans="1:18" x14ac:dyDescent="0.2">
      <c r="K95" t="s">
        <v>63</v>
      </c>
      <c r="L95">
        <v>1</v>
      </c>
      <c r="M95">
        <v>0.03</v>
      </c>
      <c r="P95" t="s">
        <v>39</v>
      </c>
      <c r="Q95">
        <v>1</v>
      </c>
      <c r="R95">
        <v>0.05</v>
      </c>
    </row>
    <row r="96" spans="1:18" x14ac:dyDescent="0.2">
      <c r="K96" t="s">
        <v>64</v>
      </c>
      <c r="L96">
        <v>1</v>
      </c>
      <c r="M96">
        <v>0.03</v>
      </c>
      <c r="R96">
        <v>29</v>
      </c>
    </row>
    <row r="97" spans="11:13" x14ac:dyDescent="0.2">
      <c r="K97" t="s">
        <v>65</v>
      </c>
      <c r="L97">
        <v>1</v>
      </c>
      <c r="M97">
        <v>0.03</v>
      </c>
    </row>
    <row r="98" spans="11:13" x14ac:dyDescent="0.2">
      <c r="K98" t="s">
        <v>23</v>
      </c>
      <c r="L98">
        <v>1</v>
      </c>
      <c r="M98">
        <v>0.03</v>
      </c>
    </row>
    <row r="99" spans="11:13" x14ac:dyDescent="0.2">
      <c r="K99" t="s">
        <v>66</v>
      </c>
      <c r="L99">
        <v>1</v>
      </c>
      <c r="M99">
        <v>0.03</v>
      </c>
    </row>
    <row r="100" spans="11:13" x14ac:dyDescent="0.2">
      <c r="K100" t="s">
        <v>42</v>
      </c>
      <c r="L100">
        <v>1</v>
      </c>
      <c r="M100">
        <v>0.03</v>
      </c>
    </row>
    <row r="101" spans="11:13" x14ac:dyDescent="0.2">
      <c r="K101" t="s">
        <v>43</v>
      </c>
      <c r="L101">
        <v>1</v>
      </c>
      <c r="M101">
        <v>0.03</v>
      </c>
    </row>
    <row r="102" spans="11:13" x14ac:dyDescent="0.2">
      <c r="K102" t="s">
        <v>67</v>
      </c>
      <c r="L102">
        <v>1</v>
      </c>
      <c r="M102">
        <v>0.03</v>
      </c>
    </row>
    <row r="103" spans="11:13" x14ac:dyDescent="0.2">
      <c r="M103">
        <v>14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G83"/>
  <sheetViews>
    <sheetView topLeftCell="A16" workbookViewId="0">
      <selection activeCell="F40" sqref="F40"/>
    </sheetView>
  </sheetViews>
  <sheetFormatPr defaultRowHeight="12.75" x14ac:dyDescent="0.2"/>
  <cols>
    <col min="5" max="5" width="15.42578125" customWidth="1"/>
    <col min="6" max="6" width="15.140625" customWidth="1"/>
    <col min="7" max="7" width="15.42578125" customWidth="1"/>
  </cols>
  <sheetData>
    <row r="1" spans="1:7" x14ac:dyDescent="0.2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</row>
    <row r="3" spans="1:7" x14ac:dyDescent="0.2">
      <c r="A3">
        <v>1</v>
      </c>
      <c r="C3" t="s">
        <v>186</v>
      </c>
      <c r="D3">
        <v>2857</v>
      </c>
      <c r="E3">
        <v>52.5</v>
      </c>
      <c r="F3">
        <v>27.1</v>
      </c>
      <c r="G3">
        <v>8.6999999999999993</v>
      </c>
    </row>
    <row r="4" spans="1:7" x14ac:dyDescent="0.2">
      <c r="A4">
        <v>2</v>
      </c>
      <c r="C4">
        <v>1650</v>
      </c>
      <c r="D4">
        <v>212</v>
      </c>
      <c r="E4">
        <v>35.6</v>
      </c>
      <c r="F4">
        <v>10.3</v>
      </c>
      <c r="G4">
        <v>10.4</v>
      </c>
    </row>
    <row r="5" spans="1:7" x14ac:dyDescent="0.2">
      <c r="A5">
        <v>3</v>
      </c>
      <c r="C5">
        <v>1700</v>
      </c>
      <c r="D5">
        <v>80</v>
      </c>
      <c r="E5">
        <v>45.4</v>
      </c>
      <c r="F5">
        <v>6.6</v>
      </c>
      <c r="G5">
        <v>11.4</v>
      </c>
    </row>
    <row r="6" spans="1:7" x14ac:dyDescent="0.2">
      <c r="A6">
        <v>4</v>
      </c>
      <c r="C6">
        <v>1750</v>
      </c>
      <c r="D6">
        <v>96</v>
      </c>
      <c r="E6">
        <v>49.9</v>
      </c>
      <c r="F6">
        <v>7.6</v>
      </c>
      <c r="G6">
        <v>10.8</v>
      </c>
    </row>
    <row r="7" spans="1:7" x14ac:dyDescent="0.2">
      <c r="A7">
        <v>5</v>
      </c>
      <c r="C7">
        <v>1800</v>
      </c>
      <c r="D7">
        <v>105</v>
      </c>
      <c r="E7">
        <v>51.8</v>
      </c>
      <c r="F7">
        <v>8.6</v>
      </c>
      <c r="G7">
        <v>11</v>
      </c>
    </row>
    <row r="8" spans="1:7" x14ac:dyDescent="0.2">
      <c r="A8">
        <v>6</v>
      </c>
      <c r="C8">
        <v>1850</v>
      </c>
      <c r="D8">
        <v>203</v>
      </c>
      <c r="E8">
        <v>50</v>
      </c>
      <c r="F8">
        <v>10.8</v>
      </c>
      <c r="G8">
        <v>9.5</v>
      </c>
    </row>
    <row r="9" spans="1:7" x14ac:dyDescent="0.2">
      <c r="A9">
        <v>7</v>
      </c>
      <c r="C9">
        <v>1875</v>
      </c>
      <c r="D9">
        <v>120</v>
      </c>
      <c r="E9">
        <v>51.2</v>
      </c>
      <c r="F9">
        <v>12.9</v>
      </c>
      <c r="G9">
        <v>8.6999999999999993</v>
      </c>
    </row>
    <row r="10" spans="1:7" x14ac:dyDescent="0.2">
      <c r="A10">
        <v>8</v>
      </c>
      <c r="C10">
        <v>1900</v>
      </c>
      <c r="D10">
        <v>164</v>
      </c>
      <c r="E10">
        <v>45.4</v>
      </c>
      <c r="F10">
        <v>19</v>
      </c>
      <c r="G10">
        <v>8.3000000000000007</v>
      </c>
    </row>
    <row r="11" spans="1:7" x14ac:dyDescent="0.2">
      <c r="A11">
        <v>9</v>
      </c>
      <c r="C11">
        <v>1925</v>
      </c>
      <c r="D11">
        <v>406</v>
      </c>
      <c r="E11">
        <v>48.7</v>
      </c>
      <c r="F11">
        <v>21.8</v>
      </c>
      <c r="G11">
        <v>9.1</v>
      </c>
    </row>
    <row r="12" spans="1:7" x14ac:dyDescent="0.2">
      <c r="A12">
        <v>10</v>
      </c>
      <c r="C12">
        <v>1945</v>
      </c>
      <c r="D12">
        <v>200</v>
      </c>
      <c r="E12">
        <v>62.4</v>
      </c>
      <c r="F12">
        <v>28.4</v>
      </c>
      <c r="G12">
        <v>6.6</v>
      </c>
    </row>
    <row r="13" spans="1:7" x14ac:dyDescent="0.2">
      <c r="A13">
        <v>11</v>
      </c>
      <c r="C13">
        <v>1965</v>
      </c>
      <c r="D13">
        <v>401</v>
      </c>
      <c r="E13">
        <v>57.7</v>
      </c>
      <c r="F13">
        <v>38.200000000000003</v>
      </c>
      <c r="G13">
        <v>7.2</v>
      </c>
    </row>
    <row r="14" spans="1:7" x14ac:dyDescent="0.2">
      <c r="A14">
        <v>12</v>
      </c>
      <c r="C14">
        <v>1985</v>
      </c>
      <c r="D14">
        <v>461</v>
      </c>
      <c r="E14">
        <v>58.4</v>
      </c>
      <c r="F14">
        <v>40.9</v>
      </c>
      <c r="G14">
        <v>7.8</v>
      </c>
    </row>
    <row r="15" spans="1:7" x14ac:dyDescent="0.2">
      <c r="A15">
        <v>13</v>
      </c>
      <c r="C15">
        <v>2005</v>
      </c>
      <c r="D15">
        <v>409</v>
      </c>
      <c r="E15">
        <v>55.2</v>
      </c>
      <c r="F15">
        <v>42.8</v>
      </c>
      <c r="G15">
        <v>8.9</v>
      </c>
    </row>
    <row r="16" spans="1:7" x14ac:dyDescent="0.2">
      <c r="A16">
        <v>14</v>
      </c>
      <c r="B16" t="s">
        <v>187</v>
      </c>
      <c r="C16" t="s">
        <v>186</v>
      </c>
      <c r="D16">
        <v>67</v>
      </c>
      <c r="E16">
        <v>54.6</v>
      </c>
      <c r="F16">
        <v>20.100000000000001</v>
      </c>
      <c r="G16">
        <v>9.6</v>
      </c>
    </row>
    <row r="17" spans="1:7" x14ac:dyDescent="0.2">
      <c r="A17">
        <v>15</v>
      </c>
      <c r="B17" t="s">
        <v>188</v>
      </c>
      <c r="C17" t="s">
        <v>186</v>
      </c>
      <c r="D17">
        <v>263</v>
      </c>
      <c r="E17">
        <v>60.5</v>
      </c>
      <c r="F17">
        <v>44.9</v>
      </c>
      <c r="G17">
        <v>7</v>
      </c>
    </row>
    <row r="18" spans="1:7" x14ac:dyDescent="0.2">
      <c r="A18">
        <v>16</v>
      </c>
      <c r="B18" t="s">
        <v>189</v>
      </c>
      <c r="C18" t="s">
        <v>186</v>
      </c>
      <c r="D18">
        <v>705</v>
      </c>
      <c r="E18">
        <v>54.9</v>
      </c>
      <c r="F18">
        <v>25.8</v>
      </c>
      <c r="G18">
        <v>8.6</v>
      </c>
    </row>
    <row r="19" spans="1:7" x14ac:dyDescent="0.2">
      <c r="A19">
        <v>17</v>
      </c>
      <c r="B19" t="s">
        <v>190</v>
      </c>
      <c r="C19" t="s">
        <v>186</v>
      </c>
      <c r="D19">
        <v>161</v>
      </c>
      <c r="E19">
        <v>40.1</v>
      </c>
      <c r="F19">
        <v>22</v>
      </c>
      <c r="G19">
        <v>11.3</v>
      </c>
    </row>
    <row r="20" spans="1:7" x14ac:dyDescent="0.2">
      <c r="A20">
        <v>18</v>
      </c>
      <c r="B20" t="s">
        <v>191</v>
      </c>
      <c r="C20" t="s">
        <v>186</v>
      </c>
      <c r="D20">
        <v>95</v>
      </c>
      <c r="E20">
        <v>47.2</v>
      </c>
      <c r="F20">
        <v>7.2</v>
      </c>
      <c r="G20">
        <v>4.2</v>
      </c>
    </row>
    <row r="21" spans="1:7" x14ac:dyDescent="0.2">
      <c r="A21">
        <v>19</v>
      </c>
      <c r="B21" t="s">
        <v>192</v>
      </c>
      <c r="C21" t="s">
        <v>186</v>
      </c>
      <c r="D21">
        <v>1000</v>
      </c>
      <c r="E21">
        <v>53.8</v>
      </c>
      <c r="F21">
        <v>31</v>
      </c>
      <c r="G21">
        <v>8.6999999999999993</v>
      </c>
    </row>
    <row r="22" spans="1:7" x14ac:dyDescent="0.2">
      <c r="A22">
        <v>20</v>
      </c>
      <c r="B22" t="s">
        <v>193</v>
      </c>
      <c r="C22" t="s">
        <v>186</v>
      </c>
      <c r="D22">
        <v>300</v>
      </c>
      <c r="E22">
        <v>49.4</v>
      </c>
      <c r="F22">
        <v>23.1</v>
      </c>
      <c r="G22">
        <v>9.9</v>
      </c>
    </row>
    <row r="23" spans="1:7" x14ac:dyDescent="0.2">
      <c r="A23">
        <v>21</v>
      </c>
      <c r="B23" t="s">
        <v>194</v>
      </c>
      <c r="C23" t="s">
        <v>186</v>
      </c>
      <c r="D23">
        <v>226</v>
      </c>
      <c r="E23">
        <v>41.1</v>
      </c>
      <c r="F23">
        <v>9.3000000000000007</v>
      </c>
      <c r="G23">
        <v>9.1999999999999993</v>
      </c>
    </row>
    <row r="24" spans="1:7" x14ac:dyDescent="0.2">
      <c r="A24">
        <v>22</v>
      </c>
      <c r="B24" t="s">
        <v>195</v>
      </c>
      <c r="C24" t="s">
        <v>186</v>
      </c>
      <c r="D24">
        <v>20</v>
      </c>
      <c r="E24">
        <v>69.099999999999994</v>
      </c>
      <c r="F24">
        <v>38.9</v>
      </c>
      <c r="G24">
        <v>7.4</v>
      </c>
    </row>
    <row r="25" spans="1:7" x14ac:dyDescent="0.2">
      <c r="A25">
        <v>23</v>
      </c>
      <c r="B25" t="s">
        <v>196</v>
      </c>
      <c r="C25" t="s">
        <v>186</v>
      </c>
      <c r="D25">
        <v>20</v>
      </c>
      <c r="E25">
        <v>76.900000000000006</v>
      </c>
      <c r="F25">
        <v>47.6</v>
      </c>
      <c r="G25">
        <v>7.3</v>
      </c>
    </row>
    <row r="26" spans="1:7" x14ac:dyDescent="0.2">
      <c r="A26">
        <v>24</v>
      </c>
      <c r="B26" t="s">
        <v>187</v>
      </c>
      <c r="C26">
        <v>1850</v>
      </c>
      <c r="D26">
        <v>19</v>
      </c>
      <c r="E26">
        <v>46.8</v>
      </c>
      <c r="F26">
        <v>15.8</v>
      </c>
      <c r="G26">
        <v>9.6</v>
      </c>
    </row>
    <row r="27" spans="1:7" x14ac:dyDescent="0.2">
      <c r="A27">
        <v>25</v>
      </c>
      <c r="B27" t="s">
        <v>187</v>
      </c>
      <c r="C27">
        <v>1875</v>
      </c>
      <c r="D27">
        <v>18</v>
      </c>
      <c r="E27">
        <v>41.5</v>
      </c>
      <c r="F27">
        <v>19.100000000000001</v>
      </c>
      <c r="G27">
        <v>9.5</v>
      </c>
    </row>
    <row r="28" spans="1:7" x14ac:dyDescent="0.2">
      <c r="A28">
        <v>26</v>
      </c>
      <c r="B28" t="s">
        <v>187</v>
      </c>
      <c r="C28">
        <v>2005</v>
      </c>
      <c r="D28">
        <v>30</v>
      </c>
      <c r="E28">
        <v>67.400000000000006</v>
      </c>
      <c r="F28">
        <v>23.3</v>
      </c>
      <c r="G28">
        <v>9.8000000000000007</v>
      </c>
    </row>
    <row r="29" spans="1:7" x14ac:dyDescent="0.2">
      <c r="A29">
        <v>27</v>
      </c>
      <c r="B29" t="s">
        <v>188</v>
      </c>
      <c r="C29">
        <v>1965</v>
      </c>
      <c r="D29">
        <v>88</v>
      </c>
      <c r="E29">
        <v>59.1</v>
      </c>
      <c r="F29">
        <v>36.1</v>
      </c>
      <c r="G29">
        <v>7.3</v>
      </c>
    </row>
    <row r="30" spans="1:7" x14ac:dyDescent="0.2">
      <c r="A30">
        <v>28</v>
      </c>
      <c r="B30" t="s">
        <v>188</v>
      </c>
      <c r="C30">
        <v>1985</v>
      </c>
      <c r="D30">
        <v>88</v>
      </c>
      <c r="E30">
        <v>60.3</v>
      </c>
      <c r="F30">
        <v>46.4</v>
      </c>
      <c r="G30">
        <v>6.6</v>
      </c>
    </row>
    <row r="31" spans="1:7" x14ac:dyDescent="0.2">
      <c r="A31">
        <v>29</v>
      </c>
      <c r="B31" t="s">
        <v>188</v>
      </c>
      <c r="C31">
        <v>2005</v>
      </c>
      <c r="D31">
        <v>87</v>
      </c>
      <c r="E31">
        <v>62.1</v>
      </c>
      <c r="F31">
        <v>52.2</v>
      </c>
      <c r="G31">
        <v>7</v>
      </c>
    </row>
    <row r="32" spans="1:7" x14ac:dyDescent="0.2">
      <c r="A32">
        <v>30</v>
      </c>
      <c r="B32" t="s">
        <v>189</v>
      </c>
      <c r="C32">
        <v>1650</v>
      </c>
      <c r="D32">
        <v>181</v>
      </c>
      <c r="E32">
        <v>34.1</v>
      </c>
      <c r="F32">
        <v>10.8</v>
      </c>
      <c r="G32">
        <v>10.5</v>
      </c>
    </row>
    <row r="33" spans="1:7" x14ac:dyDescent="0.2">
      <c r="A33">
        <v>31</v>
      </c>
      <c r="B33" t="s">
        <v>189</v>
      </c>
      <c r="C33">
        <v>1700</v>
      </c>
      <c r="D33">
        <v>45</v>
      </c>
      <c r="E33">
        <v>44.6</v>
      </c>
      <c r="F33">
        <v>6.4</v>
      </c>
      <c r="G33">
        <v>11.8</v>
      </c>
    </row>
    <row r="34" spans="1:7" x14ac:dyDescent="0.2">
      <c r="A34">
        <v>32</v>
      </c>
      <c r="B34" t="s">
        <v>189</v>
      </c>
      <c r="C34">
        <v>1750</v>
      </c>
      <c r="D34">
        <v>31</v>
      </c>
      <c r="E34">
        <v>53.6</v>
      </c>
      <c r="F34">
        <v>8.3000000000000007</v>
      </c>
      <c r="G34">
        <v>11.9</v>
      </c>
    </row>
    <row r="35" spans="1:7" x14ac:dyDescent="0.2">
      <c r="A35">
        <v>33</v>
      </c>
      <c r="B35" t="s">
        <v>189</v>
      </c>
      <c r="C35">
        <v>1800</v>
      </c>
      <c r="D35">
        <v>50</v>
      </c>
      <c r="E35">
        <v>57.4</v>
      </c>
      <c r="F35">
        <v>10.1</v>
      </c>
      <c r="G35">
        <v>11.1</v>
      </c>
    </row>
    <row r="36" spans="1:7" x14ac:dyDescent="0.2">
      <c r="A36">
        <v>34</v>
      </c>
      <c r="B36" t="s">
        <v>189</v>
      </c>
      <c r="C36">
        <v>1850</v>
      </c>
      <c r="D36">
        <v>55</v>
      </c>
      <c r="E36">
        <v>68.599999999999994</v>
      </c>
      <c r="F36">
        <v>10.1</v>
      </c>
      <c r="G36">
        <v>9.5</v>
      </c>
    </row>
    <row r="37" spans="1:7" x14ac:dyDescent="0.2">
      <c r="A37">
        <v>35</v>
      </c>
      <c r="B37" t="s">
        <v>189</v>
      </c>
      <c r="C37">
        <v>1875</v>
      </c>
      <c r="D37">
        <v>46</v>
      </c>
      <c r="E37">
        <v>57.3</v>
      </c>
      <c r="F37">
        <v>14.6</v>
      </c>
      <c r="G37">
        <v>9.6999999999999993</v>
      </c>
    </row>
    <row r="38" spans="1:7" x14ac:dyDescent="0.2">
      <c r="A38">
        <v>36</v>
      </c>
      <c r="B38" t="s">
        <v>189</v>
      </c>
      <c r="C38">
        <v>1900</v>
      </c>
      <c r="D38">
        <v>50</v>
      </c>
      <c r="E38">
        <v>63.1</v>
      </c>
      <c r="F38">
        <v>17.8</v>
      </c>
      <c r="G38">
        <v>8.8000000000000007</v>
      </c>
    </row>
    <row r="39" spans="1:7" x14ac:dyDescent="0.2">
      <c r="A39">
        <v>37</v>
      </c>
      <c r="B39" t="s">
        <v>189</v>
      </c>
      <c r="C39">
        <v>1925</v>
      </c>
      <c r="D39">
        <v>50</v>
      </c>
      <c r="E39">
        <v>64.099999999999994</v>
      </c>
      <c r="F39">
        <v>23.5</v>
      </c>
      <c r="G39">
        <v>8.8000000000000007</v>
      </c>
    </row>
    <row r="40" spans="1:7" x14ac:dyDescent="0.2">
      <c r="A40">
        <v>38</v>
      </c>
      <c r="B40" t="s">
        <v>189</v>
      </c>
      <c r="C40">
        <v>1965</v>
      </c>
      <c r="D40">
        <v>81</v>
      </c>
      <c r="E40">
        <v>62.6</v>
      </c>
      <c r="F40">
        <v>50.3</v>
      </c>
      <c r="G40">
        <v>4.4000000000000004</v>
      </c>
    </row>
    <row r="41" spans="1:7" x14ac:dyDescent="0.2">
      <c r="A41">
        <v>39</v>
      </c>
      <c r="B41" t="s">
        <v>189</v>
      </c>
      <c r="C41">
        <v>1985</v>
      </c>
      <c r="D41">
        <v>64</v>
      </c>
      <c r="E41">
        <v>75.8</v>
      </c>
      <c r="F41">
        <v>60.1</v>
      </c>
      <c r="G41">
        <v>4.2</v>
      </c>
    </row>
    <row r="42" spans="1:7" x14ac:dyDescent="0.2">
      <c r="A42">
        <v>40</v>
      </c>
      <c r="B42" t="s">
        <v>189</v>
      </c>
      <c r="C42">
        <v>2005</v>
      </c>
      <c r="D42">
        <v>52</v>
      </c>
      <c r="E42">
        <v>63.7</v>
      </c>
      <c r="F42">
        <v>76.599999999999994</v>
      </c>
      <c r="G42">
        <v>4.5</v>
      </c>
    </row>
    <row r="43" spans="1:7" x14ac:dyDescent="0.2">
      <c r="A43">
        <v>41</v>
      </c>
      <c r="B43" t="s">
        <v>190</v>
      </c>
      <c r="C43">
        <v>1800</v>
      </c>
      <c r="D43">
        <v>11</v>
      </c>
      <c r="E43">
        <v>33.700000000000003</v>
      </c>
      <c r="F43">
        <v>9.6</v>
      </c>
      <c r="G43">
        <v>13.7</v>
      </c>
    </row>
    <row r="44" spans="1:7" x14ac:dyDescent="0.2">
      <c r="A44">
        <v>42</v>
      </c>
      <c r="B44" t="s">
        <v>190</v>
      </c>
      <c r="C44">
        <v>1850</v>
      </c>
      <c r="D44">
        <v>37</v>
      </c>
      <c r="E44">
        <v>34.200000000000003</v>
      </c>
      <c r="F44">
        <v>9.6</v>
      </c>
      <c r="G44">
        <v>12</v>
      </c>
    </row>
    <row r="45" spans="1:7" x14ac:dyDescent="0.2">
      <c r="A45">
        <v>43</v>
      </c>
      <c r="B45" t="s">
        <v>190</v>
      </c>
      <c r="C45">
        <v>1900</v>
      </c>
      <c r="D45">
        <v>17</v>
      </c>
      <c r="E45">
        <v>36.299999999999997</v>
      </c>
      <c r="F45">
        <v>26</v>
      </c>
      <c r="G45">
        <v>8.8000000000000007</v>
      </c>
    </row>
    <row r="46" spans="1:7" x14ac:dyDescent="0.2">
      <c r="A46">
        <v>44</v>
      </c>
      <c r="B46" t="s">
        <v>190</v>
      </c>
      <c r="C46">
        <v>1925</v>
      </c>
      <c r="D46">
        <v>56</v>
      </c>
      <c r="E46">
        <v>41.2</v>
      </c>
      <c r="F46">
        <v>21.7</v>
      </c>
      <c r="G46">
        <v>11.2</v>
      </c>
    </row>
    <row r="47" spans="1:7" x14ac:dyDescent="0.2">
      <c r="A47">
        <v>45</v>
      </c>
      <c r="B47" t="s">
        <v>190</v>
      </c>
      <c r="C47">
        <v>2005</v>
      </c>
      <c r="D47">
        <v>40</v>
      </c>
      <c r="E47">
        <v>47.5</v>
      </c>
      <c r="F47">
        <v>35.5</v>
      </c>
      <c r="G47">
        <v>11.3</v>
      </c>
    </row>
    <row r="48" spans="1:7" x14ac:dyDescent="0.2">
      <c r="A48">
        <v>46</v>
      </c>
      <c r="B48" t="s">
        <v>191</v>
      </c>
      <c r="C48">
        <v>1650</v>
      </c>
      <c r="D48">
        <v>10</v>
      </c>
      <c r="E48">
        <v>45.6</v>
      </c>
      <c r="F48">
        <v>8.4</v>
      </c>
      <c r="G48">
        <v>5.0999999999999996</v>
      </c>
    </row>
    <row r="49" spans="1:7" x14ac:dyDescent="0.2">
      <c r="A49">
        <v>47</v>
      </c>
      <c r="B49" t="s">
        <v>191</v>
      </c>
      <c r="C49">
        <v>1700</v>
      </c>
      <c r="D49">
        <v>9</v>
      </c>
      <c r="E49">
        <v>48.1</v>
      </c>
      <c r="F49">
        <v>6.3</v>
      </c>
      <c r="G49">
        <v>6.7</v>
      </c>
    </row>
    <row r="50" spans="1:7" x14ac:dyDescent="0.2">
      <c r="A50">
        <v>48</v>
      </c>
      <c r="B50" t="s">
        <v>191</v>
      </c>
      <c r="C50">
        <v>1750</v>
      </c>
      <c r="D50">
        <v>14</v>
      </c>
      <c r="E50">
        <v>51</v>
      </c>
      <c r="F50">
        <v>8.1</v>
      </c>
      <c r="G50">
        <v>4.3</v>
      </c>
    </row>
    <row r="51" spans="1:7" x14ac:dyDescent="0.2">
      <c r="A51">
        <v>49</v>
      </c>
      <c r="B51" t="s">
        <v>191</v>
      </c>
      <c r="C51">
        <v>1800</v>
      </c>
      <c r="D51">
        <v>10</v>
      </c>
      <c r="E51">
        <v>52.7</v>
      </c>
      <c r="F51">
        <v>5.6</v>
      </c>
      <c r="G51">
        <v>4.5999999999999996</v>
      </c>
    </row>
    <row r="52" spans="1:7" x14ac:dyDescent="0.2">
      <c r="A52">
        <v>50</v>
      </c>
      <c r="B52" t="s">
        <v>191</v>
      </c>
      <c r="C52">
        <v>1850</v>
      </c>
      <c r="D52">
        <v>7</v>
      </c>
      <c r="E52">
        <v>47.9</v>
      </c>
      <c r="F52">
        <v>7.9</v>
      </c>
      <c r="G52">
        <v>3.8</v>
      </c>
    </row>
    <row r="53" spans="1:7" x14ac:dyDescent="0.2">
      <c r="A53">
        <v>51</v>
      </c>
      <c r="B53" t="s">
        <v>191</v>
      </c>
      <c r="C53">
        <v>1875</v>
      </c>
      <c r="D53">
        <v>13</v>
      </c>
      <c r="E53">
        <v>48.6</v>
      </c>
      <c r="F53">
        <v>8.4</v>
      </c>
      <c r="G53">
        <v>3.9</v>
      </c>
    </row>
    <row r="54" spans="1:7" x14ac:dyDescent="0.2">
      <c r="A54">
        <v>52</v>
      </c>
      <c r="B54" t="s">
        <v>191</v>
      </c>
      <c r="C54">
        <v>1900</v>
      </c>
      <c r="D54">
        <v>6</v>
      </c>
      <c r="E54">
        <v>41.5</v>
      </c>
      <c r="F54">
        <v>4.5</v>
      </c>
      <c r="G54">
        <v>4.9000000000000004</v>
      </c>
    </row>
    <row r="55" spans="1:7" x14ac:dyDescent="0.2">
      <c r="A55">
        <v>53</v>
      </c>
      <c r="B55" t="s">
        <v>191</v>
      </c>
      <c r="C55">
        <v>1925</v>
      </c>
      <c r="D55">
        <v>18</v>
      </c>
      <c r="E55">
        <v>44.4</v>
      </c>
      <c r="F55">
        <v>6.3</v>
      </c>
      <c r="G55">
        <v>3.2</v>
      </c>
    </row>
    <row r="56" spans="1:7" x14ac:dyDescent="0.2">
      <c r="A56">
        <v>54</v>
      </c>
      <c r="B56" t="s">
        <v>191</v>
      </c>
      <c r="C56">
        <v>1965</v>
      </c>
      <c r="D56">
        <v>8</v>
      </c>
      <c r="E56">
        <v>42</v>
      </c>
      <c r="F56">
        <v>8.9</v>
      </c>
      <c r="G56">
        <v>2.5</v>
      </c>
    </row>
    <row r="57" spans="1:7" x14ac:dyDescent="0.2">
      <c r="A57">
        <v>55</v>
      </c>
      <c r="B57" t="s">
        <v>192</v>
      </c>
      <c r="C57">
        <v>1925</v>
      </c>
      <c r="D57">
        <v>200</v>
      </c>
      <c r="E57">
        <v>48.8</v>
      </c>
      <c r="F57">
        <v>21.7</v>
      </c>
      <c r="G57">
        <v>9</v>
      </c>
    </row>
    <row r="58" spans="1:7" x14ac:dyDescent="0.2">
      <c r="A58">
        <v>56</v>
      </c>
      <c r="B58" t="s">
        <v>192</v>
      </c>
      <c r="C58">
        <v>1945</v>
      </c>
      <c r="D58">
        <v>200</v>
      </c>
      <c r="E58">
        <v>62.4</v>
      </c>
      <c r="F58">
        <v>28.4</v>
      </c>
      <c r="G58">
        <v>6.6</v>
      </c>
    </row>
    <row r="59" spans="1:7" x14ac:dyDescent="0.2">
      <c r="A59">
        <v>57</v>
      </c>
      <c r="B59" t="s">
        <v>192</v>
      </c>
      <c r="C59">
        <v>1965</v>
      </c>
      <c r="D59">
        <v>200</v>
      </c>
      <c r="E59">
        <v>55.8</v>
      </c>
      <c r="F59">
        <v>36.6</v>
      </c>
      <c r="G59">
        <v>8.6</v>
      </c>
    </row>
    <row r="60" spans="1:7" x14ac:dyDescent="0.2">
      <c r="A60">
        <v>58</v>
      </c>
      <c r="B60" t="s">
        <v>192</v>
      </c>
      <c r="C60">
        <v>1985</v>
      </c>
      <c r="D60">
        <v>200</v>
      </c>
      <c r="E60">
        <v>52.3</v>
      </c>
      <c r="F60">
        <v>34</v>
      </c>
      <c r="G60">
        <v>8.9</v>
      </c>
    </row>
    <row r="61" spans="1:7" x14ac:dyDescent="0.2">
      <c r="A61">
        <v>59</v>
      </c>
      <c r="B61" t="s">
        <v>192</v>
      </c>
      <c r="C61">
        <v>2005</v>
      </c>
      <c r="D61">
        <v>200</v>
      </c>
      <c r="E61">
        <v>49.7</v>
      </c>
      <c r="F61">
        <v>34.200000000000003</v>
      </c>
      <c r="G61">
        <v>10.3</v>
      </c>
    </row>
    <row r="62" spans="1:7" x14ac:dyDescent="0.2">
      <c r="A62">
        <v>60</v>
      </c>
      <c r="B62" t="s">
        <v>193</v>
      </c>
      <c r="C62">
        <v>1650</v>
      </c>
      <c r="D62">
        <v>10</v>
      </c>
      <c r="E62">
        <v>42.7</v>
      </c>
      <c r="F62">
        <v>8.1999999999999993</v>
      </c>
      <c r="G62">
        <v>11.2</v>
      </c>
    </row>
    <row r="63" spans="1:7" x14ac:dyDescent="0.2">
      <c r="A63">
        <v>61</v>
      </c>
      <c r="B63" t="s">
        <v>193</v>
      </c>
      <c r="C63">
        <v>1700</v>
      </c>
      <c r="D63">
        <v>10</v>
      </c>
      <c r="E63">
        <v>42.4</v>
      </c>
      <c r="F63">
        <v>10.199999999999999</v>
      </c>
      <c r="G63">
        <v>12.5</v>
      </c>
    </row>
    <row r="64" spans="1:7" x14ac:dyDescent="0.2">
      <c r="A64">
        <v>62</v>
      </c>
      <c r="B64" t="s">
        <v>193</v>
      </c>
      <c r="C64">
        <v>1750</v>
      </c>
      <c r="D64">
        <v>20</v>
      </c>
      <c r="E64">
        <v>50.4</v>
      </c>
      <c r="F64">
        <v>8.9</v>
      </c>
      <c r="G64">
        <v>11.8</v>
      </c>
    </row>
    <row r="65" spans="1:7" x14ac:dyDescent="0.2">
      <c r="A65">
        <v>63</v>
      </c>
      <c r="B65" t="s">
        <v>193</v>
      </c>
      <c r="C65">
        <v>1800</v>
      </c>
      <c r="D65">
        <v>10</v>
      </c>
      <c r="E65">
        <v>59.5</v>
      </c>
      <c r="F65">
        <v>5.0999999999999996</v>
      </c>
      <c r="G65">
        <v>13</v>
      </c>
    </row>
    <row r="66" spans="1:7" x14ac:dyDescent="0.2">
      <c r="A66">
        <v>64</v>
      </c>
      <c r="B66" t="s">
        <v>193</v>
      </c>
      <c r="C66">
        <v>1850</v>
      </c>
      <c r="D66">
        <v>60</v>
      </c>
      <c r="E66">
        <v>47.3</v>
      </c>
      <c r="F66">
        <v>12</v>
      </c>
      <c r="G66">
        <v>8.9</v>
      </c>
    </row>
    <row r="67" spans="1:7" x14ac:dyDescent="0.2">
      <c r="A67">
        <v>65</v>
      </c>
      <c r="B67" t="s">
        <v>193</v>
      </c>
      <c r="C67">
        <v>1875</v>
      </c>
      <c r="D67">
        <v>10</v>
      </c>
      <c r="E67">
        <v>74.099999999999994</v>
      </c>
      <c r="F67">
        <v>17.600000000000001</v>
      </c>
      <c r="G67">
        <v>9.4</v>
      </c>
    </row>
    <row r="68" spans="1:7" x14ac:dyDescent="0.2">
      <c r="A68">
        <v>66</v>
      </c>
      <c r="B68" t="s">
        <v>193</v>
      </c>
      <c r="C68">
        <v>1900</v>
      </c>
      <c r="D68">
        <v>54</v>
      </c>
      <c r="E68">
        <v>39.9</v>
      </c>
      <c r="F68">
        <v>24.7</v>
      </c>
      <c r="G68">
        <v>9.1999999999999993</v>
      </c>
    </row>
    <row r="69" spans="1:7" x14ac:dyDescent="0.2">
      <c r="A69">
        <v>67</v>
      </c>
      <c r="B69" t="s">
        <v>193</v>
      </c>
      <c r="C69">
        <v>1925</v>
      </c>
      <c r="D69">
        <v>60</v>
      </c>
      <c r="E69">
        <v>47.4</v>
      </c>
      <c r="F69">
        <v>28.4</v>
      </c>
      <c r="G69">
        <v>10.199999999999999</v>
      </c>
    </row>
    <row r="70" spans="1:7" x14ac:dyDescent="0.2">
      <c r="A70">
        <v>68</v>
      </c>
      <c r="B70" t="s">
        <v>193</v>
      </c>
      <c r="C70">
        <v>1965</v>
      </c>
      <c r="D70">
        <v>12</v>
      </c>
      <c r="E70">
        <v>71.900000000000006</v>
      </c>
      <c r="F70">
        <v>36.4</v>
      </c>
      <c r="G70">
        <v>6.4</v>
      </c>
    </row>
    <row r="71" spans="1:7" x14ac:dyDescent="0.2">
      <c r="A71">
        <v>69</v>
      </c>
      <c r="B71" t="s">
        <v>193</v>
      </c>
      <c r="C71">
        <v>1985</v>
      </c>
      <c r="D71">
        <v>54</v>
      </c>
      <c r="E71">
        <v>54.1</v>
      </c>
      <c r="F71">
        <v>39.799999999999997</v>
      </c>
      <c r="G71">
        <v>10.4</v>
      </c>
    </row>
    <row r="72" spans="1:7" x14ac:dyDescent="0.2">
      <c r="A72">
        <v>70</v>
      </c>
      <c r="B72" t="s">
        <v>194</v>
      </c>
      <c r="C72">
        <v>1650</v>
      </c>
      <c r="D72">
        <v>11</v>
      </c>
      <c r="E72">
        <v>45.5</v>
      </c>
      <c r="F72">
        <v>5.6</v>
      </c>
      <c r="G72">
        <v>13.5</v>
      </c>
    </row>
    <row r="73" spans="1:7" x14ac:dyDescent="0.2">
      <c r="A73">
        <v>71</v>
      </c>
      <c r="B73" t="s">
        <v>194</v>
      </c>
      <c r="C73">
        <v>1700</v>
      </c>
      <c r="D73">
        <v>16</v>
      </c>
      <c r="E73">
        <v>48.1</v>
      </c>
      <c r="F73">
        <v>4.8</v>
      </c>
      <c r="G73">
        <v>12.5</v>
      </c>
    </row>
    <row r="74" spans="1:7" x14ac:dyDescent="0.2">
      <c r="A74">
        <v>72</v>
      </c>
      <c r="B74" t="s">
        <v>194</v>
      </c>
      <c r="C74">
        <v>1750</v>
      </c>
      <c r="D74">
        <v>31</v>
      </c>
      <c r="E74">
        <v>45.3</v>
      </c>
      <c r="F74">
        <v>5.7</v>
      </c>
      <c r="G74">
        <v>11.9</v>
      </c>
    </row>
    <row r="75" spans="1:7" x14ac:dyDescent="0.2">
      <c r="A75">
        <v>73</v>
      </c>
      <c r="B75" t="s">
        <v>194</v>
      </c>
      <c r="C75">
        <v>1800</v>
      </c>
      <c r="D75">
        <v>24</v>
      </c>
      <c r="E75">
        <v>44.8</v>
      </c>
      <c r="F75">
        <v>7.8</v>
      </c>
      <c r="G75">
        <v>11.4</v>
      </c>
    </row>
    <row r="76" spans="1:7" x14ac:dyDescent="0.2">
      <c r="A76">
        <v>74</v>
      </c>
      <c r="B76" t="s">
        <v>194</v>
      </c>
      <c r="C76">
        <v>1850</v>
      </c>
      <c r="D76">
        <v>25</v>
      </c>
      <c r="E76">
        <v>41.8</v>
      </c>
      <c r="F76">
        <v>8.4</v>
      </c>
      <c r="G76">
        <v>8.6999999999999993</v>
      </c>
    </row>
    <row r="77" spans="1:7" x14ac:dyDescent="0.2">
      <c r="A77">
        <v>75</v>
      </c>
      <c r="B77" t="s">
        <v>194</v>
      </c>
      <c r="C77">
        <v>1875</v>
      </c>
      <c r="D77">
        <v>33</v>
      </c>
      <c r="E77">
        <v>42.2</v>
      </c>
      <c r="F77">
        <v>7.5</v>
      </c>
      <c r="G77">
        <v>8.4</v>
      </c>
    </row>
    <row r="78" spans="1:7" x14ac:dyDescent="0.2">
      <c r="A78">
        <v>76</v>
      </c>
      <c r="B78" t="s">
        <v>194</v>
      </c>
      <c r="C78">
        <v>1900</v>
      </c>
      <c r="D78">
        <v>37</v>
      </c>
      <c r="E78">
        <v>34.200000000000003</v>
      </c>
      <c r="F78">
        <v>11.1</v>
      </c>
      <c r="G78">
        <v>6.7</v>
      </c>
    </row>
    <row r="79" spans="1:7" x14ac:dyDescent="0.2">
      <c r="A79">
        <v>77</v>
      </c>
      <c r="B79" t="s">
        <v>194</v>
      </c>
      <c r="C79">
        <v>1925</v>
      </c>
      <c r="D79">
        <v>22</v>
      </c>
      <c r="E79">
        <v>40</v>
      </c>
      <c r="F79">
        <v>13.1</v>
      </c>
      <c r="G79">
        <v>7.7</v>
      </c>
    </row>
    <row r="80" spans="1:7" x14ac:dyDescent="0.2">
      <c r="A80">
        <v>78</v>
      </c>
      <c r="B80" t="s">
        <v>194</v>
      </c>
      <c r="C80">
        <v>1965</v>
      </c>
      <c r="D80">
        <v>12</v>
      </c>
      <c r="E80">
        <v>41.6</v>
      </c>
      <c r="F80">
        <v>19.600000000000001</v>
      </c>
      <c r="G80">
        <v>6.8</v>
      </c>
    </row>
    <row r="81" spans="1:7" x14ac:dyDescent="0.2">
      <c r="A81">
        <v>79</v>
      </c>
      <c r="B81" t="s">
        <v>194</v>
      </c>
      <c r="C81">
        <v>1985</v>
      </c>
      <c r="D81">
        <v>15</v>
      </c>
      <c r="E81">
        <v>29.8</v>
      </c>
      <c r="F81">
        <v>14.3</v>
      </c>
      <c r="G81">
        <v>5.8</v>
      </c>
    </row>
    <row r="82" spans="1:7" x14ac:dyDescent="0.2">
      <c r="A82">
        <v>80</v>
      </c>
      <c r="B82" t="s">
        <v>195</v>
      </c>
      <c r="C82">
        <v>1985</v>
      </c>
      <c r="D82">
        <v>20</v>
      </c>
      <c r="E82">
        <v>69.099999999999994</v>
      </c>
      <c r="F82">
        <v>38.9</v>
      </c>
      <c r="G82">
        <v>7.4</v>
      </c>
    </row>
    <row r="83" spans="1:7" x14ac:dyDescent="0.2">
      <c r="A83">
        <v>81</v>
      </c>
      <c r="B83" t="s">
        <v>196</v>
      </c>
      <c r="C83">
        <v>1985</v>
      </c>
      <c r="D83">
        <v>20</v>
      </c>
      <c r="E83">
        <v>76.900000000000006</v>
      </c>
      <c r="F83">
        <v>47.6</v>
      </c>
      <c r="G83">
        <v>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85"/>
  <sheetViews>
    <sheetView topLeftCell="A19" zoomScaleNormal="100" workbookViewId="0">
      <selection activeCell="I1" sqref="I1:I85"/>
    </sheetView>
  </sheetViews>
  <sheetFormatPr defaultRowHeight="12.75" x14ac:dyDescent="0.2"/>
  <cols>
    <col min="4" max="4" width="11" customWidth="1"/>
    <col min="5" max="5" width="15.85546875" customWidth="1"/>
    <col min="6" max="6" width="18" customWidth="1"/>
    <col min="7" max="7" width="18.85546875" customWidth="1"/>
    <col min="8" max="8" width="20.28515625" customWidth="1"/>
  </cols>
  <sheetData>
    <row r="1" spans="1:9" x14ac:dyDescent="0.2">
      <c r="A1" t="s">
        <v>179</v>
      </c>
      <c r="B1" t="s">
        <v>180</v>
      </c>
      <c r="C1" t="s">
        <v>197</v>
      </c>
      <c r="D1" t="s">
        <v>182</v>
      </c>
      <c r="E1" t="s">
        <v>198</v>
      </c>
      <c r="F1" t="s">
        <v>199</v>
      </c>
      <c r="G1" t="s">
        <v>200</v>
      </c>
      <c r="H1" t="s">
        <v>201</v>
      </c>
      <c r="I1" t="s">
        <v>207</v>
      </c>
    </row>
    <row r="3" spans="1:9" x14ac:dyDescent="0.2">
      <c r="A3">
        <v>1</v>
      </c>
      <c r="C3" t="s">
        <v>186</v>
      </c>
      <c r="D3">
        <v>2857</v>
      </c>
      <c r="E3">
        <v>52.5</v>
      </c>
      <c r="F3">
        <v>27.1</v>
      </c>
      <c r="G3">
        <v>8.6999999999999993</v>
      </c>
      <c r="H3">
        <v>7914</v>
      </c>
      <c r="I3" t="s">
        <v>208</v>
      </c>
    </row>
    <row r="4" spans="1:9" x14ac:dyDescent="0.2">
      <c r="A4">
        <v>2</v>
      </c>
      <c r="C4">
        <v>1650</v>
      </c>
      <c r="D4">
        <v>212</v>
      </c>
      <c r="E4">
        <v>35.6</v>
      </c>
      <c r="F4">
        <v>10.3</v>
      </c>
      <c r="G4">
        <v>10.4</v>
      </c>
      <c r="H4">
        <v>1012</v>
      </c>
    </row>
    <row r="5" spans="1:9" x14ac:dyDescent="0.2">
      <c r="A5">
        <v>3</v>
      </c>
      <c r="C5">
        <v>1700</v>
      </c>
      <c r="D5">
        <v>80</v>
      </c>
      <c r="E5">
        <v>45.4</v>
      </c>
      <c r="F5">
        <v>6.6</v>
      </c>
      <c r="G5">
        <v>11.4</v>
      </c>
      <c r="H5">
        <v>9478</v>
      </c>
      <c r="I5">
        <v>294.60000000000002</v>
      </c>
    </row>
    <row r="6" spans="1:9" x14ac:dyDescent="0.2">
      <c r="A6">
        <v>4</v>
      </c>
      <c r="C6">
        <v>1750</v>
      </c>
      <c r="D6">
        <v>96</v>
      </c>
      <c r="E6">
        <v>49.9</v>
      </c>
      <c r="F6">
        <v>7.6</v>
      </c>
      <c r="G6">
        <v>10.8</v>
      </c>
      <c r="H6">
        <v>10880</v>
      </c>
      <c r="I6">
        <v>250.3</v>
      </c>
    </row>
    <row r="7" spans="1:9" x14ac:dyDescent="0.2">
      <c r="A7">
        <v>5</v>
      </c>
      <c r="C7">
        <v>1800</v>
      </c>
      <c r="D7">
        <v>105</v>
      </c>
      <c r="E7">
        <v>51.8</v>
      </c>
      <c r="F7">
        <v>8.6</v>
      </c>
      <c r="G7">
        <v>11</v>
      </c>
      <c r="H7">
        <v>19508</v>
      </c>
      <c r="I7">
        <v>232.9</v>
      </c>
    </row>
    <row r="8" spans="1:9" x14ac:dyDescent="0.2">
      <c r="A8">
        <v>6</v>
      </c>
      <c r="C8">
        <v>1850</v>
      </c>
      <c r="D8">
        <v>203</v>
      </c>
      <c r="E8">
        <v>50</v>
      </c>
      <c r="F8">
        <v>10.8</v>
      </c>
      <c r="G8">
        <v>9.5</v>
      </c>
      <c r="H8">
        <v>24060</v>
      </c>
      <c r="I8">
        <v>232.4</v>
      </c>
    </row>
    <row r="9" spans="1:9" x14ac:dyDescent="0.2">
      <c r="A9">
        <v>7</v>
      </c>
      <c r="C9">
        <v>1875</v>
      </c>
      <c r="D9">
        <v>120</v>
      </c>
      <c r="E9">
        <v>51.2</v>
      </c>
      <c r="F9">
        <v>12.9</v>
      </c>
      <c r="G9">
        <v>8.6999999999999993</v>
      </c>
      <c r="H9">
        <v>30091</v>
      </c>
      <c r="I9">
        <v>233.5</v>
      </c>
    </row>
    <row r="10" spans="1:9" x14ac:dyDescent="0.2">
      <c r="A10">
        <v>8</v>
      </c>
      <c r="C10">
        <v>1900</v>
      </c>
      <c r="D10">
        <v>164</v>
      </c>
      <c r="E10">
        <v>45.4</v>
      </c>
      <c r="F10">
        <v>19</v>
      </c>
      <c r="G10">
        <v>8.3000000000000007</v>
      </c>
      <c r="H10">
        <v>23794</v>
      </c>
      <c r="I10">
        <v>250</v>
      </c>
    </row>
    <row r="11" spans="1:9" x14ac:dyDescent="0.2">
      <c r="A11">
        <v>9</v>
      </c>
      <c r="C11">
        <v>1925</v>
      </c>
      <c r="D11">
        <v>406</v>
      </c>
      <c r="E11">
        <v>48.7</v>
      </c>
      <c r="F11">
        <v>21.8</v>
      </c>
      <c r="G11">
        <v>9.1</v>
      </c>
      <c r="H11">
        <v>2080</v>
      </c>
      <c r="I11">
        <v>249.8</v>
      </c>
    </row>
    <row r="12" spans="1:9" x14ac:dyDescent="0.2">
      <c r="A12">
        <v>10</v>
      </c>
      <c r="C12">
        <v>1945</v>
      </c>
      <c r="D12">
        <v>200</v>
      </c>
      <c r="E12">
        <v>62.4</v>
      </c>
      <c r="F12">
        <v>28.4</v>
      </c>
      <c r="G12">
        <v>6.6</v>
      </c>
      <c r="H12">
        <v>672.1</v>
      </c>
      <c r="I12">
        <v>268.5</v>
      </c>
    </row>
    <row r="13" spans="1:9" x14ac:dyDescent="0.2">
      <c r="A13">
        <v>11</v>
      </c>
      <c r="C13">
        <v>1965</v>
      </c>
      <c r="D13">
        <v>401</v>
      </c>
      <c r="E13">
        <v>57.7</v>
      </c>
      <c r="F13">
        <v>38.200000000000003</v>
      </c>
      <c r="G13">
        <v>7.2</v>
      </c>
      <c r="H13">
        <v>3343</v>
      </c>
      <c r="I13">
        <v>289.39999999999998</v>
      </c>
    </row>
    <row r="14" spans="1:9" x14ac:dyDescent="0.2">
      <c r="A14">
        <v>12</v>
      </c>
      <c r="C14">
        <v>1985</v>
      </c>
      <c r="D14">
        <v>461</v>
      </c>
      <c r="E14">
        <v>58.4</v>
      </c>
      <c r="F14">
        <v>40.9</v>
      </c>
      <c r="G14">
        <v>7.8</v>
      </c>
      <c r="H14">
        <v>4387</v>
      </c>
      <c r="I14">
        <v>315.3</v>
      </c>
    </row>
    <row r="15" spans="1:9" x14ac:dyDescent="0.2">
      <c r="A15">
        <v>13</v>
      </c>
      <c r="C15">
        <v>2005</v>
      </c>
      <c r="D15">
        <v>409</v>
      </c>
      <c r="E15">
        <v>55.2</v>
      </c>
      <c r="F15">
        <v>42.8</v>
      </c>
      <c r="G15">
        <v>8.9</v>
      </c>
      <c r="H15">
        <v>4412</v>
      </c>
      <c r="I15">
        <v>325.2</v>
      </c>
    </row>
    <row r="16" spans="1:9" x14ac:dyDescent="0.2">
      <c r="A16">
        <v>14</v>
      </c>
      <c r="B16" t="s">
        <v>187</v>
      </c>
      <c r="C16" t="s">
        <v>186</v>
      </c>
      <c r="D16">
        <v>67</v>
      </c>
      <c r="E16">
        <v>54.6</v>
      </c>
      <c r="F16">
        <v>20.100000000000001</v>
      </c>
      <c r="G16">
        <v>9.6</v>
      </c>
      <c r="H16">
        <v>49869</v>
      </c>
      <c r="I16">
        <v>328.7</v>
      </c>
    </row>
    <row r="17" spans="1:9" x14ac:dyDescent="0.2">
      <c r="A17">
        <v>15</v>
      </c>
      <c r="B17" t="s">
        <v>202</v>
      </c>
      <c r="C17" t="s">
        <v>186</v>
      </c>
      <c r="D17">
        <v>968</v>
      </c>
      <c r="E17">
        <v>56.4</v>
      </c>
      <c r="F17">
        <v>31</v>
      </c>
      <c r="G17">
        <v>8.1999999999999993</v>
      </c>
      <c r="H17">
        <v>5282</v>
      </c>
      <c r="I17">
        <v>332.1</v>
      </c>
    </row>
    <row r="18" spans="1:9" x14ac:dyDescent="0.2">
      <c r="A18">
        <v>16</v>
      </c>
      <c r="B18" t="s">
        <v>190</v>
      </c>
      <c r="C18" t="s">
        <v>186</v>
      </c>
      <c r="D18">
        <v>161</v>
      </c>
      <c r="E18">
        <v>40.1</v>
      </c>
      <c r="F18">
        <v>22</v>
      </c>
      <c r="G18">
        <v>11.3</v>
      </c>
      <c r="H18">
        <v>6163</v>
      </c>
      <c r="I18">
        <v>297.5</v>
      </c>
    </row>
    <row r="19" spans="1:9" x14ac:dyDescent="0.2">
      <c r="A19">
        <v>17</v>
      </c>
      <c r="B19" t="s">
        <v>191</v>
      </c>
      <c r="C19" t="s">
        <v>186</v>
      </c>
      <c r="D19">
        <v>95</v>
      </c>
      <c r="E19">
        <v>47.2</v>
      </c>
      <c r="F19">
        <v>7.2</v>
      </c>
      <c r="G19">
        <v>4.2</v>
      </c>
      <c r="H19">
        <v>928</v>
      </c>
      <c r="I19">
        <v>302.89999999999998</v>
      </c>
    </row>
    <row r="20" spans="1:9" x14ac:dyDescent="0.2">
      <c r="A20">
        <v>18</v>
      </c>
      <c r="B20" t="s">
        <v>192</v>
      </c>
      <c r="C20" t="s">
        <v>186</v>
      </c>
      <c r="D20">
        <v>1000</v>
      </c>
      <c r="E20">
        <v>53.8</v>
      </c>
      <c r="F20">
        <v>31</v>
      </c>
      <c r="G20">
        <v>8.6999999999999993</v>
      </c>
      <c r="H20">
        <v>697.9</v>
      </c>
      <c r="I20">
        <v>265.2</v>
      </c>
    </row>
    <row r="21" spans="1:9" x14ac:dyDescent="0.2">
      <c r="A21">
        <v>19</v>
      </c>
      <c r="B21" t="s">
        <v>193</v>
      </c>
      <c r="C21" t="s">
        <v>186</v>
      </c>
      <c r="D21">
        <v>300</v>
      </c>
      <c r="E21">
        <v>49.4</v>
      </c>
      <c r="F21">
        <v>23.1</v>
      </c>
      <c r="G21">
        <v>9.9</v>
      </c>
      <c r="H21">
        <v>853.4</v>
      </c>
      <c r="I21">
        <v>195.2</v>
      </c>
    </row>
    <row r="22" spans="1:9" x14ac:dyDescent="0.2">
      <c r="A22">
        <v>20</v>
      </c>
      <c r="B22" t="s">
        <v>194</v>
      </c>
      <c r="C22" t="s">
        <v>186</v>
      </c>
      <c r="D22">
        <v>226</v>
      </c>
      <c r="E22">
        <v>41.1</v>
      </c>
      <c r="F22">
        <v>9.3000000000000007</v>
      </c>
      <c r="G22">
        <v>9.1999999999999993</v>
      </c>
      <c r="H22">
        <v>52400</v>
      </c>
      <c r="I22">
        <v>317.2</v>
      </c>
    </row>
    <row r="23" spans="1:9" x14ac:dyDescent="0.2">
      <c r="A23">
        <v>21</v>
      </c>
      <c r="B23" t="s">
        <v>195</v>
      </c>
      <c r="C23" t="s">
        <v>186</v>
      </c>
      <c r="D23">
        <v>20</v>
      </c>
      <c r="E23">
        <v>69.099999999999994</v>
      </c>
      <c r="F23">
        <v>38.9</v>
      </c>
      <c r="G23">
        <v>7.4</v>
      </c>
      <c r="H23">
        <v>9344</v>
      </c>
      <c r="I23">
        <v>295.5</v>
      </c>
    </row>
    <row r="24" spans="1:9" x14ac:dyDescent="0.2">
      <c r="A24">
        <v>22</v>
      </c>
      <c r="B24" t="s">
        <v>196</v>
      </c>
      <c r="C24" t="s">
        <v>186</v>
      </c>
      <c r="D24">
        <v>20</v>
      </c>
      <c r="E24">
        <v>76.900000000000006</v>
      </c>
      <c r="F24">
        <v>47.6</v>
      </c>
      <c r="G24">
        <v>7.3</v>
      </c>
      <c r="H24">
        <v>4593</v>
      </c>
      <c r="I24">
        <v>216</v>
      </c>
    </row>
    <row r="25" spans="1:9" x14ac:dyDescent="0.2">
      <c r="A25">
        <v>23</v>
      </c>
      <c r="B25" t="s">
        <v>187</v>
      </c>
      <c r="C25">
        <v>1850</v>
      </c>
      <c r="D25">
        <v>19</v>
      </c>
      <c r="E25">
        <v>46.8</v>
      </c>
      <c r="F25">
        <v>15.8</v>
      </c>
      <c r="G25">
        <v>9.6</v>
      </c>
      <c r="H25">
        <v>87854</v>
      </c>
      <c r="I25">
        <v>303.60000000000002</v>
      </c>
    </row>
    <row r="26" spans="1:9" x14ac:dyDescent="0.2">
      <c r="A26">
        <v>24</v>
      </c>
      <c r="B26" t="s">
        <v>187</v>
      </c>
      <c r="C26">
        <v>1875</v>
      </c>
      <c r="D26">
        <v>18</v>
      </c>
      <c r="E26">
        <v>41.5</v>
      </c>
      <c r="F26">
        <v>19.100000000000001</v>
      </c>
      <c r="G26">
        <v>9.5</v>
      </c>
      <c r="H26">
        <v>84039</v>
      </c>
      <c r="I26">
        <v>321.2</v>
      </c>
    </row>
    <row r="27" spans="1:9" x14ac:dyDescent="0.2">
      <c r="A27">
        <v>25</v>
      </c>
      <c r="B27" t="s">
        <v>187</v>
      </c>
      <c r="C27">
        <v>2005</v>
      </c>
      <c r="D27">
        <v>30</v>
      </c>
      <c r="E27">
        <v>67.400000000000006</v>
      </c>
      <c r="F27">
        <v>23.3</v>
      </c>
      <c r="G27">
        <v>9.8000000000000007</v>
      </c>
      <c r="H27">
        <v>5311</v>
      </c>
      <c r="I27">
        <v>283.89999999999998</v>
      </c>
    </row>
    <row r="28" spans="1:9" x14ac:dyDescent="0.2">
      <c r="A28">
        <v>26</v>
      </c>
      <c r="B28" t="s">
        <v>202</v>
      </c>
      <c r="C28">
        <v>1650</v>
      </c>
      <c r="D28">
        <v>181</v>
      </c>
      <c r="E28">
        <v>34.1</v>
      </c>
      <c r="F28">
        <v>10.8</v>
      </c>
      <c r="G28">
        <v>10.5</v>
      </c>
      <c r="H28">
        <v>1021</v>
      </c>
      <c r="I28">
        <v>309.3</v>
      </c>
    </row>
    <row r="29" spans="1:9" x14ac:dyDescent="0.2">
      <c r="A29">
        <v>27</v>
      </c>
      <c r="B29" t="s">
        <v>202</v>
      </c>
      <c r="C29">
        <v>1700</v>
      </c>
      <c r="D29">
        <v>45</v>
      </c>
      <c r="E29">
        <v>44.6</v>
      </c>
      <c r="F29">
        <v>6.4</v>
      </c>
      <c r="G29">
        <v>11.8</v>
      </c>
      <c r="H29">
        <v>3384</v>
      </c>
      <c r="I29">
        <v>299</v>
      </c>
    </row>
    <row r="30" spans="1:9" x14ac:dyDescent="0.2">
      <c r="A30">
        <v>28</v>
      </c>
      <c r="B30" t="s">
        <v>202</v>
      </c>
      <c r="C30">
        <v>1750</v>
      </c>
      <c r="D30">
        <v>31</v>
      </c>
      <c r="E30">
        <v>53.6</v>
      </c>
      <c r="F30">
        <v>8.3000000000000007</v>
      </c>
      <c r="G30">
        <v>11.9</v>
      </c>
      <c r="H30">
        <v>3826</v>
      </c>
      <c r="I30">
        <v>255.5</v>
      </c>
    </row>
    <row r="31" spans="1:9" x14ac:dyDescent="0.2">
      <c r="A31">
        <v>29</v>
      </c>
      <c r="B31" t="s">
        <v>202</v>
      </c>
      <c r="C31">
        <v>1800</v>
      </c>
      <c r="D31">
        <v>50</v>
      </c>
      <c r="E31">
        <v>57.4</v>
      </c>
      <c r="F31">
        <v>10.1</v>
      </c>
      <c r="G31">
        <v>11.1</v>
      </c>
      <c r="H31">
        <v>4828</v>
      </c>
      <c r="I31">
        <v>239.4</v>
      </c>
    </row>
    <row r="32" spans="1:9" x14ac:dyDescent="0.2">
      <c r="A32">
        <v>30</v>
      </c>
      <c r="B32" t="s">
        <v>202</v>
      </c>
      <c r="C32">
        <v>1850</v>
      </c>
      <c r="D32">
        <v>55</v>
      </c>
      <c r="E32">
        <v>68.599999999999994</v>
      </c>
      <c r="F32">
        <v>10.1</v>
      </c>
      <c r="G32">
        <v>9.5</v>
      </c>
      <c r="H32">
        <v>4803</v>
      </c>
      <c r="I32">
        <v>229.3</v>
      </c>
    </row>
    <row r="33" spans="1:9" x14ac:dyDescent="0.2">
      <c r="A33">
        <v>31</v>
      </c>
      <c r="B33" t="s">
        <v>202</v>
      </c>
      <c r="C33">
        <v>1875</v>
      </c>
      <c r="D33">
        <v>46</v>
      </c>
      <c r="E33">
        <v>57.3</v>
      </c>
      <c r="F33">
        <v>14.6</v>
      </c>
      <c r="G33">
        <v>9.6999999999999993</v>
      </c>
      <c r="H33">
        <v>9108</v>
      </c>
      <c r="I33">
        <v>239</v>
      </c>
    </row>
    <row r="34" spans="1:9" x14ac:dyDescent="0.2">
      <c r="A34">
        <v>32</v>
      </c>
      <c r="B34" t="s">
        <v>202</v>
      </c>
      <c r="C34">
        <v>1900</v>
      </c>
      <c r="D34">
        <v>50</v>
      </c>
      <c r="E34">
        <v>63.1</v>
      </c>
      <c r="F34">
        <v>17.8</v>
      </c>
      <c r="G34">
        <v>8.8000000000000007</v>
      </c>
      <c r="H34">
        <v>7494</v>
      </c>
      <c r="I34">
        <v>250.4</v>
      </c>
    </row>
    <row r="35" spans="1:9" x14ac:dyDescent="0.2">
      <c r="A35">
        <v>33</v>
      </c>
      <c r="B35" t="s">
        <v>202</v>
      </c>
      <c r="C35">
        <v>1925</v>
      </c>
      <c r="D35">
        <v>50</v>
      </c>
      <c r="E35">
        <v>64.099999999999994</v>
      </c>
      <c r="F35">
        <v>23.5</v>
      </c>
      <c r="G35">
        <v>8.8000000000000007</v>
      </c>
      <c r="H35">
        <v>6492</v>
      </c>
      <c r="I35">
        <v>257.89999999999998</v>
      </c>
    </row>
    <row r="36" spans="1:9" x14ac:dyDescent="0.2">
      <c r="A36">
        <v>34</v>
      </c>
      <c r="B36" t="s">
        <v>202</v>
      </c>
      <c r="C36">
        <v>1965</v>
      </c>
      <c r="D36">
        <v>169</v>
      </c>
      <c r="E36">
        <v>60.8</v>
      </c>
      <c r="F36">
        <v>42.9</v>
      </c>
      <c r="G36">
        <v>5.9</v>
      </c>
      <c r="H36">
        <v>5591</v>
      </c>
      <c r="I36">
        <v>270.3</v>
      </c>
    </row>
    <row r="37" spans="1:9" x14ac:dyDescent="0.2">
      <c r="A37">
        <v>35</v>
      </c>
      <c r="B37" t="s">
        <v>202</v>
      </c>
      <c r="C37">
        <v>1985</v>
      </c>
      <c r="D37">
        <v>152</v>
      </c>
      <c r="E37">
        <v>66.8</v>
      </c>
      <c r="F37">
        <v>52.2</v>
      </c>
      <c r="G37">
        <v>5.6</v>
      </c>
      <c r="H37">
        <v>5681</v>
      </c>
      <c r="I37">
        <v>276</v>
      </c>
    </row>
    <row r="38" spans="1:9" x14ac:dyDescent="0.2">
      <c r="A38">
        <v>36</v>
      </c>
      <c r="B38" t="s">
        <v>202</v>
      </c>
      <c r="C38">
        <v>2005</v>
      </c>
      <c r="D38">
        <v>139</v>
      </c>
      <c r="E38">
        <v>62.7</v>
      </c>
      <c r="F38">
        <v>61.3</v>
      </c>
      <c r="G38">
        <v>6.1</v>
      </c>
      <c r="H38">
        <v>8810</v>
      </c>
      <c r="I38">
        <v>338.1</v>
      </c>
    </row>
    <row r="39" spans="1:9" x14ac:dyDescent="0.2">
      <c r="A39">
        <v>37</v>
      </c>
      <c r="B39" t="s">
        <v>190</v>
      </c>
      <c r="C39">
        <v>1800</v>
      </c>
      <c r="D39">
        <v>11</v>
      </c>
      <c r="E39">
        <v>33.700000000000003</v>
      </c>
      <c r="F39">
        <v>9.6</v>
      </c>
      <c r="G39">
        <v>13.7</v>
      </c>
      <c r="H39">
        <v>4312</v>
      </c>
      <c r="I39">
        <v>354.8</v>
      </c>
    </row>
    <row r="40" spans="1:9" x14ac:dyDescent="0.2">
      <c r="A40">
        <v>38</v>
      </c>
      <c r="B40" t="s">
        <v>190</v>
      </c>
      <c r="C40">
        <v>1850</v>
      </c>
      <c r="D40">
        <v>37</v>
      </c>
      <c r="E40">
        <v>34.200000000000003</v>
      </c>
      <c r="F40">
        <v>9.6</v>
      </c>
      <c r="G40">
        <v>12</v>
      </c>
      <c r="H40">
        <v>3270</v>
      </c>
      <c r="I40">
        <v>382.2</v>
      </c>
    </row>
    <row r="41" spans="1:9" x14ac:dyDescent="0.2">
      <c r="A41">
        <v>39</v>
      </c>
      <c r="B41" t="s">
        <v>190</v>
      </c>
      <c r="C41">
        <v>1900</v>
      </c>
      <c r="D41">
        <v>17</v>
      </c>
      <c r="E41">
        <v>36.299999999999997</v>
      </c>
      <c r="F41">
        <v>26</v>
      </c>
      <c r="G41">
        <v>8.8000000000000007</v>
      </c>
      <c r="H41">
        <v>14703</v>
      </c>
      <c r="I41">
        <v>247.5</v>
      </c>
    </row>
    <row r="42" spans="1:9" x14ac:dyDescent="0.2">
      <c r="A42">
        <v>40</v>
      </c>
      <c r="B42" t="s">
        <v>190</v>
      </c>
      <c r="C42">
        <v>1925</v>
      </c>
      <c r="D42">
        <v>56</v>
      </c>
      <c r="E42">
        <v>41.2</v>
      </c>
      <c r="F42">
        <v>21.7</v>
      </c>
      <c r="G42">
        <v>11.2</v>
      </c>
      <c r="H42">
        <v>5365</v>
      </c>
      <c r="I42">
        <v>243.8</v>
      </c>
    </row>
    <row r="43" spans="1:9" x14ac:dyDescent="0.2">
      <c r="A43">
        <v>41</v>
      </c>
      <c r="B43" t="s">
        <v>190</v>
      </c>
      <c r="C43">
        <v>2005</v>
      </c>
      <c r="D43">
        <v>40</v>
      </c>
      <c r="E43">
        <v>47.5</v>
      </c>
      <c r="F43">
        <v>35.5</v>
      </c>
      <c r="G43">
        <v>11.3</v>
      </c>
      <c r="H43">
        <v>6837</v>
      </c>
      <c r="I43">
        <v>301.5</v>
      </c>
    </row>
    <row r="44" spans="1:9" x14ac:dyDescent="0.2">
      <c r="A44">
        <v>42</v>
      </c>
      <c r="B44" t="s">
        <v>191</v>
      </c>
      <c r="C44">
        <v>1650</v>
      </c>
      <c r="D44">
        <v>10</v>
      </c>
      <c r="E44">
        <v>45.6</v>
      </c>
      <c r="F44">
        <v>8.4</v>
      </c>
      <c r="G44">
        <v>5.0999999999999996</v>
      </c>
      <c r="H44">
        <v>868.7</v>
      </c>
      <c r="I44">
        <v>269.10000000000002</v>
      </c>
    </row>
    <row r="45" spans="1:9" x14ac:dyDescent="0.2">
      <c r="A45">
        <v>43</v>
      </c>
      <c r="B45" t="s">
        <v>191</v>
      </c>
      <c r="C45">
        <v>1700</v>
      </c>
      <c r="D45">
        <v>9</v>
      </c>
      <c r="E45">
        <v>48.1</v>
      </c>
      <c r="F45">
        <v>6.3</v>
      </c>
      <c r="G45">
        <v>6.7</v>
      </c>
      <c r="H45">
        <v>959.3</v>
      </c>
      <c r="I45">
        <v>269</v>
      </c>
    </row>
    <row r="46" spans="1:9" x14ac:dyDescent="0.2">
      <c r="A46">
        <v>44</v>
      </c>
      <c r="B46" t="s">
        <v>191</v>
      </c>
      <c r="C46">
        <v>1750</v>
      </c>
      <c r="D46">
        <v>14</v>
      </c>
      <c r="E46">
        <v>51</v>
      </c>
      <c r="F46">
        <v>8.1</v>
      </c>
      <c r="G46">
        <v>4.3</v>
      </c>
      <c r="H46">
        <v>883.8</v>
      </c>
      <c r="I46">
        <v>209.5</v>
      </c>
    </row>
    <row r="47" spans="1:9" x14ac:dyDescent="0.2">
      <c r="A47">
        <v>45</v>
      </c>
      <c r="B47" t="s">
        <v>191</v>
      </c>
      <c r="C47">
        <v>1800</v>
      </c>
      <c r="D47">
        <v>10</v>
      </c>
      <c r="E47">
        <v>52.7</v>
      </c>
      <c r="F47">
        <v>5.6</v>
      </c>
      <c r="G47">
        <v>4.5999999999999996</v>
      </c>
      <c r="H47">
        <v>953</v>
      </c>
      <c r="I47">
        <v>189.5</v>
      </c>
    </row>
    <row r="48" spans="1:9" x14ac:dyDescent="0.2">
      <c r="A48">
        <v>46</v>
      </c>
      <c r="B48" t="s">
        <v>191</v>
      </c>
      <c r="C48">
        <v>1850</v>
      </c>
      <c r="D48">
        <v>7</v>
      </c>
      <c r="E48">
        <v>47.9</v>
      </c>
      <c r="F48">
        <v>7.9</v>
      </c>
      <c r="G48">
        <v>3.8</v>
      </c>
      <c r="H48">
        <v>945</v>
      </c>
      <c r="I48">
        <v>203.7</v>
      </c>
    </row>
    <row r="49" spans="1:9" x14ac:dyDescent="0.2">
      <c r="A49">
        <v>47</v>
      </c>
      <c r="B49" t="s">
        <v>191</v>
      </c>
      <c r="C49">
        <v>1875</v>
      </c>
      <c r="D49">
        <v>13</v>
      </c>
      <c r="E49">
        <v>48.6</v>
      </c>
      <c r="F49">
        <v>8.4</v>
      </c>
      <c r="G49">
        <v>3.9</v>
      </c>
      <c r="H49">
        <v>951.2</v>
      </c>
      <c r="I49">
        <v>202.9</v>
      </c>
    </row>
    <row r="50" spans="1:9" x14ac:dyDescent="0.2">
      <c r="A50">
        <v>48</v>
      </c>
      <c r="B50" t="s">
        <v>191</v>
      </c>
      <c r="C50">
        <v>1900</v>
      </c>
      <c r="D50">
        <v>6</v>
      </c>
      <c r="E50">
        <v>41.5</v>
      </c>
      <c r="F50">
        <v>4.5</v>
      </c>
      <c r="G50">
        <v>4.9000000000000004</v>
      </c>
      <c r="H50">
        <v>929.8</v>
      </c>
      <c r="I50">
        <v>176.6</v>
      </c>
    </row>
    <row r="51" spans="1:9" x14ac:dyDescent="0.2">
      <c r="A51">
        <v>49</v>
      </c>
      <c r="B51" t="s">
        <v>191</v>
      </c>
      <c r="C51">
        <v>1925</v>
      </c>
      <c r="D51">
        <v>18</v>
      </c>
      <c r="E51">
        <v>44.4</v>
      </c>
      <c r="F51">
        <v>6.3</v>
      </c>
      <c r="G51">
        <v>3.2</v>
      </c>
      <c r="H51">
        <v>940.2</v>
      </c>
      <c r="I51">
        <v>198.2</v>
      </c>
    </row>
    <row r="52" spans="1:9" x14ac:dyDescent="0.2">
      <c r="A52">
        <v>50</v>
      </c>
      <c r="B52" t="s">
        <v>191</v>
      </c>
      <c r="C52">
        <v>1965</v>
      </c>
      <c r="D52">
        <v>8</v>
      </c>
      <c r="E52">
        <v>42</v>
      </c>
      <c r="F52">
        <v>8.9</v>
      </c>
      <c r="G52">
        <v>2.5</v>
      </c>
      <c r="H52">
        <v>931.4</v>
      </c>
      <c r="I52">
        <v>187.5</v>
      </c>
    </row>
    <row r="53" spans="1:9" x14ac:dyDescent="0.2">
      <c r="A53">
        <v>51</v>
      </c>
      <c r="B53" t="s">
        <v>192</v>
      </c>
      <c r="C53">
        <v>1925</v>
      </c>
      <c r="D53">
        <v>200</v>
      </c>
      <c r="E53">
        <v>48.8</v>
      </c>
      <c r="F53">
        <v>21.7</v>
      </c>
      <c r="G53">
        <v>9</v>
      </c>
      <c r="H53">
        <v>675.5</v>
      </c>
      <c r="I53">
        <v>181.8</v>
      </c>
    </row>
    <row r="54" spans="1:9" x14ac:dyDescent="0.2">
      <c r="A54">
        <v>52</v>
      </c>
      <c r="B54" t="s">
        <v>192</v>
      </c>
      <c r="C54">
        <v>1945</v>
      </c>
      <c r="D54">
        <v>200</v>
      </c>
      <c r="E54">
        <v>62.4</v>
      </c>
      <c r="F54">
        <v>28.4</v>
      </c>
      <c r="G54">
        <v>6.6</v>
      </c>
      <c r="H54">
        <v>672.1</v>
      </c>
      <c r="I54">
        <v>207</v>
      </c>
    </row>
    <row r="55" spans="1:9" x14ac:dyDescent="0.2">
      <c r="E55" t="s">
        <v>203</v>
      </c>
      <c r="F55" t="s">
        <v>204</v>
      </c>
      <c r="G55" t="s">
        <v>205</v>
      </c>
      <c r="H55" t="s">
        <v>206</v>
      </c>
      <c r="I55">
        <v>310.7</v>
      </c>
    </row>
    <row r="56" spans="1:9" x14ac:dyDescent="0.2">
      <c r="I56">
        <v>315.3</v>
      </c>
    </row>
    <row r="57" spans="1:9" x14ac:dyDescent="0.2">
      <c r="A57" t="s">
        <v>179</v>
      </c>
      <c r="B57" t="s">
        <v>180</v>
      </c>
      <c r="C57" t="s">
        <v>197</v>
      </c>
      <c r="D57" t="s">
        <v>182</v>
      </c>
      <c r="E57" t="s">
        <v>198</v>
      </c>
      <c r="F57" t="s">
        <v>199</v>
      </c>
      <c r="G57" t="s">
        <v>200</v>
      </c>
      <c r="H57" t="s">
        <v>201</v>
      </c>
      <c r="I57" t="s">
        <v>207</v>
      </c>
    </row>
    <row r="59" spans="1:9" x14ac:dyDescent="0.2">
      <c r="A59">
        <v>53</v>
      </c>
      <c r="B59" t="s">
        <v>192</v>
      </c>
      <c r="C59">
        <v>1965</v>
      </c>
      <c r="D59">
        <v>200</v>
      </c>
      <c r="E59">
        <v>55.8</v>
      </c>
      <c r="F59">
        <v>36.6</v>
      </c>
      <c r="G59">
        <v>8.6</v>
      </c>
      <c r="H59">
        <v>682</v>
      </c>
      <c r="I59" t="s">
        <v>208</v>
      </c>
    </row>
    <row r="60" spans="1:9" x14ac:dyDescent="0.2">
      <c r="A60">
        <v>54</v>
      </c>
      <c r="B60" t="s">
        <v>192</v>
      </c>
      <c r="C60">
        <v>1985</v>
      </c>
      <c r="D60">
        <v>200</v>
      </c>
      <c r="E60">
        <v>52.3</v>
      </c>
      <c r="F60">
        <v>34</v>
      </c>
      <c r="G60">
        <v>8.9</v>
      </c>
      <c r="H60">
        <v>723.4</v>
      </c>
    </row>
    <row r="61" spans="1:9" x14ac:dyDescent="0.2">
      <c r="A61">
        <v>55</v>
      </c>
      <c r="B61" t="s">
        <v>192</v>
      </c>
      <c r="C61">
        <v>2005</v>
      </c>
      <c r="D61">
        <v>200</v>
      </c>
      <c r="E61">
        <v>49.7</v>
      </c>
      <c r="F61">
        <v>34.200000000000003</v>
      </c>
      <c r="G61">
        <v>10.3</v>
      </c>
      <c r="H61">
        <v>736.6</v>
      </c>
      <c r="I61">
        <v>323.7</v>
      </c>
    </row>
    <row r="62" spans="1:9" x14ac:dyDescent="0.2">
      <c r="A62">
        <v>56</v>
      </c>
      <c r="B62" t="s">
        <v>193</v>
      </c>
      <c r="C62">
        <v>1650</v>
      </c>
      <c r="D62">
        <v>10</v>
      </c>
      <c r="E62">
        <v>42.7</v>
      </c>
      <c r="F62">
        <v>8.1999999999999993</v>
      </c>
      <c r="G62">
        <v>11.2</v>
      </c>
      <c r="H62">
        <v>997.3</v>
      </c>
      <c r="I62">
        <v>321.7</v>
      </c>
    </row>
    <row r="63" spans="1:9" x14ac:dyDescent="0.2">
      <c r="A63">
        <v>57</v>
      </c>
      <c r="B63" t="s">
        <v>193</v>
      </c>
      <c r="C63">
        <v>1700</v>
      </c>
      <c r="D63">
        <v>10</v>
      </c>
      <c r="E63">
        <v>42.4</v>
      </c>
      <c r="F63">
        <v>10.199999999999999</v>
      </c>
      <c r="G63">
        <v>12.5</v>
      </c>
      <c r="H63">
        <v>947.6</v>
      </c>
      <c r="I63">
        <v>314.8</v>
      </c>
    </row>
    <row r="64" spans="1:9" x14ac:dyDescent="0.2">
      <c r="A64">
        <v>58</v>
      </c>
      <c r="B64" t="s">
        <v>193</v>
      </c>
      <c r="C64">
        <v>1750</v>
      </c>
      <c r="D64">
        <v>20</v>
      </c>
      <c r="E64">
        <v>50.4</v>
      </c>
      <c r="F64">
        <v>8.9</v>
      </c>
      <c r="G64">
        <v>11.8</v>
      </c>
      <c r="H64">
        <v>997.2</v>
      </c>
      <c r="I64">
        <v>253.6</v>
      </c>
    </row>
    <row r="65" spans="1:9" x14ac:dyDescent="0.2">
      <c r="A65">
        <v>59</v>
      </c>
      <c r="B65" t="s">
        <v>193</v>
      </c>
      <c r="C65">
        <v>1800</v>
      </c>
      <c r="D65">
        <v>10</v>
      </c>
      <c r="E65">
        <v>59.5</v>
      </c>
      <c r="F65">
        <v>5.0999999999999996</v>
      </c>
      <c r="G65">
        <v>13</v>
      </c>
      <c r="H65">
        <v>997.3</v>
      </c>
      <c r="I65">
        <v>300.2</v>
      </c>
    </row>
    <row r="66" spans="1:9" x14ac:dyDescent="0.2">
      <c r="A66">
        <v>60</v>
      </c>
      <c r="B66" t="s">
        <v>193</v>
      </c>
      <c r="C66">
        <v>1850</v>
      </c>
      <c r="D66">
        <v>60</v>
      </c>
      <c r="E66">
        <v>47.3</v>
      </c>
      <c r="F66">
        <v>12</v>
      </c>
      <c r="G66">
        <v>8.9</v>
      </c>
      <c r="H66">
        <v>921.5</v>
      </c>
      <c r="I66">
        <v>278.60000000000002</v>
      </c>
    </row>
    <row r="67" spans="1:9" x14ac:dyDescent="0.2">
      <c r="A67">
        <v>61</v>
      </c>
      <c r="B67" t="s">
        <v>193</v>
      </c>
      <c r="C67">
        <v>1875</v>
      </c>
      <c r="D67">
        <v>10</v>
      </c>
      <c r="E67">
        <v>74.099999999999994</v>
      </c>
      <c r="F67">
        <v>17.600000000000001</v>
      </c>
      <c r="G67">
        <v>9.4</v>
      </c>
      <c r="H67">
        <v>998.3</v>
      </c>
      <c r="I67">
        <v>263.60000000000002</v>
      </c>
    </row>
    <row r="68" spans="1:9" x14ac:dyDescent="0.2">
      <c r="A68">
        <v>62</v>
      </c>
      <c r="B68" t="s">
        <v>193</v>
      </c>
      <c r="C68">
        <v>1900</v>
      </c>
      <c r="D68">
        <v>54</v>
      </c>
      <c r="E68">
        <v>39.9</v>
      </c>
      <c r="F68">
        <v>24.7</v>
      </c>
      <c r="G68">
        <v>9.1999999999999993</v>
      </c>
      <c r="H68">
        <v>712.7</v>
      </c>
      <c r="I68">
        <v>266.3</v>
      </c>
    </row>
    <row r="69" spans="1:9" x14ac:dyDescent="0.2">
      <c r="A69">
        <v>63</v>
      </c>
      <c r="B69" t="s">
        <v>193</v>
      </c>
      <c r="C69">
        <v>1925</v>
      </c>
      <c r="D69">
        <v>60</v>
      </c>
      <c r="E69">
        <v>47.4</v>
      </c>
      <c r="F69">
        <v>28.4</v>
      </c>
      <c r="G69">
        <v>10.199999999999999</v>
      </c>
      <c r="H69">
        <v>759.4</v>
      </c>
      <c r="I69">
        <v>299.7</v>
      </c>
    </row>
    <row r="70" spans="1:9" x14ac:dyDescent="0.2">
      <c r="A70">
        <v>64</v>
      </c>
      <c r="B70" t="s">
        <v>193</v>
      </c>
      <c r="C70">
        <v>1965</v>
      </c>
      <c r="D70">
        <v>12</v>
      </c>
      <c r="E70">
        <v>71.900000000000006</v>
      </c>
      <c r="F70">
        <v>36.4</v>
      </c>
      <c r="G70">
        <v>6.4</v>
      </c>
      <c r="H70">
        <v>997.8</v>
      </c>
      <c r="I70">
        <v>301.3</v>
      </c>
    </row>
    <row r="71" spans="1:9" x14ac:dyDescent="0.2">
      <c r="A71">
        <v>65</v>
      </c>
      <c r="B71" t="s">
        <v>193</v>
      </c>
      <c r="C71">
        <v>1985</v>
      </c>
      <c r="D71">
        <v>54</v>
      </c>
      <c r="E71">
        <v>54.1</v>
      </c>
      <c r="F71">
        <v>39.799999999999997</v>
      </c>
      <c r="G71">
        <v>10.4</v>
      </c>
      <c r="H71">
        <v>839.8</v>
      </c>
      <c r="I71">
        <v>304.39999999999998</v>
      </c>
    </row>
    <row r="72" spans="1:9" x14ac:dyDescent="0.2">
      <c r="A72">
        <v>66</v>
      </c>
      <c r="B72" t="s">
        <v>194</v>
      </c>
      <c r="C72">
        <v>1650</v>
      </c>
      <c r="D72">
        <v>11</v>
      </c>
      <c r="E72">
        <v>45.5</v>
      </c>
      <c r="F72">
        <v>5.6</v>
      </c>
      <c r="G72">
        <v>13.5</v>
      </c>
      <c r="H72">
        <v>997.2</v>
      </c>
      <c r="I72">
        <v>326.39999999999998</v>
      </c>
    </row>
    <row r="73" spans="1:9" x14ac:dyDescent="0.2">
      <c r="A73">
        <v>67</v>
      </c>
      <c r="B73" t="s">
        <v>194</v>
      </c>
      <c r="C73">
        <v>1700</v>
      </c>
      <c r="D73">
        <v>16</v>
      </c>
      <c r="E73">
        <v>48.1</v>
      </c>
      <c r="F73">
        <v>4.8</v>
      </c>
      <c r="G73">
        <v>12.5</v>
      </c>
      <c r="H73">
        <v>36742</v>
      </c>
      <c r="I73">
        <v>323.7</v>
      </c>
    </row>
    <row r="74" spans="1:9" x14ac:dyDescent="0.2">
      <c r="A74">
        <v>68</v>
      </c>
      <c r="B74" t="s">
        <v>194</v>
      </c>
      <c r="C74">
        <v>1750</v>
      </c>
      <c r="D74">
        <v>31</v>
      </c>
      <c r="E74">
        <v>45.3</v>
      </c>
      <c r="F74">
        <v>5.7</v>
      </c>
      <c r="G74">
        <v>11.9</v>
      </c>
      <c r="H74">
        <v>28823</v>
      </c>
      <c r="I74">
        <v>198</v>
      </c>
    </row>
    <row r="75" spans="1:9" x14ac:dyDescent="0.2">
      <c r="A75">
        <v>69</v>
      </c>
      <c r="B75" t="s">
        <v>194</v>
      </c>
      <c r="C75">
        <v>1800</v>
      </c>
      <c r="D75">
        <v>24</v>
      </c>
      <c r="E75">
        <v>44.8</v>
      </c>
      <c r="F75">
        <v>7.8</v>
      </c>
      <c r="G75">
        <v>11.4</v>
      </c>
      <c r="H75">
        <v>72502</v>
      </c>
      <c r="I75">
        <v>197.2</v>
      </c>
    </row>
    <row r="76" spans="1:9" x14ac:dyDescent="0.2">
      <c r="A76">
        <v>70</v>
      </c>
      <c r="B76" t="s">
        <v>194</v>
      </c>
      <c r="C76">
        <v>1850</v>
      </c>
      <c r="D76">
        <v>25</v>
      </c>
      <c r="E76">
        <v>41.8</v>
      </c>
      <c r="F76">
        <v>8.4</v>
      </c>
      <c r="G76">
        <v>8.6999999999999993</v>
      </c>
      <c r="H76" s="7">
        <v>111000</v>
      </c>
      <c r="I76">
        <v>218.7</v>
      </c>
    </row>
    <row r="77" spans="1:9" x14ac:dyDescent="0.2">
      <c r="A77">
        <v>71</v>
      </c>
      <c r="B77" t="s">
        <v>194</v>
      </c>
      <c r="C77">
        <v>1875</v>
      </c>
      <c r="D77">
        <v>33</v>
      </c>
      <c r="E77">
        <v>42.2</v>
      </c>
      <c r="F77">
        <v>7.5</v>
      </c>
      <c r="G77">
        <v>8.4</v>
      </c>
      <c r="H77">
        <v>50209</v>
      </c>
      <c r="I77">
        <v>215.9</v>
      </c>
    </row>
    <row r="78" spans="1:9" x14ac:dyDescent="0.2">
      <c r="A78">
        <v>72</v>
      </c>
      <c r="B78" t="s">
        <v>194</v>
      </c>
      <c r="C78">
        <v>1900</v>
      </c>
      <c r="D78">
        <v>37</v>
      </c>
      <c r="E78">
        <v>34.200000000000003</v>
      </c>
      <c r="F78">
        <v>11.1</v>
      </c>
      <c r="G78">
        <v>6.7</v>
      </c>
      <c r="H78">
        <v>87393</v>
      </c>
      <c r="I78">
        <v>214</v>
      </c>
    </row>
    <row r="79" spans="1:9" x14ac:dyDescent="0.2">
      <c r="A79">
        <v>73</v>
      </c>
      <c r="B79" t="s">
        <v>194</v>
      </c>
      <c r="C79">
        <v>1925</v>
      </c>
      <c r="D79">
        <v>22</v>
      </c>
      <c r="E79">
        <v>40</v>
      </c>
      <c r="F79">
        <v>13.1</v>
      </c>
      <c r="G79">
        <v>7.7</v>
      </c>
      <c r="H79">
        <v>997.5</v>
      </c>
      <c r="I79">
        <v>211.3</v>
      </c>
    </row>
    <row r="80" spans="1:9" x14ac:dyDescent="0.2">
      <c r="A80">
        <v>74</v>
      </c>
      <c r="B80" t="s">
        <v>194</v>
      </c>
      <c r="C80">
        <v>1965</v>
      </c>
      <c r="D80">
        <v>12</v>
      </c>
      <c r="E80">
        <v>41.6</v>
      </c>
      <c r="F80">
        <v>19.600000000000001</v>
      </c>
      <c r="G80">
        <v>6.8</v>
      </c>
      <c r="H80">
        <v>19981</v>
      </c>
      <c r="I80">
        <v>216.2</v>
      </c>
    </row>
    <row r="81" spans="1:9" x14ac:dyDescent="0.2">
      <c r="A81">
        <v>75</v>
      </c>
      <c r="B81" t="s">
        <v>194</v>
      </c>
      <c r="C81">
        <v>1985</v>
      </c>
      <c r="D81">
        <v>15</v>
      </c>
      <c r="E81">
        <v>29.8</v>
      </c>
      <c r="F81">
        <v>14.3</v>
      </c>
      <c r="G81">
        <v>5.8</v>
      </c>
      <c r="H81">
        <v>45991</v>
      </c>
      <c r="I81">
        <v>224.6</v>
      </c>
    </row>
    <row r="82" spans="1:9" x14ac:dyDescent="0.2">
      <c r="A82">
        <v>76</v>
      </c>
      <c r="B82" t="s">
        <v>195</v>
      </c>
      <c r="C82">
        <v>1985</v>
      </c>
      <c r="D82">
        <v>20</v>
      </c>
      <c r="E82">
        <v>69.099999999999994</v>
      </c>
      <c r="F82">
        <v>38.9</v>
      </c>
      <c r="G82">
        <v>7.4</v>
      </c>
      <c r="H82">
        <v>9344</v>
      </c>
      <c r="I82">
        <v>245.3</v>
      </c>
    </row>
    <row r="83" spans="1:9" x14ac:dyDescent="0.2">
      <c r="A83">
        <v>77</v>
      </c>
      <c r="B83" t="s">
        <v>196</v>
      </c>
      <c r="C83">
        <v>1985</v>
      </c>
      <c r="D83">
        <v>20</v>
      </c>
      <c r="E83">
        <v>76.900000000000006</v>
      </c>
      <c r="F83">
        <v>47.6</v>
      </c>
      <c r="G83">
        <v>7.3</v>
      </c>
      <c r="H83">
        <v>4593</v>
      </c>
      <c r="I83">
        <v>220.5</v>
      </c>
    </row>
    <row r="84" spans="1:9" x14ac:dyDescent="0.2">
      <c r="I84">
        <v>303.60000000000002</v>
      </c>
    </row>
    <row r="85" spans="1:9" x14ac:dyDescent="0.2">
      <c r="I85">
        <v>321.2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43"/>
  <sheetViews>
    <sheetView zoomScaleNormal="100" workbookViewId="0">
      <selection activeCell="J1" sqref="J1:J43"/>
    </sheetView>
  </sheetViews>
  <sheetFormatPr defaultRowHeight="12.75" x14ac:dyDescent="0.2"/>
  <sheetData>
    <row r="1" spans="1:12" x14ac:dyDescent="0.2">
      <c r="A1" t="s">
        <v>179</v>
      </c>
      <c r="B1" t="s">
        <v>209</v>
      </c>
      <c r="C1" t="s">
        <v>210</v>
      </c>
      <c r="D1" t="s">
        <v>211</v>
      </c>
      <c r="E1" t="s">
        <v>208</v>
      </c>
      <c r="F1" t="s">
        <v>212</v>
      </c>
      <c r="G1" t="s">
        <v>199</v>
      </c>
      <c r="H1" t="s">
        <v>200</v>
      </c>
      <c r="I1" t="s">
        <v>201</v>
      </c>
      <c r="J1" t="s">
        <v>213</v>
      </c>
      <c r="L1" t="s">
        <v>213</v>
      </c>
    </row>
    <row r="3" spans="1:12" x14ac:dyDescent="0.2">
      <c r="A3">
        <v>1</v>
      </c>
      <c r="C3" t="s">
        <v>186</v>
      </c>
      <c r="D3">
        <v>2857</v>
      </c>
      <c r="E3">
        <v>294.60000000000002</v>
      </c>
      <c r="F3">
        <v>52.5</v>
      </c>
      <c r="G3">
        <v>27.1</v>
      </c>
      <c r="H3">
        <v>8.6999999999999993</v>
      </c>
      <c r="I3">
        <v>7914</v>
      </c>
      <c r="J3">
        <v>48</v>
      </c>
      <c r="L3">
        <v>48</v>
      </c>
    </row>
    <row r="4" spans="1:12" x14ac:dyDescent="0.2">
      <c r="A4">
        <v>2</v>
      </c>
      <c r="C4">
        <v>16</v>
      </c>
      <c r="D4">
        <v>212</v>
      </c>
      <c r="E4">
        <v>250.3</v>
      </c>
      <c r="F4">
        <v>35.6</v>
      </c>
      <c r="G4">
        <v>10.3</v>
      </c>
      <c r="H4">
        <v>10.4</v>
      </c>
      <c r="I4">
        <v>1012</v>
      </c>
      <c r="J4">
        <v>27</v>
      </c>
      <c r="L4">
        <v>27</v>
      </c>
    </row>
    <row r="5" spans="1:12" x14ac:dyDescent="0.2">
      <c r="A5">
        <v>3</v>
      </c>
      <c r="C5">
        <v>17</v>
      </c>
      <c r="D5">
        <v>176</v>
      </c>
      <c r="E5">
        <v>232.7</v>
      </c>
      <c r="F5">
        <v>47.9</v>
      </c>
      <c r="G5">
        <v>7.1</v>
      </c>
      <c r="H5">
        <v>11.1</v>
      </c>
      <c r="I5">
        <v>10243</v>
      </c>
      <c r="J5">
        <v>33.799999999999997</v>
      </c>
      <c r="L5">
        <v>33.799999999999997</v>
      </c>
    </row>
    <row r="6" spans="1:12" x14ac:dyDescent="0.2">
      <c r="A6">
        <v>4</v>
      </c>
      <c r="C6">
        <v>18</v>
      </c>
      <c r="D6">
        <v>428</v>
      </c>
      <c r="E6">
        <v>245.9</v>
      </c>
      <c r="F6">
        <v>50.8</v>
      </c>
      <c r="G6">
        <v>10.9</v>
      </c>
      <c r="H6">
        <v>9.6</v>
      </c>
      <c r="I6">
        <v>24634</v>
      </c>
      <c r="J6">
        <v>44.9</v>
      </c>
      <c r="L6">
        <v>44.9</v>
      </c>
    </row>
    <row r="7" spans="1:12" x14ac:dyDescent="0.2">
      <c r="A7">
        <v>5</v>
      </c>
      <c r="C7">
        <v>19</v>
      </c>
      <c r="D7">
        <v>1632</v>
      </c>
      <c r="E7">
        <v>310.39999999999998</v>
      </c>
      <c r="F7">
        <v>55</v>
      </c>
      <c r="G7">
        <v>31.7</v>
      </c>
      <c r="H7">
        <v>7.9</v>
      </c>
      <c r="I7">
        <v>5051</v>
      </c>
      <c r="J7">
        <v>50.8</v>
      </c>
      <c r="L7">
        <v>50.8</v>
      </c>
    </row>
    <row r="8" spans="1:12" x14ac:dyDescent="0.2">
      <c r="A8">
        <v>6</v>
      </c>
      <c r="C8">
        <v>20</v>
      </c>
      <c r="D8">
        <v>409</v>
      </c>
      <c r="E8">
        <v>332.1</v>
      </c>
      <c r="F8">
        <v>55.2</v>
      </c>
      <c r="G8">
        <v>42.8</v>
      </c>
      <c r="H8">
        <v>8.9</v>
      </c>
      <c r="I8">
        <v>4412</v>
      </c>
      <c r="J8">
        <v>56.9</v>
      </c>
      <c r="L8">
        <v>56.9</v>
      </c>
    </row>
    <row r="9" spans="1:12" x14ac:dyDescent="0.2">
      <c r="A9">
        <v>7</v>
      </c>
      <c r="B9" t="s">
        <v>187</v>
      </c>
      <c r="C9" t="s">
        <v>186</v>
      </c>
      <c r="D9">
        <v>67</v>
      </c>
      <c r="E9">
        <v>297.5</v>
      </c>
      <c r="F9">
        <v>54.6</v>
      </c>
      <c r="G9">
        <v>20.100000000000001</v>
      </c>
      <c r="H9">
        <v>9.6</v>
      </c>
      <c r="I9">
        <v>49869</v>
      </c>
      <c r="J9">
        <v>56.2</v>
      </c>
      <c r="L9">
        <v>56.2</v>
      </c>
    </row>
    <row r="10" spans="1:12" x14ac:dyDescent="0.2">
      <c r="A10">
        <v>8</v>
      </c>
      <c r="B10" t="s">
        <v>202</v>
      </c>
      <c r="C10" t="s">
        <v>186</v>
      </c>
      <c r="D10">
        <v>968</v>
      </c>
      <c r="E10">
        <v>302.89999999999998</v>
      </c>
      <c r="F10">
        <v>56.4</v>
      </c>
      <c r="G10">
        <v>31</v>
      </c>
      <c r="H10">
        <v>8.1999999999999993</v>
      </c>
      <c r="I10">
        <v>5282</v>
      </c>
      <c r="J10">
        <v>49.8</v>
      </c>
      <c r="L10">
        <v>49.8</v>
      </c>
    </row>
    <row r="11" spans="1:12" x14ac:dyDescent="0.2">
      <c r="A11">
        <v>9</v>
      </c>
      <c r="B11" t="s">
        <v>190</v>
      </c>
      <c r="C11" t="s">
        <v>186</v>
      </c>
      <c r="D11">
        <v>161</v>
      </c>
      <c r="E11">
        <v>265.2</v>
      </c>
      <c r="F11">
        <v>40.1</v>
      </c>
      <c r="G11">
        <v>22</v>
      </c>
      <c r="H11">
        <v>11.3</v>
      </c>
      <c r="I11">
        <v>6163</v>
      </c>
      <c r="J11">
        <v>62.5</v>
      </c>
      <c r="L11">
        <v>62.5</v>
      </c>
    </row>
    <row r="12" spans="1:12" x14ac:dyDescent="0.2">
      <c r="A12">
        <v>10</v>
      </c>
      <c r="B12" t="s">
        <v>191</v>
      </c>
      <c r="C12" t="s">
        <v>186</v>
      </c>
      <c r="D12">
        <v>95</v>
      </c>
      <c r="E12">
        <v>195.2</v>
      </c>
      <c r="F12">
        <v>47.2</v>
      </c>
      <c r="G12">
        <v>7.2</v>
      </c>
      <c r="H12">
        <v>4.2</v>
      </c>
      <c r="I12">
        <v>928</v>
      </c>
      <c r="J12">
        <v>20.2</v>
      </c>
      <c r="L12">
        <v>20.2</v>
      </c>
    </row>
    <row r="13" spans="1:12" x14ac:dyDescent="0.2">
      <c r="A13">
        <v>11</v>
      </c>
      <c r="B13" t="s">
        <v>192</v>
      </c>
      <c r="C13" t="s">
        <v>186</v>
      </c>
      <c r="D13">
        <v>1000</v>
      </c>
      <c r="E13">
        <v>317.2</v>
      </c>
      <c r="F13">
        <v>53.8</v>
      </c>
      <c r="G13">
        <v>31</v>
      </c>
      <c r="H13">
        <v>8.6999999999999993</v>
      </c>
      <c r="I13">
        <v>697.9</v>
      </c>
      <c r="J13">
        <v>48.4</v>
      </c>
      <c r="L13">
        <v>48.4</v>
      </c>
    </row>
    <row r="14" spans="1:12" x14ac:dyDescent="0.2">
      <c r="A14">
        <v>12</v>
      </c>
      <c r="B14" t="s">
        <v>193</v>
      </c>
      <c r="C14" t="s">
        <v>186</v>
      </c>
      <c r="D14">
        <v>300</v>
      </c>
      <c r="E14">
        <v>295.5</v>
      </c>
      <c r="F14">
        <v>49.4</v>
      </c>
      <c r="G14">
        <v>23.1</v>
      </c>
      <c r="H14">
        <v>9.9</v>
      </c>
      <c r="I14">
        <v>853.4</v>
      </c>
      <c r="J14">
        <v>52.8</v>
      </c>
      <c r="L14">
        <v>52.8</v>
      </c>
    </row>
    <row r="15" spans="1:12" x14ac:dyDescent="0.2">
      <c r="A15">
        <v>13</v>
      </c>
      <c r="B15" t="s">
        <v>194</v>
      </c>
      <c r="C15" t="s">
        <v>186</v>
      </c>
      <c r="D15">
        <v>226</v>
      </c>
      <c r="E15">
        <v>216</v>
      </c>
      <c r="F15">
        <v>41.1</v>
      </c>
      <c r="G15">
        <v>9.3000000000000007</v>
      </c>
      <c r="H15">
        <v>9.1999999999999993</v>
      </c>
      <c r="I15">
        <v>52400</v>
      </c>
      <c r="J15">
        <v>28.2</v>
      </c>
      <c r="L15">
        <v>28.2</v>
      </c>
    </row>
    <row r="16" spans="1:12" x14ac:dyDescent="0.2">
      <c r="A16">
        <v>14</v>
      </c>
      <c r="B16" t="s">
        <v>195</v>
      </c>
      <c r="C16" t="s">
        <v>186</v>
      </c>
      <c r="D16">
        <v>20</v>
      </c>
      <c r="E16">
        <v>303.60000000000002</v>
      </c>
      <c r="F16">
        <v>69.099999999999994</v>
      </c>
      <c r="G16">
        <v>38.9</v>
      </c>
      <c r="H16">
        <v>7.4</v>
      </c>
      <c r="I16">
        <v>9344</v>
      </c>
      <c r="J16">
        <v>59.9</v>
      </c>
      <c r="L16">
        <v>59.9</v>
      </c>
    </row>
    <row r="17" spans="1:12" x14ac:dyDescent="0.2">
      <c r="A17">
        <v>15</v>
      </c>
      <c r="B17" t="s">
        <v>196</v>
      </c>
      <c r="C17" t="s">
        <v>186</v>
      </c>
      <c r="D17">
        <v>20</v>
      </c>
      <c r="E17">
        <v>321.2</v>
      </c>
      <c r="F17">
        <v>76.900000000000006</v>
      </c>
      <c r="G17">
        <v>47.6</v>
      </c>
      <c r="H17">
        <v>7.3</v>
      </c>
      <c r="I17">
        <v>4593</v>
      </c>
      <c r="J17">
        <v>63.6</v>
      </c>
      <c r="L17">
        <v>63.6</v>
      </c>
    </row>
    <row r="18" spans="1:12" x14ac:dyDescent="0.2">
      <c r="A18">
        <v>16</v>
      </c>
      <c r="B18" t="s">
        <v>187</v>
      </c>
      <c r="C18">
        <v>18</v>
      </c>
      <c r="D18">
        <v>37</v>
      </c>
      <c r="E18">
        <v>296.3</v>
      </c>
      <c r="F18">
        <v>44.2</v>
      </c>
      <c r="G18">
        <v>17.399999999999999</v>
      </c>
      <c r="H18">
        <v>9.5</v>
      </c>
      <c r="I18">
        <v>85998</v>
      </c>
      <c r="J18">
        <v>47.8</v>
      </c>
      <c r="L18">
        <v>47.8</v>
      </c>
    </row>
    <row r="19" spans="1:12" x14ac:dyDescent="0.2">
      <c r="A19">
        <v>17</v>
      </c>
      <c r="B19" t="s">
        <v>187</v>
      </c>
      <c r="C19">
        <v>20</v>
      </c>
      <c r="D19">
        <v>30</v>
      </c>
      <c r="E19">
        <v>299</v>
      </c>
      <c r="F19">
        <v>67.400000000000006</v>
      </c>
      <c r="G19">
        <v>23.3</v>
      </c>
      <c r="H19">
        <v>9.8000000000000007</v>
      </c>
      <c r="I19">
        <v>5311</v>
      </c>
      <c r="J19">
        <v>66.599999999999994</v>
      </c>
      <c r="L19">
        <v>66.599999999999994</v>
      </c>
    </row>
    <row r="20" spans="1:12" x14ac:dyDescent="0.2">
      <c r="A20">
        <v>18</v>
      </c>
      <c r="B20" t="s">
        <v>202</v>
      </c>
      <c r="C20">
        <v>16</v>
      </c>
      <c r="D20">
        <v>181</v>
      </c>
      <c r="E20">
        <v>255.5</v>
      </c>
      <c r="F20">
        <v>34.1</v>
      </c>
      <c r="G20">
        <v>10.8</v>
      </c>
      <c r="H20">
        <v>10.5</v>
      </c>
      <c r="I20">
        <v>1021</v>
      </c>
      <c r="J20">
        <v>26.9</v>
      </c>
      <c r="L20">
        <v>26.9</v>
      </c>
    </row>
    <row r="21" spans="1:12" x14ac:dyDescent="0.2">
      <c r="A21">
        <v>19</v>
      </c>
      <c r="B21" t="s">
        <v>202</v>
      </c>
      <c r="C21" t="s">
        <v>82</v>
      </c>
      <c r="D21">
        <v>76</v>
      </c>
      <c r="E21">
        <v>235.3</v>
      </c>
      <c r="F21">
        <v>48.3</v>
      </c>
      <c r="G21">
        <v>7.2</v>
      </c>
      <c r="H21">
        <v>11.8</v>
      </c>
      <c r="I21">
        <v>3565</v>
      </c>
      <c r="J21">
        <v>31.4</v>
      </c>
      <c r="L21">
        <v>31.4</v>
      </c>
    </row>
    <row r="22" spans="1:12" x14ac:dyDescent="0.2">
      <c r="A22">
        <v>20</v>
      </c>
      <c r="B22" t="s">
        <v>202</v>
      </c>
      <c r="C22" t="s">
        <v>96</v>
      </c>
      <c r="D22">
        <v>151</v>
      </c>
      <c r="E22">
        <v>248.9</v>
      </c>
      <c r="F22">
        <v>61.5</v>
      </c>
      <c r="G22">
        <v>11.5</v>
      </c>
      <c r="H22">
        <v>10.1</v>
      </c>
      <c r="I22">
        <v>6123</v>
      </c>
      <c r="J22">
        <v>48.8</v>
      </c>
      <c r="L22">
        <v>48.8</v>
      </c>
    </row>
    <row r="23" spans="1:12" x14ac:dyDescent="0.2">
      <c r="A23">
        <v>21</v>
      </c>
      <c r="B23" t="s">
        <v>202</v>
      </c>
      <c r="C23" t="s">
        <v>83</v>
      </c>
      <c r="D23">
        <v>421</v>
      </c>
      <c r="E23">
        <v>328.7</v>
      </c>
      <c r="F23">
        <v>63.6</v>
      </c>
      <c r="G23">
        <v>41</v>
      </c>
      <c r="H23">
        <v>6.5</v>
      </c>
      <c r="I23">
        <v>5957</v>
      </c>
      <c r="J23">
        <v>58.4</v>
      </c>
      <c r="L23">
        <v>58.4</v>
      </c>
    </row>
    <row r="24" spans="1:12" x14ac:dyDescent="0.2">
      <c r="A24">
        <v>22</v>
      </c>
      <c r="B24" t="s">
        <v>202</v>
      </c>
      <c r="C24">
        <v>20</v>
      </c>
      <c r="D24">
        <v>139</v>
      </c>
      <c r="E24">
        <v>382.2</v>
      </c>
      <c r="F24">
        <v>62.7</v>
      </c>
      <c r="G24">
        <v>61.3</v>
      </c>
      <c r="H24">
        <v>6.1</v>
      </c>
      <c r="I24">
        <v>8810</v>
      </c>
      <c r="J24">
        <v>64.5</v>
      </c>
      <c r="L24">
        <v>64.5</v>
      </c>
    </row>
    <row r="25" spans="1:12" x14ac:dyDescent="0.2">
      <c r="A25">
        <v>23</v>
      </c>
      <c r="B25" t="s">
        <v>190</v>
      </c>
      <c r="C25">
        <v>18</v>
      </c>
      <c r="D25">
        <v>48</v>
      </c>
      <c r="E25">
        <v>244.7</v>
      </c>
      <c r="F25">
        <v>34.1</v>
      </c>
      <c r="G25">
        <v>9.6</v>
      </c>
      <c r="H25">
        <v>12.4</v>
      </c>
      <c r="I25">
        <v>3509</v>
      </c>
      <c r="J25">
        <v>59.4</v>
      </c>
      <c r="L25">
        <v>59.4</v>
      </c>
    </row>
    <row r="26" spans="1:12" x14ac:dyDescent="0.2">
      <c r="A26">
        <v>24</v>
      </c>
      <c r="B26" t="s">
        <v>190</v>
      </c>
      <c r="C26">
        <v>19</v>
      </c>
      <c r="D26">
        <v>73</v>
      </c>
      <c r="E26">
        <v>276.60000000000002</v>
      </c>
      <c r="F26">
        <v>40.1</v>
      </c>
      <c r="G26">
        <v>22.7</v>
      </c>
      <c r="H26">
        <v>10.6</v>
      </c>
      <c r="I26">
        <v>7540</v>
      </c>
      <c r="J26">
        <v>63</v>
      </c>
      <c r="L26">
        <v>63</v>
      </c>
    </row>
    <row r="27" spans="1:12" x14ac:dyDescent="0.2">
      <c r="A27">
        <v>25</v>
      </c>
      <c r="B27" t="s">
        <v>190</v>
      </c>
      <c r="C27">
        <v>20</v>
      </c>
      <c r="D27">
        <v>40</v>
      </c>
      <c r="E27">
        <v>269</v>
      </c>
      <c r="F27">
        <v>47.5</v>
      </c>
      <c r="G27">
        <v>35.5</v>
      </c>
      <c r="H27">
        <v>11.3</v>
      </c>
      <c r="I27">
        <v>6837</v>
      </c>
      <c r="J27">
        <v>65.400000000000006</v>
      </c>
      <c r="L27">
        <v>65.400000000000006</v>
      </c>
    </row>
    <row r="28" spans="1:12" x14ac:dyDescent="0.2">
      <c r="A28">
        <v>26</v>
      </c>
      <c r="B28" t="s">
        <v>191</v>
      </c>
      <c r="C28">
        <v>16</v>
      </c>
      <c r="D28">
        <v>10</v>
      </c>
      <c r="E28">
        <v>209.5</v>
      </c>
      <c r="F28">
        <v>45.6</v>
      </c>
      <c r="G28">
        <v>8.4</v>
      </c>
      <c r="H28">
        <v>5.0999999999999996</v>
      </c>
      <c r="I28">
        <v>868.7</v>
      </c>
      <c r="J28">
        <v>16.100000000000001</v>
      </c>
      <c r="L28">
        <v>16.100000000000001</v>
      </c>
    </row>
    <row r="29" spans="1:12" x14ac:dyDescent="0.2">
      <c r="A29">
        <v>27</v>
      </c>
      <c r="B29" t="s">
        <v>191</v>
      </c>
      <c r="C29">
        <v>17</v>
      </c>
      <c r="D29">
        <v>23</v>
      </c>
      <c r="E29">
        <v>198.2</v>
      </c>
      <c r="F29">
        <v>49.8</v>
      </c>
      <c r="G29">
        <v>7.4</v>
      </c>
      <c r="H29">
        <v>5.2</v>
      </c>
      <c r="I29">
        <v>913.3</v>
      </c>
      <c r="J29">
        <v>24.5</v>
      </c>
      <c r="L29">
        <v>24.5</v>
      </c>
    </row>
    <row r="30" spans="1:12" x14ac:dyDescent="0.2">
      <c r="A30">
        <v>28</v>
      </c>
      <c r="B30" t="s">
        <v>191</v>
      </c>
      <c r="C30">
        <v>18</v>
      </c>
      <c r="D30">
        <v>30</v>
      </c>
      <c r="E30">
        <v>194.7</v>
      </c>
      <c r="F30">
        <v>49.8</v>
      </c>
      <c r="G30">
        <v>7.4</v>
      </c>
      <c r="H30">
        <v>4.0999999999999996</v>
      </c>
      <c r="I30">
        <v>950.3</v>
      </c>
      <c r="J30">
        <v>20.100000000000001</v>
      </c>
      <c r="L30">
        <v>20.100000000000001</v>
      </c>
    </row>
    <row r="31" spans="1:12" x14ac:dyDescent="0.2">
      <c r="A31">
        <v>29</v>
      </c>
      <c r="B31" t="s">
        <v>191</v>
      </c>
      <c r="C31">
        <v>19</v>
      </c>
      <c r="D31">
        <v>32</v>
      </c>
      <c r="E31">
        <v>189.1</v>
      </c>
      <c r="F31">
        <v>43.3</v>
      </c>
      <c r="G31">
        <v>6.6</v>
      </c>
      <c r="H31">
        <v>3.4</v>
      </c>
      <c r="I31">
        <v>936.1</v>
      </c>
      <c r="J31">
        <v>18.5</v>
      </c>
      <c r="L31">
        <v>18.5</v>
      </c>
    </row>
    <row r="32" spans="1:12" x14ac:dyDescent="0.2">
      <c r="A32">
        <v>30</v>
      </c>
      <c r="B32" t="s">
        <v>192</v>
      </c>
      <c r="C32">
        <v>19</v>
      </c>
      <c r="D32">
        <v>800</v>
      </c>
      <c r="E32">
        <v>317.8</v>
      </c>
      <c r="F32">
        <v>54.8</v>
      </c>
      <c r="G32">
        <v>30.2</v>
      </c>
      <c r="H32">
        <v>8.3000000000000007</v>
      </c>
      <c r="I32">
        <v>688.2</v>
      </c>
      <c r="J32">
        <v>48.4</v>
      </c>
      <c r="L32">
        <v>48.4</v>
      </c>
    </row>
    <row r="33" spans="1:12" x14ac:dyDescent="0.2">
      <c r="A33">
        <v>31</v>
      </c>
      <c r="B33" t="s">
        <v>192</v>
      </c>
      <c r="C33">
        <v>20</v>
      </c>
      <c r="D33">
        <v>200</v>
      </c>
      <c r="E33">
        <v>314.8</v>
      </c>
      <c r="F33">
        <v>49.7</v>
      </c>
      <c r="G33">
        <v>34.200000000000003</v>
      </c>
      <c r="H33">
        <v>10.3</v>
      </c>
      <c r="I33">
        <v>736.6</v>
      </c>
      <c r="J33">
        <v>48.5</v>
      </c>
      <c r="L33">
        <v>48.5</v>
      </c>
    </row>
    <row r="34" spans="1:12" x14ac:dyDescent="0.2">
      <c r="A34">
        <v>32</v>
      </c>
      <c r="B34" t="s">
        <v>193</v>
      </c>
      <c r="C34">
        <v>16</v>
      </c>
      <c r="D34">
        <v>10</v>
      </c>
      <c r="E34">
        <v>253.6</v>
      </c>
      <c r="F34">
        <v>42.7</v>
      </c>
      <c r="G34">
        <v>8.1999999999999993</v>
      </c>
      <c r="H34">
        <v>11.2</v>
      </c>
      <c r="I34">
        <v>997.3</v>
      </c>
      <c r="J34">
        <v>36.700000000000003</v>
      </c>
      <c r="L34">
        <v>36.700000000000003</v>
      </c>
    </row>
    <row r="35" spans="1:12" x14ac:dyDescent="0.2">
      <c r="A35">
        <v>33</v>
      </c>
      <c r="B35" t="s">
        <v>193</v>
      </c>
      <c r="C35">
        <v>17</v>
      </c>
      <c r="D35">
        <v>30</v>
      </c>
      <c r="E35">
        <v>285.8</v>
      </c>
      <c r="F35">
        <v>47.8</v>
      </c>
      <c r="G35">
        <v>9.4</v>
      </c>
      <c r="H35">
        <v>12.1</v>
      </c>
      <c r="I35">
        <v>980.7</v>
      </c>
      <c r="J35">
        <v>38.9</v>
      </c>
      <c r="L35">
        <v>38.9</v>
      </c>
    </row>
    <row r="36" spans="1:12" x14ac:dyDescent="0.2">
      <c r="A36">
        <v>34</v>
      </c>
      <c r="B36" t="s">
        <v>193</v>
      </c>
      <c r="C36">
        <v>18</v>
      </c>
      <c r="D36">
        <v>80</v>
      </c>
      <c r="E36">
        <v>270.10000000000002</v>
      </c>
      <c r="F36">
        <v>52.2</v>
      </c>
      <c r="G36">
        <v>11.8</v>
      </c>
      <c r="H36">
        <v>9.5</v>
      </c>
      <c r="I36">
        <v>940.5</v>
      </c>
      <c r="J36">
        <v>54.3</v>
      </c>
      <c r="L36">
        <v>54.3</v>
      </c>
    </row>
    <row r="37" spans="1:12" x14ac:dyDescent="0.2">
      <c r="A37">
        <v>35</v>
      </c>
      <c r="B37" t="s">
        <v>193</v>
      </c>
      <c r="C37">
        <v>19</v>
      </c>
      <c r="D37">
        <v>180</v>
      </c>
      <c r="E37">
        <v>310.8</v>
      </c>
      <c r="F37">
        <v>48.8</v>
      </c>
      <c r="G37">
        <v>31.2</v>
      </c>
      <c r="H37">
        <v>9.6999999999999993</v>
      </c>
      <c r="I37">
        <v>785.4</v>
      </c>
      <c r="J37">
        <v>55.4</v>
      </c>
      <c r="L37">
        <v>55.4</v>
      </c>
    </row>
    <row r="38" spans="1:12" x14ac:dyDescent="0.2">
      <c r="A38">
        <v>36</v>
      </c>
      <c r="B38" t="s">
        <v>194</v>
      </c>
      <c r="C38">
        <v>16</v>
      </c>
      <c r="D38">
        <v>11</v>
      </c>
      <c r="E38">
        <v>198</v>
      </c>
      <c r="F38">
        <v>45.5</v>
      </c>
      <c r="G38">
        <v>5.6</v>
      </c>
      <c r="H38">
        <v>13.5</v>
      </c>
      <c r="I38">
        <v>997.2</v>
      </c>
      <c r="J38">
        <v>29.2</v>
      </c>
      <c r="L38">
        <v>29.2</v>
      </c>
    </row>
    <row r="39" spans="1:12" x14ac:dyDescent="0.2">
      <c r="A39">
        <v>37</v>
      </c>
      <c r="B39" t="s">
        <v>194</v>
      </c>
      <c r="C39">
        <v>17</v>
      </c>
      <c r="D39">
        <v>47</v>
      </c>
      <c r="E39">
        <v>211.4</v>
      </c>
      <c r="F39">
        <v>46.3</v>
      </c>
      <c r="G39">
        <v>5.4</v>
      </c>
      <c r="H39">
        <v>12.1</v>
      </c>
      <c r="I39">
        <v>31519</v>
      </c>
      <c r="J39">
        <v>39.1</v>
      </c>
      <c r="L39">
        <v>39.1</v>
      </c>
    </row>
    <row r="40" spans="1:12" x14ac:dyDescent="0.2">
      <c r="A40">
        <v>38</v>
      </c>
      <c r="B40" t="s">
        <v>194</v>
      </c>
      <c r="C40">
        <v>18</v>
      </c>
      <c r="D40">
        <v>82</v>
      </c>
      <c r="E40">
        <v>213.5</v>
      </c>
      <c r="F40">
        <v>42.8</v>
      </c>
      <c r="G40">
        <v>7.9</v>
      </c>
      <c r="H40">
        <v>9.4</v>
      </c>
      <c r="I40">
        <v>75181</v>
      </c>
      <c r="J40">
        <v>27.8</v>
      </c>
      <c r="L40">
        <v>27.8</v>
      </c>
    </row>
    <row r="41" spans="1:12" x14ac:dyDescent="0.2">
      <c r="A41">
        <v>39</v>
      </c>
      <c r="B41" t="s">
        <v>194</v>
      </c>
      <c r="C41">
        <v>19</v>
      </c>
      <c r="D41">
        <v>86</v>
      </c>
      <c r="E41">
        <v>223.2</v>
      </c>
      <c r="F41">
        <v>36.1</v>
      </c>
      <c r="G41">
        <v>13.4</v>
      </c>
      <c r="H41">
        <v>6.9</v>
      </c>
      <c r="I41">
        <v>48664</v>
      </c>
      <c r="J41">
        <v>22.5</v>
      </c>
      <c r="L41">
        <v>22.5</v>
      </c>
    </row>
    <row r="42" spans="1:12" x14ac:dyDescent="0.2">
      <c r="A42">
        <v>40</v>
      </c>
      <c r="B42" t="s">
        <v>195</v>
      </c>
      <c r="C42">
        <v>19</v>
      </c>
      <c r="D42">
        <v>20</v>
      </c>
      <c r="E42">
        <v>303.60000000000002</v>
      </c>
      <c r="F42">
        <v>69.099999999999994</v>
      </c>
      <c r="G42">
        <v>38.9</v>
      </c>
      <c r="H42">
        <v>7.4</v>
      </c>
      <c r="I42">
        <v>9344</v>
      </c>
      <c r="J42">
        <v>59.9</v>
      </c>
      <c r="L42">
        <v>59.9</v>
      </c>
    </row>
    <row r="43" spans="1:12" x14ac:dyDescent="0.2">
      <c r="A43">
        <v>41</v>
      </c>
      <c r="B43" t="s">
        <v>196</v>
      </c>
      <c r="C43">
        <v>19</v>
      </c>
      <c r="D43">
        <v>20</v>
      </c>
      <c r="E43">
        <v>321.2</v>
      </c>
      <c r="F43">
        <v>76.900000000000006</v>
      </c>
      <c r="G43">
        <v>47.6</v>
      </c>
      <c r="H43">
        <v>7.3</v>
      </c>
      <c r="I43">
        <v>4593</v>
      </c>
      <c r="J43">
        <v>63.6</v>
      </c>
      <c r="L43">
        <v>63.6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opLeftCell="A22" workbookViewId="0">
      <selection activeCell="I47" sqref="I47"/>
    </sheetView>
  </sheetViews>
  <sheetFormatPr defaultRowHeight="12.75" x14ac:dyDescent="0.2"/>
  <sheetData>
    <row r="1" spans="1:10" x14ac:dyDescent="0.2">
      <c r="A1" t="s">
        <v>179</v>
      </c>
      <c r="B1" t="s">
        <v>209</v>
      </c>
      <c r="C1" t="s">
        <v>181</v>
      </c>
      <c r="D1" t="s">
        <v>182</v>
      </c>
      <c r="E1" t="s">
        <v>215</v>
      </c>
      <c r="F1" t="s">
        <v>216</v>
      </c>
      <c r="G1" t="s">
        <v>212</v>
      </c>
      <c r="H1" t="s">
        <v>121</v>
      </c>
      <c r="I1" t="s">
        <v>185</v>
      </c>
      <c r="J1" t="s">
        <v>217</v>
      </c>
    </row>
    <row r="3" spans="1:10" x14ac:dyDescent="0.2">
      <c r="A3">
        <v>23</v>
      </c>
      <c r="B3" t="s">
        <v>187</v>
      </c>
      <c r="C3">
        <v>1850</v>
      </c>
      <c r="D3">
        <v>19</v>
      </c>
      <c r="E3">
        <v>283.89999999999998</v>
      </c>
      <c r="F3">
        <v>49.1</v>
      </c>
      <c r="G3">
        <v>46.8</v>
      </c>
      <c r="H3">
        <v>15.8</v>
      </c>
      <c r="I3">
        <v>9.6</v>
      </c>
      <c r="J3">
        <v>87854</v>
      </c>
    </row>
    <row r="4" spans="1:10" x14ac:dyDescent="0.2">
      <c r="A4">
        <v>24</v>
      </c>
      <c r="B4" t="s">
        <v>187</v>
      </c>
      <c r="C4">
        <v>1875</v>
      </c>
      <c r="D4">
        <v>18</v>
      </c>
      <c r="E4">
        <v>309.3</v>
      </c>
      <c r="F4">
        <v>46.4</v>
      </c>
      <c r="G4">
        <v>41.5</v>
      </c>
      <c r="H4">
        <v>19.100000000000001</v>
      </c>
      <c r="I4">
        <v>9.5</v>
      </c>
      <c r="J4">
        <v>84039</v>
      </c>
    </row>
    <row r="5" spans="1:10" x14ac:dyDescent="0.2">
      <c r="A5">
        <v>25</v>
      </c>
      <c r="B5" t="s">
        <v>187</v>
      </c>
      <c r="C5">
        <v>2005</v>
      </c>
      <c r="D5">
        <v>30</v>
      </c>
      <c r="E5">
        <v>299</v>
      </c>
      <c r="F5">
        <v>66.599999999999994</v>
      </c>
      <c r="G5">
        <v>67.400000000000006</v>
      </c>
      <c r="H5">
        <v>23.3</v>
      </c>
      <c r="I5">
        <v>9.8000000000000007</v>
      </c>
      <c r="J5">
        <v>5311</v>
      </c>
    </row>
    <row r="6" spans="1:10" x14ac:dyDescent="0.2">
      <c r="A6">
        <v>26</v>
      </c>
      <c r="B6" t="s">
        <v>188</v>
      </c>
      <c r="C6">
        <v>1965</v>
      </c>
      <c r="D6">
        <v>88</v>
      </c>
      <c r="E6">
        <v>324.39999999999998</v>
      </c>
      <c r="F6">
        <v>62.1</v>
      </c>
      <c r="G6">
        <v>59.1</v>
      </c>
      <c r="H6">
        <v>36.1</v>
      </c>
      <c r="I6">
        <v>7.3</v>
      </c>
      <c r="J6">
        <v>5429</v>
      </c>
    </row>
    <row r="7" spans="1:10" x14ac:dyDescent="0.2">
      <c r="A7">
        <v>27</v>
      </c>
      <c r="B7" t="s">
        <v>188</v>
      </c>
      <c r="C7">
        <v>1985</v>
      </c>
      <c r="D7">
        <v>88</v>
      </c>
      <c r="E7">
        <v>342</v>
      </c>
      <c r="F7">
        <v>64.2</v>
      </c>
      <c r="G7">
        <v>60.3</v>
      </c>
      <c r="H7">
        <v>46.4</v>
      </c>
      <c r="I7">
        <v>6.6</v>
      </c>
      <c r="J7">
        <v>6603</v>
      </c>
    </row>
    <row r="8" spans="1:10" x14ac:dyDescent="0.2">
      <c r="A8">
        <v>28</v>
      </c>
      <c r="B8" t="s">
        <v>188</v>
      </c>
      <c r="C8">
        <v>2005</v>
      </c>
      <c r="D8">
        <v>87</v>
      </c>
      <c r="E8">
        <v>357.9</v>
      </c>
      <c r="F8">
        <v>66.599999999999994</v>
      </c>
      <c r="G8">
        <v>62.1</v>
      </c>
      <c r="H8">
        <v>52.2</v>
      </c>
      <c r="I8">
        <v>7</v>
      </c>
      <c r="J8">
        <v>9898</v>
      </c>
    </row>
    <row r="9" spans="1:10" x14ac:dyDescent="0.2">
      <c r="A9">
        <v>29</v>
      </c>
      <c r="B9" t="s">
        <v>189</v>
      </c>
      <c r="C9">
        <v>1650</v>
      </c>
      <c r="D9">
        <v>181</v>
      </c>
      <c r="E9">
        <v>255.5</v>
      </c>
      <c r="F9">
        <v>26.9</v>
      </c>
      <c r="G9">
        <v>34.1</v>
      </c>
      <c r="H9">
        <v>10.8</v>
      </c>
      <c r="I9">
        <v>10.5</v>
      </c>
      <c r="J9">
        <v>1021</v>
      </c>
    </row>
    <row r="10" spans="1:10" x14ac:dyDescent="0.2">
      <c r="A10">
        <v>30</v>
      </c>
      <c r="B10" t="s">
        <v>189</v>
      </c>
      <c r="C10">
        <v>1700</v>
      </c>
      <c r="D10">
        <v>45</v>
      </c>
      <c r="E10">
        <v>239.4</v>
      </c>
      <c r="F10">
        <v>27.2</v>
      </c>
      <c r="G10">
        <v>44.6</v>
      </c>
      <c r="H10">
        <v>6.4</v>
      </c>
      <c r="I10">
        <v>11.8</v>
      </c>
      <c r="J10">
        <v>3384</v>
      </c>
    </row>
    <row r="11" spans="1:10" x14ac:dyDescent="0.2">
      <c r="A11">
        <v>31</v>
      </c>
      <c r="B11" t="s">
        <v>189</v>
      </c>
      <c r="C11">
        <v>1750</v>
      </c>
      <c r="D11">
        <v>31</v>
      </c>
      <c r="E11">
        <v>229.3</v>
      </c>
      <c r="F11">
        <v>37.6</v>
      </c>
      <c r="G11">
        <v>53.6</v>
      </c>
      <c r="H11">
        <v>8.3000000000000007</v>
      </c>
      <c r="I11">
        <v>11.9</v>
      </c>
      <c r="J11">
        <v>3826</v>
      </c>
    </row>
    <row r="12" spans="1:10" x14ac:dyDescent="0.2">
      <c r="A12">
        <v>32</v>
      </c>
      <c r="B12" t="s">
        <v>189</v>
      </c>
      <c r="C12">
        <v>1800</v>
      </c>
      <c r="D12">
        <v>50</v>
      </c>
      <c r="E12">
        <v>239</v>
      </c>
      <c r="F12">
        <v>47.1</v>
      </c>
      <c r="G12">
        <v>57.4</v>
      </c>
      <c r="H12">
        <v>10.1</v>
      </c>
      <c r="I12">
        <v>11.1</v>
      </c>
      <c r="J12">
        <v>4828</v>
      </c>
    </row>
    <row r="13" spans="1:10" x14ac:dyDescent="0.2">
      <c r="A13">
        <v>33</v>
      </c>
      <c r="B13" t="s">
        <v>189</v>
      </c>
      <c r="C13">
        <v>1850</v>
      </c>
      <c r="D13">
        <v>55</v>
      </c>
      <c r="E13">
        <v>250.4</v>
      </c>
      <c r="F13">
        <v>49.3</v>
      </c>
      <c r="G13">
        <v>68.599999999999994</v>
      </c>
      <c r="H13">
        <v>10.1</v>
      </c>
      <c r="I13">
        <v>9.5</v>
      </c>
      <c r="J13">
        <v>4803</v>
      </c>
    </row>
    <row r="14" spans="1:10" x14ac:dyDescent="0.2">
      <c r="A14">
        <v>34</v>
      </c>
      <c r="B14" t="s">
        <v>189</v>
      </c>
      <c r="C14">
        <v>1875</v>
      </c>
      <c r="D14">
        <v>46</v>
      </c>
      <c r="E14">
        <v>257.89999999999998</v>
      </c>
      <c r="F14">
        <v>50.1</v>
      </c>
      <c r="G14">
        <v>57.3</v>
      </c>
      <c r="H14">
        <v>14.6</v>
      </c>
      <c r="I14">
        <v>9.6999999999999993</v>
      </c>
      <c r="J14">
        <v>9108</v>
      </c>
    </row>
    <row r="15" spans="1:10" x14ac:dyDescent="0.2">
      <c r="A15">
        <v>35</v>
      </c>
      <c r="B15" t="s">
        <v>189</v>
      </c>
      <c r="C15">
        <v>1900</v>
      </c>
      <c r="D15">
        <v>50</v>
      </c>
      <c r="E15">
        <v>270.3</v>
      </c>
      <c r="F15">
        <v>55.8</v>
      </c>
      <c r="G15">
        <v>63.1</v>
      </c>
      <c r="H15">
        <v>17.8</v>
      </c>
      <c r="I15">
        <v>8.8000000000000007</v>
      </c>
      <c r="J15">
        <v>7494</v>
      </c>
    </row>
    <row r="16" spans="1:10" x14ac:dyDescent="0.2">
      <c r="A16">
        <v>36</v>
      </c>
      <c r="B16" t="s">
        <v>189</v>
      </c>
      <c r="C16">
        <v>1925</v>
      </c>
      <c r="D16">
        <v>50</v>
      </c>
      <c r="E16">
        <v>276</v>
      </c>
      <c r="F16">
        <v>55.1</v>
      </c>
      <c r="G16">
        <v>64.099999999999994</v>
      </c>
      <c r="H16">
        <v>23.5</v>
      </c>
      <c r="I16">
        <v>8.8000000000000007</v>
      </c>
      <c r="J16">
        <v>6492</v>
      </c>
    </row>
    <row r="17" spans="1:10" x14ac:dyDescent="0.2">
      <c r="A17">
        <v>37</v>
      </c>
      <c r="B17" t="s">
        <v>189</v>
      </c>
      <c r="C17">
        <v>1965</v>
      </c>
      <c r="D17">
        <v>81</v>
      </c>
      <c r="E17">
        <v>353.1</v>
      </c>
      <c r="F17">
        <v>53.5</v>
      </c>
      <c r="G17">
        <v>62.6</v>
      </c>
      <c r="H17">
        <v>50.3</v>
      </c>
      <c r="I17">
        <v>4.4000000000000004</v>
      </c>
      <c r="J17">
        <v>5766</v>
      </c>
    </row>
    <row r="18" spans="1:10" x14ac:dyDescent="0.2">
      <c r="A18">
        <v>38</v>
      </c>
      <c r="B18" t="s">
        <v>189</v>
      </c>
      <c r="C18">
        <v>1985</v>
      </c>
      <c r="D18">
        <v>64</v>
      </c>
      <c r="E18">
        <v>372.5</v>
      </c>
      <c r="F18">
        <v>56.2</v>
      </c>
      <c r="G18">
        <v>75.8</v>
      </c>
      <c r="H18">
        <v>60.1</v>
      </c>
      <c r="I18">
        <v>4.2</v>
      </c>
      <c r="J18">
        <v>4414</v>
      </c>
    </row>
    <row r="19" spans="1:10" x14ac:dyDescent="0.2">
      <c r="A19">
        <v>39</v>
      </c>
      <c r="B19" t="s">
        <v>189</v>
      </c>
      <c r="C19">
        <v>2005</v>
      </c>
      <c r="D19">
        <v>52</v>
      </c>
      <c r="E19">
        <v>423</v>
      </c>
      <c r="F19">
        <v>61</v>
      </c>
      <c r="G19">
        <v>63.7</v>
      </c>
      <c r="H19">
        <v>76.599999999999994</v>
      </c>
      <c r="I19">
        <v>4.5</v>
      </c>
      <c r="J19">
        <v>6990</v>
      </c>
    </row>
    <row r="20" spans="1:10" x14ac:dyDescent="0.2">
      <c r="A20">
        <v>79</v>
      </c>
      <c r="B20" t="s">
        <v>218</v>
      </c>
      <c r="C20">
        <v>1985</v>
      </c>
      <c r="D20">
        <v>40</v>
      </c>
      <c r="E20">
        <v>312.39999999999998</v>
      </c>
      <c r="F20">
        <v>61.8</v>
      </c>
      <c r="G20">
        <v>73</v>
      </c>
      <c r="H20">
        <v>43.2</v>
      </c>
      <c r="I20">
        <v>7.4</v>
      </c>
      <c r="J20">
        <v>6968</v>
      </c>
    </row>
    <row r="26" spans="1:10" x14ac:dyDescent="0.2">
      <c r="A26">
        <v>30</v>
      </c>
      <c r="B26" t="s">
        <v>189</v>
      </c>
      <c r="C26">
        <v>1700</v>
      </c>
      <c r="D26">
        <v>45</v>
      </c>
      <c r="E26">
        <v>239.4</v>
      </c>
      <c r="F26">
        <v>27.2</v>
      </c>
      <c r="G26">
        <v>44.6</v>
      </c>
      <c r="H26">
        <v>6.4</v>
      </c>
      <c r="I26">
        <v>11.8</v>
      </c>
      <c r="J26">
        <v>3384</v>
      </c>
    </row>
    <row r="27" spans="1:10" x14ac:dyDescent="0.2">
      <c r="A27">
        <v>31</v>
      </c>
      <c r="B27" t="s">
        <v>189</v>
      </c>
      <c r="C27">
        <v>1750</v>
      </c>
      <c r="D27">
        <v>31</v>
      </c>
      <c r="E27">
        <v>229.3</v>
      </c>
      <c r="F27">
        <v>37.6</v>
      </c>
      <c r="G27">
        <v>53.6</v>
      </c>
      <c r="H27">
        <v>8.3000000000000007</v>
      </c>
      <c r="I27">
        <v>11.9</v>
      </c>
      <c r="J27">
        <v>3826</v>
      </c>
    </row>
    <row r="28" spans="1:10" x14ac:dyDescent="0.2">
      <c r="A28">
        <v>32</v>
      </c>
      <c r="B28" t="s">
        <v>189</v>
      </c>
      <c r="C28">
        <v>1800</v>
      </c>
      <c r="D28">
        <v>50</v>
      </c>
      <c r="E28">
        <v>239</v>
      </c>
      <c r="F28">
        <v>47.1</v>
      </c>
      <c r="G28">
        <v>57.4</v>
      </c>
      <c r="H28">
        <v>10.1</v>
      </c>
      <c r="I28">
        <v>11.1</v>
      </c>
      <c r="J28">
        <v>4828</v>
      </c>
    </row>
    <row r="29" spans="1:10" x14ac:dyDescent="0.2">
      <c r="A29">
        <v>33</v>
      </c>
      <c r="B29" t="s">
        <v>189</v>
      </c>
      <c r="C29">
        <v>1850</v>
      </c>
      <c r="D29">
        <v>55</v>
      </c>
      <c r="E29">
        <v>250.4</v>
      </c>
      <c r="F29">
        <v>49.3</v>
      </c>
      <c r="G29">
        <v>68.599999999999994</v>
      </c>
      <c r="H29">
        <v>10.1</v>
      </c>
      <c r="I29">
        <v>9.5</v>
      </c>
      <c r="J29">
        <v>4803</v>
      </c>
    </row>
    <row r="30" spans="1:10" x14ac:dyDescent="0.2">
      <c r="A30">
        <v>34</v>
      </c>
      <c r="B30" t="s">
        <v>189</v>
      </c>
      <c r="C30">
        <v>1875</v>
      </c>
      <c r="D30">
        <v>46</v>
      </c>
      <c r="E30">
        <v>257.89999999999998</v>
      </c>
      <c r="F30">
        <v>50.1</v>
      </c>
      <c r="G30">
        <v>57.3</v>
      </c>
      <c r="H30">
        <v>14.6</v>
      </c>
      <c r="I30">
        <v>9.6999999999999993</v>
      </c>
      <c r="J30">
        <v>9108</v>
      </c>
    </row>
    <row r="31" spans="1:10" x14ac:dyDescent="0.2">
      <c r="A31">
        <v>35</v>
      </c>
      <c r="B31" t="s">
        <v>189</v>
      </c>
      <c r="C31">
        <v>1900</v>
      </c>
      <c r="D31">
        <v>50</v>
      </c>
      <c r="E31">
        <v>270.3</v>
      </c>
      <c r="F31">
        <v>55.8</v>
      </c>
      <c r="G31">
        <v>63.1</v>
      </c>
      <c r="H31">
        <v>17.8</v>
      </c>
      <c r="I31">
        <v>8.8000000000000007</v>
      </c>
      <c r="J31">
        <v>7494</v>
      </c>
    </row>
    <row r="32" spans="1:10" x14ac:dyDescent="0.2">
      <c r="A32">
        <v>36</v>
      </c>
      <c r="B32" t="s">
        <v>189</v>
      </c>
      <c r="C32">
        <v>1925</v>
      </c>
      <c r="D32">
        <v>50</v>
      </c>
      <c r="E32">
        <v>276</v>
      </c>
      <c r="F32">
        <v>55.1</v>
      </c>
      <c r="G32">
        <v>64.099999999999994</v>
      </c>
      <c r="H32">
        <v>23.5</v>
      </c>
      <c r="I32">
        <v>8.8000000000000007</v>
      </c>
      <c r="J32">
        <v>6492</v>
      </c>
    </row>
    <row r="33" spans="1:12" x14ac:dyDescent="0.2">
      <c r="A33">
        <v>26</v>
      </c>
      <c r="B33" t="s">
        <v>188</v>
      </c>
      <c r="C33">
        <v>1965</v>
      </c>
      <c r="D33">
        <v>88</v>
      </c>
      <c r="E33">
        <v>324.39999999999998</v>
      </c>
      <c r="F33">
        <v>62.1</v>
      </c>
      <c r="G33">
        <v>59.1</v>
      </c>
      <c r="H33">
        <v>36.1</v>
      </c>
      <c r="I33">
        <v>7.3</v>
      </c>
      <c r="J33">
        <v>5429</v>
      </c>
    </row>
    <row r="34" spans="1:12" x14ac:dyDescent="0.2">
      <c r="A34">
        <v>27</v>
      </c>
      <c r="B34" t="s">
        <v>188</v>
      </c>
      <c r="C34">
        <v>1985</v>
      </c>
      <c r="D34">
        <v>88</v>
      </c>
      <c r="E34">
        <v>342</v>
      </c>
      <c r="F34">
        <v>64.2</v>
      </c>
      <c r="G34">
        <v>60.3</v>
      </c>
      <c r="H34">
        <v>46.4</v>
      </c>
      <c r="I34">
        <v>6.6</v>
      </c>
      <c r="J34">
        <v>6603</v>
      </c>
    </row>
    <row r="35" spans="1:12" x14ac:dyDescent="0.2">
      <c r="A35">
        <v>28</v>
      </c>
      <c r="B35" t="s">
        <v>188</v>
      </c>
      <c r="C35">
        <v>2005</v>
      </c>
      <c r="D35">
        <v>87</v>
      </c>
      <c r="E35">
        <v>357.9</v>
      </c>
      <c r="F35">
        <v>66.599999999999994</v>
      </c>
      <c r="G35">
        <v>62.1</v>
      </c>
      <c r="H35">
        <v>52.2</v>
      </c>
      <c r="I35">
        <v>7</v>
      </c>
      <c r="J35">
        <v>9898</v>
      </c>
    </row>
    <row r="39" spans="1:12" x14ac:dyDescent="0.2">
      <c r="A39">
        <v>30</v>
      </c>
      <c r="B39" t="s">
        <v>189</v>
      </c>
      <c r="C39">
        <v>1700</v>
      </c>
      <c r="D39">
        <v>45</v>
      </c>
      <c r="E39">
        <v>239.4</v>
      </c>
      <c r="F39">
        <v>27.2</v>
      </c>
      <c r="G39">
        <v>44.6</v>
      </c>
      <c r="H39">
        <v>6.4</v>
      </c>
      <c r="I39">
        <v>11.8</v>
      </c>
      <c r="J39">
        <v>3384</v>
      </c>
    </row>
    <row r="40" spans="1:12" x14ac:dyDescent="0.2">
      <c r="A40">
        <v>31</v>
      </c>
      <c r="B40" t="s">
        <v>189</v>
      </c>
      <c r="C40">
        <v>1750</v>
      </c>
      <c r="D40">
        <v>31</v>
      </c>
      <c r="E40">
        <v>229.3</v>
      </c>
      <c r="F40">
        <v>37.6</v>
      </c>
      <c r="G40">
        <v>53.6</v>
      </c>
      <c r="H40">
        <v>8.3000000000000007</v>
      </c>
      <c r="I40">
        <v>11.9</v>
      </c>
      <c r="J40">
        <v>3826</v>
      </c>
    </row>
    <row r="41" spans="1:12" x14ac:dyDescent="0.2">
      <c r="A41">
        <v>32</v>
      </c>
      <c r="B41" t="s">
        <v>189</v>
      </c>
      <c r="C41">
        <v>1800</v>
      </c>
      <c r="D41">
        <v>50</v>
      </c>
      <c r="E41">
        <v>239</v>
      </c>
      <c r="F41">
        <v>47.1</v>
      </c>
      <c r="G41">
        <v>57.4</v>
      </c>
      <c r="H41">
        <v>10.1</v>
      </c>
      <c r="I41">
        <v>11.1</v>
      </c>
      <c r="J41">
        <v>4828</v>
      </c>
    </row>
    <row r="42" spans="1:12" x14ac:dyDescent="0.2">
      <c r="A42">
        <v>33</v>
      </c>
      <c r="B42" t="s">
        <v>189</v>
      </c>
      <c r="C42">
        <v>1850</v>
      </c>
      <c r="D42">
        <v>55</v>
      </c>
      <c r="E42">
        <v>250.4</v>
      </c>
      <c r="F42">
        <v>49.3</v>
      </c>
      <c r="G42">
        <v>68.599999999999994</v>
      </c>
      <c r="H42">
        <v>10.1</v>
      </c>
      <c r="I42">
        <v>9.5</v>
      </c>
      <c r="J42">
        <v>4803</v>
      </c>
    </row>
    <row r="43" spans="1:12" x14ac:dyDescent="0.2">
      <c r="A43">
        <v>34</v>
      </c>
      <c r="B43" t="s">
        <v>189</v>
      </c>
      <c r="C43">
        <v>1875</v>
      </c>
      <c r="D43">
        <v>46</v>
      </c>
      <c r="E43">
        <v>257.89999999999998</v>
      </c>
      <c r="F43">
        <v>50.1</v>
      </c>
      <c r="G43">
        <v>57.3</v>
      </c>
      <c r="H43">
        <v>14.6</v>
      </c>
      <c r="I43">
        <v>9.6999999999999993</v>
      </c>
      <c r="J43">
        <v>9108</v>
      </c>
    </row>
    <row r="44" spans="1:12" x14ac:dyDescent="0.2">
      <c r="A44">
        <v>35</v>
      </c>
      <c r="B44" t="s">
        <v>189</v>
      </c>
      <c r="C44">
        <v>1900</v>
      </c>
      <c r="D44">
        <v>50</v>
      </c>
      <c r="E44">
        <v>270.3</v>
      </c>
      <c r="F44">
        <v>55.8</v>
      </c>
      <c r="G44">
        <v>63.1</v>
      </c>
      <c r="H44">
        <v>17.8</v>
      </c>
      <c r="I44">
        <v>8.8000000000000007</v>
      </c>
      <c r="J44">
        <v>7494</v>
      </c>
    </row>
    <row r="45" spans="1:12" x14ac:dyDescent="0.2">
      <c r="A45">
        <v>36</v>
      </c>
      <c r="B45" t="s">
        <v>189</v>
      </c>
      <c r="C45">
        <v>1925</v>
      </c>
      <c r="D45">
        <v>50</v>
      </c>
      <c r="E45">
        <v>276</v>
      </c>
      <c r="F45">
        <v>55.1</v>
      </c>
      <c r="G45">
        <v>64.099999999999994</v>
      </c>
      <c r="H45">
        <v>23.5</v>
      </c>
      <c r="I45">
        <v>8.8000000000000007</v>
      </c>
      <c r="J45">
        <v>6492</v>
      </c>
    </row>
    <row r="46" spans="1:12" x14ac:dyDescent="0.2">
      <c r="A46">
        <v>79</v>
      </c>
      <c r="B46" t="s">
        <v>218</v>
      </c>
      <c r="C46">
        <v>1965</v>
      </c>
      <c r="D46" t="s">
        <v>219</v>
      </c>
      <c r="E46">
        <v>295</v>
      </c>
      <c r="F46">
        <v>58</v>
      </c>
      <c r="G46" t="s">
        <v>219</v>
      </c>
      <c r="H46">
        <v>33</v>
      </c>
      <c r="I46">
        <v>8.1</v>
      </c>
      <c r="J46" t="s">
        <v>219</v>
      </c>
      <c r="L46" t="s">
        <v>220</v>
      </c>
    </row>
    <row r="47" spans="1:12" x14ac:dyDescent="0.2">
      <c r="A47">
        <v>79</v>
      </c>
      <c r="B47" t="s">
        <v>218</v>
      </c>
      <c r="C47">
        <v>1985</v>
      </c>
      <c r="D47">
        <v>40</v>
      </c>
      <c r="E47">
        <v>312.39999999999998</v>
      </c>
      <c r="F47">
        <v>61.8</v>
      </c>
      <c r="G47">
        <v>73</v>
      </c>
      <c r="H47">
        <v>43.2</v>
      </c>
      <c r="I47">
        <v>7.4</v>
      </c>
      <c r="J47">
        <v>6968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opLeftCell="A3" workbookViewId="0">
      <selection activeCell="L4" sqref="L4"/>
    </sheetView>
  </sheetViews>
  <sheetFormatPr defaultRowHeight="12.75" x14ac:dyDescent="0.2"/>
  <sheetData>
    <row r="1" spans="1:12" x14ac:dyDescent="0.2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L1" t="s">
        <v>247</v>
      </c>
    </row>
    <row r="2" spans="1:12" x14ac:dyDescent="0.2">
      <c r="A2" t="s">
        <v>229</v>
      </c>
      <c r="B2">
        <v>112116</v>
      </c>
      <c r="C2">
        <v>52.71</v>
      </c>
      <c r="D2">
        <v>6.31</v>
      </c>
      <c r="E2">
        <v>0.21</v>
      </c>
      <c r="F2">
        <v>26.32</v>
      </c>
      <c r="G2">
        <v>2.85</v>
      </c>
      <c r="H2">
        <v>10.35</v>
      </c>
      <c r="I2">
        <f t="shared" ref="I2:I17" si="0" xml:space="preserve"> SUM(C2:H2)</f>
        <v>98.75</v>
      </c>
      <c r="K2" t="s">
        <v>248</v>
      </c>
      <c r="L2">
        <f>(99+82+88+94)/4</f>
        <v>90.75</v>
      </c>
    </row>
    <row r="3" spans="1:12" x14ac:dyDescent="0.2">
      <c r="A3" t="s">
        <v>230</v>
      </c>
      <c r="B3">
        <v>140218</v>
      </c>
      <c r="C3">
        <v>44.8</v>
      </c>
      <c r="D3">
        <v>4.63</v>
      </c>
      <c r="E3">
        <v>0.24</v>
      </c>
      <c r="F3">
        <v>22.17</v>
      </c>
      <c r="G3">
        <v>2.0699999999999998</v>
      </c>
      <c r="H3">
        <v>7.9</v>
      </c>
      <c r="I3">
        <f t="shared" si="0"/>
        <v>81.81</v>
      </c>
      <c r="K3" t="s">
        <v>249</v>
      </c>
      <c r="L3">
        <f>(84+88+87+68+62+60+81+76+75)/9</f>
        <v>75.666666666666671</v>
      </c>
    </row>
    <row r="4" spans="1:12" x14ac:dyDescent="0.2">
      <c r="A4" t="s">
        <v>231</v>
      </c>
      <c r="B4">
        <v>326361</v>
      </c>
      <c r="C4">
        <v>52.03</v>
      </c>
      <c r="D4">
        <v>5.52</v>
      </c>
      <c r="E4">
        <v>0.67</v>
      </c>
      <c r="F4">
        <v>20.260000000000002</v>
      </c>
      <c r="G4">
        <v>1.95</v>
      </c>
      <c r="H4">
        <v>7.35</v>
      </c>
      <c r="I4">
        <f t="shared" si="0"/>
        <v>87.78</v>
      </c>
    </row>
    <row r="5" spans="1:12" x14ac:dyDescent="0.2">
      <c r="A5" t="s">
        <v>232</v>
      </c>
      <c r="B5">
        <v>287190</v>
      </c>
      <c r="C5">
        <v>48.72</v>
      </c>
      <c r="D5">
        <v>4.34</v>
      </c>
      <c r="E5">
        <v>0.44</v>
      </c>
      <c r="F5">
        <v>20.86</v>
      </c>
      <c r="G5">
        <v>1.95</v>
      </c>
      <c r="H5">
        <v>8.15</v>
      </c>
      <c r="I5">
        <f t="shared" si="0"/>
        <v>84.460000000000008</v>
      </c>
    </row>
    <row r="6" spans="1:12" x14ac:dyDescent="0.2">
      <c r="A6" t="s">
        <v>233</v>
      </c>
      <c r="B6">
        <v>261146</v>
      </c>
      <c r="C6">
        <v>48.43</v>
      </c>
      <c r="D6">
        <v>4.8499999999999996</v>
      </c>
      <c r="E6">
        <v>0.31</v>
      </c>
      <c r="F6">
        <v>23.98</v>
      </c>
      <c r="G6">
        <v>2.65</v>
      </c>
      <c r="H6">
        <v>8.44</v>
      </c>
      <c r="I6">
        <f t="shared" si="0"/>
        <v>88.660000000000011</v>
      </c>
    </row>
    <row r="7" spans="1:12" x14ac:dyDescent="0.2">
      <c r="A7" t="s">
        <v>234</v>
      </c>
      <c r="B7">
        <v>187352</v>
      </c>
      <c r="C7">
        <v>49.23</v>
      </c>
      <c r="D7">
        <v>4.87</v>
      </c>
      <c r="E7">
        <v>0.68</v>
      </c>
      <c r="F7">
        <v>19</v>
      </c>
      <c r="G7">
        <v>2.15</v>
      </c>
      <c r="H7">
        <v>10.47</v>
      </c>
      <c r="I7">
        <f t="shared" si="0"/>
        <v>86.4</v>
      </c>
    </row>
    <row r="8" spans="1:12" x14ac:dyDescent="0.2">
      <c r="A8" t="s">
        <v>235</v>
      </c>
      <c r="B8">
        <v>50237</v>
      </c>
      <c r="C8">
        <v>52.31</v>
      </c>
      <c r="D8">
        <v>6.43</v>
      </c>
      <c r="E8">
        <v>0.57999999999999996</v>
      </c>
      <c r="F8">
        <v>19.350000000000001</v>
      </c>
      <c r="G8">
        <v>2.15</v>
      </c>
      <c r="H8">
        <v>13.44</v>
      </c>
      <c r="I8">
        <f t="shared" si="0"/>
        <v>94.26</v>
      </c>
    </row>
    <row r="9" spans="1:12" x14ac:dyDescent="0.2">
      <c r="A9" t="s">
        <v>236</v>
      </c>
      <c r="B9">
        <v>67966</v>
      </c>
      <c r="C9">
        <v>50.36</v>
      </c>
      <c r="D9">
        <v>5.62</v>
      </c>
      <c r="E9">
        <v>0.94</v>
      </c>
      <c r="F9">
        <v>17.89</v>
      </c>
      <c r="G9">
        <v>2.31</v>
      </c>
      <c r="H9">
        <v>10.45</v>
      </c>
      <c r="I9">
        <f t="shared" si="0"/>
        <v>87.570000000000007</v>
      </c>
    </row>
    <row r="10" spans="1:12" x14ac:dyDescent="0.2">
      <c r="A10" t="s">
        <v>237</v>
      </c>
      <c r="B10">
        <v>54241</v>
      </c>
      <c r="C10">
        <v>50.44</v>
      </c>
      <c r="D10">
        <v>8.17</v>
      </c>
      <c r="E10">
        <v>1.88</v>
      </c>
      <c r="F10">
        <v>20.3</v>
      </c>
      <c r="G10">
        <v>3.39</v>
      </c>
      <c r="H10">
        <v>14.95</v>
      </c>
      <c r="I10">
        <f t="shared" si="0"/>
        <v>99.13000000000001</v>
      </c>
    </row>
    <row r="11" spans="1:12" x14ac:dyDescent="0.2">
      <c r="A11" t="s">
        <v>238</v>
      </c>
      <c r="B11">
        <v>91975</v>
      </c>
      <c r="C11">
        <v>46.78</v>
      </c>
      <c r="D11">
        <v>4.5599999999999996</v>
      </c>
      <c r="E11">
        <v>1.01</v>
      </c>
      <c r="F11">
        <v>19.93</v>
      </c>
      <c r="G11">
        <v>2.4</v>
      </c>
      <c r="H11">
        <v>9.84</v>
      </c>
      <c r="I11">
        <f t="shared" si="0"/>
        <v>84.52000000000001</v>
      </c>
    </row>
    <row r="12" spans="1:12" x14ac:dyDescent="0.2">
      <c r="A12" t="s">
        <v>239</v>
      </c>
      <c r="B12">
        <v>459990</v>
      </c>
      <c r="C12">
        <v>37.979999999999997</v>
      </c>
      <c r="D12">
        <v>2.82</v>
      </c>
      <c r="E12">
        <v>0.28000000000000003</v>
      </c>
      <c r="F12">
        <v>19.95</v>
      </c>
      <c r="G12">
        <v>1.41</v>
      </c>
      <c r="H12">
        <v>5.6</v>
      </c>
      <c r="I12">
        <f t="shared" si="0"/>
        <v>68.039999999999992</v>
      </c>
    </row>
    <row r="13" spans="1:12" x14ac:dyDescent="0.2">
      <c r="A13" t="s">
        <v>240</v>
      </c>
      <c r="B13">
        <v>242469</v>
      </c>
      <c r="C13">
        <v>37.090000000000003</v>
      </c>
      <c r="D13">
        <v>2.93</v>
      </c>
      <c r="E13">
        <v>0.33</v>
      </c>
      <c r="F13">
        <v>16.55</v>
      </c>
      <c r="G13">
        <v>1.31</v>
      </c>
      <c r="H13">
        <v>4.63</v>
      </c>
      <c r="I13">
        <f t="shared" si="0"/>
        <v>62.840000000000011</v>
      </c>
    </row>
    <row r="14" spans="1:12" x14ac:dyDescent="0.2">
      <c r="A14" t="s">
        <v>241</v>
      </c>
      <c r="B14">
        <v>366887</v>
      </c>
      <c r="C14">
        <v>37.15</v>
      </c>
      <c r="D14">
        <v>1.82</v>
      </c>
      <c r="E14">
        <v>0.23</v>
      </c>
      <c r="F14">
        <v>15.8</v>
      </c>
      <c r="G14">
        <v>0.9</v>
      </c>
      <c r="H14">
        <v>4.1100000000000003</v>
      </c>
      <c r="I14">
        <f t="shared" si="0"/>
        <v>60.01</v>
      </c>
    </row>
    <row r="15" spans="1:12" x14ac:dyDescent="0.2">
      <c r="A15" t="s">
        <v>242</v>
      </c>
      <c r="B15">
        <v>478757</v>
      </c>
      <c r="C15">
        <v>49.68</v>
      </c>
      <c r="D15">
        <v>4.43</v>
      </c>
      <c r="E15">
        <v>0.92</v>
      </c>
      <c r="F15">
        <v>16.39</v>
      </c>
      <c r="G15">
        <v>1.25</v>
      </c>
      <c r="H15">
        <v>8.7899999999999991</v>
      </c>
      <c r="I15">
        <f t="shared" si="0"/>
        <v>81.460000000000008</v>
      </c>
    </row>
    <row r="16" spans="1:12" x14ac:dyDescent="0.2">
      <c r="A16" t="s">
        <v>243</v>
      </c>
      <c r="B16">
        <v>583118</v>
      </c>
      <c r="C16">
        <v>46.47</v>
      </c>
      <c r="D16">
        <v>3.62</v>
      </c>
      <c r="E16">
        <v>0.8</v>
      </c>
      <c r="F16">
        <v>16.850000000000001</v>
      </c>
      <c r="G16">
        <v>1.19</v>
      </c>
      <c r="H16">
        <v>7.92</v>
      </c>
      <c r="I16">
        <f t="shared" si="0"/>
        <v>76.849999999999994</v>
      </c>
    </row>
    <row r="17" spans="1:9" x14ac:dyDescent="0.2">
      <c r="A17" t="s">
        <v>244</v>
      </c>
      <c r="B17">
        <v>864081</v>
      </c>
      <c r="C17">
        <v>49.43</v>
      </c>
      <c r="D17">
        <v>3.03</v>
      </c>
      <c r="E17">
        <v>0.8</v>
      </c>
      <c r="F17">
        <v>14.01</v>
      </c>
      <c r="G17">
        <v>0.8</v>
      </c>
      <c r="H17">
        <v>6.97</v>
      </c>
      <c r="I17">
        <f t="shared" si="0"/>
        <v>75.039999999999992</v>
      </c>
    </row>
    <row r="18" spans="1:9" x14ac:dyDescent="0.2">
      <c r="C18" t="s">
        <v>223</v>
      </c>
      <c r="D18" t="s">
        <v>224</v>
      </c>
      <c r="E18" t="s">
        <v>225</v>
      </c>
      <c r="F18" t="s">
        <v>226</v>
      </c>
      <c r="G18" t="s">
        <v>227</v>
      </c>
      <c r="H18" t="s">
        <v>228</v>
      </c>
    </row>
    <row r="19" spans="1:9" x14ac:dyDescent="0.2">
      <c r="A19" t="s">
        <v>218</v>
      </c>
    </row>
    <row r="20" spans="1:9" x14ac:dyDescent="0.2">
      <c r="A20">
        <v>1800</v>
      </c>
      <c r="C20">
        <v>52.71</v>
      </c>
      <c r="D20">
        <v>5.6</v>
      </c>
      <c r="E20">
        <v>0.3</v>
      </c>
      <c r="F20">
        <v>25</v>
      </c>
      <c r="G20">
        <v>2.8</v>
      </c>
      <c r="H20">
        <v>9.4</v>
      </c>
    </row>
    <row r="21" spans="1:9" x14ac:dyDescent="0.2">
      <c r="A21">
        <v>1850</v>
      </c>
      <c r="C21">
        <v>44.8</v>
      </c>
      <c r="D21">
        <v>4.8</v>
      </c>
      <c r="E21">
        <v>0.5</v>
      </c>
      <c r="F21">
        <v>20.5</v>
      </c>
      <c r="G21">
        <v>2.1</v>
      </c>
      <c r="H21">
        <v>9.1999999999999993</v>
      </c>
    </row>
    <row r="22" spans="1:9" x14ac:dyDescent="0.2">
      <c r="A22">
        <v>1875</v>
      </c>
      <c r="C22">
        <v>52.2</v>
      </c>
      <c r="D22">
        <v>6</v>
      </c>
      <c r="E22">
        <v>0.6</v>
      </c>
      <c r="F22">
        <v>20</v>
      </c>
      <c r="G22">
        <v>2</v>
      </c>
      <c r="H22">
        <v>10.4</v>
      </c>
    </row>
    <row r="23" spans="1:9" x14ac:dyDescent="0.2">
      <c r="A23">
        <v>1900</v>
      </c>
      <c r="C23">
        <v>49.5</v>
      </c>
      <c r="D23">
        <v>5</v>
      </c>
      <c r="E23">
        <v>0.7</v>
      </c>
      <c r="F23">
        <v>19</v>
      </c>
      <c r="G23">
        <v>2.1</v>
      </c>
      <c r="H23">
        <v>9.3000000000000007</v>
      </c>
    </row>
    <row r="24" spans="1:9" x14ac:dyDescent="0.2">
      <c r="A24">
        <v>1925</v>
      </c>
      <c r="C24">
        <v>49.4</v>
      </c>
      <c r="D24">
        <v>6.5</v>
      </c>
      <c r="E24">
        <v>1.1000000000000001</v>
      </c>
      <c r="F24">
        <v>22</v>
      </c>
      <c r="G24">
        <v>3</v>
      </c>
      <c r="H24">
        <v>11.7</v>
      </c>
    </row>
    <row r="25" spans="1:9" x14ac:dyDescent="0.2">
      <c r="A25">
        <v>1965</v>
      </c>
      <c r="C25">
        <v>48.7</v>
      </c>
      <c r="D25">
        <v>5.7</v>
      </c>
      <c r="E25">
        <v>0.9</v>
      </c>
      <c r="F25">
        <v>20.5</v>
      </c>
      <c r="G25">
        <v>2.7</v>
      </c>
      <c r="H25">
        <v>10.8</v>
      </c>
    </row>
    <row r="26" spans="1:9" x14ac:dyDescent="0.2">
      <c r="A26">
        <v>1985</v>
      </c>
      <c r="C26">
        <v>48</v>
      </c>
      <c r="D26">
        <v>4.7</v>
      </c>
      <c r="E26">
        <v>0.8</v>
      </c>
      <c r="F26">
        <v>19.5</v>
      </c>
      <c r="G26">
        <v>2.2999999999999998</v>
      </c>
      <c r="H26">
        <v>10.199999999999999</v>
      </c>
    </row>
    <row r="28" spans="1:9" x14ac:dyDescent="0.2">
      <c r="A28" t="s">
        <v>245</v>
      </c>
    </row>
    <row r="29" spans="1:9" x14ac:dyDescent="0.2">
      <c r="A29">
        <v>1800</v>
      </c>
      <c r="C29">
        <v>52.71</v>
      </c>
      <c r="D29">
        <v>5.6</v>
      </c>
      <c r="E29">
        <v>0.3</v>
      </c>
      <c r="F29">
        <v>25</v>
      </c>
      <c r="G29">
        <v>2.8</v>
      </c>
      <c r="H29">
        <v>9.4</v>
      </c>
    </row>
    <row r="30" spans="1:9" x14ac:dyDescent="0.2">
      <c r="A30">
        <v>1850</v>
      </c>
      <c r="C30">
        <v>44.8</v>
      </c>
      <c r="D30">
        <v>4.8</v>
      </c>
      <c r="E30">
        <v>0.5</v>
      </c>
      <c r="F30">
        <v>20.5</v>
      </c>
      <c r="G30">
        <v>2.1</v>
      </c>
      <c r="H30">
        <v>9.1999999999999993</v>
      </c>
    </row>
    <row r="31" spans="1:9" x14ac:dyDescent="0.2">
      <c r="A31">
        <v>1875</v>
      </c>
      <c r="C31">
        <v>52.2</v>
      </c>
      <c r="D31">
        <v>6</v>
      </c>
      <c r="E31">
        <v>0.6</v>
      </c>
      <c r="F31">
        <v>20</v>
      </c>
      <c r="G31">
        <v>2</v>
      </c>
      <c r="H31">
        <v>10.4</v>
      </c>
    </row>
    <row r="32" spans="1:9" x14ac:dyDescent="0.2">
      <c r="A32">
        <v>1900</v>
      </c>
      <c r="C32">
        <v>49.5</v>
      </c>
      <c r="D32">
        <v>5</v>
      </c>
      <c r="E32">
        <v>0.7</v>
      </c>
      <c r="F32">
        <v>19</v>
      </c>
      <c r="G32">
        <v>2.1</v>
      </c>
      <c r="H32">
        <v>9.3000000000000007</v>
      </c>
    </row>
    <row r="33" spans="1:8" x14ac:dyDescent="0.2">
      <c r="A33">
        <v>1925</v>
      </c>
      <c r="C33">
        <v>49.4</v>
      </c>
      <c r="D33">
        <v>6.5</v>
      </c>
      <c r="E33">
        <v>1.1000000000000001</v>
      </c>
      <c r="F33">
        <v>22</v>
      </c>
      <c r="G33">
        <v>3</v>
      </c>
      <c r="H33">
        <v>11.7</v>
      </c>
    </row>
    <row r="34" spans="1:8" x14ac:dyDescent="0.2">
      <c r="A34">
        <v>1965</v>
      </c>
      <c r="C34">
        <v>37.979999999999997</v>
      </c>
      <c r="D34">
        <v>2.82</v>
      </c>
      <c r="E34">
        <v>0.28000000000000003</v>
      </c>
      <c r="F34">
        <v>19.95</v>
      </c>
      <c r="G34">
        <v>1.41</v>
      </c>
      <c r="H34">
        <v>5.6</v>
      </c>
    </row>
    <row r="35" spans="1:8" x14ac:dyDescent="0.2">
      <c r="A35">
        <v>1985</v>
      </c>
      <c r="C35">
        <v>37.090000000000003</v>
      </c>
      <c r="D35">
        <v>2.93</v>
      </c>
      <c r="E35">
        <v>0.33</v>
      </c>
      <c r="F35">
        <v>16.55</v>
      </c>
      <c r="G35">
        <v>1.31</v>
      </c>
      <c r="H35">
        <v>4.63</v>
      </c>
    </row>
    <row r="36" spans="1:8" x14ac:dyDescent="0.2">
      <c r="A36">
        <v>2005</v>
      </c>
      <c r="C36">
        <v>37.15</v>
      </c>
      <c r="D36">
        <v>1.82</v>
      </c>
      <c r="E36">
        <v>0.23</v>
      </c>
      <c r="F36">
        <v>15.8</v>
      </c>
      <c r="G36">
        <v>0.9</v>
      </c>
      <c r="H36">
        <v>4.1100000000000003</v>
      </c>
    </row>
    <row r="38" spans="1:8" x14ac:dyDescent="0.2">
      <c r="A38" t="s">
        <v>246</v>
      </c>
    </row>
    <row r="39" spans="1:8" x14ac:dyDescent="0.2">
      <c r="A39">
        <v>1800</v>
      </c>
      <c r="C39">
        <v>52.71</v>
      </c>
      <c r="D39">
        <v>5.6</v>
      </c>
      <c r="E39">
        <v>0.3</v>
      </c>
      <c r="F39">
        <v>25</v>
      </c>
      <c r="G39">
        <v>2.8</v>
      </c>
      <c r="H39">
        <v>9.4</v>
      </c>
    </row>
    <row r="40" spans="1:8" x14ac:dyDescent="0.2">
      <c r="A40">
        <v>1850</v>
      </c>
      <c r="C40">
        <v>44.8</v>
      </c>
      <c r="D40">
        <v>4.8</v>
      </c>
      <c r="E40">
        <v>0.5</v>
      </c>
      <c r="F40">
        <v>20.5</v>
      </c>
      <c r="G40">
        <v>2.1</v>
      </c>
      <c r="H40">
        <v>9.1999999999999993</v>
      </c>
    </row>
    <row r="41" spans="1:8" x14ac:dyDescent="0.2">
      <c r="A41">
        <v>1875</v>
      </c>
      <c r="C41">
        <v>52.2</v>
      </c>
      <c r="D41">
        <v>6</v>
      </c>
      <c r="E41">
        <v>0.6</v>
      </c>
      <c r="F41">
        <v>20</v>
      </c>
      <c r="G41">
        <v>2</v>
      </c>
      <c r="H41">
        <v>10.4</v>
      </c>
    </row>
    <row r="42" spans="1:8" x14ac:dyDescent="0.2">
      <c r="A42">
        <v>1900</v>
      </c>
      <c r="C42">
        <v>49.5</v>
      </c>
      <c r="D42">
        <v>5</v>
      </c>
      <c r="E42">
        <v>0.7</v>
      </c>
      <c r="F42">
        <v>19</v>
      </c>
      <c r="G42">
        <v>2.1</v>
      </c>
      <c r="H42">
        <v>9.3000000000000007</v>
      </c>
    </row>
    <row r="43" spans="1:8" x14ac:dyDescent="0.2">
      <c r="A43">
        <v>1925</v>
      </c>
      <c r="C43">
        <v>49.4</v>
      </c>
      <c r="D43">
        <v>6.5</v>
      </c>
      <c r="E43">
        <v>1.1000000000000001</v>
      </c>
      <c r="F43">
        <v>22</v>
      </c>
      <c r="G43">
        <v>3</v>
      </c>
      <c r="H43">
        <v>11.7</v>
      </c>
    </row>
    <row r="44" spans="1:8" x14ac:dyDescent="0.2">
      <c r="A44">
        <v>1965</v>
      </c>
      <c r="C44">
        <v>49.7</v>
      </c>
      <c r="D44">
        <v>4.43</v>
      </c>
      <c r="E44">
        <v>0.92</v>
      </c>
      <c r="F44">
        <v>16.39</v>
      </c>
      <c r="G44">
        <v>1.25</v>
      </c>
      <c r="H44">
        <v>8.7899999999999991</v>
      </c>
    </row>
    <row r="45" spans="1:8" x14ac:dyDescent="0.2">
      <c r="A45">
        <v>1985</v>
      </c>
      <c r="C45">
        <v>46.5</v>
      </c>
      <c r="D45">
        <v>3.62</v>
      </c>
      <c r="E45">
        <v>0.8</v>
      </c>
      <c r="F45">
        <v>16.850000000000001</v>
      </c>
      <c r="G45">
        <v>1.19</v>
      </c>
      <c r="H45">
        <v>7.92</v>
      </c>
    </row>
    <row r="46" spans="1:8" x14ac:dyDescent="0.2">
      <c r="A46">
        <v>2005</v>
      </c>
      <c r="C46">
        <v>49.4</v>
      </c>
      <c r="D46">
        <v>3.03</v>
      </c>
      <c r="E46">
        <v>0.8</v>
      </c>
      <c r="F46">
        <v>14.01</v>
      </c>
      <c r="G46">
        <v>0.8</v>
      </c>
      <c r="H46">
        <v>6.97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8" sqref="D18"/>
    </sheetView>
  </sheetViews>
  <sheetFormatPr defaultRowHeight="12.75" x14ac:dyDescent="0.2"/>
  <cols>
    <col min="1" max="1" width="13.42578125" customWidth="1"/>
    <col min="2" max="2" width="23.28515625" customWidth="1"/>
    <col min="3" max="3" width="22.42578125" customWidth="1"/>
  </cols>
  <sheetData>
    <row r="1" spans="1:7" x14ac:dyDescent="0.2">
      <c r="A1" t="s">
        <v>250</v>
      </c>
      <c r="B1" t="s">
        <v>251</v>
      </c>
      <c r="C1" t="s">
        <v>252</v>
      </c>
      <c r="F1" t="s">
        <v>251</v>
      </c>
      <c r="G1" t="s">
        <v>252</v>
      </c>
    </row>
    <row r="2" spans="1:7" x14ac:dyDescent="0.2">
      <c r="A2" t="s">
        <v>253</v>
      </c>
      <c r="B2">
        <f t="shared" ref="B2:C8" si="0">F2*1000</f>
        <v>9350</v>
      </c>
      <c r="C2">
        <f t="shared" si="0"/>
        <v>4200</v>
      </c>
      <c r="F2">
        <v>9.35</v>
      </c>
      <c r="G2">
        <v>4.2</v>
      </c>
    </row>
    <row r="3" spans="1:7" x14ac:dyDescent="0.2">
      <c r="A3" t="s">
        <v>254</v>
      </c>
      <c r="B3">
        <f t="shared" si="0"/>
        <v>3330</v>
      </c>
      <c r="C3">
        <f t="shared" si="0"/>
        <v>1980</v>
      </c>
      <c r="F3">
        <v>3.33</v>
      </c>
      <c r="G3">
        <v>1.98</v>
      </c>
    </row>
    <row r="4" spans="1:7" x14ac:dyDescent="0.2">
      <c r="A4" t="s">
        <v>255</v>
      </c>
      <c r="B4">
        <f t="shared" si="0"/>
        <v>1160</v>
      </c>
      <c r="C4">
        <f t="shared" si="0"/>
        <v>160</v>
      </c>
      <c r="F4">
        <v>1.1599999999999999</v>
      </c>
      <c r="G4">
        <v>0.16</v>
      </c>
    </row>
    <row r="5" spans="1:7" x14ac:dyDescent="0.2">
      <c r="A5" t="s">
        <v>256</v>
      </c>
      <c r="B5">
        <f t="shared" si="0"/>
        <v>990</v>
      </c>
      <c r="C5">
        <f t="shared" si="0"/>
        <v>100</v>
      </c>
      <c r="F5">
        <v>0.99</v>
      </c>
      <c r="G5">
        <v>0.1</v>
      </c>
    </row>
    <row r="6" spans="1:7" x14ac:dyDescent="0.2">
      <c r="A6" t="s">
        <v>257</v>
      </c>
      <c r="B6">
        <f t="shared" si="0"/>
        <v>1580</v>
      </c>
      <c r="C6">
        <f t="shared" si="0"/>
        <v>700</v>
      </c>
      <c r="F6">
        <v>1.58</v>
      </c>
      <c r="G6">
        <v>0.7</v>
      </c>
    </row>
    <row r="7" spans="1:7" x14ac:dyDescent="0.2">
      <c r="A7" t="s">
        <v>258</v>
      </c>
      <c r="B7">
        <f t="shared" si="0"/>
        <v>2540</v>
      </c>
      <c r="C7">
        <f t="shared" si="0"/>
        <v>1700</v>
      </c>
      <c r="F7">
        <v>2.54</v>
      </c>
      <c r="G7">
        <v>1.7</v>
      </c>
    </row>
    <row r="8" spans="1:7" x14ac:dyDescent="0.2">
      <c r="A8" t="s">
        <v>259</v>
      </c>
      <c r="B8">
        <f t="shared" si="0"/>
        <v>1540</v>
      </c>
      <c r="C8">
        <f t="shared" si="0"/>
        <v>730</v>
      </c>
      <c r="F8">
        <v>1.54</v>
      </c>
      <c r="G8">
        <v>0.73</v>
      </c>
    </row>
    <row r="14" spans="1:7" x14ac:dyDescent="0.2">
      <c r="B14">
        <v>59</v>
      </c>
      <c r="C14">
        <v>61</v>
      </c>
      <c r="D14" t="s">
        <v>260</v>
      </c>
    </row>
    <row r="15" spans="1:7" x14ac:dyDescent="0.2">
      <c r="B15">
        <v>5.6</v>
      </c>
      <c r="C15">
        <v>3.6</v>
      </c>
      <c r="D15" t="s">
        <v>261</v>
      </c>
    </row>
    <row r="16" spans="1:7" x14ac:dyDescent="0.2">
      <c r="B16">
        <v>0.84</v>
      </c>
      <c r="C16">
        <v>0.2</v>
      </c>
      <c r="D16" t="s">
        <v>262</v>
      </c>
    </row>
    <row r="17" spans="2:4" x14ac:dyDescent="0.2">
      <c r="B17">
        <v>1.5</v>
      </c>
      <c r="C17">
        <v>0.6</v>
      </c>
      <c r="D17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14</vt:i4>
      </vt:variant>
    </vt:vector>
  </HeadingPairs>
  <TitlesOfParts>
    <vt:vector size="22" baseType="lpstr">
      <vt:lpstr>Sheet1</vt:lpstr>
      <vt:lpstr>preps</vt:lpstr>
      <vt:lpstr>Sheet2</vt:lpstr>
      <vt:lpstr>Sheet3</vt:lpstr>
      <vt:lpstr>Sheet4</vt:lpstr>
      <vt:lpstr>Sheet5</vt:lpstr>
      <vt:lpstr>Sheet6</vt:lpstr>
      <vt:lpstr>Sheet7</vt:lpstr>
      <vt:lpstr>Fig1</vt:lpstr>
      <vt:lpstr>Fig2</vt:lpstr>
      <vt:lpstr>Fig 3</vt:lpstr>
      <vt:lpstr>Fig4</vt:lpstr>
      <vt:lpstr>Fig 5</vt:lpstr>
      <vt:lpstr>Fig6</vt:lpstr>
      <vt:lpstr>Fig7</vt:lpstr>
      <vt:lpstr>Fig 8</vt:lpstr>
      <vt:lpstr>Fig9</vt:lpstr>
      <vt:lpstr>Fig 10</vt:lpstr>
      <vt:lpstr>Fig 11</vt:lpstr>
      <vt:lpstr>Fig 12</vt:lpstr>
      <vt:lpstr>Fig13</vt:lpstr>
      <vt:lpstr>Fig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xlParse</cp:lastModifiedBy>
  <dcterms:created xsi:type="dcterms:W3CDTF">2008-11-29T14:19:14Z</dcterms:created>
  <dcterms:modified xsi:type="dcterms:W3CDTF">2017-10-05T14:03:02Z</dcterms:modified>
</cp:coreProperties>
</file>