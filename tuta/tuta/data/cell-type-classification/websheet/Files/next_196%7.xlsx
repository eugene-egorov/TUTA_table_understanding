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120" yWindow="120" windowWidth="9720" windowHeight="7320"/>
  </bookViews>
  <sheets>
    <sheet name="Sheet" sheetId="4" r:id="rId1"/>
  </sheets>
  <calcPr calcId="145621"/>
</workbook>
</file>

<file path=xl/calcChain.xml><?xml version="1.0" encoding="utf-8"?>
<calcChain xmlns="http://schemas.openxmlformats.org/spreadsheetml/2006/main">
  <c r="N10" i="4" l="1"/>
  <c r="M10" i="4"/>
  <c r="O10" i="4"/>
  <c r="I10" i="4"/>
  <c r="J10" i="4"/>
  <c r="M2" i="4"/>
  <c r="J3" i="4"/>
  <c r="I3" i="4"/>
  <c r="J4" i="4"/>
  <c r="I4" i="4"/>
  <c r="I5" i="4"/>
  <c r="K5" i="4"/>
  <c r="J6" i="4"/>
  <c r="I6" i="4"/>
  <c r="J7" i="4"/>
  <c r="I7" i="4"/>
  <c r="K7" i="4"/>
  <c r="J8" i="4"/>
  <c r="I8" i="4"/>
  <c r="I2" i="4"/>
  <c r="E5" i="4"/>
  <c r="E3" i="4"/>
  <c r="E2" i="4"/>
  <c r="N4" i="4"/>
  <c r="N5" i="4"/>
  <c r="N3" i="4"/>
  <c r="M3" i="4"/>
  <c r="O3" i="4"/>
  <c r="K10" i="4"/>
  <c r="F10" i="4"/>
  <c r="E10" i="4"/>
  <c r="G10" i="4"/>
  <c r="K8" i="4"/>
  <c r="K6" i="4"/>
  <c r="K4" i="4"/>
  <c r="K3" i="4"/>
  <c r="F6" i="4"/>
  <c r="E6" i="4"/>
  <c r="G6" i="4"/>
  <c r="G5" i="4"/>
  <c r="F3" i="4"/>
  <c r="F4" i="4"/>
  <c r="E4" i="4"/>
  <c r="G4" i="4"/>
  <c r="G3" i="4"/>
  <c r="G2" i="4"/>
  <c r="O2" i="4"/>
  <c r="K2" i="4"/>
  <c r="M5" i="4"/>
  <c r="O5" i="4"/>
  <c r="N6" i="4"/>
  <c r="M4" i="4"/>
  <c r="O4" i="4"/>
  <c r="F7" i="4"/>
  <c r="E7" i="4"/>
  <c r="G7" i="4"/>
  <c r="F8" i="4"/>
  <c r="E8" i="4"/>
  <c r="G8" i="4"/>
  <c r="N7" i="4"/>
  <c r="M6" i="4"/>
  <c r="O6" i="4"/>
  <c r="M7" i="4"/>
  <c r="O7" i="4"/>
  <c r="N8" i="4"/>
  <c r="M8" i="4"/>
  <c r="O8" i="4"/>
</calcChain>
</file>

<file path=xl/sharedStrings.xml><?xml version="1.0" encoding="utf-8"?>
<sst xmlns="http://schemas.openxmlformats.org/spreadsheetml/2006/main" count="15" uniqueCount="8">
  <si>
    <t>Y</t>
  </si>
  <si>
    <t>D, Centimeter^2 / Second</t>
  </si>
  <si>
    <t>Cs</t>
  </si>
  <si>
    <t>V,  Micron / Day</t>
  </si>
  <si>
    <t>delta, Micron</t>
  </si>
  <si>
    <t>K rock/melt</t>
  </si>
  <si>
    <t>C0</t>
  </si>
  <si>
    <t>Fixed values of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</si>
</sst>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E+00"/>
  </numFmts>
  <fonts count="4">
    <font>
      <sz val="10"/>
      <name val="Arial"/>
    </font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81" fontId="1" fillId="0" borderId="0" xfId="1" applyNumberFormat="1"/>
    <xf numFmtId="0" fontId="1" fillId="0" borderId="0" xfId="1" applyNumberFormat="1"/>
    <xf numFmtId="0" fontId="3" fillId="0" borderId="0" xfId="1" applyFont="1"/>
  </cellXfs>
  <cellStyles count="2">
    <cellStyle name="Normal" xfId="0" builtinId="0"/>
    <cellStyle name="Обычный_Model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72237001258188"/>
          <c:y val="5.2631663483731696E-2"/>
          <c:w val="0.74688948005032751"/>
          <c:h val="0.723685372901310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Sheet!$K$1</c:f>
              <c:strCache>
                <c:ptCount val="1"/>
                <c:pt idx="0">
                  <c:v>Cs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8"/>
            <c:marker>
              <c:symbol val="diamond"/>
              <c:size val="5"/>
              <c:spPr>
                <a:solidFill>
                  <a:srgbClr val="00008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51-450C-BABF-BC50015A1D16}"/>
              </c:ext>
            </c:extLst>
          </c:dPt>
          <c:xVal>
            <c:numRef>
              <c:f>Sheet!$J$2:$J$10</c:f>
              <c:numCache>
                <c:formatCode>General</c:formatCode>
                <c:ptCount val="9"/>
                <c:pt idx="0">
                  <c:v>30</c:v>
                </c:pt>
                <c:pt idx="1">
                  <c:v>45</c:v>
                </c:pt>
                <c:pt idx="2">
                  <c:v>67.5</c:v>
                </c:pt>
                <c:pt idx="3">
                  <c:v>100</c:v>
                </c:pt>
                <c:pt idx="4">
                  <c:v>150</c:v>
                </c:pt>
                <c:pt idx="5">
                  <c:v>225</c:v>
                </c:pt>
                <c:pt idx="6">
                  <c:v>337.5</c:v>
                </c:pt>
                <c:pt idx="8">
                  <c:v>100</c:v>
                </c:pt>
              </c:numCache>
            </c:numRef>
          </c:xVal>
          <c:yVal>
            <c:numRef>
              <c:f>Sheet!$K$2:$K$10</c:f>
              <c:numCache>
                <c:formatCode>General</c:formatCode>
                <c:ptCount val="9"/>
                <c:pt idx="0">
                  <c:v>5570.3790212258937</c:v>
                </c:pt>
                <c:pt idx="1">
                  <c:v>4935.7658256866071</c:v>
                </c:pt>
                <c:pt idx="2">
                  <c:v>4215.6651405420307</c:v>
                </c:pt>
                <c:pt idx="3">
                  <c:v>3482.2874664751685</c:v>
                </c:pt>
                <c:pt idx="4">
                  <c:v>2747.6207937897934</c:v>
                </c:pt>
                <c:pt idx="5">
                  <c:v>2087.8558915688204</c:v>
                </c:pt>
                <c:pt idx="6">
                  <c:v>1535.8627615902651</c:v>
                </c:pt>
                <c:pt idx="8">
                  <c:v>3482.2874664751685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1-450C-BABF-BC50015A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06512"/>
        <c:axId val="1"/>
      </c:scatterChart>
      <c:valAx>
        <c:axId val="111606512"/>
        <c:scaling>
          <c:orientation val="minMax"/>
        </c:scaling>
        <c:delete val="0"/>
        <c:axPos val="b"/>
        <c:title>
          <c:tx>
            <c:strRef>
              <c:f>Sheet!$J$1</c:f>
              <c:strCache>
                <c:ptCount val="1"/>
                <c:pt idx="0">
                  <c:v>V,  Micron / Day</c:v>
                </c:pt>
              </c:strCache>
            </c:strRef>
          </c:tx>
          <c:layout>
            <c:manualLayout>
              <c:xMode val="edge"/>
              <c:yMode val="edge"/>
              <c:x val="0.34439908603657554"/>
              <c:y val="0.8782908550904821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 Cyr"/>
                  <a:ea typeface="Arial Cyr"/>
                  <a:cs typeface="Arial Cyr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11606512"/>
        <c:crossesAt val="9.9999999999999995E-8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539562004753156E-2"/>
          <c:y val="5.2631663483731696E-2"/>
          <c:w val="0.74688948005032751"/>
          <c:h val="0.723685372901310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Sheet!$O$1</c:f>
              <c:strCache>
                <c:ptCount val="1"/>
                <c:pt idx="0">
                  <c:v>Cs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8"/>
            <c:marker>
              <c:symbol val="diamond"/>
              <c:size val="5"/>
              <c:spPr>
                <a:solidFill>
                  <a:srgbClr val="00008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285-4BA1-817D-D564872B231C}"/>
              </c:ext>
            </c:extLst>
          </c:dPt>
          <c:xVal>
            <c:numRef>
              <c:f>Sheet!$N$2:$N$10</c:f>
              <c:numCache>
                <c:formatCode>General</c:formatCode>
                <c:ptCount val="9"/>
                <c:pt idx="0">
                  <c:v>50</c:v>
                </c:pt>
                <c:pt idx="1">
                  <c:v>110</c:v>
                </c:pt>
                <c:pt idx="2">
                  <c:v>170</c:v>
                </c:pt>
                <c:pt idx="3">
                  <c:v>230</c:v>
                </c:pt>
                <c:pt idx="4">
                  <c:v>290</c:v>
                </c:pt>
                <c:pt idx="5">
                  <c:v>350</c:v>
                </c:pt>
                <c:pt idx="6">
                  <c:v>410</c:v>
                </c:pt>
                <c:pt idx="8">
                  <c:v>200</c:v>
                </c:pt>
              </c:numCache>
            </c:numRef>
          </c:xVal>
          <c:yVal>
            <c:numRef>
              <c:f>Sheet!$O$2:$O$10</c:f>
              <c:numCache>
                <c:formatCode>General</c:formatCode>
                <c:ptCount val="9"/>
                <c:pt idx="0">
                  <c:v>5819.8653562400659</c:v>
                </c:pt>
                <c:pt idx="1">
                  <c:v>4587.4458522837149</c:v>
                </c:pt>
                <c:pt idx="2">
                  <c:v>3786.2277297289575</c:v>
                </c:pt>
                <c:pt idx="3">
                  <c:v>3223.6019484410226</c:v>
                </c:pt>
                <c:pt idx="4">
                  <c:v>2806.8058233907227</c:v>
                </c:pt>
                <c:pt idx="5">
                  <c:v>2485.6468272781326</c:v>
                </c:pt>
                <c:pt idx="6">
                  <c:v>2230.595835596609</c:v>
                </c:pt>
                <c:pt idx="8">
                  <c:v>3482.2874664751685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5-4BA1-817D-D564872B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04544"/>
        <c:axId val="1"/>
      </c:scatterChart>
      <c:valAx>
        <c:axId val="111604544"/>
        <c:scaling>
          <c:orientation val="minMax"/>
          <c:max val="450"/>
          <c:min val="0"/>
        </c:scaling>
        <c:delete val="0"/>
        <c:axPos val="b"/>
        <c:title>
          <c:tx>
            <c:strRef>
              <c:f>Sheet!$N$1</c:f>
              <c:strCache>
                <c:ptCount val="1"/>
                <c:pt idx="0">
                  <c:v>delta, Micron</c:v>
                </c:pt>
              </c:strCache>
            </c:strRef>
          </c:tx>
          <c:layout>
            <c:manualLayout>
              <c:xMode val="edge"/>
              <c:yMode val="edge"/>
              <c:x val="0.26556065908428111"/>
              <c:y val="0.8782908550904821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 Cyr"/>
                  <a:ea typeface="Arial Cyr"/>
                  <a:cs typeface="Arial Cyr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"/>
        <c:crosses val="autoZero"/>
        <c:crossBetween val="midCat"/>
        <c:majorUnit val="100"/>
      </c:valAx>
      <c:valAx>
        <c:axId val="1"/>
        <c:scaling>
          <c:orientation val="minMax"/>
          <c:max val="7000"/>
        </c:scaling>
        <c:delete val="0"/>
        <c:axPos val="l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11604544"/>
        <c:crossesAt val="45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72237001258188"/>
          <c:y val="5.2631663483731696E-2"/>
          <c:w val="0.70954500604781112"/>
          <c:h val="0.723685372901310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Sheet!$G$1</c:f>
              <c:strCache>
                <c:ptCount val="1"/>
                <c:pt idx="0">
                  <c:v>Cs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8"/>
            <c:marker>
              <c:symbol val="diamond"/>
              <c:size val="5"/>
              <c:spPr>
                <a:solidFill>
                  <a:srgbClr val="00008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49B-4B3A-8A95-0B31FC75329C}"/>
              </c:ext>
            </c:extLst>
          </c:dPt>
          <c:xVal>
            <c:numRef>
              <c:f>Sheet!$F$2:$F$10</c:f>
              <c:numCache>
                <c:formatCode>0.E+00</c:formatCode>
                <c:ptCount val="9"/>
                <c:pt idx="0">
                  <c:v>7.9999999999999996E-6</c:v>
                </c:pt>
                <c:pt idx="1">
                  <c:v>3.9999999999999998E-6</c:v>
                </c:pt>
                <c:pt idx="2">
                  <c:v>1.9999999999999999E-6</c:v>
                </c:pt>
                <c:pt idx="3">
                  <c:v>9.9999999999999995E-7</c:v>
                </c:pt>
                <c:pt idx="4">
                  <c:v>4.9999999999999998E-7</c:v>
                </c:pt>
                <c:pt idx="5">
                  <c:v>2.4999999999999999E-7</c:v>
                </c:pt>
                <c:pt idx="6">
                  <c:v>1.2499999999999999E-7</c:v>
                </c:pt>
                <c:pt idx="8">
                  <c:v>9.9999999999999995E-7</c:v>
                </c:pt>
              </c:numCache>
            </c:numRef>
          </c:xVal>
          <c:yVal>
            <c:numRef>
              <c:f>Sheet!$G$2:$G$10</c:f>
              <c:numCache>
                <c:formatCode>General</c:formatCode>
                <c:ptCount val="9"/>
                <c:pt idx="0">
                  <c:v>6553.8490766813593</c:v>
                </c:pt>
                <c:pt idx="1">
                  <c:v>5819.8653562400659</c:v>
                </c:pt>
                <c:pt idx="2">
                  <c:v>4755.2257167107982</c:v>
                </c:pt>
                <c:pt idx="3">
                  <c:v>3482.2874664751685</c:v>
                </c:pt>
                <c:pt idx="4">
                  <c:v>2269.39485391985</c:v>
                </c:pt>
                <c:pt idx="5">
                  <c:v>1339.5139974561873</c:v>
                </c:pt>
                <c:pt idx="6">
                  <c:v>738.50123640837262</c:v>
                </c:pt>
                <c:pt idx="8">
                  <c:v>3482.2874664751685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B-4B3A-8A95-0B31FC753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45440"/>
        <c:axId val="1"/>
      </c:scatterChart>
      <c:valAx>
        <c:axId val="112245440"/>
        <c:scaling>
          <c:logBase val="10"/>
          <c:orientation val="minMax"/>
          <c:max val="1.0000000000000001E-5"/>
        </c:scaling>
        <c:delete val="0"/>
        <c:axPos val="b"/>
        <c:title>
          <c:tx>
            <c:strRef>
              <c:f>Sheet!$F$1</c:f>
              <c:strCache>
                <c:ptCount val="1"/>
                <c:pt idx="0">
                  <c:v>D, Centimeter^2 / Second</c:v>
                </c:pt>
              </c:strCache>
            </c:strRef>
          </c:tx>
          <c:layout>
            <c:manualLayout>
              <c:xMode val="edge"/>
              <c:yMode val="edge"/>
              <c:x val="0.19502119927316777"/>
              <c:y val="0.8782908550904821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 Cyr"/>
                  <a:ea typeface="Arial Cyr"/>
                  <a:cs typeface="Arial Cyr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00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112245440"/>
        <c:crossesAt val="9.9999999999999995E-8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11</xdr:col>
      <xdr:colOff>466725</xdr:colOff>
      <xdr:row>27</xdr:row>
      <xdr:rowOff>142875</xdr:rowOff>
    </xdr:to>
    <xdr:graphicFrame macro="">
      <xdr:nvGraphicFramePr>
        <xdr:cNvPr id="1034" name="Chart 1">
          <a:extLst>
            <a:ext uri="{FF2B5EF4-FFF2-40B4-BE49-F238E27FC236}">
              <a16:creationId xmlns:a16="http://schemas.microsoft.com/office/drawing/2014/main" id="{B2E5C764-E7E4-4693-9A43-A419E21F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15</xdr:col>
      <xdr:colOff>466725</xdr:colOff>
      <xdr:row>27</xdr:row>
      <xdr:rowOff>142875</xdr:rowOff>
    </xdr:to>
    <xdr:graphicFrame macro="">
      <xdr:nvGraphicFramePr>
        <xdr:cNvPr id="1035" name="Chart 2">
          <a:extLst>
            <a:ext uri="{FF2B5EF4-FFF2-40B4-BE49-F238E27FC236}">
              <a16:creationId xmlns:a16="http://schemas.microsoft.com/office/drawing/2014/main" id="{20E35453-FB39-4FEF-8E0D-4CE4C52C1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7</xdr:col>
      <xdr:colOff>466725</xdr:colOff>
      <xdr:row>27</xdr:row>
      <xdr:rowOff>142875</xdr:rowOff>
    </xdr:to>
    <xdr:graphicFrame macro="">
      <xdr:nvGraphicFramePr>
        <xdr:cNvPr id="1036" name="Chart 3">
          <a:extLst>
            <a:ext uri="{FF2B5EF4-FFF2-40B4-BE49-F238E27FC236}">
              <a16:creationId xmlns:a16="http://schemas.microsoft.com/office/drawing/2014/main" id="{85368DF8-8D54-427D-8320-21F4369F1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zoomScale="160" zoomScaleNormal="160" workbookViewId="0">
      <selection activeCell="C17" sqref="C17"/>
    </sheetView>
  </sheetViews>
  <sheetFormatPr defaultRowHeight="12.75"/>
  <cols>
    <col min="1" max="5" width="9.140625" style="1"/>
    <col min="6" max="6" width="19.28515625" style="1" customWidth="1"/>
    <col min="7" max="9" width="9.140625" style="1"/>
    <col min="10" max="10" width="15.7109375" style="1" customWidth="1"/>
    <col min="11" max="11" width="12.28515625" style="1" customWidth="1"/>
    <col min="12" max="13" width="9.140625" style="1"/>
    <col min="14" max="14" width="13.5703125" style="1" customWidth="1"/>
    <col min="15" max="15" width="11.42578125" style="1" customWidth="1"/>
    <col min="16" max="16384" width="9.140625" style="1"/>
  </cols>
  <sheetData>
    <row r="1" spans="1:15">
      <c r="A1" s="4" t="s">
        <v>7</v>
      </c>
      <c r="B1" s="4"/>
      <c r="C1" s="4"/>
      <c r="E1" s="1" t="s">
        <v>0</v>
      </c>
      <c r="F1" s="1" t="s">
        <v>1</v>
      </c>
      <c r="G1" s="1" t="s">
        <v>2</v>
      </c>
      <c r="I1" s="1" t="s">
        <v>0</v>
      </c>
      <c r="J1" s="1" t="s">
        <v>3</v>
      </c>
      <c r="K1" s="1" t="s">
        <v>2</v>
      </c>
      <c r="M1" s="1" t="s">
        <v>0</v>
      </c>
      <c r="N1" s="1" t="s">
        <v>4</v>
      </c>
      <c r="O1" s="1" t="s">
        <v>2</v>
      </c>
    </row>
    <row r="2" spans="1:15">
      <c r="A2" s="2">
        <v>9.9999999999999995E-7</v>
      </c>
      <c r="B2" s="1" t="s">
        <v>1</v>
      </c>
      <c r="E2" s="1">
        <f>EXP($A$3*$A$4/F2/8640000000000)</f>
        <v>1.000289393718137</v>
      </c>
      <c r="F2" s="2">
        <v>7.9999999999999996E-6</v>
      </c>
      <c r="G2" s="1">
        <f>$A$6*$A$5*E2/(1+$A$5*(E2-1))</f>
        <v>6553.8490766813593</v>
      </c>
      <c r="I2" s="1">
        <f>EXP(J2*$A$4/$A$2/8640000000000)</f>
        <v>1.0006946856268137</v>
      </c>
      <c r="J2" s="3">
        <v>30</v>
      </c>
      <c r="K2" s="1">
        <f>$A$6*$A$5*I2/(1+$A$5*(I2-1))</f>
        <v>5570.3790212258937</v>
      </c>
      <c r="M2" s="1">
        <f>EXP($A$3*N2/$A$2/8640000000000)</f>
        <v>1.0005788711849979</v>
      </c>
      <c r="N2" s="3">
        <v>50</v>
      </c>
      <c r="O2" s="1">
        <f>$A$6*$A$5*M2/(1+$A$5*(M2-1))</f>
        <v>5819.8653562400659</v>
      </c>
    </row>
    <row r="3" spans="1:15">
      <c r="A3" s="1">
        <v>100</v>
      </c>
      <c r="B3" s="1" t="s">
        <v>3</v>
      </c>
      <c r="E3" s="1">
        <f t="shared" ref="E3:E8" si="0">EXP($A$3*$A$4/F3/8640000000000)</f>
        <v>1.0005788711849979</v>
      </c>
      <c r="F3" s="2">
        <f>F2/2</f>
        <v>3.9999999999999998E-6</v>
      </c>
      <c r="G3" s="1">
        <f t="shared" ref="G3:G10" si="1">$A$6*$A$5*E3/(1+$A$5*(E3-1))</f>
        <v>5819.8653562400659</v>
      </c>
      <c r="I3" s="1">
        <f t="shared" ref="I3:I8" si="2">EXP(J3*$A$4/$A$2/8640000000000)</f>
        <v>1.0010422093898181</v>
      </c>
      <c r="J3" s="1">
        <f>J2*1.5</f>
        <v>45</v>
      </c>
      <c r="K3" s="1">
        <f t="shared" ref="K3:K10" si="3">$A$6*$A$5*I3/(1+$A$5*(I3-1))</f>
        <v>4935.7658256866071</v>
      </c>
      <c r="M3" s="1">
        <f t="shared" ref="M3:M8" si="4">EXP($A$3*N3/$A$2/8640000000000)</f>
        <v>1.0012739589453035</v>
      </c>
      <c r="N3" s="1">
        <f t="shared" ref="N3:N8" si="5">N2+60</f>
        <v>110</v>
      </c>
      <c r="O3" s="1">
        <f t="shared" ref="O3:O10" si="6">$A$6*$A$5*M3/(1+$A$5*(M3-1))</f>
        <v>4587.4458522837149</v>
      </c>
    </row>
    <row r="4" spans="1:15">
      <c r="A4" s="1">
        <v>200</v>
      </c>
      <c r="B4" s="1" t="s">
        <v>4</v>
      </c>
      <c r="E4" s="1">
        <f t="shared" si="0"/>
        <v>1.0011580774618445</v>
      </c>
      <c r="F4" s="2">
        <f>F3/2</f>
        <v>1.9999999999999999E-6</v>
      </c>
      <c r="G4" s="1">
        <f t="shared" si="1"/>
        <v>4755.2257167107982</v>
      </c>
      <c r="I4" s="1">
        <f t="shared" si="2"/>
        <v>1.0015637213391564</v>
      </c>
      <c r="J4" s="1">
        <f>J3*1.5</f>
        <v>67.5</v>
      </c>
      <c r="K4" s="1">
        <f t="shared" si="3"/>
        <v>4215.6651405420307</v>
      </c>
      <c r="M4" s="1">
        <f t="shared" si="4"/>
        <v>1.0019695295730857</v>
      </c>
      <c r="N4" s="1">
        <f t="shared" si="5"/>
        <v>170</v>
      </c>
      <c r="O4" s="1">
        <f t="shared" si="6"/>
        <v>3786.2277297289575</v>
      </c>
    </row>
    <row r="5" spans="1:15">
      <c r="A5" s="1">
        <v>500</v>
      </c>
      <c r="B5" s="1" t="s">
        <v>5</v>
      </c>
      <c r="E5" s="1">
        <f t="shared" si="0"/>
        <v>1.0023174960670966</v>
      </c>
      <c r="F5" s="2">
        <v>9.9999999999999995E-7</v>
      </c>
      <c r="G5" s="1">
        <f t="shared" si="1"/>
        <v>3482.2874664751685</v>
      </c>
      <c r="I5" s="1">
        <f t="shared" si="2"/>
        <v>1.0023174960670966</v>
      </c>
      <c r="J5" s="1">
        <v>100</v>
      </c>
      <c r="K5" s="1">
        <f t="shared" si="3"/>
        <v>3482.2874664751685</v>
      </c>
      <c r="M5" s="1">
        <f t="shared" si="4"/>
        <v>1.0026655834037854</v>
      </c>
      <c r="N5" s="1">
        <f t="shared" si="5"/>
        <v>230</v>
      </c>
      <c r="O5" s="1">
        <f t="shared" si="6"/>
        <v>3223.6019484410226</v>
      </c>
    </row>
    <row r="6" spans="1:15">
      <c r="A6" s="1">
        <v>15</v>
      </c>
      <c r="B6" s="1" t="s">
        <v>6</v>
      </c>
      <c r="E6" s="1">
        <f t="shared" si="0"/>
        <v>1.0046403629222143</v>
      </c>
      <c r="F6" s="2">
        <f>F5/2</f>
        <v>4.9999999999999998E-7</v>
      </c>
      <c r="G6" s="1">
        <f t="shared" si="1"/>
        <v>2269.39485391985</v>
      </c>
      <c r="I6" s="1">
        <f t="shared" si="2"/>
        <v>1.0034782573689043</v>
      </c>
      <c r="J6" s="1">
        <f>J5*1.5</f>
        <v>150</v>
      </c>
      <c r="K6" s="1">
        <f t="shared" si="3"/>
        <v>2747.6207937897934</v>
      </c>
      <c r="M6" s="1">
        <f t="shared" si="4"/>
        <v>1.0033621207730767</v>
      </c>
      <c r="N6" s="1">
        <f t="shared" si="5"/>
        <v>290</v>
      </c>
      <c r="O6" s="1">
        <f t="shared" si="6"/>
        <v>2806.8058233907227</v>
      </c>
    </row>
    <row r="7" spans="1:15">
      <c r="E7" s="1">
        <f t="shared" si="0"/>
        <v>1.0093022588124783</v>
      </c>
      <c r="F7" s="2">
        <f>F6/2</f>
        <v>2.4999999999999999E-7</v>
      </c>
      <c r="G7" s="1">
        <f t="shared" si="1"/>
        <v>1339.5139974561873</v>
      </c>
      <c r="I7" s="1">
        <f t="shared" si="2"/>
        <v>1.0052219202795956</v>
      </c>
      <c r="J7" s="1">
        <f>J6*1.5</f>
        <v>225</v>
      </c>
      <c r="K7" s="1">
        <f t="shared" si="3"/>
        <v>2087.8558915688204</v>
      </c>
      <c r="M7" s="1">
        <f t="shared" si="4"/>
        <v>1.004059142016867</v>
      </c>
      <c r="N7" s="1">
        <f t="shared" si="5"/>
        <v>350</v>
      </c>
      <c r="O7" s="1">
        <f t="shared" si="6"/>
        <v>2485.6468272781326</v>
      </c>
    </row>
    <row r="8" spans="1:15">
      <c r="E8" s="1">
        <f t="shared" si="0"/>
        <v>1.0186910496439709</v>
      </c>
      <c r="F8" s="2">
        <f>F7/2</f>
        <v>1.2499999999999999E-7</v>
      </c>
      <c r="G8" s="1">
        <f t="shared" si="1"/>
        <v>738.50123640837262</v>
      </c>
      <c r="I8" s="1">
        <f t="shared" si="2"/>
        <v>1.007843097206448</v>
      </c>
      <c r="J8" s="1">
        <f>J7*1.5</f>
        <v>337.5</v>
      </c>
      <c r="K8" s="1">
        <f t="shared" si="3"/>
        <v>1535.8627615902651</v>
      </c>
      <c r="M8" s="1">
        <f t="shared" si="4"/>
        <v>1.004756647471297</v>
      </c>
      <c r="N8" s="1">
        <f t="shared" si="5"/>
        <v>410</v>
      </c>
      <c r="O8" s="1">
        <f t="shared" si="6"/>
        <v>2230.595835596609</v>
      </c>
    </row>
    <row r="9" spans="1:15">
      <c r="F9" s="2"/>
    </row>
    <row r="10" spans="1:15">
      <c r="E10" s="1">
        <f>EXP($A$3*$A$4/F10/8640000000000)</f>
        <v>1.0023174960670966</v>
      </c>
      <c r="F10" s="2">
        <f>A2</f>
        <v>9.9999999999999995E-7</v>
      </c>
      <c r="G10" s="1">
        <f t="shared" si="1"/>
        <v>3482.2874664751685</v>
      </c>
      <c r="I10" s="1">
        <f>EXP(J10*$A$4/$A$2/8640000000000)</f>
        <v>1.0023174960670966</v>
      </c>
      <c r="J10" s="1">
        <f>A3</f>
        <v>100</v>
      </c>
      <c r="K10" s="1">
        <f t="shared" si="3"/>
        <v>3482.2874664751685</v>
      </c>
      <c r="M10" s="1">
        <f>EXP($A$3*N10/$A$2/8640000000000)</f>
        <v>1.0023174960670966</v>
      </c>
      <c r="N10" s="1">
        <f>A4</f>
        <v>200</v>
      </c>
      <c r="O10" s="1">
        <f t="shared" si="6"/>
        <v>3482.2874664751685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xlParse</cp:lastModifiedBy>
  <dcterms:created xsi:type="dcterms:W3CDTF">1996-10-08T23:32:33Z</dcterms:created>
  <dcterms:modified xsi:type="dcterms:W3CDTF">2017-10-08T04:55:58Z</dcterms:modified>
</cp:coreProperties>
</file>