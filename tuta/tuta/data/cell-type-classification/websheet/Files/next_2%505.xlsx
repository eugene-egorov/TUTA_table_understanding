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omments5.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6.xml" ContentType="application/vnd.openxmlformats-officedocument.spreadsheetml.comments+xml"/>
  <Override PartName="/xl/charts/chart4.xml" ContentType="application/vnd.openxmlformats-officedocument.drawingml.chart+xml"/>
  <Override PartName="/xl/drawings/drawing5.xml" ContentType="application/vnd.openxmlformats-officedocument.drawing+xml"/>
  <Override PartName="/xl/comments7.xml" ContentType="application/vnd.openxmlformats-officedocument.spreadsheetml.comments+xml"/>
  <Override PartName="/xl/charts/chart5.xml" ContentType="application/vnd.openxmlformats-officedocument.drawingml.chart+xml"/>
  <Override PartName="/xl/drawings/drawing6.xml" ContentType="application/vnd.openxmlformats-officedocument.drawing+xml"/>
  <Override PartName="/xl/comments8.xml" ContentType="application/vnd.openxmlformats-officedocument.spreadsheetml.comments+xml"/>
  <Override PartName="/xl/charts/chart6.xml" ContentType="application/vnd.openxmlformats-officedocument.drawingml.chart+xml"/>
  <Override PartName="/xl/drawings/drawing7.xml" ContentType="application/vnd.openxmlformats-officedocument.drawing+xml"/>
  <Override PartName="/xl/comments9.xml" ContentType="application/vnd.openxmlformats-officedocument.spreadsheetml.comments+xml"/>
  <Override PartName="/xl/charts/chart7.xml" ContentType="application/vnd.openxmlformats-officedocument.drawingml.chart+xml"/>
  <Override PartName="/xl/drawings/drawing8.xml" ContentType="application/vnd.openxmlformats-officedocument.drawing+xml"/>
  <Override PartName="/xl/comments10.xml" ContentType="application/vnd.openxmlformats-officedocument.spreadsheetml.comments+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filterPrivacy="1" defaultThemeVersion="124226"/>
  <bookViews>
    <workbookView xWindow="0" yWindow="0" windowWidth="14370" windowHeight="7530" tabRatio="496" firstSheet="1" activeTab="2"/>
  </bookViews>
  <sheets>
    <sheet name="Cover Sheet" sheetId="3" r:id="rId1"/>
    <sheet name="Summary" sheetId="2" r:id="rId2"/>
    <sheet name="Details" sheetId="1" r:id="rId3"/>
    <sheet name="Actors" sheetId="4" r:id="rId4"/>
    <sheet name="Stats (Summary)" sheetId="14" r:id="rId5"/>
    <sheet name="Stats (i1)" sheetId="5" r:id="rId6"/>
    <sheet name="Stats (i2)" sheetId="7" r:id="rId7"/>
    <sheet name="Stats (i3)" sheetId="8" r:id="rId8"/>
    <sheet name="Stats (i4)" sheetId="10" r:id="rId9"/>
    <sheet name="Stats (i5)" sheetId="11" r:id="rId10"/>
    <sheet name="Stats (i6)" sheetId="12" r:id="rId11"/>
    <sheet name="Stats (i7)" sheetId="13" r:id="rId12"/>
    <sheet name="Stats (i8)" sheetId="15" r:id="rId13"/>
    <sheet name="Compatibility Report" sheetId="16" r:id="rId14"/>
  </sheets>
  <definedNames>
    <definedName name="_xlnm._FilterDatabase" localSheetId="2" hidden="1">Details!$1:$1438</definedName>
  </definedNames>
  <calcPr calcId="152511" fullCalcOnLoad="1"/>
</workbook>
</file>

<file path=xl/calcChain.xml><?xml version="1.0" encoding="utf-8"?>
<calcChain xmlns="http://schemas.openxmlformats.org/spreadsheetml/2006/main">
  <c r="I3" i="15" l="1"/>
  <c r="I4" i="15"/>
  <c r="M3" i="15" a="1"/>
  <c r="M3" i="15"/>
  <c r="M2" i="15" a="1"/>
  <c r="M2" i="15"/>
  <c r="I3" i="13"/>
  <c r="I4" i="13"/>
  <c r="I5" i="13"/>
  <c r="I6" i="13"/>
  <c r="I7" i="13"/>
  <c r="I8" i="13"/>
  <c r="I9" i="13"/>
  <c r="I10" i="13"/>
  <c r="M10" i="13" a="1"/>
  <c r="M10" i="13"/>
  <c r="M9" i="13" a="1"/>
  <c r="M9" i="13"/>
  <c r="M8" i="13" a="1"/>
  <c r="M8" i="13"/>
  <c r="M7" i="13" a="1"/>
  <c r="M7" i="13"/>
  <c r="M6" i="13" a="1"/>
  <c r="M6" i="13"/>
  <c r="M5" i="13" a="1"/>
  <c r="M5" i="13"/>
  <c r="M4" i="13" a="1"/>
  <c r="M4" i="13"/>
  <c r="M3" i="13" a="1"/>
  <c r="M3" i="13"/>
  <c r="M2" i="13" a="1"/>
  <c r="M2" i="13"/>
  <c r="I3" i="12"/>
  <c r="I4" i="12"/>
  <c r="I5" i="12"/>
  <c r="I6" i="12"/>
  <c r="I7" i="12"/>
  <c r="M6" i="12" a="1"/>
  <c r="M6" i="12"/>
  <c r="M5" i="12" a="1"/>
  <c r="M5" i="12"/>
  <c r="M4" i="12" a="1"/>
  <c r="M4" i="12"/>
  <c r="M3" i="12" a="1"/>
  <c r="M3" i="12"/>
  <c r="M2" i="12" a="1"/>
  <c r="M2" i="12"/>
  <c r="M2" i="11" a="1"/>
  <c r="M2" i="11"/>
  <c r="N2" i="11"/>
  <c r="M2" i="10" a="1"/>
  <c r="M2" i="10"/>
  <c r="M2" i="8" a="1"/>
  <c r="M2" i="8"/>
  <c r="B2" i="15" a="1"/>
  <c r="B2" i="15"/>
  <c r="B2" i="13" a="1"/>
  <c r="B2" i="13"/>
  <c r="B2" i="12" a="1"/>
  <c r="B2" i="12"/>
  <c r="B2" i="11" a="1"/>
  <c r="B2" i="11"/>
  <c r="B2" i="10" a="1"/>
  <c r="B2" i="10"/>
  <c r="B2" i="8" a="1"/>
  <c r="B2" i="8"/>
  <c r="M2" i="7" a="1"/>
  <c r="M2" i="7"/>
  <c r="B2" i="7" a="1"/>
  <c r="B2" i="7"/>
  <c r="D2" i="7"/>
  <c r="M2" i="5" a="1"/>
  <c r="M2" i="5"/>
  <c r="N2" i="5"/>
  <c r="B2" i="5" a="1"/>
  <c r="B2" i="5"/>
  <c r="P4" i="5"/>
  <c r="P5" i="5"/>
  <c r="P6" i="5"/>
  <c r="P7" i="5"/>
  <c r="P8" i="5"/>
  <c r="P9" i="5"/>
  <c r="P10" i="5"/>
  <c r="P11" i="5"/>
  <c r="P12" i="5"/>
  <c r="P13" i="5"/>
  <c r="P14" i="5"/>
  <c r="P15" i="5"/>
  <c r="P16" i="5"/>
  <c r="P17" i="5"/>
  <c r="P18" i="5"/>
  <c r="P19" i="5"/>
  <c r="P20" i="5"/>
  <c r="P21" i="5"/>
  <c r="P3" i="5"/>
  <c r="P2" i="5"/>
  <c r="J2" i="15"/>
  <c r="C2" i="15"/>
  <c r="J3" i="15"/>
  <c r="J4" i="15"/>
  <c r="J5" i="15"/>
  <c r="J6" i="15"/>
  <c r="J7" i="15"/>
  <c r="J8" i="15"/>
  <c r="J9" i="15"/>
  <c r="J10" i="15"/>
  <c r="J11" i="15"/>
  <c r="J12" i="15"/>
  <c r="J13" i="15"/>
  <c r="J14" i="15"/>
  <c r="J15" i="15"/>
  <c r="J16" i="15"/>
  <c r="J17" i="15"/>
  <c r="J18" i="15"/>
  <c r="J19" i="15"/>
  <c r="A12" i="14"/>
  <c r="N2" i="15"/>
  <c r="N3" i="15"/>
  <c r="J2" i="13"/>
  <c r="J3" i="13"/>
  <c r="C2" i="13"/>
  <c r="D2" i="13"/>
  <c r="J4" i="13"/>
  <c r="J5" i="13"/>
  <c r="J6" i="13"/>
  <c r="J7" i="13"/>
  <c r="J8" i="13"/>
  <c r="J9" i="13"/>
  <c r="J10" i="13"/>
  <c r="J11" i="13"/>
  <c r="J12" i="13"/>
  <c r="J13" i="13"/>
  <c r="J14" i="13"/>
  <c r="J15" i="13"/>
  <c r="J16" i="13"/>
  <c r="A11" i="14"/>
  <c r="J2" i="12"/>
  <c r="C2" i="12"/>
  <c r="C10" i="14"/>
  <c r="J3" i="12"/>
  <c r="J4" i="12"/>
  <c r="J5" i="12"/>
  <c r="J6" i="12"/>
  <c r="J7" i="12"/>
  <c r="J8" i="12"/>
  <c r="J9" i="12"/>
  <c r="J10" i="12"/>
  <c r="J11" i="12"/>
  <c r="J12" i="12"/>
  <c r="J13" i="12"/>
  <c r="J14" i="12"/>
  <c r="J15" i="12"/>
  <c r="J16" i="12"/>
  <c r="A10" i="14"/>
  <c r="J2" i="11"/>
  <c r="J3" i="11"/>
  <c r="J4" i="11"/>
  <c r="J5" i="11"/>
  <c r="J6" i="11"/>
  <c r="J7" i="11"/>
  <c r="J8" i="11"/>
  <c r="J9" i="11"/>
  <c r="J10" i="11"/>
  <c r="J11" i="11"/>
  <c r="J12" i="11"/>
  <c r="J13" i="11"/>
  <c r="J14" i="11"/>
  <c r="J15" i="11"/>
  <c r="J16" i="11"/>
  <c r="J17" i="11"/>
  <c r="J18" i="11"/>
  <c r="J19" i="11"/>
  <c r="J20" i="11"/>
  <c r="J21" i="11"/>
  <c r="J22" i="11"/>
  <c r="J23" i="11"/>
  <c r="A9" i="14"/>
  <c r="J2" i="10"/>
  <c r="J3" i="10"/>
  <c r="K3" i="10"/>
  <c r="J4" i="10"/>
  <c r="J5" i="10"/>
  <c r="J6" i="10"/>
  <c r="J7" i="10"/>
  <c r="J8" i="10"/>
  <c r="J9" i="10"/>
  <c r="J10" i="10"/>
  <c r="J11" i="10"/>
  <c r="J12" i="10"/>
  <c r="J13" i="10"/>
  <c r="J14" i="10"/>
  <c r="J15" i="10"/>
  <c r="J16" i="10"/>
  <c r="J17" i="10"/>
  <c r="J18" i="10"/>
  <c r="J19" i="10"/>
  <c r="J20" i="10"/>
  <c r="A8" i="14"/>
  <c r="J2" i="8"/>
  <c r="J3" i="8"/>
  <c r="J4" i="8"/>
  <c r="J5" i="8"/>
  <c r="J6" i="8"/>
  <c r="J7" i="8"/>
  <c r="J8" i="8"/>
  <c r="J9" i="8"/>
  <c r="J10" i="8"/>
  <c r="J11" i="8"/>
  <c r="J12" i="8"/>
  <c r="J13" i="8"/>
  <c r="J14" i="8"/>
  <c r="J15" i="8"/>
  <c r="J16" i="8"/>
  <c r="J17" i="8"/>
  <c r="J18" i="8"/>
  <c r="A7" i="14"/>
  <c r="C2" i="7"/>
  <c r="C6" i="14"/>
  <c r="A6" i="14"/>
  <c r="C2" i="5"/>
  <c r="D2" i="5"/>
  <c r="A5" i="14"/>
  <c r="N2" i="13"/>
  <c r="N3" i="13"/>
  <c r="K2" i="13"/>
  <c r="I3" i="11"/>
  <c r="M3" i="11" a="1"/>
  <c r="M3" i="11"/>
  <c r="I4" i="11"/>
  <c r="M4" i="11" a="1"/>
  <c r="M4" i="11"/>
  <c r="I5" i="11"/>
  <c r="M5" i="11" a="1"/>
  <c r="M5" i="11"/>
  <c r="I6" i="11"/>
  <c r="K2" i="11"/>
  <c r="K3" i="11"/>
  <c r="K4" i="11"/>
  <c r="N2" i="12"/>
  <c r="I3" i="10"/>
  <c r="M3" i="10" a="1"/>
  <c r="M3" i="10"/>
  <c r="I4" i="10"/>
  <c r="M4" i="10" a="1"/>
  <c r="M4" i="10"/>
  <c r="K2" i="10"/>
  <c r="I3" i="8"/>
  <c r="M3" i="8" a="1"/>
  <c r="M3" i="8"/>
  <c r="I4" i="8"/>
  <c r="N2" i="10"/>
  <c r="K3" i="13"/>
  <c r="K4" i="13"/>
  <c r="N3" i="12"/>
  <c r="N4" i="12"/>
  <c r="N5" i="12"/>
  <c r="N6" i="12"/>
  <c r="D4" i="12"/>
  <c r="N3" i="10"/>
  <c r="N4" i="10"/>
  <c r="N2" i="8"/>
  <c r="I3" i="7"/>
  <c r="M3" i="7" a="1"/>
  <c r="M3" i="7"/>
  <c r="I4" i="7"/>
  <c r="M4" i="7" a="1"/>
  <c r="M4" i="7"/>
  <c r="N2" i="7"/>
  <c r="N3" i="7"/>
  <c r="N4" i="7"/>
  <c r="K2" i="7"/>
  <c r="K3" i="7"/>
  <c r="K4" i="7"/>
  <c r="K5" i="7"/>
  <c r="K6" i="7"/>
  <c r="L6" i="7"/>
  <c r="K2" i="5"/>
  <c r="L2" i="5"/>
  <c r="I3" i="5"/>
  <c r="N4" i="13"/>
  <c r="N5" i="13"/>
  <c r="D2" i="12"/>
  <c r="N3" i="8"/>
  <c r="I5" i="7"/>
  <c r="K3" i="5"/>
  <c r="K4" i="5"/>
  <c r="L4" i="5"/>
  <c r="N6" i="13"/>
  <c r="N7" i="13"/>
  <c r="L3" i="7"/>
  <c r="L2" i="7"/>
  <c r="L4" i="7"/>
  <c r="L3" i="5"/>
  <c r="L5" i="7"/>
  <c r="K5" i="5"/>
  <c r="L5" i="5"/>
  <c r="N8" i="13"/>
  <c r="K7" i="7"/>
  <c r="K8" i="7"/>
  <c r="L8" i="7"/>
  <c r="N9" i="13"/>
  <c r="N10" i="13"/>
  <c r="K9" i="7"/>
  <c r="K10" i="7"/>
  <c r="L10" i="7"/>
  <c r="K11" i="7"/>
  <c r="K12" i="7"/>
  <c r="L12" i="7"/>
  <c r="K13" i="7"/>
  <c r="K14" i="7"/>
  <c r="L13" i="7"/>
  <c r="L3" i="13"/>
  <c r="L2" i="13"/>
  <c r="L14" i="7"/>
  <c r="K15" i="7"/>
  <c r="L4" i="13"/>
  <c r="L11" i="7"/>
  <c r="L9" i="7"/>
  <c r="L7" i="7"/>
  <c r="I4" i="5"/>
  <c r="M3" i="5" a="1"/>
  <c r="M3" i="5"/>
  <c r="N3" i="5"/>
  <c r="C12" i="14"/>
  <c r="D2" i="15"/>
  <c r="D4" i="15"/>
  <c r="M5" i="7" a="1"/>
  <c r="M5" i="7"/>
  <c r="N5" i="7"/>
  <c r="I6" i="7"/>
  <c r="M4" i="8" a="1"/>
  <c r="M4" i="8"/>
  <c r="N4" i="8"/>
  <c r="I5" i="8"/>
  <c r="K6" i="5"/>
  <c r="C11" i="14"/>
  <c r="D4" i="13"/>
  <c r="I5" i="10"/>
  <c r="C5" i="14"/>
  <c r="K5" i="13"/>
  <c r="K2" i="15"/>
  <c r="I7" i="11"/>
  <c r="M6" i="11" a="1"/>
  <c r="M6" i="11"/>
  <c r="K4" i="10"/>
  <c r="K5" i="11"/>
  <c r="N3" i="11"/>
  <c r="N4" i="11"/>
  <c r="N5" i="11"/>
  <c r="C2" i="8"/>
  <c r="K2" i="8"/>
  <c r="C2" i="11"/>
  <c r="D2" i="8"/>
  <c r="K2" i="12"/>
  <c r="L2" i="12"/>
  <c r="C2" i="10"/>
  <c r="I8" i="12"/>
  <c r="M7" i="12" a="1"/>
  <c r="M7" i="12"/>
  <c r="N7" i="12"/>
  <c r="I11" i="13"/>
  <c r="M4" i="15" a="1"/>
  <c r="M4" i="15"/>
  <c r="N4" i="15"/>
  <c r="I5" i="15"/>
  <c r="K3" i="12"/>
  <c r="L6" i="5"/>
  <c r="K7" i="5"/>
  <c r="K16" i="7"/>
  <c r="L15" i="7"/>
  <c r="C7" i="14"/>
  <c r="D4" i="8"/>
  <c r="M7" i="11" a="1"/>
  <c r="M7" i="11"/>
  <c r="I8" i="11"/>
  <c r="I6" i="10"/>
  <c r="M5" i="10" a="1"/>
  <c r="M5" i="10"/>
  <c r="N5" i="10"/>
  <c r="I6" i="15"/>
  <c r="M5" i="15" a="1"/>
  <c r="M5" i="15"/>
  <c r="N5" i="15"/>
  <c r="I9" i="12"/>
  <c r="M8" i="12" a="1"/>
  <c r="M8" i="12"/>
  <c r="N8" i="12"/>
  <c r="N6" i="11"/>
  <c r="N7" i="11"/>
  <c r="L2" i="15"/>
  <c r="K3" i="15"/>
  <c r="M6" i="7" a="1"/>
  <c r="M6" i="7"/>
  <c r="N6" i="7"/>
  <c r="I7" i="7"/>
  <c r="M4" i="5" a="1"/>
  <c r="M4" i="5"/>
  <c r="N4" i="5"/>
  <c r="I5" i="5"/>
  <c r="D2" i="10"/>
  <c r="C8" i="14"/>
  <c r="C14" i="14"/>
  <c r="D4" i="10"/>
  <c r="D4" i="11"/>
  <c r="C9" i="14"/>
  <c r="D2" i="11"/>
  <c r="L5" i="11"/>
  <c r="K6" i="11"/>
  <c r="K6" i="13"/>
  <c r="L5" i="13"/>
  <c r="M5" i="8" a="1"/>
  <c r="M5" i="8"/>
  <c r="N5" i="8"/>
  <c r="I6" i="8"/>
  <c r="I12" i="13"/>
  <c r="M11" i="13" a="1"/>
  <c r="M11" i="13"/>
  <c r="N11" i="13"/>
  <c r="L2" i="8"/>
  <c r="K3" i="8"/>
  <c r="L4" i="10"/>
  <c r="K5" i="10"/>
  <c r="L3" i="8"/>
  <c r="K4" i="8"/>
  <c r="M6" i="8" a="1"/>
  <c r="M6" i="8"/>
  <c r="N6" i="8"/>
  <c r="I7" i="8"/>
  <c r="L6" i="11"/>
  <c r="K7" i="11"/>
  <c r="M5" i="5" a="1"/>
  <c r="M5" i="5"/>
  <c r="N5" i="5"/>
  <c r="I6" i="5"/>
  <c r="L3" i="15"/>
  <c r="K4" i="15"/>
  <c r="I10" i="12"/>
  <c r="M9" i="12" a="1"/>
  <c r="M9" i="12"/>
  <c r="N9" i="12"/>
  <c r="M6" i="10" a="1"/>
  <c r="M6" i="10"/>
  <c r="N6" i="10"/>
  <c r="I7" i="10"/>
  <c r="L7" i="5"/>
  <c r="K8" i="5"/>
  <c r="M8" i="11" a="1"/>
  <c r="M8" i="11"/>
  <c r="N8" i="11"/>
  <c r="I9" i="11"/>
  <c r="L2" i="11"/>
  <c r="L3" i="11"/>
  <c r="L4" i="11"/>
  <c r="M7" i="7" a="1"/>
  <c r="M7" i="7"/>
  <c r="N7" i="7"/>
  <c r="I8" i="7"/>
  <c r="M6" i="15" a="1"/>
  <c r="M6" i="15"/>
  <c r="N6" i="15"/>
  <c r="I7" i="15"/>
  <c r="K17" i="7"/>
  <c r="L17" i="7"/>
  <c r="L16" i="7"/>
  <c r="K4" i="12"/>
  <c r="L3" i="12"/>
  <c r="L5" i="10"/>
  <c r="K6" i="10"/>
  <c r="I13" i="13"/>
  <c r="M12" i="13" a="1"/>
  <c r="M12" i="13"/>
  <c r="N12" i="13"/>
  <c r="L6" i="13"/>
  <c r="K7" i="13"/>
  <c r="L2" i="10"/>
  <c r="L3" i="10"/>
  <c r="M9" i="11" a="1"/>
  <c r="M9" i="11"/>
  <c r="N9" i="11"/>
  <c r="I10" i="11"/>
  <c r="M7" i="10" a="1"/>
  <c r="M7" i="10"/>
  <c r="N7" i="10"/>
  <c r="I8" i="10"/>
  <c r="L4" i="15"/>
  <c r="K5" i="15"/>
  <c r="L7" i="11"/>
  <c r="K8" i="11"/>
  <c r="K5" i="8"/>
  <c r="L4" i="8"/>
  <c r="I11" i="12"/>
  <c r="M10" i="12" a="1"/>
  <c r="M10" i="12"/>
  <c r="N10" i="12"/>
  <c r="I14" i="13"/>
  <c r="M13" i="13" a="1"/>
  <c r="M13" i="13"/>
  <c r="N13" i="13"/>
  <c r="L4" i="12"/>
  <c r="K5" i="12"/>
  <c r="K8" i="13"/>
  <c r="L7" i="13"/>
  <c r="L6" i="10"/>
  <c r="K7" i="10"/>
  <c r="M8" i="7" a="1"/>
  <c r="M8" i="7"/>
  <c r="N8" i="7"/>
  <c r="I9" i="7"/>
  <c r="L8" i="5"/>
  <c r="K9" i="5"/>
  <c r="M6" i="5" a="1"/>
  <c r="M6" i="5"/>
  <c r="N6" i="5"/>
  <c r="I7" i="5"/>
  <c r="M7" i="8" a="1"/>
  <c r="M7" i="8"/>
  <c r="N7" i="8"/>
  <c r="I8" i="8"/>
  <c r="I8" i="15"/>
  <c r="M7" i="15" a="1"/>
  <c r="M7" i="15"/>
  <c r="N7" i="15"/>
  <c r="L8" i="13"/>
  <c r="K9" i="13"/>
  <c r="M14" i="13" a="1"/>
  <c r="M14" i="13"/>
  <c r="N14" i="13"/>
  <c r="I15" i="13"/>
  <c r="L5" i="8"/>
  <c r="K6" i="8"/>
  <c r="M8" i="8" a="1"/>
  <c r="M8" i="8"/>
  <c r="N8" i="8"/>
  <c r="I9" i="8"/>
  <c r="L9" i="5"/>
  <c r="K10" i="5"/>
  <c r="L7" i="10"/>
  <c r="K8" i="10"/>
  <c r="L5" i="12"/>
  <c r="K6" i="12"/>
  <c r="L8" i="11"/>
  <c r="K9" i="11"/>
  <c r="M8" i="10" a="1"/>
  <c r="M8" i="10"/>
  <c r="N8" i="10"/>
  <c r="I9" i="10"/>
  <c r="I12" i="12"/>
  <c r="M11" i="12" a="1"/>
  <c r="M11" i="12"/>
  <c r="N11" i="12"/>
  <c r="M8" i="15" a="1"/>
  <c r="M8" i="15"/>
  <c r="N8" i="15"/>
  <c r="I9" i="15"/>
  <c r="M7" i="5" a="1"/>
  <c r="M7" i="5"/>
  <c r="N7" i="5"/>
  <c r="I8" i="5"/>
  <c r="M9" i="7" a="1"/>
  <c r="M9" i="7"/>
  <c r="N9" i="7"/>
  <c r="I10" i="7"/>
  <c r="L5" i="15"/>
  <c r="K6" i="15"/>
  <c r="I11" i="11"/>
  <c r="M10" i="11" a="1"/>
  <c r="M10" i="11"/>
  <c r="N10" i="11"/>
  <c r="L6" i="15"/>
  <c r="K7" i="15"/>
  <c r="M8" i="5" a="1"/>
  <c r="M8" i="5"/>
  <c r="N8" i="5"/>
  <c r="I9" i="5"/>
  <c r="K10" i="11"/>
  <c r="L9" i="11"/>
  <c r="K9" i="10"/>
  <c r="L8" i="10"/>
  <c r="M9" i="8" a="1"/>
  <c r="M9" i="8"/>
  <c r="N9" i="8"/>
  <c r="I10" i="8"/>
  <c r="I16" i="13"/>
  <c r="M16" i="13" a="1"/>
  <c r="M16" i="13"/>
  <c r="M15" i="13" a="1"/>
  <c r="M15" i="13"/>
  <c r="N15" i="13"/>
  <c r="N16" i="13"/>
  <c r="E2" i="13"/>
  <c r="M12" i="12" a="1"/>
  <c r="M12" i="12"/>
  <c r="N12" i="12"/>
  <c r="I13" i="12"/>
  <c r="M11" i="11" a="1"/>
  <c r="M11" i="11"/>
  <c r="N11" i="11"/>
  <c r="I12" i="11"/>
  <c r="M10" i="7" a="1"/>
  <c r="M10" i="7"/>
  <c r="N10" i="7"/>
  <c r="I11" i="7"/>
  <c r="I10" i="15"/>
  <c r="M9" i="15" a="1"/>
  <c r="M9" i="15"/>
  <c r="N9" i="15"/>
  <c r="M9" i="10" a="1"/>
  <c r="M9" i="10"/>
  <c r="N9" i="10"/>
  <c r="I10" i="10"/>
  <c r="K7" i="12"/>
  <c r="L6" i="12"/>
  <c r="L10" i="5"/>
  <c r="K11" i="5"/>
  <c r="K7" i="8"/>
  <c r="L6" i="8"/>
  <c r="K10" i="13"/>
  <c r="L9" i="13"/>
  <c r="B11" i="14"/>
  <c r="D11" i="14"/>
  <c r="F2" i="13"/>
  <c r="L10" i="13"/>
  <c r="K11" i="13"/>
  <c r="M12" i="11" a="1"/>
  <c r="M12" i="11"/>
  <c r="N12" i="11"/>
  <c r="I13" i="11"/>
  <c r="M9" i="5" a="1"/>
  <c r="M9" i="5"/>
  <c r="N9" i="5"/>
  <c r="I10" i="5"/>
  <c r="L7" i="8"/>
  <c r="K8" i="8"/>
  <c r="K8" i="12"/>
  <c r="L7" i="12"/>
  <c r="M10" i="15" a="1"/>
  <c r="M10" i="15"/>
  <c r="N10" i="15"/>
  <c r="I11" i="15"/>
  <c r="L9" i="10"/>
  <c r="K10" i="10"/>
  <c r="L11" i="5"/>
  <c r="K12" i="5"/>
  <c r="M10" i="10" a="1"/>
  <c r="M10" i="10"/>
  <c r="N10" i="10"/>
  <c r="I11" i="10"/>
  <c r="M11" i="7" a="1"/>
  <c r="M11" i="7"/>
  <c r="N11" i="7"/>
  <c r="I12" i="7"/>
  <c r="I14" i="12"/>
  <c r="M13" i="12" a="1"/>
  <c r="M13" i="12"/>
  <c r="N13" i="12"/>
  <c r="M10" i="8" a="1"/>
  <c r="M10" i="8"/>
  <c r="N10" i="8"/>
  <c r="I11" i="8"/>
  <c r="L7" i="15"/>
  <c r="K8" i="15"/>
  <c r="K11" i="11"/>
  <c r="L10" i="11"/>
  <c r="K12" i="11"/>
  <c r="L11" i="11"/>
  <c r="M11" i="10" a="1"/>
  <c r="M11" i="10"/>
  <c r="N11" i="10"/>
  <c r="I12" i="10"/>
  <c r="L10" i="10"/>
  <c r="K11" i="10"/>
  <c r="M10" i="5" a="1"/>
  <c r="M10" i="5"/>
  <c r="N10" i="5"/>
  <c r="I11" i="5"/>
  <c r="K12" i="13"/>
  <c r="L11" i="13"/>
  <c r="L8" i="15"/>
  <c r="K9" i="15"/>
  <c r="M14" i="12" a="1"/>
  <c r="M14" i="12"/>
  <c r="N14" i="12"/>
  <c r="I15" i="12"/>
  <c r="K9" i="12"/>
  <c r="L8" i="12"/>
  <c r="M11" i="8" a="1"/>
  <c r="M11" i="8"/>
  <c r="N11" i="8"/>
  <c r="I12" i="8"/>
  <c r="M12" i="7" a="1"/>
  <c r="M12" i="7"/>
  <c r="N12" i="7"/>
  <c r="I13" i="7"/>
  <c r="K13" i="5"/>
  <c r="L12" i="5"/>
  <c r="I12" i="15"/>
  <c r="M11" i="15" a="1"/>
  <c r="M11" i="15"/>
  <c r="N11" i="15"/>
  <c r="L8" i="8"/>
  <c r="K9" i="8"/>
  <c r="M13" i="11" a="1"/>
  <c r="M13" i="11"/>
  <c r="N13" i="11"/>
  <c r="I14" i="11"/>
  <c r="L12" i="13"/>
  <c r="K13" i="13"/>
  <c r="L12" i="11"/>
  <c r="K13" i="11"/>
  <c r="L13" i="5"/>
  <c r="K14" i="5"/>
  <c r="I15" i="11"/>
  <c r="M14" i="11" a="1"/>
  <c r="M14" i="11"/>
  <c r="N14" i="11"/>
  <c r="M13" i="7" a="1"/>
  <c r="M13" i="7"/>
  <c r="N13" i="7"/>
  <c r="I14" i="7"/>
  <c r="L9" i="15"/>
  <c r="K10" i="15"/>
  <c r="M11" i="5" a="1"/>
  <c r="M11" i="5"/>
  <c r="N11" i="5"/>
  <c r="I12" i="5"/>
  <c r="M12" i="10" a="1"/>
  <c r="M12" i="10"/>
  <c r="N12" i="10"/>
  <c r="I13" i="10"/>
  <c r="K10" i="12"/>
  <c r="L9" i="12"/>
  <c r="M12" i="15" a="1"/>
  <c r="M12" i="15"/>
  <c r="N12" i="15"/>
  <c r="I13" i="15"/>
  <c r="L9" i="8"/>
  <c r="K10" i="8"/>
  <c r="M12" i="8" a="1"/>
  <c r="M12" i="8"/>
  <c r="N12" i="8"/>
  <c r="I13" i="8"/>
  <c r="I16" i="12"/>
  <c r="M16" i="12" a="1"/>
  <c r="M16" i="12"/>
  <c r="M15" i="12" a="1"/>
  <c r="M15" i="12"/>
  <c r="N15" i="12"/>
  <c r="N16" i="12"/>
  <c r="E2" i="12"/>
  <c r="L11" i="10"/>
  <c r="K12" i="10"/>
  <c r="B10" i="14"/>
  <c r="D10" i="14"/>
  <c r="F2" i="12"/>
  <c r="K11" i="12"/>
  <c r="L10" i="12"/>
  <c r="L12" i="10"/>
  <c r="K13" i="10"/>
  <c r="M13" i="8" a="1"/>
  <c r="M13" i="8"/>
  <c r="N13" i="8"/>
  <c r="I14" i="8"/>
  <c r="I14" i="15"/>
  <c r="M13" i="15" a="1"/>
  <c r="M13" i="15"/>
  <c r="N13" i="15"/>
  <c r="M13" i="10" a="1"/>
  <c r="M13" i="10"/>
  <c r="N13" i="10"/>
  <c r="I14" i="10"/>
  <c r="L10" i="15"/>
  <c r="K11" i="15"/>
  <c r="K14" i="11"/>
  <c r="L13" i="11"/>
  <c r="M15" i="11" a="1"/>
  <c r="M15" i="11"/>
  <c r="N15" i="11"/>
  <c r="I16" i="11"/>
  <c r="L10" i="8"/>
  <c r="K11" i="8"/>
  <c r="M12" i="5" a="1"/>
  <c r="M12" i="5"/>
  <c r="N12" i="5"/>
  <c r="I13" i="5"/>
  <c r="M14" i="7" a="1"/>
  <c r="M14" i="7"/>
  <c r="N14" i="7"/>
  <c r="I15" i="7"/>
  <c r="K15" i="5"/>
  <c r="L14" i="5"/>
  <c r="K14" i="13"/>
  <c r="L13" i="13"/>
  <c r="M13" i="5" a="1"/>
  <c r="M13" i="5"/>
  <c r="N13" i="5"/>
  <c r="I14" i="5"/>
  <c r="M16" i="11" a="1"/>
  <c r="M16" i="11"/>
  <c r="N16" i="11"/>
  <c r="I17" i="11"/>
  <c r="L11" i="15"/>
  <c r="K12" i="15"/>
  <c r="K14" i="10"/>
  <c r="L13" i="10"/>
  <c r="K15" i="11"/>
  <c r="L14" i="11"/>
  <c r="K16" i="5"/>
  <c r="L16" i="5"/>
  <c r="L15" i="5"/>
  <c r="M14" i="15" a="1"/>
  <c r="M14" i="15"/>
  <c r="N14" i="15"/>
  <c r="I15" i="15"/>
  <c r="M15" i="7" a="1"/>
  <c r="M15" i="7"/>
  <c r="N15" i="7"/>
  <c r="I16" i="7"/>
  <c r="L11" i="8"/>
  <c r="K12" i="8"/>
  <c r="M14" i="10" a="1"/>
  <c r="M14" i="10"/>
  <c r="N14" i="10"/>
  <c r="I15" i="10"/>
  <c r="M14" i="8" a="1"/>
  <c r="M14" i="8"/>
  <c r="N14" i="8"/>
  <c r="I15" i="8"/>
  <c r="L14" i="13"/>
  <c r="K15" i="13"/>
  <c r="K12" i="12"/>
  <c r="L11" i="12"/>
  <c r="M15" i="8" a="1"/>
  <c r="M15" i="8"/>
  <c r="N15" i="8"/>
  <c r="I16" i="8"/>
  <c r="L12" i="8"/>
  <c r="K13" i="8"/>
  <c r="I16" i="15"/>
  <c r="M15" i="15" a="1"/>
  <c r="M15" i="15"/>
  <c r="N15" i="15"/>
  <c r="L12" i="15"/>
  <c r="K13" i="15"/>
  <c r="M14" i="5" a="1"/>
  <c r="M14" i="5"/>
  <c r="N14" i="5"/>
  <c r="I15" i="5"/>
  <c r="K13" i="12"/>
  <c r="L12" i="12"/>
  <c r="K16" i="11"/>
  <c r="L15" i="11"/>
  <c r="K16" i="13"/>
  <c r="L16" i="13"/>
  <c r="L15" i="13"/>
  <c r="M15" i="10" a="1"/>
  <c r="M15" i="10"/>
  <c r="N15" i="10"/>
  <c r="I16" i="10"/>
  <c r="M16" i="7" a="1"/>
  <c r="M16" i="7"/>
  <c r="N16" i="7"/>
  <c r="N17" i="7"/>
  <c r="E2" i="7"/>
  <c r="I17" i="7"/>
  <c r="M17" i="7" a="1"/>
  <c r="M17" i="7"/>
  <c r="M17" i="11" a="1"/>
  <c r="M17" i="11"/>
  <c r="N17" i="11"/>
  <c r="I18" i="11"/>
  <c r="L14" i="10"/>
  <c r="K15" i="10"/>
  <c r="B6" i="14"/>
  <c r="D6" i="14"/>
  <c r="F2" i="7"/>
  <c r="L16" i="11"/>
  <c r="K17" i="11"/>
  <c r="M18" i="11" a="1"/>
  <c r="M18" i="11"/>
  <c r="N18" i="11"/>
  <c r="I19" i="11"/>
  <c r="M16" i="10" a="1"/>
  <c r="M16" i="10"/>
  <c r="N16" i="10"/>
  <c r="I17" i="10"/>
  <c r="M15" i="5" a="1"/>
  <c r="M15" i="5"/>
  <c r="N15" i="5"/>
  <c r="N16" i="5"/>
  <c r="E2" i="5"/>
  <c r="I16" i="5"/>
  <c r="M16" i="5" a="1"/>
  <c r="M16" i="5"/>
  <c r="I17" i="8"/>
  <c r="M16" i="8" a="1"/>
  <c r="M16" i="8"/>
  <c r="N16" i="8"/>
  <c r="M16" i="15" a="1"/>
  <c r="M16" i="15"/>
  <c r="N16" i="15"/>
  <c r="I17" i="15"/>
  <c r="L15" i="10"/>
  <c r="K16" i="10"/>
  <c r="L13" i="15"/>
  <c r="K14" i="15"/>
  <c r="K14" i="8"/>
  <c r="L13" i="8"/>
  <c r="L13" i="12"/>
  <c r="K14" i="12"/>
  <c r="B5" i="14"/>
  <c r="F2" i="5"/>
  <c r="L16" i="10"/>
  <c r="K17" i="10"/>
  <c r="L14" i="8"/>
  <c r="K15" i="8"/>
  <c r="M17" i="8" a="1"/>
  <c r="M17" i="8"/>
  <c r="N17" i="8"/>
  <c r="N18" i="8"/>
  <c r="E2" i="8"/>
  <c r="I18" i="8"/>
  <c r="M18" i="8" a="1"/>
  <c r="M18" i="8"/>
  <c r="L14" i="12"/>
  <c r="K15" i="12"/>
  <c r="L14" i="15"/>
  <c r="K15" i="15"/>
  <c r="M17" i="15" a="1"/>
  <c r="M17" i="15"/>
  <c r="N17" i="15"/>
  <c r="I18" i="15"/>
  <c r="M19" i="11" a="1"/>
  <c r="M19" i="11"/>
  <c r="N19" i="11"/>
  <c r="I20" i="11"/>
  <c r="M17" i="10" a="1"/>
  <c r="M17" i="10"/>
  <c r="N17" i="10"/>
  <c r="I18" i="10"/>
  <c r="K18" i="11"/>
  <c r="L17" i="11"/>
  <c r="F2" i="8"/>
  <c r="B7" i="14"/>
  <c r="D7" i="14"/>
  <c r="L15" i="15"/>
  <c r="K16" i="15"/>
  <c r="K18" i="10"/>
  <c r="L17" i="10"/>
  <c r="M20" i="11" a="1"/>
  <c r="M20" i="11"/>
  <c r="N20" i="11"/>
  <c r="I21" i="11"/>
  <c r="K19" i="11"/>
  <c r="L18" i="11"/>
  <c r="M18" i="10" a="1"/>
  <c r="M18" i="10"/>
  <c r="N18" i="10"/>
  <c r="I19" i="10"/>
  <c r="I19" i="15"/>
  <c r="M19" i="15" a="1"/>
  <c r="M19" i="15"/>
  <c r="M18" i="15" a="1"/>
  <c r="M18" i="15"/>
  <c r="N18" i="15"/>
  <c r="N19" i="15"/>
  <c r="E2" i="15"/>
  <c r="L15" i="12"/>
  <c r="K16" i="12"/>
  <c r="L16" i="12"/>
  <c r="K16" i="8"/>
  <c r="L15" i="8"/>
  <c r="D5" i="14"/>
  <c r="B12" i="14"/>
  <c r="D12" i="14"/>
  <c r="F2" i="15"/>
  <c r="L19" i="11"/>
  <c r="K20" i="11"/>
  <c r="L18" i="10"/>
  <c r="K19" i="10"/>
  <c r="K17" i="8"/>
  <c r="L16" i="8"/>
  <c r="M19" i="10" a="1"/>
  <c r="M19" i="10"/>
  <c r="N19" i="10"/>
  <c r="N20" i="10"/>
  <c r="E2" i="10"/>
  <c r="I20" i="10"/>
  <c r="M20" i="10" a="1"/>
  <c r="M20" i="10"/>
  <c r="M21" i="11" a="1"/>
  <c r="M21" i="11"/>
  <c r="N21" i="11"/>
  <c r="I22" i="11"/>
  <c r="K17" i="15"/>
  <c r="L16" i="15"/>
  <c r="B8" i="14"/>
  <c r="F2" i="10"/>
  <c r="L19" i="10"/>
  <c r="K20" i="10"/>
  <c r="L20" i="10"/>
  <c r="L17" i="15"/>
  <c r="K18" i="15"/>
  <c r="M22" i="11" a="1"/>
  <c r="M22" i="11"/>
  <c r="N22" i="11"/>
  <c r="N23" i="11"/>
  <c r="E2" i="11"/>
  <c r="I23" i="11"/>
  <c r="M23" i="11" a="1"/>
  <c r="M23" i="11"/>
  <c r="L20" i="11"/>
  <c r="K21" i="11"/>
  <c r="L17" i="8"/>
  <c r="K18" i="8"/>
  <c r="L18" i="8"/>
  <c r="B9" i="14"/>
  <c r="D9" i="14"/>
  <c r="F2" i="11"/>
  <c r="D8" i="14"/>
  <c r="L21" i="11"/>
  <c r="K22" i="11"/>
  <c r="L18" i="15"/>
  <c r="K19" i="15"/>
  <c r="L19" i="15"/>
  <c r="B14" i="14"/>
  <c r="D14" i="14"/>
  <c r="K23" i="11"/>
  <c r="L23" i="11"/>
  <c r="L22" i="11"/>
</calcChain>
</file>

<file path=xl/comments1.xml><?xml version="1.0" encoding="utf-8"?>
<comments xmlns="http://schemas.openxmlformats.org/spreadsheetml/2006/main">
  <authors>
    <author>Author</author>
  </authors>
  <commentList>
    <comment ref="C1" authorId="0" shapeId="0">
      <text>
        <r>
          <rPr>
            <b/>
            <sz val="8"/>
            <color indexed="81"/>
            <rFont val="Tahoma"/>
            <family val="2"/>
          </rPr>
          <t>Author:</t>
        </r>
        <r>
          <rPr>
            <sz val="8"/>
            <color indexed="81"/>
            <rFont val="Tahoma"/>
            <family val="2"/>
          </rPr>
          <t xml:space="preserve">
The primary user or stakeholder for the story</t>
        </r>
      </text>
    </comment>
    <comment ref="D1" authorId="0" shapeId="0">
      <text>
        <r>
          <rPr>
            <b/>
            <sz val="8"/>
            <color indexed="81"/>
            <rFont val="Tahoma"/>
            <family val="2"/>
          </rPr>
          <t>Author:</t>
        </r>
        <r>
          <rPr>
            <sz val="8"/>
            <color indexed="81"/>
            <rFont val="Tahoma"/>
            <family val="2"/>
          </rPr>
          <t xml:space="preserve">
The goal that the actor is trying to achieve in the story</t>
        </r>
      </text>
    </comment>
    <comment ref="E1" authorId="0" shapeId="0">
      <text>
        <r>
          <rPr>
            <b/>
            <sz val="8"/>
            <color indexed="81"/>
            <rFont val="Tahoma"/>
            <family val="2"/>
          </rPr>
          <t>Author:</t>
        </r>
        <r>
          <rPr>
            <sz val="8"/>
            <color indexed="81"/>
            <rFont val="Tahoma"/>
            <family val="2"/>
          </rPr>
          <t xml:space="preserve">
Req: requirement being elaborated
Dev: ready for dev or in dev
Test: ready for test or in test
Fix: tests failed, need fixing
Implement: ready for implementation
Live: gone live</t>
        </r>
      </text>
    </comment>
    <comment ref="F1" authorId="0" shapeId="0">
      <text>
        <r>
          <rPr>
            <b/>
            <sz val="8"/>
            <color indexed="81"/>
            <rFont val="Tahoma"/>
            <family val="2"/>
          </rPr>
          <t>Author:</t>
        </r>
        <r>
          <rPr>
            <sz val="8"/>
            <color indexed="81"/>
            <rFont val="Tahoma"/>
            <family val="2"/>
          </rPr>
          <t xml:space="preserve">
Story priority (Must, Should, Could, Won't)</t>
        </r>
      </text>
    </comment>
    <comment ref="G1" authorId="0" shapeId="0">
      <text>
        <r>
          <rPr>
            <b/>
            <sz val="8"/>
            <color indexed="81"/>
            <rFont val="Tahoma"/>
            <family val="2"/>
          </rPr>
          <t>Author:</t>
        </r>
        <r>
          <rPr>
            <sz val="8"/>
            <color indexed="81"/>
            <rFont val="Tahoma"/>
            <family val="2"/>
          </rPr>
          <t xml:space="preserve">
IDs for other stories that this story is dependent on</t>
        </r>
      </text>
    </comment>
    <comment ref="H1" authorId="0" shapeId="0">
      <text>
        <r>
          <rPr>
            <b/>
            <sz val="8"/>
            <color indexed="81"/>
            <rFont val="Tahoma"/>
            <family val="2"/>
          </rPr>
          <t>Author:</t>
        </r>
        <r>
          <rPr>
            <sz val="8"/>
            <color indexed="81"/>
            <rFont val="Tahoma"/>
            <family val="2"/>
          </rPr>
          <t xml:space="preserve">
Estimate of effort to deliver (1 story point = 1 "perfect" developer day)</t>
        </r>
      </text>
    </comment>
    <comment ref="G17" authorId="0" shapeId="0">
      <text>
        <r>
          <rPr>
            <b/>
            <sz val="8"/>
            <color indexed="81"/>
            <rFont val="Tahoma"/>
            <family val="2"/>
          </rPr>
          <t>Author:</t>
        </r>
        <r>
          <rPr>
            <sz val="8"/>
            <color indexed="81"/>
            <rFont val="Tahoma"/>
            <family val="2"/>
          </rPr>
          <t xml:space="preserve">
Co-dependency with S075 due to change in data model. This story can be delivered ahead of S075 but the KB search will be broken until S075 is delivered</t>
        </r>
      </text>
    </comment>
    <comment ref="H66" authorId="0" shapeId="0">
      <text>
        <r>
          <rPr>
            <b/>
            <sz val="8"/>
            <color indexed="81"/>
            <rFont val="Tahoma"/>
            <family val="2"/>
          </rPr>
          <t>Author:</t>
        </r>
        <r>
          <rPr>
            <sz val="8"/>
            <color indexed="81"/>
            <rFont val="Tahoma"/>
            <family val="2"/>
          </rPr>
          <t xml:space="preserve">
Reduced from 7 since TH did all the XSL work</t>
        </r>
      </text>
    </comment>
    <comment ref="E79" authorId="0" shapeId="0">
      <text>
        <r>
          <rPr>
            <b/>
            <sz val="8"/>
            <color indexed="81"/>
            <rFont val="Tahoma"/>
            <family val="2"/>
          </rPr>
          <t>Author:</t>
        </r>
        <r>
          <rPr>
            <sz val="8"/>
            <color indexed="81"/>
            <rFont val="Tahoma"/>
            <family val="2"/>
          </rPr>
          <t xml:space="preserve">
Views function removed</t>
        </r>
      </text>
    </comment>
    <comment ref="I94" authorId="0" shapeId="0">
      <text>
        <r>
          <rPr>
            <b/>
            <sz val="8"/>
            <color indexed="81"/>
            <rFont val="Tahoma"/>
            <family val="2"/>
          </rPr>
          <t>Author:</t>
        </r>
        <r>
          <rPr>
            <sz val="8"/>
            <color indexed="81"/>
            <rFont val="Tahoma"/>
            <family val="2"/>
          </rPr>
          <t xml:space="preserve">
Also gone live in v7</t>
        </r>
      </text>
    </comment>
    <comment ref="I95" authorId="0" shapeId="0">
      <text>
        <r>
          <rPr>
            <b/>
            <sz val="8"/>
            <color indexed="81"/>
            <rFont val="Tahoma"/>
            <family val="2"/>
          </rPr>
          <t>Author:</t>
        </r>
        <r>
          <rPr>
            <sz val="8"/>
            <color indexed="81"/>
            <rFont val="Tahoma"/>
            <family val="2"/>
          </rPr>
          <t xml:space="preserve">
Also gone live in v7</t>
        </r>
      </text>
    </comment>
    <comment ref="J129" authorId="0" shapeId="0">
      <text>
        <r>
          <rPr>
            <b/>
            <sz val="8"/>
            <color indexed="81"/>
            <rFont val="Tahoma"/>
            <family val="2"/>
          </rPr>
          <t>Author:</t>
        </r>
        <r>
          <rPr>
            <sz val="8"/>
            <color indexed="81"/>
            <rFont val="Tahoma"/>
            <family val="2"/>
          </rPr>
          <t xml:space="preserve">
Only XSL changes required - I gave Chris the XSL and he checked it in, job done!</t>
        </r>
      </text>
    </comment>
  </commentList>
</comments>
</file>

<file path=xl/comments2.xml><?xml version="1.0" encoding="utf-8"?>
<comments xmlns="http://schemas.openxmlformats.org/spreadsheetml/2006/main">
  <authors>
    <author>Author</author>
  </authors>
  <commentList>
    <comment ref="C1" authorId="0" shapeId="0">
      <text>
        <r>
          <rPr>
            <b/>
            <sz val="8"/>
            <color indexed="81"/>
            <rFont val="Tahoma"/>
            <family val="2"/>
          </rPr>
          <t>Author:</t>
        </r>
        <r>
          <rPr>
            <sz val="8"/>
            <color indexed="81"/>
            <rFont val="Tahoma"/>
            <family val="2"/>
          </rPr>
          <t xml:space="preserve">
The primary user or stakeholder for the story</t>
        </r>
      </text>
    </comment>
    <comment ref="D1" authorId="0" shapeId="0">
      <text>
        <r>
          <rPr>
            <b/>
            <sz val="8"/>
            <color indexed="81"/>
            <rFont val="Tahoma"/>
            <family val="2"/>
          </rPr>
          <t>Author:</t>
        </r>
        <r>
          <rPr>
            <sz val="8"/>
            <color indexed="81"/>
            <rFont val="Tahoma"/>
            <family val="2"/>
          </rPr>
          <t xml:space="preserve">
The goal that the actor is trying to achieve in the story</t>
        </r>
      </text>
    </comment>
    <comment ref="E1" authorId="0" shapeId="0">
      <text>
        <r>
          <rPr>
            <b/>
            <sz val="8"/>
            <color indexed="81"/>
            <rFont val="Tahoma"/>
            <family val="2"/>
          </rPr>
          <t>Author:</t>
        </r>
        <r>
          <rPr>
            <sz val="8"/>
            <color indexed="81"/>
            <rFont val="Tahoma"/>
            <family val="2"/>
          </rPr>
          <t xml:space="preserve">
Each story consists of a "Main" flow (the happy-day or most commen scenario), plus zero or more "alternative" flows which branch off the Main flow. For example, flow 3a branches off the Main flow at step 3 and flow 3a.5a branches off flow 3a at step 5.</t>
        </r>
      </text>
    </comment>
    <comment ref="F1" authorId="0" shapeId="0">
      <text>
        <r>
          <rPr>
            <b/>
            <sz val="8"/>
            <color indexed="81"/>
            <rFont val="Tahoma"/>
            <family val="2"/>
          </rPr>
          <t>Author:</t>
        </r>
        <r>
          <rPr>
            <sz val="8"/>
            <color indexed="81"/>
            <rFont val="Tahoma"/>
            <family val="2"/>
          </rPr>
          <t xml:space="preserve">
The step number within each flow. Each step is either an Action or an Acceptance Criterion.</t>
        </r>
      </text>
    </comment>
    <comment ref="G1" authorId="0" shapeId="0">
      <text>
        <r>
          <rPr>
            <b/>
            <sz val="8"/>
            <color indexed="81"/>
            <rFont val="Tahoma"/>
            <family val="2"/>
          </rPr>
          <t>Author:</t>
        </r>
        <r>
          <rPr>
            <sz val="8"/>
            <color indexed="81"/>
            <rFont val="Tahoma"/>
            <family val="2"/>
          </rPr>
          <t xml:space="preserve">
The actions performed by the actor.</t>
        </r>
      </text>
    </comment>
    <comment ref="H1" authorId="0" shapeId="0">
      <text>
        <r>
          <rPr>
            <b/>
            <sz val="8"/>
            <color indexed="81"/>
            <rFont val="Tahoma"/>
            <family val="2"/>
          </rPr>
          <t>Author:</t>
        </r>
        <r>
          <rPr>
            <sz val="8"/>
            <color indexed="81"/>
            <rFont val="Tahoma"/>
            <family val="2"/>
          </rPr>
          <t xml:space="preserve">
The expected responses from the system. Each expected response is also an acceptance criterion, and is also the unit of sign-off.</t>
        </r>
      </text>
    </comment>
    <comment ref="I1" authorId="0" shapeId="0">
      <text>
        <r>
          <rPr>
            <b/>
            <sz val="8"/>
            <color indexed="81"/>
            <rFont val="Tahoma"/>
            <family val="2"/>
          </rPr>
          <t>Author:</t>
        </r>
        <r>
          <rPr>
            <sz val="8"/>
            <color indexed="81"/>
            <rFont val="Tahoma"/>
            <family val="2"/>
          </rPr>
          <t xml:space="preserve">
Indicates whether the acceptance criterion has been included in the prototype.</t>
        </r>
      </text>
    </comment>
    <comment ref="J1" authorId="0" shapeId="0">
      <text>
        <r>
          <rPr>
            <b/>
            <sz val="8"/>
            <color indexed="81"/>
            <rFont val="Tahoma"/>
            <family val="2"/>
          </rPr>
          <t>Author:</t>
        </r>
        <r>
          <rPr>
            <sz val="8"/>
            <color indexed="81"/>
            <rFont val="Tahoma"/>
            <family val="2"/>
          </rPr>
          <t xml:space="preserve">
Date the acceptance criterion was agreed by the primary approvers: Phil Walker/Marie Greenfield</t>
        </r>
      </text>
    </comment>
    <comment ref="K1" authorId="0" shapeId="0">
      <text>
        <r>
          <rPr>
            <b/>
            <sz val="8"/>
            <color indexed="81"/>
            <rFont val="Tahoma"/>
            <family val="2"/>
          </rPr>
          <t>Author:</t>
        </r>
        <r>
          <rPr>
            <sz val="8"/>
            <color indexed="81"/>
            <rFont val="Tahoma"/>
            <family val="2"/>
          </rPr>
          <t xml:space="preserve">
Date the acceptance criterion was agreed by the Technical User Group</t>
        </r>
      </text>
    </comment>
    <comment ref="L1" authorId="0" shapeId="0">
      <text>
        <r>
          <rPr>
            <b/>
            <sz val="8"/>
            <color indexed="81"/>
            <rFont val="Tahoma"/>
            <family val="2"/>
          </rPr>
          <t>Author:</t>
        </r>
        <r>
          <rPr>
            <sz val="8"/>
            <color indexed="81"/>
            <rFont val="Tahoma"/>
            <family val="2"/>
          </rPr>
          <t xml:space="preserve">
Date the acceptance criterion was agreed by the development team (Chris Clark)</t>
        </r>
      </text>
    </comment>
    <comment ref="N1" authorId="0" shapeId="0">
      <text>
        <r>
          <rPr>
            <sz val="8"/>
            <color indexed="81"/>
            <rFont val="Tahoma"/>
            <family val="2"/>
          </rPr>
          <t>Pending, Pass, Fail</t>
        </r>
      </text>
    </comment>
    <comment ref="Q1" authorId="0" shapeId="0">
      <text>
        <r>
          <rPr>
            <sz val="8"/>
            <color indexed="81"/>
            <rFont val="Tahoma"/>
            <family val="2"/>
          </rPr>
          <t>Raised
Fixed (ready for re-test)
Issue (can't fix or won't fix - say why in comments)
Closed (tested OK)
Withdrawn</t>
        </r>
      </text>
    </comment>
    <comment ref="K1411" authorId="0" shapeId="0">
      <text>
        <r>
          <rPr>
            <b/>
            <sz val="8"/>
            <color indexed="81"/>
            <rFont val="Tahoma"/>
            <family val="2"/>
          </rPr>
          <t>Author:</t>
        </r>
        <r>
          <rPr>
            <sz val="8"/>
            <color indexed="81"/>
            <rFont val="Tahoma"/>
            <family val="2"/>
          </rPr>
          <t xml:space="preserve">
Does somebody need to review the context sensitive help spec?</t>
        </r>
      </text>
    </comment>
    <comment ref="K1612" authorId="0" shapeId="0">
      <text>
        <r>
          <rPr>
            <b/>
            <sz val="8"/>
            <color indexed="81"/>
            <rFont val="Tahoma"/>
            <family val="2"/>
          </rPr>
          <t>Author:</t>
        </r>
        <r>
          <rPr>
            <sz val="8"/>
            <color indexed="81"/>
            <rFont val="Tahoma"/>
            <family val="2"/>
          </rPr>
          <t xml:space="preserve">
Agreed via email with Sharon Hare</t>
        </r>
      </text>
    </comment>
    <comment ref="K1613" authorId="0" shapeId="0">
      <text>
        <r>
          <rPr>
            <b/>
            <sz val="8"/>
            <color indexed="81"/>
            <rFont val="Tahoma"/>
            <family val="2"/>
          </rPr>
          <t>Author:</t>
        </r>
        <r>
          <rPr>
            <sz val="8"/>
            <color indexed="81"/>
            <rFont val="Tahoma"/>
            <family val="2"/>
          </rPr>
          <t xml:space="preserve">
Agreed via email with Sharon Hare</t>
        </r>
      </text>
    </comment>
    <comment ref="K1614" authorId="0" shapeId="0">
      <text>
        <r>
          <rPr>
            <b/>
            <sz val="8"/>
            <color indexed="81"/>
            <rFont val="Tahoma"/>
            <family val="2"/>
          </rPr>
          <t>Author:</t>
        </r>
        <r>
          <rPr>
            <sz val="8"/>
            <color indexed="81"/>
            <rFont val="Tahoma"/>
            <family val="2"/>
          </rPr>
          <t xml:space="preserve">
Agreed via email with Sharon Hare</t>
        </r>
      </text>
    </comment>
    <comment ref="K1615" authorId="0" shapeId="0">
      <text>
        <r>
          <rPr>
            <b/>
            <sz val="8"/>
            <color indexed="81"/>
            <rFont val="Tahoma"/>
            <family val="2"/>
          </rPr>
          <t>Author:</t>
        </r>
        <r>
          <rPr>
            <sz val="8"/>
            <color indexed="81"/>
            <rFont val="Tahoma"/>
            <family val="2"/>
          </rPr>
          <t xml:space="preserve">
Agreed via email with Sharon Hare</t>
        </r>
      </text>
    </comment>
    <comment ref="K1616" authorId="0" shapeId="0">
      <text>
        <r>
          <rPr>
            <b/>
            <sz val="8"/>
            <color indexed="81"/>
            <rFont val="Tahoma"/>
            <family val="2"/>
          </rPr>
          <t>Author:</t>
        </r>
        <r>
          <rPr>
            <sz val="8"/>
            <color indexed="81"/>
            <rFont val="Tahoma"/>
            <family val="2"/>
          </rPr>
          <t xml:space="preserve">
Agreed via email with Sharon Hare</t>
        </r>
      </text>
    </comment>
    <comment ref="K1617" authorId="0" shapeId="0">
      <text>
        <r>
          <rPr>
            <b/>
            <sz val="8"/>
            <color indexed="81"/>
            <rFont val="Tahoma"/>
            <family val="2"/>
          </rPr>
          <t>Author:</t>
        </r>
        <r>
          <rPr>
            <sz val="8"/>
            <color indexed="81"/>
            <rFont val="Tahoma"/>
            <family val="2"/>
          </rPr>
          <t xml:space="preserve">
Agreed via email with Sharon Hare</t>
        </r>
      </text>
    </comment>
    <comment ref="K1618" authorId="0" shapeId="0">
      <text>
        <r>
          <rPr>
            <b/>
            <sz val="8"/>
            <color indexed="81"/>
            <rFont val="Tahoma"/>
            <family val="2"/>
          </rPr>
          <t>Author:</t>
        </r>
        <r>
          <rPr>
            <sz val="8"/>
            <color indexed="81"/>
            <rFont val="Tahoma"/>
            <family val="2"/>
          </rPr>
          <t xml:space="preserve">
Agreed via email with Sharon Hare</t>
        </r>
      </text>
    </comment>
    <comment ref="J2049" authorId="0" shapeId="0">
      <text>
        <r>
          <rPr>
            <b/>
            <sz val="8"/>
            <color indexed="81"/>
            <rFont val="Tahoma"/>
            <family val="2"/>
          </rPr>
          <t>Author:</t>
        </r>
        <r>
          <rPr>
            <sz val="8"/>
            <color indexed="81"/>
            <rFont val="Tahoma"/>
            <family val="2"/>
          </rPr>
          <t xml:space="preserve">
Superseded by S165</t>
        </r>
      </text>
    </comment>
    <comment ref="J2050" authorId="0" shapeId="0">
      <text>
        <r>
          <rPr>
            <b/>
            <sz val="8"/>
            <color indexed="81"/>
            <rFont val="Tahoma"/>
            <family val="2"/>
          </rPr>
          <t>Author:</t>
        </r>
        <r>
          <rPr>
            <sz val="8"/>
            <color indexed="81"/>
            <rFont val="Tahoma"/>
            <family val="2"/>
          </rPr>
          <t xml:space="preserve">
Superseded by S165</t>
        </r>
      </text>
    </comment>
    <comment ref="J2123" authorId="0" shapeId="0">
      <text>
        <r>
          <rPr>
            <b/>
            <sz val="8"/>
            <color indexed="81"/>
            <rFont val="Tahoma"/>
            <family val="2"/>
          </rPr>
          <t>Author:</t>
        </r>
        <r>
          <rPr>
            <sz val="8"/>
            <color indexed="81"/>
            <rFont val="Tahoma"/>
            <family val="2"/>
          </rPr>
          <t xml:space="preserve">
Emal from Magi</t>
        </r>
      </text>
    </comment>
    <comment ref="J2483" authorId="0" shapeId="0">
      <text>
        <r>
          <rPr>
            <b/>
            <sz val="8"/>
            <color indexed="81"/>
            <rFont val="Tahoma"/>
            <family val="2"/>
          </rPr>
          <t>Author:</t>
        </r>
        <r>
          <rPr>
            <sz val="8"/>
            <color indexed="81"/>
            <rFont val="Tahoma"/>
            <family val="2"/>
          </rPr>
          <t xml:space="preserve">
Checked with Magi</t>
        </r>
      </text>
    </comment>
    <comment ref="J2484" authorId="0" shapeId="0">
      <text>
        <r>
          <rPr>
            <b/>
            <sz val="8"/>
            <color indexed="81"/>
            <rFont val="Tahoma"/>
            <family val="2"/>
          </rPr>
          <t>Author:</t>
        </r>
        <r>
          <rPr>
            <sz val="8"/>
            <color indexed="81"/>
            <rFont val="Tahoma"/>
            <family val="2"/>
          </rPr>
          <t xml:space="preserve">
Checked with Magi</t>
        </r>
      </text>
    </comment>
  </commentList>
</comments>
</file>

<file path=xl/comments3.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comments4.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comments5.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comments6.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comments7.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comments8.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comments9.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comments10.xml><?xml version="1.0" encoding="utf-8"?>
<comments xmlns="http://schemas.openxmlformats.org/spreadsheetml/2006/main">
  <authors>
    <author>Author</author>
  </authors>
  <commentList>
    <comment ref="F1" authorId="0" shapeId="0">
      <text>
        <r>
          <rPr>
            <b/>
            <sz val="8"/>
            <color indexed="81"/>
            <rFont val="Tahoma"/>
            <family val="2"/>
          </rPr>
          <t>Author:</t>
        </r>
        <r>
          <rPr>
            <sz val="8"/>
            <color indexed="81"/>
            <rFont val="Tahoma"/>
            <family val="2"/>
          </rPr>
          <t xml:space="preserve">
Only valid once the increment has ended</t>
        </r>
      </text>
    </comment>
  </commentList>
</comments>
</file>

<file path=xl/sharedStrings.xml><?xml version="1.0" encoding="utf-8"?>
<sst xmlns="http://schemas.openxmlformats.org/spreadsheetml/2006/main" count="14252" uniqueCount="4061">
  <si>
    <t>Change "is created" to "created" (present tense inappropriate)
Remove underline from message subject
Remove hyphen before message subject or add another one after message subject
Change "e-mail" to "email"</t>
  </si>
  <si>
    <t>Change "e-mail" to "email"</t>
  </si>
  <si>
    <t>Request to view admin (logged in)</t>
  </si>
  <si>
    <t>The system displays the Admin page</t>
  </si>
  <si>
    <t>My Details (goes to the My Details page)</t>
  </si>
  <si>
    <t>My Password (goes to the My Password page)</t>
  </si>
  <si>
    <t>1i</t>
  </si>
  <si>
    <t>User Admin (goes to User List page)</t>
  </si>
  <si>
    <t>My Organisation (goes to View/Amend Organisation Details page)</t>
  </si>
  <si>
    <t>1j</t>
  </si>
  <si>
    <t>Organisation Admin (goes to Organisation Admin Org Chooser page)</t>
  </si>
  <si>
    <t>Bulk Emails (goes to Bulk Email List page)</t>
  </si>
  <si>
    <t>If the browser window is too narrow for the nav bar and main panel to be completely visible, the main panel is *not* displayed below the nav bar; it remains to the right of it</t>
  </si>
  <si>
    <t>Navigate to the Resources page</t>
  </si>
  <si>
    <t>RJM</t>
  </si>
  <si>
    <t>View any page (using IE7 "Gold" on Win XP SP2)</t>
  </si>
  <si>
    <t>View any page (using IE6 SP2 on Win XP SP2)</t>
  </si>
  <si>
    <t>View any page (using Firefox 3.5 on Win XP SP2)</t>
  </si>
  <si>
    <t>All "Look and Feel" acceptance criteria fulfilled (rejoin Main flow at step 2)</t>
  </si>
  <si>
    <t>Attempt to cut &amp; paste Email into Confirm Email field</t>
  </si>
  <si>
    <t>Email not pasted</t>
  </si>
  <si>
    <t>Request to view the Help page</t>
  </si>
  <si>
    <t>There is an option to contact us</t>
  </si>
  <si>
    <t>The system validates that:
- Name is not blank
- Email is a well-formatted email address
- Telephone is not blank
- Organisation Type has been selected
- Subject has been selected
- Details is not blank</t>
  </si>
  <si>
    <t>View any page (using IE8 on Win XP SP2)</t>
  </si>
  <si>
    <t>View any page (using Google Chrome 4 on Win XP SP2)</t>
  </si>
  <si>
    <t>Notes</t>
  </si>
  <si>
    <t>It is not possible for users to alter the criteria (edit, add or remove)</t>
  </si>
  <si>
    <t>Prototyped</t>
  </si>
  <si>
    <t>Y</t>
  </si>
  <si>
    <t>N</t>
  </si>
  <si>
    <t>TBC</t>
  </si>
  <si>
    <t>Agreed PW/MG</t>
  </si>
  <si>
    <t>N/A</t>
  </si>
  <si>
    <t>Story ID</t>
  </si>
  <si>
    <t>Story Name</t>
  </si>
  <si>
    <t>View Evidence Types</t>
  </si>
  <si>
    <t>Each attainment criterion has zero or more "standard" evidence types associated with it.</t>
  </si>
  <si>
    <t>Add Custom Evidence Type</t>
  </si>
  <si>
    <t>General User</t>
  </si>
  <si>
    <t>Better understand the requirements list</t>
  </si>
  <si>
    <t>The resources are grouped into "Key Resources", "Exemplars" and "Useful Websites"</t>
  </si>
  <si>
    <t>View standard evidence types against each attainment criterion</t>
  </si>
  <si>
    <t>Assessment Completer</t>
  </si>
  <si>
    <t>Add a custom evidence type to an assessment criterion (because the standard evidence types are not appropriate for me)</t>
  </si>
  <si>
    <t>Indicate Evidence Obtained</t>
  </si>
  <si>
    <t>Sys Admin</t>
  </si>
  <si>
    <t>Have the system determine my current attainment level for a given requirement</t>
  </si>
  <si>
    <t>DIP Team</t>
  </si>
  <si>
    <t>Grant Criterion Exemption</t>
  </si>
  <si>
    <t>Grant Criterion Exemption to Org Type</t>
  </si>
  <si>
    <t xml:space="preserve">Grant an exemption from a requirement to an organisation </t>
  </si>
  <si>
    <t xml:space="preserve">Grant an exemption from an attainment criterion to an organisation </t>
  </si>
  <si>
    <t>Grant an exemption from an attainment criterion to all organisations of a specific type</t>
  </si>
  <si>
    <t>Save changes I have made to my requirement response</t>
  </si>
  <si>
    <t>Grant Evidence Exemption</t>
  </si>
  <si>
    <t>Grant Evidence Exemption to Org Type</t>
  </si>
  <si>
    <t>Grant an exemption from a mandatory evidence type to all organisations of a specific type</t>
  </si>
  <si>
    <t>Grant an exemption from a mandatory evidence type to an organisation</t>
  </si>
  <si>
    <t>TBC do we need this?</t>
  </si>
  <si>
    <t>Configure Evidence Provision Status</t>
  </si>
  <si>
    <t>Configure whether evidence provision is mandatory or optional for each org type</t>
  </si>
  <si>
    <t>Capture Date Last Modified</t>
  </si>
  <si>
    <t>Have the system capture and display the "date last modified" for each individual attainment criterion</t>
  </si>
  <si>
    <t>The printable version is in PDF format - it is designed for viewing offline or printing out, and not for filling in.</t>
  </si>
  <si>
    <t>Download printable versions of requirements in bulk, for viewing off-line or for printing out</t>
  </si>
  <si>
    <t>Determine Current Attainment Level Given Criterion Exemption</t>
  </si>
  <si>
    <t>Have the system determine my current attainment level for a given requirement, given that I have a criterion exemption</t>
  </si>
  <si>
    <t>View a requirement exemption granted to my organisation</t>
  </si>
  <si>
    <t>View Criterion Exemption</t>
  </si>
  <si>
    <t>View a criterion exemption granted to my organisation</t>
  </si>
  <si>
    <t>View Evidence Exemption</t>
  </si>
  <si>
    <t>Attainment Level 0 has standard text: "Insufficient evidence to attain Level 1"</t>
  </si>
  <si>
    <t>Explicitly indicate that my organisation is at Attainment Level 0</t>
  </si>
  <si>
    <t>Have the system determine the status of my requirement response</t>
  </si>
  <si>
    <t>Navigate quickly from one requirement to another</t>
  </si>
  <si>
    <t>The column headings indicate what happens when the column content is clicked</t>
  </si>
  <si>
    <t>Column 1 header is "Req No" (previously "Seq No")</t>
  </si>
  <si>
    <t>When I... (Action)</t>
  </si>
  <si>
    <t>I can... (Goal)</t>
  </si>
  <si>
    <t>Then... (Acceptance Criterion)</t>
  </si>
  <si>
    <t>The guidance text is presented (correctly formatted)</t>
  </si>
  <si>
    <t>The guidance text has paragraph numbers (for easy reference)</t>
  </si>
  <si>
    <t>The title of section is "Knowledge Base Resources"</t>
  </si>
  <si>
    <t>The resources are tabulated</t>
  </si>
  <si>
    <t>For each resource there is a description of the resource to help users determine the content of the resource and whether it will be useful to them</t>
  </si>
  <si>
    <t>The Attainment Levels section is called "Attainment Levels"</t>
  </si>
  <si>
    <t>The Attainment Levels section is the last section (so that the user is encouraged to view all the guidance materials first)</t>
  </si>
  <si>
    <t>The attainment level criteria are based on the current improvement plan items - expressed as an outcome instead of an action e.g.
"The Trust should document its current arrangements..." has become
"The Trust's current arrangements are documented..."</t>
  </si>
  <si>
    <t>The maintenance criteria are explicitly identified as being maintenance criteria</t>
  </si>
  <si>
    <t>"Not Relevant" is included as a valid Attainment Level</t>
  </si>
  <si>
    <t>"Not Relevant" is *not* included as a valid Attainment Level</t>
  </si>
  <si>
    <t>Request to save my changes</t>
  </si>
  <si>
    <t>The comments are persisted against the appropriate attainment criterion (TBC link to logical Data Model?)</t>
  </si>
  <si>
    <t>There is an option to add a "custom" evidence type against a specific attainment criterion</t>
  </si>
  <si>
    <t>Add a custom evidence type and give it a name (free form text)</t>
  </si>
  <si>
    <t>There is an option to edit the name of the custom evidence type</t>
  </si>
  <si>
    <t>Edit the custom evidence type name</t>
  </si>
  <si>
    <t>The updated custom evidence type name is persisted against the appropriate attainment criterion</t>
  </si>
  <si>
    <t>Enter Comments for an Attainment Criterion</t>
  </si>
  <si>
    <t>Enter comments for an attainment criterion</t>
  </si>
  <si>
    <t>There is a data field for entry/amendment of  comments against each attainment criterion (free form text)</t>
  </si>
  <si>
    <t>Enter comments on an individual attainment criterion</t>
  </si>
  <si>
    <t>The comments are displayed and are editable</t>
  </si>
  <si>
    <t>Edit the comments</t>
  </si>
  <si>
    <t>The (updated) comments are persisted against the appropriate attainment criterion</t>
  </si>
  <si>
    <t>Request to remove the custom evidence type</t>
  </si>
  <si>
    <t>The custom evidence type and all associated information is removed from the persistent store.</t>
  </si>
  <si>
    <t>There is an option to mark each evidence type as "obtained"</t>
  </si>
  <si>
    <t>Indicate a specific evidence type as obtained</t>
  </si>
  <si>
    <t>The fact that the evidence type has been obtained is persisted</t>
  </si>
  <si>
    <t>Agreed TUG</t>
  </si>
  <si>
    <t>The second custom evidence type is persisted against the appropriate attainment criterion</t>
  </si>
  <si>
    <t>Add a second custom evidence type and give it a name (free form text)</t>
  </si>
  <si>
    <t>There is an option to add a second "custom" evidence type against a specific attainment criterion (any number of custom evidence types can be added)</t>
  </si>
  <si>
    <t>View an evidence exemption granted to my organisation</t>
  </si>
  <si>
    <t>For a logged on user, the printable version is *not* populated with any of the data they have entered so far (a separate report will be provided to address this need)</t>
  </si>
  <si>
    <t>For each internally located resource, the file type and size is displayed</t>
  </si>
  <si>
    <t>The training tool text is displayed (after the knowledge base resources)</t>
  </si>
  <si>
    <t>Flow</t>
  </si>
  <si>
    <t>Step</t>
  </si>
  <si>
    <t>Main</t>
  </si>
  <si>
    <t>Save my changes</t>
  </si>
  <si>
    <t>1a</t>
  </si>
  <si>
    <t>Review My Assessment</t>
  </si>
  <si>
    <t>Review Submitted Assessment</t>
  </si>
  <si>
    <t>1b</t>
  </si>
  <si>
    <t>1c</t>
  </si>
  <si>
    <t>There is an option to remove the custom evidence type</t>
  </si>
  <si>
    <t>Indicate that I have obtained a particular evidence type</t>
  </si>
  <si>
    <t>4a</t>
  </si>
  <si>
    <t>The system highlights the fact that evidence has been obtained but the evidence location type has not been specified</t>
  </si>
  <si>
    <t>The system no longer highlights the fact that evidence has been obtained but the evidence location type has not been specified</t>
  </si>
  <si>
    <t>Proceed as per main flow but ignore steps 3 and 5</t>
  </si>
  <si>
    <t>The system highlights the fact that the user has not yet specified evidence location details</t>
  </si>
  <si>
    <t>Specify the evidence location details (free form text)</t>
  </si>
  <si>
    <t>The system no longer highlights the fact that the user has not yet specified evidence location details</t>
  </si>
  <si>
    <t>4b</t>
  </si>
  <si>
    <t>Specify the evidence location as "local file"</t>
  </si>
  <si>
    <t>Specify the evidence location as "intranet"</t>
  </si>
  <si>
    <t>Specify the evidence location as "internet"</t>
  </si>
  <si>
    <t>4c</t>
  </si>
  <si>
    <t>Select one of the evidence types from the list</t>
  </si>
  <si>
    <t>The evidence location and details are persisted</t>
  </si>
  <si>
    <t>View evidence files that I have previously specified in my requirement response</t>
  </si>
  <si>
    <t>There is an option to view the evidence file</t>
  </si>
  <si>
    <t>Request to view the evidence file</t>
  </si>
  <si>
    <t>Proceed as per main flow (the user specifies the full path and filename as the evidence details)</t>
  </si>
  <si>
    <t>Proceed as per main flow (the user specifies the relevant URL as the evidence details)</t>
  </si>
  <si>
    <t>Enter Evidence Comments</t>
  </si>
  <si>
    <t>Enter comments against a specific evidence type</t>
  </si>
  <si>
    <t>Enter comments</t>
  </si>
  <si>
    <t>The comments are persisted against the evidence type</t>
  </si>
  <si>
    <t>Upload Evidence</t>
  </si>
  <si>
    <t>Specify External Evidence Location</t>
  </si>
  <si>
    <t>Specify an external location for my evidence</t>
  </si>
  <si>
    <t>Specify Duplicate Evidence</t>
  </si>
  <si>
    <t>Indicate that an evidence type is a duplicate of another one I've already specified (and cross reference it)</t>
  </si>
  <si>
    <t xml:space="preserve"> </t>
  </si>
  <si>
    <t>At "Specify External Evidence Location" step 4, specify the evidence location as "duplicate"</t>
  </si>
  <si>
    <t>View Evidence</t>
  </si>
  <si>
    <t>At "Specify External Evidence Location" step 4, specify the evidence location as "uploaded"</t>
  </si>
  <si>
    <t>The system displays my current attainment level as "NR"</t>
  </si>
  <si>
    <t>The system displays my current attainment level as "EX"</t>
  </si>
  <si>
    <t>2a</t>
  </si>
  <si>
    <t>2b</t>
  </si>
  <si>
    <t>The system displays my current attainment level as "3"</t>
  </si>
  <si>
    <t>2c</t>
  </si>
  <si>
    <t>All level 1 and 2 criteria have been achieved</t>
  </si>
  <si>
    <t>The system displays my current attainment level as "2"</t>
  </si>
  <si>
    <t>2d</t>
  </si>
  <si>
    <t>All level 1 criteria have been achieved</t>
  </si>
  <si>
    <t>The system displays my current attainment level as "1"</t>
  </si>
  <si>
    <t>2e</t>
  </si>
  <si>
    <t>Level 0 is explicitly marked as achieved</t>
  </si>
  <si>
    <t>The system displays my current attainment level as "0"</t>
  </si>
  <si>
    <t>2f</t>
  </si>
  <si>
    <t>2g</t>
  </si>
  <si>
    <t>None of the above is true</t>
  </si>
  <si>
    <t>The system displays my current attainment level as undetermined</t>
  </si>
  <si>
    <t>All level 1, 2 and 3 criteria have been achieved (including level 3 maintenance criteria) and the previous assessment was at attainment level 3</t>
  </si>
  <si>
    <t>All level 1, 2 and 3 criteria have been achieved, excluding level 3 maintenance criteria, and last year's assessment was not at attainment level 3</t>
  </si>
  <si>
    <t>The current attainment level (along with past and tagret attainment levels) is displayed in large font size below the scoring matrix (it is no longer shown as a radio button selection within the scoring matrix)</t>
  </si>
  <si>
    <t>Note: other statuses remain as-is (no change)</t>
  </si>
  <si>
    <t>The system notifies me that I must first complete the details for the attainment criterion</t>
  </si>
  <si>
    <t>Indicate Attainment Criterion Achieved</t>
  </si>
  <si>
    <t>Indicate a given attainment criterion as achieved either directly or indirectly</t>
  </si>
  <si>
    <t>There is an option to indicate that each attainment criterion is achieved</t>
  </si>
  <si>
    <t>Indicate that a give attainment criterion is achieved</t>
  </si>
  <si>
    <t>The system marks the attainment criterion as achieved</t>
  </si>
  <si>
    <t>The system persists the fact that the attainment criterion is achieved.</t>
  </si>
  <si>
    <t>The system does not mark the attainment criterion as achieved</t>
  </si>
  <si>
    <t>The system automatically marks the attainment criterion as achieved</t>
  </si>
  <si>
    <t>There is an option to indicate that each attainment criterion is achieved (flag name "Achieved")</t>
  </si>
  <si>
    <t>Attempt to indicate that a given attainment criterion is achieved</t>
  </si>
  <si>
    <t>Change evidence details so that not all evidence types are fully specified.</t>
  </si>
  <si>
    <t>The system automatically marks the attainment criterion as not achieved</t>
  </si>
  <si>
    <t>Enter evidence details for the attainment criterion such that all evidence types are "fully specified"</t>
  </si>
  <si>
    <t>Attempt to indicate that a given attainment criterion is not achieved</t>
  </si>
  <si>
    <t>The "achieved" flag is not editable and remains set to "achieved"</t>
  </si>
  <si>
    <t>Explicitly indicate Attainment Level 0</t>
  </si>
  <si>
    <t>The system persists the fact that I have explicitly indicated Attainment Level 0</t>
  </si>
  <si>
    <t>Note: even when I have explicitly indicated Attainment Level 0, the system might ignore me - see "Determine Current Attainment Level 0"</t>
  </si>
  <si>
    <t>The "date last modified" for the attainment criterion is blank</t>
  </si>
  <si>
    <t>Specify some details for the attainment criterion</t>
  </si>
  <si>
    <t>The "date last modified" for the attainment criterion is displayed as the date and time that the system saved the changes</t>
  </si>
  <si>
    <t>Make some further changes but then reverse the changes</t>
  </si>
  <si>
    <t>The "Date last modified" remains unchanged</t>
  </si>
  <si>
    <t>The "date last modified" for the attainment criterion is read only</t>
  </si>
  <si>
    <t>Restart the system</t>
  </si>
  <si>
    <t>Specify whether evidence provision is "overall mandatory" or "overall optional" for each organisation type (does not need to be via a GUI)</t>
  </si>
  <si>
    <t>Ability to add review comments (at what level?)</t>
  </si>
  <si>
    <t>Also for use by auditor</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</si>
  <si>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</si>
  <si>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</si>
  <si>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</si>
  <si>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</si>
  <si>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</si>
  <si>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</si>
  <si>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</si>
  <si>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</si>
  <si>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</si>
  <si>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</si>
  <si>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</si>
  <si>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</si>
  <si>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</si>
  <si>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</si>
  <si>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</si>
  <si>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</si>
  <si>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</si>
  <si>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</si>
  <si>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</si>
  <si>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</si>
  <si>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</si>
  <si>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</si>
  <si>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</si>
  <si>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</si>
  <si>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</si>
  <si>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</si>
  <si>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</si>
  <si>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</si>
  <si>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</si>
  <si>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</si>
  <si>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</si>
  <si>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</si>
  <si>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</si>
  <si>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</si>
  <si>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</si>
  <si>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</si>
  <si>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</si>
  <si>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</si>
  <si>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</si>
  <si>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S054</t>
  </si>
  <si>
    <t>S055</t>
  </si>
  <si>
    <t>S056</t>
  </si>
  <si>
    <t>Priority</t>
  </si>
  <si>
    <t>S001</t>
  </si>
  <si>
    <t>Timeout</t>
  </si>
  <si>
    <t>Logged In User</t>
  </si>
  <si>
    <t>Have the system log me out if I do not use it for a period</t>
  </si>
  <si>
    <t>S002</t>
  </si>
  <si>
    <t>Submission Warning</t>
  </si>
  <si>
    <t>Assessment Submitter</t>
  </si>
  <si>
    <t>Receive a warning before I submit my assessment</t>
  </si>
  <si>
    <t>S003</t>
  </si>
  <si>
    <t>Submission E-mail</t>
  </si>
  <si>
    <t>Receive an e-mail confirming my assessment submission</t>
  </si>
  <si>
    <t>S004</t>
  </si>
  <si>
    <t>Approval E-mail Log</t>
  </si>
  <si>
    <t>View a record of the sending of an approval e-mail</t>
  </si>
  <si>
    <t>S005</t>
  </si>
  <si>
    <t>S006</t>
  </si>
  <si>
    <t>Be able to answer "not relevant" for certain requirements</t>
  </si>
  <si>
    <t>S007</t>
  </si>
  <si>
    <t>S008</t>
  </si>
  <si>
    <t>View helpdesk details in any page footer</t>
  </si>
  <si>
    <t>S009</t>
  </si>
  <si>
    <t>S010</t>
  </si>
  <si>
    <t>Add and amend general comments for my requirement response</t>
  </si>
  <si>
    <t>v7.3</t>
  </si>
  <si>
    <t>S057</t>
  </si>
  <si>
    <t>S058</t>
  </si>
  <si>
    <t>S059</t>
  </si>
  <si>
    <t>The system provides an option to specify attachments</t>
  </si>
  <si>
    <t>The subject line is as specified</t>
  </si>
  <si>
    <t>The body text is as specified (with rich text formatting)</t>
  </si>
  <si>
    <t>The attachments are as specified</t>
  </si>
  <si>
    <t>S060</t>
  </si>
  <si>
    <t>S061</t>
  </si>
  <si>
    <t>The system has persisted my changes</t>
  </si>
  <si>
    <t xml:space="preserve">Configure whether evidence provision is "overall mandatory" or "overall optional" for each organisation type. This determines whether an organisation is mandated to provide evidence against each attainment criterion. </t>
  </si>
  <si>
    <t>There is an option for me to add free-form notes to explain the exemption</t>
  </si>
  <si>
    <t>The system persists my changes</t>
  </si>
  <si>
    <t>Note: the exemption only applies to the current assessment and not to future assessments</t>
  </si>
  <si>
    <t>I cannot override the exemption</t>
  </si>
  <si>
    <t>The system shows the exemption details: notes, date and who granted it</t>
  </si>
  <si>
    <t>It is clear that the exemption applies to the current assessment only and not to any future assessments</t>
  </si>
  <si>
    <t>There is an option for me to mark the organisation as being exempt from each individual attainment criterion</t>
  </si>
  <si>
    <t>Mark the organisation as exempt from a specific attainment criterion</t>
  </si>
  <si>
    <t>Add free form notes</t>
  </si>
  <si>
    <t>The system also persists who granted the exemption and when</t>
  </si>
  <si>
    <t>The system indicates that my organisation has been granted an exemption for the specific attainment criterion</t>
  </si>
  <si>
    <t>Grant an exemption from an attainment criterion to an organisation</t>
  </si>
  <si>
    <t>There is an option for me to mark the organisation *type* as being exempt from each individual attainment criterion.</t>
  </si>
  <si>
    <t>Mark the organisation type as exempt from a specific attainment criterion</t>
  </si>
  <si>
    <t>There is *not* an option for me to mark the organisation *type* as being exempt from each individual attainment criterion.</t>
  </si>
  <si>
    <t>Make some changes</t>
  </si>
  <si>
    <t>The system saves my changes</t>
  </si>
  <si>
    <t>3a</t>
  </si>
  <si>
    <t>3b</t>
  </si>
  <si>
    <t>3c</t>
  </si>
  <si>
    <t>3d</t>
  </si>
  <si>
    <t>Request to cancel my changes</t>
  </si>
  <si>
    <t>The system does not save my changes</t>
  </si>
  <si>
    <t>The system validates that:</t>
  </si>
  <si>
    <t>I have selected at least one organisation type</t>
  </si>
  <si>
    <t>I have selected at least one role</t>
  </si>
  <si>
    <t>I have selected at least one assessment status</t>
  </si>
  <si>
    <t>I have specified a subject line</t>
  </si>
  <si>
    <t>I have specified some body text</t>
  </si>
  <si>
    <t>Validation criteria not met</t>
  </si>
  <si>
    <t>The system highlights the failed validation criteria</t>
  </si>
  <si>
    <t>The list is in reverse chronological order</t>
  </si>
  <si>
    <t>View Glossary</t>
  </si>
  <si>
    <t>View Glossary Term Definition</t>
  </si>
  <si>
    <t>View the definition of a term that is defined in the glossary</t>
  </si>
  <si>
    <t>View the entire glossary</t>
  </si>
  <si>
    <t>Status</t>
  </si>
  <si>
    <t>Dev</t>
  </si>
  <si>
    <t>Req</t>
  </si>
  <si>
    <t>The system shows the exemption details for my organisation: notes, date and who granted it</t>
  </si>
  <si>
    <t>The system does *not* show the exemption details for my organisation *type*</t>
  </si>
  <si>
    <t>There is an option for me to add free-form notes to explain the exemption (these notes are distinct from the notes provided against my specific organisation)</t>
  </si>
  <si>
    <t>The system also persists who granted the exemption and when (this data is distinct from data for any exemption provided against my specific organisation)</t>
  </si>
  <si>
    <t>The system displays the name(s) of the file(s) specified</t>
  </si>
  <si>
    <t>Request to remove one of the attachments</t>
  </si>
  <si>
    <t>The system no longer displays the name of the removed attachment</t>
  </si>
  <si>
    <t>S062</t>
  </si>
  <si>
    <t>S063</t>
  </si>
  <si>
    <t>S064</t>
  </si>
  <si>
    <t>Must</t>
  </si>
  <si>
    <t>Should</t>
  </si>
  <si>
    <t>Could</t>
  </si>
  <si>
    <t>Dependencies</t>
  </si>
  <si>
    <t>v8.0 (i1)</t>
  </si>
  <si>
    <t>S033, S034</t>
  </si>
  <si>
    <t>S065</t>
  </si>
  <si>
    <t>S066</t>
  </si>
  <si>
    <t>S067</t>
  </si>
  <si>
    <t>S014-S020</t>
  </si>
  <si>
    <t>Each resource title is a hyperlink through to the resource (be it a document on our server or an external URL)</t>
  </si>
  <si>
    <t>When a hyperlink is clicked, the resoruce is displayed in a new tab or window</t>
  </si>
  <si>
    <t>1a.5a</t>
  </si>
  <si>
    <t>The system encourages me to add details for the attainment criterion by expanding the attainment criterion details section</t>
  </si>
  <si>
    <t>The system makes it clear that adding the details for the attainment criterion is optional but recommended</t>
  </si>
  <si>
    <t>The section is collapsed</t>
  </si>
  <si>
    <t>There is an option to expand the section, which has replaced the option to collapse the section</t>
  </si>
  <si>
    <t>Request to expand the collapsed section</t>
  </si>
  <si>
    <t>The section is expanded</t>
  </si>
  <si>
    <t>There is an option to collapse the section, which has replaced the option to expand the section</t>
  </si>
  <si>
    <t>There are options to individually expand each section, which have replaced the options to collapse each section</t>
  </si>
  <si>
    <t>There are options to individually collapse each section, which have replaced the options to collapse each section</t>
  </si>
  <si>
    <t>There are options to individually collapse each top-level section</t>
  </si>
  <si>
    <t>There is an option to collapse all top-level sections at once</t>
  </si>
  <si>
    <t>There is an option to expand all top-level sections at once</t>
  </si>
  <si>
    <t>All "top-level" sections are expanded by default</t>
  </si>
  <si>
    <t>All "attainment criterion details" sections are collapsed by default</t>
  </si>
  <si>
    <t>There are options to individually expand the each attainment criterion details section</t>
  </si>
  <si>
    <t>The collapse button for each attainment criterion details section is to the LHS of the attainment criterion's "Achieved" tick box</t>
  </si>
  <si>
    <t>Request to collapse a top-level section</t>
  </si>
  <si>
    <t>Request to collapse all top-level sections</t>
  </si>
  <si>
    <t>All top-level sections are collapsed</t>
  </si>
  <si>
    <t>Request to expand all top-level sections</t>
  </si>
  <si>
    <t>All top-level sections are expanded</t>
  </si>
  <si>
    <t>8a</t>
  </si>
  <si>
    <t>8b</t>
  </si>
  <si>
    <t>8c</t>
  </si>
  <si>
    <t>Request to expand an attainment criterion details section</t>
  </si>
  <si>
    <t>Request to collapse the expanded section</t>
  </si>
  <si>
    <t>S069</t>
  </si>
  <si>
    <t>S068</t>
  </si>
  <si>
    <t>The section is a bullet list of free format text items</t>
  </si>
  <si>
    <t>S070</t>
  </si>
  <si>
    <t>Version:</t>
  </si>
  <si>
    <t>Author:</t>
  </si>
  <si>
    <t>Tony Heap</t>
  </si>
  <si>
    <t>Overview:</t>
  </si>
  <si>
    <t>Structure:</t>
  </si>
  <si>
    <t>A story is the smallest unit of system delivery - a story is either delivered or it is not.</t>
  </si>
  <si>
    <t>In practice, stories are grouped together and delivered as (time-boxed) "increments" every 3-4 weeks.</t>
  </si>
  <si>
    <t>This is a living document and is not formally version controlled.</t>
  </si>
  <si>
    <t>This document specifies what the system will do as opposed to how it will do it (i.e. It is not a technical specification).</t>
  </si>
  <si>
    <t>This document specifies only the changes to the system; it does not specify existing functionality.</t>
  </si>
  <si>
    <t>The functional specification consists of a set of "stories".</t>
  </si>
  <si>
    <t>Each story describes some aspect of the system's behaviour, either functional or non-functional.</t>
  </si>
  <si>
    <t>As a... (Actor)</t>
  </si>
  <si>
    <t>Agreed Dev</t>
  </si>
  <si>
    <t>Accordingly, there is no formal sign-off of the document as a whole. Rather, each "acceptance criterion" is signed off individually (see the "Agreed" columns on the "Details" worksheet).</t>
  </si>
  <si>
    <t>Each story is specified in "use case" format (ref. "Writing Effective Use Cases", Alistair Cockburn, 2001).</t>
  </si>
  <si>
    <t>See the column heading comments on the "Summary" and "Details" worksheets for further details on the format of the specification.</t>
  </si>
  <si>
    <t>In particular, the "Status" column in the "Summary" worksheet indicates the status of each story, from "being elaborated" right through to "gone live".</t>
  </si>
  <si>
    <t>S071</t>
  </si>
  <si>
    <t>S072</t>
  </si>
  <si>
    <t>Download the requirement set as a spreadsheet for offline working</t>
  </si>
  <si>
    <t>Float the mouse cursor over the term</t>
  </si>
  <si>
    <t>The mouse cursor changes to a "hand" shape as it would for a hyperlink</t>
  </si>
  <si>
    <t>Move the mouse cursor away and float it over the term again</t>
  </si>
  <si>
    <t>If the definition is not specified then it is omitted along with the leading colon.</t>
  </si>
  <si>
    <t>The explanation appears again.</t>
  </si>
  <si>
    <t>The explanation appears immediately (no delay)</t>
  </si>
  <si>
    <t>Click the term</t>
  </si>
  <si>
    <t>The explanation remains indefinitely whilst the mouse cursor is positioned over the term (tech note: standard tooltip using "title" attribute of &lt;a&gt; tag disappears after a few seconds. Suggest using jquery tooltip plugin or similar)</t>
  </si>
  <si>
    <t>View Glossary Term  (Printable)</t>
  </si>
  <si>
    <t>The glossary lists all glossary terms</t>
  </si>
  <si>
    <t>For each term, the definition is displayed if applicable (might not be applicable if the term is in the glossary purely to expand an abbreviation)</t>
  </si>
  <si>
    <t>The system displays the glossary in a separate (non-modal) tab/window</t>
  </si>
  <si>
    <t>The system displays the entire glossary in a separate (non-modal) tab/window (ref. S064 View Glossary), scrolled down to the selected term.</t>
  </si>
  <si>
    <t>View Printable/Downloadable Version of Glossary</t>
  </si>
  <si>
    <t>Identify glossary terms in the printable version of a requirement</t>
  </si>
  <si>
    <t>The term is highlighted in some way so as to indicate that it is a glossary term (e.g. Italics).</t>
  </si>
  <si>
    <t>View a printable/downloadable version of a requirement</t>
  </si>
  <si>
    <t>View a printable/downloadable version of the glossary</t>
  </si>
  <si>
    <t>View the glossary</t>
  </si>
  <si>
    <t>There is a (single) option to print or download the glossary</t>
  </si>
  <si>
    <t>Request to print or download the glossary</t>
  </si>
  <si>
    <t>The system opens up the printable/downloadable version of the glossary in a new browser window</t>
  </si>
  <si>
    <t>The printable version is in PDF format.</t>
  </si>
  <si>
    <t>S073</t>
  </si>
  <si>
    <t>S074</t>
  </si>
  <si>
    <t>S075</t>
  </si>
  <si>
    <t>S076</t>
  </si>
  <si>
    <t>S077</t>
  </si>
  <si>
    <t>S079</t>
  </si>
  <si>
    <t>If the acronym is not specified then it is omitted along with its surrounding parentheses and leading space.</t>
  </si>
  <si>
    <t>The terms are in alphabetical order (case insensitive) - using the full term, not the acronym</t>
  </si>
  <si>
    <t>For each term, the acronym is displayed if applicable</t>
  </si>
  <si>
    <t>Request to view the glossary</t>
  </si>
  <si>
    <t>The content of the glossary is as per the online version</t>
  </si>
  <si>
    <t>The booklet is in PDF format</t>
  </si>
  <si>
    <t>9a</t>
  </si>
  <si>
    <t>Download and open the guidance only format booklet</t>
  </si>
  <si>
    <t>9b</t>
  </si>
  <si>
    <t>Download and open the attainment levels/checklist only format booklet</t>
  </si>
  <si>
    <t>The download is a ZIP file</t>
  </si>
  <si>
    <t>The title page and footer indicate that the booklet is "guidance only" format</t>
  </si>
  <si>
    <t>The footer indicates that the booklet is "guidance only" format</t>
  </si>
  <si>
    <t>The title page and footer indicate that the booklet is "attainment levels/checklists only" format</t>
  </si>
  <si>
    <t>The footer indicates that the booklet is "attainment levels/checklists only" format</t>
  </si>
  <si>
    <t>The ZIP file includes the glossary as a separate PDF file</t>
  </si>
  <si>
    <t>Page footer includes page number (central)</t>
  </si>
  <si>
    <t>S040, S041</t>
  </si>
  <si>
    <t>View Assessment Summary</t>
  </si>
  <si>
    <t>View summary data about my assessment</t>
  </si>
  <si>
    <t>Request to view a summary of my current and previous assessments</t>
  </si>
  <si>
    <t>The document does not have a specific title - it begins with the Header Panel.</t>
  </si>
  <si>
    <t>The Guidance Section excludes the section heading "Guidance"</t>
  </si>
  <si>
    <t>Actor Name</t>
  </si>
  <si>
    <t>Description</t>
  </si>
  <si>
    <t>Anonymous User</t>
  </si>
  <si>
    <t>Any user, whether logged in or not</t>
  </si>
  <si>
    <t>Organisation User</t>
  </si>
  <si>
    <t>Organisation Administrator</t>
  </si>
  <si>
    <t>User responsible for performing admin tasks for their organisation</t>
  </si>
  <si>
    <t>Any user who is not logged in</t>
  </si>
  <si>
    <t>Any user who is logged in</t>
  </si>
  <si>
    <t>System administrator</t>
  </si>
  <si>
    <t>View any page</t>
  </si>
  <si>
    <t>Downloads are only available for my own org type</t>
  </si>
  <si>
    <t>Log out</t>
  </si>
  <si>
    <t>1d</t>
  </si>
  <si>
    <t>The term is capitalised as per a title e.g. "Code of Conduct"</t>
  </si>
  <si>
    <t>The term is *not* hyperlinked through to anywhere</t>
  </si>
  <si>
    <t>There is an option to view the glossary (on the nav bar)</t>
  </si>
  <si>
    <t>The glossary is *not* version controlled</t>
  </si>
  <si>
    <t>CMC</t>
  </si>
  <si>
    <t>CMC: Needs investigation as to how this will integrate with RATI tool</t>
  </si>
  <si>
    <t>CMC:Should be able to keep existing AttainmentItemPlanTask data structure</t>
  </si>
  <si>
    <t>CMC: Will need to have ALT text for the Icon as well for accessibility</t>
  </si>
  <si>
    <t>CMC: Again also needs ALT text for icon</t>
  </si>
  <si>
    <t>CMC: Note glossary terms marked by &lt;g&gt;&lt;/g&gt;.  Within these tags will either have the term or acronym.</t>
  </si>
  <si>
    <t>ExampleApp Functional Specification</t>
  </si>
  <si>
    <t>Rejoin main flow at step 3 (but use the attachment/appendix to determine the intended recipients)</t>
  </si>
  <si>
    <t>Update details link should take user to Admin/My Details page</t>
  </si>
  <si>
    <t>Can you change the error message to: "Incorrect User ID/Password combination"</t>
  </si>
  <si>
    <t>There is an option to enter my Organisation Code, User ID and Password</t>
  </si>
  <si>
    <t>Move both data fields to the right a bit so that "Organisation Name Keywords:" fits onto a single line</t>
  </si>
  <si>
    <t>Move fields to right so that "Name (Forename and Surname):" fits on a single line. Also, "Email:" needs to drop to the left!</t>
  </si>
  <si>
    <t>The system validates that I have entered a telephone number (don't care whether numeric, just has to exist)</t>
  </si>
  <si>
    <t>Formatting of error message - can you liaise with Tom to agree how this should look - he has used bold red text on other pages and also he suggested a "cross" icon.</t>
  </si>
  <si>
    <t>5b</t>
  </si>
  <si>
    <t>User left org code field blank</t>
  </si>
  <si>
    <t>System displayed red star to right of Org Code field instead of specified error message</t>
  </si>
  <si>
    <t>6b</t>
  </si>
  <si>
    <t>User left user ID and/or password field blank</t>
  </si>
  <si>
    <t>System displayed red star to right of fields instead of specified error messages</t>
  </si>
  <si>
    <t>1) Can you change error message from "User must have both forename and surname entered" to "Name must include both forename and surname"
2) Can you change error message "Full first name..." to "Full forename..."</t>
  </si>
  <si>
    <t>1) The "Register Now" button works but the "register for a user account" link doesn't work
2) Too much whitespace bewteen the buttons on all register pages - can you make them closer together please as per prototype?</t>
  </si>
  <si>
    <t>The system validates that there is a *unique* organisation in the database with matching keywords in the organisation name (in any order, case insensitive)</t>
  </si>
  <si>
    <t>Formatting - missing bullet points - probably needs the stylesheet tweaking - check with Tom</t>
  </si>
  <si>
    <t>Doesn't link through to the contact us page</t>
  </si>
  <si>
    <t>Got a validation error - but should have gone to Registration Step 2 (as per flow 8a)</t>
  </si>
  <si>
    <t>Is it possible to match on *partial* keywords? For example, if I type "aintree park" it matches (org code N82053) but if I enter "aintr park" it won't match.</t>
  </si>
  <si>
    <t>TM</t>
  </si>
  <si>
    <t>Dev Owner</t>
  </si>
  <si>
    <t>CC</t>
  </si>
  <si>
    <t>RM</t>
  </si>
  <si>
    <t>NL</t>
  </si>
  <si>
    <t>White background not blue</t>
  </si>
  <si>
    <t>Page H1 header "Contact Us" not displayed (this seems to be common across quite a lot of pages - is there a stylesheet problem?)</t>
  </si>
  <si>
    <t>Ordering (Exeter Helpdesk first) and wording as per latest version of prototype please</t>
  </si>
  <si>
    <t>Can you put Pharma/Dentist before Other as per prototype</t>
  </si>
  <si>
    <t>Can you order as per prototype please</t>
  </si>
  <si>
    <t>1) Can you move the validation errors so they appear just above the data fields highlight box
2) Can you change the wording so it says "Name must be entered", "Email must be entered", "Organisation Type" must be entered etc. so that the words in the error message exactly match the field names on the screen (for consistency)</t>
  </si>
  <si>
    <t>1) Paragraph indenting is out. The answer here (I think) is to remove the 5 x &amp;nbsp; at the beginning of each para in the HTML.
2) In IE, the first H3 displays fine but the second and subsequent ones are indented and too small. It seems to be because they are embedded within a &lt;ul&gt; (but so is the first one!), because if I close the &lt;ul&gt; before the &lt;h3&gt; and open it again afterwards it's OK. But then the paragraph numbering goes to cock, unless youe explicitly use the "Start" attribute of &lt;ul&gt;.</t>
  </si>
  <si>
    <t>Visited weblinks are the same colour as not visited links (OK) but with no underline (not OK)</t>
  </si>
  <si>
    <t>1) Order of tabs should be Key Resources, Exemplar Materials, Useful Web Sites</t>
  </si>
  <si>
    <t>1) Can you put a tooltip on the external web site link saying "External web site link" (as per prototype)
2) Can you include the external website link within the &lt;a&gt; tag so it is clickable along with the link itself.</t>
  </si>
  <si>
    <t>Can you remove the leading dot e.g. "DOC", not ".DOC"</t>
  </si>
  <si>
    <t>Implement</t>
  </si>
  <si>
    <t>Put a colon at the end of "The following is a list..." instead of a full stop</t>
  </si>
  <si>
    <t>Rather than saying, "The following is a list..." followed by a bulleted "There are no material changes...", just say "There are no material changes" (not bulleted)</t>
  </si>
  <si>
    <t>1) Make link to training tool open in new window
2) Put full stop after training tool link (as per prototype)</t>
  </si>
  <si>
    <t>The training tool text is *not* displayed (after the knowledge base resources)</t>
  </si>
  <si>
    <t>Can you put a full stop at the end of this sentence please? (sorry, my fault)</t>
  </si>
  <si>
    <t>Superseded by S108</t>
  </si>
  <si>
    <t>Remove "Type" column (and any associated underlying data structures) - we are no longer including "Type"</t>
  </si>
  <si>
    <t>Jerky action - needs to be smoother</t>
  </si>
  <si>
    <t>Works OK at first. Then if I expand one of the top level sections and then try to expand an attainment level, it expands then collapses again! Each time I expand or collapse a top level section, it adds another iteration fo expanding or collapsing to the attainment level. Weird, huh?</t>
  </si>
  <si>
    <t>Will test once above defect fixed</t>
  </si>
  <si>
    <t>The "achieved" boxes only appear if the screen is being viewed in the context of completing an application</t>
  </si>
  <si>
    <t>System error displayed - presume this is to do with connfig of system test environment re. sending emails</t>
  </si>
  <si>
    <t>All fields are OK but can you make the Name, Email and Telephone fields wider - currently the email box is too narrow to show an average email address (e.g. Adam.tester@madeup.com)</t>
  </si>
  <si>
    <t>1) Can you change the wording to a single paragraph (no bullet point): "You can contact us by phone on 01392 251289 (Mon-Fri, 8am-5pm)". Note that the word "us" is currently missing (my fault as I missed it off in the prototype)
2) Can you add the word "us" into the text shown to not logged-on users</t>
  </si>
  <si>
    <t>I expected to see Org Code on one line and Org Type on a separate line but I actually got a single line which said "Organisation Code: A.TEST:ACUTE - A.TEST: Acute Trust Organisation Type: Acute ". It looks like you have also included org name, which is OK, but can you put 3 separate lines - org code, org name and org type?</t>
  </si>
  <si>
    <t>Abandon the function</t>
  </si>
  <si>
    <t>Request to view a specific (internal) KB resource (ref. S075)</t>
  </si>
  <si>
    <t>1) Can you change the wording to a single paragraph (no bullet point): "You can contact us by phone on 0113 394 6540 (Mon-Fri, 9am-5pm)". Note that the word "us" is currently missing (my fault as I missed it off in the prototype)</t>
  </si>
  <si>
    <t>Help page is all wrong!</t>
  </si>
  <si>
    <t>Can't test until fixed step 2 above</t>
  </si>
  <si>
    <t>"Not yet created" should be "(not yet created)"</t>
  </si>
  <si>
    <t>Closed</t>
  </si>
  <si>
    <t>1) Can you add a label "Filename:" to the left of the field in the attachment popup
2) Can you make the filename field maybe twice as wide (so you can see more of the filename at one time)</t>
  </si>
  <si>
    <t>Selected file, clicked "Add Attachment" and got a server error</t>
  </si>
  <si>
    <t>File not found - is this a problem with the system test environment?</t>
  </si>
  <si>
    <t>Can't test until above test passes</t>
  </si>
  <si>
    <t>The system tells advises me how to view and download the files (right click/Save Target As...)</t>
  </si>
  <si>
    <t>See prototype for appropriate wording</t>
  </si>
  <si>
    <t>File not found</t>
  </si>
  <si>
    <t>Default is blank</t>
  </si>
  <si>
    <t>For some reason this link is underlined but all the others are not. Can you get them consisten please (check with Tom re. link styling)</t>
  </si>
  <si>
    <t>File not found - there is an example file you can use in the prototype folder</t>
  </si>
  <si>
    <t>TH 10/3 - breadcrumb needs to change from "Bulk Email List" to "Bulk Emails" to match main page title</t>
  </si>
  <si>
    <t>TH 10/3 - the message is in blue on a blue background so I can't see it!
Can you change it to a simple paragraph of text instead of putting it in a table?</t>
  </si>
  <si>
    <t>The popup box styling is all wrong (e.g. Transparent background) - it used to be OK so presume it got broke by the re-styling activity</t>
  </si>
  <si>
    <t>The popup box is not modal</t>
  </si>
  <si>
    <t>Email was deleted without asking for confirmation</t>
  </si>
  <si>
    <t>Can you change the Cancel button to a Done button</t>
  </si>
  <si>
    <t>Is it possible (easy) to make the Body section non-editable? If not, don't worry, there is no "Save" button so it's not a big deal</t>
  </si>
  <si>
    <t>Time Fixing Defects (man days)</t>
  </si>
  <si>
    <t>Actual Dev Time
(man days)</t>
  </si>
  <si>
    <t>Context Sensitive Help</t>
  </si>
  <si>
    <t>Receive context sensitive help as necessary across the whole site</t>
  </si>
  <si>
    <t>Insert a "context sensitive help" marker into a web page with a specific ID</t>
  </si>
  <si>
    <t>The system displays the relevant text from the context sensitive help configuration file</t>
  </si>
  <si>
    <t>The text is displayed in a popup</t>
  </si>
  <si>
    <t>Run the application and float the mouse over the context sensitive help marker</t>
  </si>
  <si>
    <t>The popup remains displayed indefinitely (i.e. not not a standard tooltip)</t>
  </si>
  <si>
    <t>Date unknown</t>
  </si>
  <si>
    <t>Navigate to the specified page</t>
  </si>
  <si>
    <t>The system displays a context sensitive help icon at the specified location within the page</t>
  </si>
  <si>
    <t>Float over the icon</t>
  </si>
  <si>
    <t>The system displays the relevant description</t>
  </si>
  <si>
    <t>The text is formatted as per the HTML markup</t>
  </si>
  <si>
    <t>The style of the knowledge base tabs is as per the prototype</t>
  </si>
  <si>
    <t>Dev environment looks fine
TH 10/3 retested OK</t>
  </si>
  <si>
    <t>Data integrity issue - suggest trying to send email before creating user in database - that way, if the email fails, the user is not created - and the user will be able to try again.</t>
  </si>
  <si>
    <t>Got a Server Error - presume some config issue in the system test environment with sending the email</t>
  </si>
  <si>
    <t>I receive an email containing my password (no change)</t>
  </si>
  <si>
    <t xml:space="preserve">The two alert boxes should be pink, not blue - looking at the source you do have the alertBox in the class, so I guess it's the stylesheet that needs tweaking </t>
  </si>
  <si>
    <t>Link works OK but styling is an issue because the link is blue within blue text and no underline. Maybe chat to Tom re. putting the underline back?</t>
  </si>
  <si>
    <t>complete</t>
  </si>
  <si>
    <t>Des</t>
  </si>
  <si>
    <t>nili: fixed, but defaults to first orgtype (in ascending alphabetical order) ... Which is usually Acute.</t>
  </si>
  <si>
    <t>TH 15/3 still no separators in the header links</t>
  </si>
  <si>
    <t xml:space="preserve">Didn't open in a new window
</t>
  </si>
  <si>
    <t>Also, can you put a bar separator between the links in the footer</t>
  </si>
  <si>
    <t>CMC:Will always have term but acronym and defintion are optional</t>
  </si>
  <si>
    <t xml:space="preserve">CMC:Could use dotted underline if possible </t>
  </si>
  <si>
    <t>Rejoin main flow at step 2</t>
  </si>
  <si>
    <t>The format of the explanation is "term (acronym): definition" (but see below for qualifiers and exceptions)</t>
  </si>
  <si>
    <t>7a</t>
  </si>
  <si>
    <t>Rejoin main flow at step 7</t>
  </si>
  <si>
    <t>Story Points</t>
  </si>
  <si>
    <t>Dev Complete Date</t>
  </si>
  <si>
    <t>Week 1</t>
  </si>
  <si>
    <t>Week 2</t>
  </si>
  <si>
    <t>Week 3</t>
  </si>
  <si>
    <t>Date</t>
  </si>
  <si>
    <t>Story Points
(Est Cumulative)</t>
  </si>
  <si>
    <t>Story Points
(Actual Today)</t>
  </si>
  <si>
    <t>Story Points
(Actual Cumulative)</t>
  </si>
  <si>
    <t>Total Man Days</t>
  </si>
  <si>
    <t>Increment Name</t>
  </si>
  <si>
    <t>CMC: Needs to be sent HTML mail then</t>
  </si>
  <si>
    <t>CMC: Need for rich text/HTML editor</t>
  </si>
  <si>
    <t>CMC: Presumably this process uploads said file to the server.  Do we need to ensure files are unique across emails i.e. can't get overwritten by another upload.  Store as BLOBs or on FileSystem ?  BLOBS gets round issue of multiple web servers</t>
  </si>
  <si>
    <t xml:space="preserve">CMC: SQL Agent job?  If so need files as BLOBS in database.  SQL CLR code to convert BLOB to file </t>
  </si>
  <si>
    <t>S056, S058</t>
  </si>
  <si>
    <r>
      <t>The "</t>
    </r>
    <r>
      <rPr>
        <b/>
        <sz val="11"/>
        <color indexed="8"/>
        <rFont val="Calibri"/>
        <family val="2"/>
      </rPr>
      <t>Summary</t>
    </r>
    <r>
      <rPr>
        <sz val="11"/>
        <color theme="1"/>
        <rFont val="Calibri"/>
        <family val="2"/>
        <scheme val="minor"/>
      </rPr>
      <t>" worksheet is an inventory of all the stories, along with various information for each one.</t>
    </r>
  </si>
  <si>
    <r>
      <t>The "</t>
    </r>
    <r>
      <rPr>
        <b/>
        <sz val="11"/>
        <color indexed="8"/>
        <rFont val="Calibri"/>
        <family val="2"/>
      </rPr>
      <t>Details</t>
    </r>
    <r>
      <rPr>
        <sz val="11"/>
        <color theme="1"/>
        <rFont val="Calibri"/>
        <family val="2"/>
        <scheme val="minor"/>
      </rPr>
      <t>" worksheet contains the detailed specification for each story.</t>
    </r>
  </si>
  <si>
    <t>View key information about a (v8+) requirement</t>
  </si>
  <si>
    <t>View the requirement description for a (v8+) requirement</t>
  </si>
  <si>
    <t>View the guidance text for a (v8+) requirement</t>
  </si>
  <si>
    <t>View Knowledge Base Resources (v8+)</t>
  </si>
  <si>
    <t>View and access the knowledge base resources that are relevant to a (v8+) requirement</t>
  </si>
  <si>
    <t>View the requirement origins for a (v8+) requirement</t>
  </si>
  <si>
    <t>View a list of material changes that have been made in this (major) version of the (v8+) requirements</t>
  </si>
  <si>
    <t>View Training Tool Text (v8+)</t>
  </si>
  <si>
    <t>View the training tool text for a (v8+) requirement</t>
  </si>
  <si>
    <t>View Training Tool Custom Text (v8+)</t>
  </si>
  <si>
    <t>View (v8+) requirement-specific training tool text</t>
  </si>
  <si>
    <t>View Attainment Levels (v8+)</t>
  </si>
  <si>
    <t>View attainment levels and attainment criteria for a (v8+) requirement</t>
  </si>
  <si>
    <t>Expand or collapse the various sections of the (v8+) requirement page</t>
  </si>
  <si>
    <t>Indicate that a (v8+) requirement is not relevant to my organisation</t>
  </si>
  <si>
    <t>Am completing a (v8+) assessment for an organisation type for which evidence provision is "overall mandatory"</t>
  </si>
  <si>
    <t>Am completing a (v8+) assessment for an organisation type for which evidence provision is "overall optional"</t>
  </si>
  <si>
    <t>Indicate Attainment Level 0 (v8+)</t>
  </si>
  <si>
    <t>Determine Current Attainment Level (v8+)</t>
  </si>
  <si>
    <t>View an in-progress (v8+) assessment for a specific organisation</t>
  </si>
  <si>
    <t>Review all the details I have entered for my (v8+) assessment so far</t>
  </si>
  <si>
    <t>Review a submitted (v8+) assessment prior to approval</t>
  </si>
  <si>
    <t>CMC: Possible security access implications as will need to access file system to get this information. 
TH: the fiel type and size will be in the DB (calculated by RATty)</t>
  </si>
  <si>
    <t>Search Knowledge Base</t>
  </si>
  <si>
    <t>Search for knowledge base documents based on various criteria</t>
  </si>
  <si>
    <t>CMC:Will need to be enforced through validation i.e. can't click a criteria unless all previous criteria also clicked
TH: this point is really just to do with the way that the page looks, The validation is covered off by S036 (Determine Current Attainment Level)</t>
  </si>
  <si>
    <t xml:space="preserve">TBC knock-on effect on TDB.  CMC Will definitely have knock on effect on TDB will require at the least some TDB reports being pulled and at worst changes to TDB data structures and associated batch and SP processes as well. </t>
  </si>
  <si>
    <t>Download printable versions of requirements in bulk, for viewing off-line or for printing out (specifically, per-initiative booklets)</t>
  </si>
  <si>
    <t>Look and Feel</t>
  </si>
  <si>
    <t>Use the application easily and without aesthetic insult to my eye</t>
  </si>
  <si>
    <t>S078</t>
  </si>
  <si>
    <t>S080</t>
  </si>
  <si>
    <t>S081</t>
  </si>
  <si>
    <t>S082</t>
  </si>
  <si>
    <t>S083</t>
  </si>
  <si>
    <t>S084</t>
  </si>
  <si>
    <t>S085</t>
  </si>
  <si>
    <t>S086</t>
  </si>
  <si>
    <t>Home Page</t>
  </si>
  <si>
    <t>View information on the home page</t>
  </si>
  <si>
    <t>View the home page (not logged in)</t>
  </si>
  <si>
    <t>There is a summary of what's new with an option to subscribe to the RSS feed and a link to the "what's new" page (no change)</t>
  </si>
  <si>
    <t>The system tells me when I last logged in (date if before today or time if earlier today)</t>
  </si>
  <si>
    <t>CMC:This looks pretty odd if the situation of 0 orgins does arise</t>
  </si>
  <si>
    <t>Live</t>
  </si>
  <si>
    <t>Create Bulk Email</t>
  </si>
  <si>
    <t>Create bulk emails to be sent to users</t>
  </si>
  <si>
    <t>Add Bulk Email Attachments</t>
  </si>
  <si>
    <t>Attach files to pending bulk emails</t>
  </si>
  <si>
    <t>Send Bulk Email</t>
  </si>
  <si>
    <t>Have the system send all due bulk emails</t>
  </si>
  <si>
    <t>View Bulk Emails</t>
  </si>
  <si>
    <t>View bulk emails (both sent and pending)</t>
  </si>
  <si>
    <t>Amend Bulk Email</t>
  </si>
  <si>
    <t>Amend a pending bulk email</t>
  </si>
  <si>
    <t>Delete Bulk Email</t>
  </si>
  <si>
    <t>Delete a pending bulk email</t>
  </si>
  <si>
    <t>View Bulk Email</t>
  </si>
  <si>
    <t>View a sent email</t>
  </si>
  <si>
    <t>View Undelivered Bulk Emails</t>
  </si>
  <si>
    <t>View a list of undelivered bulk emails so that I can consider whether to amend user details</t>
  </si>
  <si>
    <t>Request to view a list of bulk emails</t>
  </si>
  <si>
    <t>The system displays the "Bulk Email List" screen</t>
  </si>
  <si>
    <t>There is an option to create a new bulk email</t>
  </si>
  <si>
    <t>Request to create a bulk email</t>
  </si>
  <si>
    <t>The system displays the "Bulk Email Details" screen</t>
  </si>
  <si>
    <t>The system tells me that the email will be sent overnight</t>
  </si>
  <si>
    <t>The system requests me to specify details for the email, as follows:</t>
  </si>
  <si>
    <t>Organisation type(s) to send the email to (multiple selection, default none selected)</t>
  </si>
  <si>
    <t>Role(s) to send the email to (multiple selection, default none selected)</t>
  </si>
  <si>
    <t>Assessment status of organisations to send the email to (multiple selection, default none selected)</t>
  </si>
  <si>
    <t>Subject line of the email (default blank)</t>
  </si>
  <si>
    <t>Body text of the email (rich text, default blank)</t>
  </si>
  <si>
    <t>Date to send the email (default today)</t>
  </si>
  <si>
    <t>Enter details for the email</t>
  </si>
  <si>
    <t>Request to create the email</t>
  </si>
  <si>
    <t>I have specified a date to send the email it is either today (but only if the current time is before 6pm) or a date in the future</t>
  </si>
  <si>
    <t>The system creates (persists) a "pending" email with all the details I have specified</t>
  </si>
  <si>
    <t>The system returns to the "Bulk email List" screen</t>
  </si>
  <si>
    <t>The system informs me that it has created a new bulk email which is "pending"</t>
  </si>
  <si>
    <t>The system reminds me the date that the email will be sent</t>
  </si>
  <si>
    <t>The system reminds me that I can amend or delete the email up to 6pm on the date it will be sent</t>
  </si>
  <si>
    <t>16a</t>
  </si>
  <si>
    <t>Rejoin main flow at step 14</t>
  </si>
  <si>
    <t>15a</t>
  </si>
  <si>
    <t>Request to cancel</t>
  </si>
  <si>
    <t>Enter (valid) details for the email</t>
  </si>
  <si>
    <t>Specify one or more files to attach to the email</t>
  </si>
  <si>
    <t>The system persists the files along with the pending email</t>
  </si>
  <si>
    <t>Wait until the morning after a bulk email was due to be sent</t>
  </si>
  <si>
    <t>The system has sent the bulk email to all specified recipients</t>
  </si>
  <si>
    <t>The system has *not* sent the email to users with locked accounts</t>
  </si>
  <si>
    <t>The email "from" address is a "do not reply" address</t>
  </si>
  <si>
    <t>The email is marked as "sent"</t>
  </si>
  <si>
    <t>CMC: What happens if not sent
TH: the only reason it would not be sent is due to a technical failure - not something I would document in the FS - but obviously you need to code for data integrity i.e. Don't mark it as sent unless it was actually sent</t>
  </si>
  <si>
    <t>The system displays a list of all bulk emails, pending and sent</t>
  </si>
  <si>
    <t>For each email the system tells me the subject line</t>
  </si>
  <si>
    <t>For each email the system tells me the "send date" (the date it was sent or is due to be sent)</t>
  </si>
  <si>
    <t>For each email the system tells me the status (Sent or Pending)</t>
  </si>
  <si>
    <t>For each pending email there is an option to edit the email</t>
  </si>
  <si>
    <t>Request to edit a pending email</t>
  </si>
  <si>
    <t>All details of the email are populated</t>
  </si>
  <si>
    <t>All details of the email are editable</t>
  </si>
  <si>
    <t>Edit the email details</t>
  </si>
  <si>
    <t>The system performs the same validations as per S056 (Create Bulk Email)</t>
  </si>
  <si>
    <t>The system updates (persists) the "pending" email with all the details I have specified</t>
  </si>
  <si>
    <t>The system returns to the "Bulk Email List" screen</t>
  </si>
  <si>
    <t>For each pending email there is an option to delete the email</t>
  </si>
  <si>
    <t>Request to delete a pending email</t>
  </si>
  <si>
    <t>The system asks me to confirm</t>
  </si>
  <si>
    <t>Confirm</t>
  </si>
  <si>
    <t>The system deletes the email</t>
  </si>
  <si>
    <t>The system re-displayes the "Bulk Email List" screen</t>
  </si>
  <si>
    <t>The deleted email has been removed from the list</t>
  </si>
  <si>
    <t>There is an option to delete the email</t>
  </si>
  <si>
    <t>Request to delete the email</t>
  </si>
  <si>
    <t>Rejoin main flow at step 4</t>
  </si>
  <si>
    <t>For each sent email there is an option to view the email</t>
  </si>
  <si>
    <t>Request to view a sent email</t>
  </si>
  <si>
    <t>All details of the email are *not* editable</t>
  </si>
  <si>
    <t>There is *not* an option to save the email</t>
  </si>
  <si>
    <t>View Undelivered Bulk emails</t>
  </si>
  <si>
    <t>CMC: Individual recipients or en-masse recipients ?
TH: can be either so long as users don't see other users' e-mail addresses</t>
  </si>
  <si>
    <t>The e-mail (when received) does not contain the e-mail addresses of any other recipients.</t>
  </si>
  <si>
    <t>User info to include e-mail address and phone number, plus option to amend</t>
  </si>
  <si>
    <t>The phrase is highlighted so that it looks similar to but distinct from a normal hyperlink (e.g. Underlined but in a different colour)</t>
  </si>
  <si>
    <t>The "explanation" of the phrase appears in a float-over window (like a "tooltip")</t>
  </si>
  <si>
    <t>The explanation consists of data from the matching glossary entry. A glossary entry matches if either the term or acronym is a (case insensitive) match for the marked up phrase. If more than one glossary entry matches the marked up phrase then the selection of which entry to display is arbitrary.</t>
  </si>
  <si>
    <t>There is a section for registered users allowing them to log in or deal with a forgotten password</t>
  </si>
  <si>
    <r>
      <t>The "</t>
    </r>
    <r>
      <rPr>
        <b/>
        <sz val="11"/>
        <color indexed="8"/>
        <rFont val="Calibri"/>
        <family val="2"/>
      </rPr>
      <t>Stats</t>
    </r>
    <r>
      <rPr>
        <sz val="11"/>
        <color theme="1"/>
        <rFont val="Calibri"/>
        <family val="2"/>
        <scheme val="minor"/>
      </rPr>
      <t>" worksheets show development progress for individual increments, in the form of a "burn down chart"</t>
    </r>
  </si>
  <si>
    <t>Publish Glossary</t>
  </si>
  <si>
    <t>Publish a new version of the glossary based on the data held in RAT</t>
  </si>
  <si>
    <t>Publish a new version of the requirements based on the data held in RAT</t>
  </si>
  <si>
    <t>Publish Knowledge Base</t>
  </si>
  <si>
    <t>Publish a new version of the Knowledge Base based on the data held in RAT</t>
  </si>
  <si>
    <t>Correct (new) version of glossary is displayed.
Note: format/content of document is specified in S071.</t>
  </si>
  <si>
    <t>Publish Glossary (Advanced)</t>
  </si>
  <si>
    <t>View online version of glossary (S064)</t>
  </si>
  <si>
    <t>Correct (new) version of glossary is displayed.
Note: format/content of document is specified in S064.</t>
  </si>
  <si>
    <t>The attainment levels 0-3 are displayed along with the summary description for each.</t>
  </si>
  <si>
    <t>For each attainment level, its "child" attainment criteria are dispayed with their individual IDs (1a, 1b, 1c etc.)</t>
  </si>
  <si>
    <t>The screen layout is such that it is clear that the criteria are cumulative (i.e. To get attainment level 2 you need to achieve all attainment level 1 and 2 criteria)</t>
  </si>
  <si>
    <t>All standard evidence types are mandatory (optional evidence types were considered but rejected) - although see story S081 re. evidence type strengths</t>
  </si>
  <si>
    <t>The existing custom evidence type is displayed (below standard evidence types)</t>
  </si>
  <si>
    <t>There is an indicator to show that it is a custom (not standard) evidence type</t>
  </si>
  <si>
    <t>Total Story Points In Scope</t>
  </si>
  <si>
    <t>Total Story Points Delivered</t>
  </si>
  <si>
    <t>Actual Velocity</t>
  </si>
  <si>
    <t>Man Days (Cumulative)</t>
  </si>
  <si>
    <t>Man Days (Today)</t>
  </si>
  <si>
    <t>Estimated Velocity</t>
  </si>
  <si>
    <t>Run KB "publish" process</t>
  </si>
  <si>
    <t>The system updates its KB tables to match the data in the staging tables</t>
  </si>
  <si>
    <t>The system determines the file type (extension) and size for each "internal" resource file and records this in the DB</t>
  </si>
  <si>
    <t>View online version of glossary (ref. story S064)</t>
  </si>
  <si>
    <t>Correct (new) version of the KB is displayed (as per existing KB functionality)</t>
  </si>
  <si>
    <t>Resource is correctly displayed (as per existing KB functionality)</t>
  </si>
  <si>
    <t>5a</t>
  </si>
  <si>
    <t>System displays error including list of missing resources</t>
  </si>
  <si>
    <t>Links to existing assessments are maintained</t>
  </si>
  <si>
    <t>Confirm that I wish to proceed</t>
  </si>
  <si>
    <t>6a</t>
  </si>
  <si>
    <t>RATML fields are converted into HTML "snippets" as appropriate for display (see stories S013-S021)</t>
  </si>
  <si>
    <t>Level 3 can include "maintenance" criteria (note: these are criteria which only need to be achieved if the organisation was at level 3 in the previous year)</t>
  </si>
  <si>
    <t>The maintenance criteria do not have criteria Ids</t>
  </si>
  <si>
    <t>The maintenance criteria are displayed *after* the main Level 3 criteria, in any order (the business rule is that there should only ever be one maintenance criterion, so irder isn't important)</t>
  </si>
  <si>
    <t>S087</t>
  </si>
  <si>
    <t>S088</t>
  </si>
  <si>
    <t>S089</t>
  </si>
  <si>
    <t>S090</t>
  </si>
  <si>
    <t>S091</t>
  </si>
  <si>
    <t>S092</t>
  </si>
  <si>
    <t>S067, S082</t>
  </si>
  <si>
    <t>Needs technical investigation into how it can be achieved</t>
  </si>
  <si>
    <t>Nav bar appears on LHS</t>
  </si>
  <si>
    <t>Nav bar items are single level</t>
  </si>
  <si>
    <t>Nav bar items are white text on dark blue background, with white separating line</t>
  </si>
  <si>
    <t>Nav bar has bottom "finisher" with curvy corners</t>
  </si>
  <si>
    <t>Breadcrumb trail (2nd level nav) appears at top of main panel</t>
  </si>
  <si>
    <t>Footer contains "(c) Crown Copyright 2000-2010"</t>
  </si>
  <si>
    <t>View "About" Info</t>
  </si>
  <si>
    <t>View "Accessibility" Info</t>
  </si>
  <si>
    <t>View Quick Start Guide</t>
  </si>
  <si>
    <t>There is a section for new users allowing them to register or view the "quick start" guide.</t>
  </si>
  <si>
    <t>Application title also appears in windows header bar (i.e. Via html &lt;title&gt; tag)</t>
  </si>
  <si>
    <t>View Terms &amp; Conditions</t>
  </si>
  <si>
    <t>Footer does not contain helpdesk info (instead users use the "contact us" link in the header bar</t>
  </si>
  <si>
    <t>Header bar includes link to DH home page (opens in new window)</t>
  </si>
  <si>
    <t>Header bar includes link to Accessibility page</t>
  </si>
  <si>
    <t>Header bar includes link to Contact Us page</t>
  </si>
  <si>
    <t>All font sizes are relative, to allow users the option to change the font size via their browser</t>
  </si>
  <si>
    <t>Alternative Browser Support</t>
  </si>
  <si>
    <t>File Viewers</t>
  </si>
  <si>
    <t>Contact Us</t>
  </si>
  <si>
    <t>Register For an Account</t>
  </si>
  <si>
    <t>There is a section for new users inviting them to view the "quick start" guide (ref. story S085)</t>
  </si>
  <si>
    <t>The various sections are in "magazine boxes" with curvy corners and a pale blue background</t>
  </si>
  <si>
    <t>Header bar includes link to About page</t>
  </si>
  <si>
    <t>There is an option to view the "About" page in the header bar</t>
  </si>
  <si>
    <t>Request to view the "About" page</t>
  </si>
  <si>
    <t>View the home page</t>
  </si>
  <si>
    <t>There is an option to view the "About" page in the main panel</t>
  </si>
  <si>
    <t>View the help page</t>
  </si>
  <si>
    <t>System displays the About page</t>
  </si>
  <si>
    <t>The system validates that there is not already an (unlocked) user with admin rights for the organisation</t>
  </si>
  <si>
    <t>The system tells me I can register online</t>
  </si>
  <si>
    <t>Request to register online (click "Next")</t>
  </si>
  <si>
    <t>There is an option to enter my user details (Name, Email, Confirm Email, Telephone)</t>
  </si>
  <si>
    <t>The system validates my user details (as per current)</t>
  </si>
  <si>
    <t>The system validates that Email and Confirm Email are the same (new)</t>
  </si>
  <si>
    <t>There is an option to accept the Terms and Conditions</t>
  </si>
  <si>
    <t>The system confirms that my account has been set up</t>
  </si>
  <si>
    <t>The system displays "Registration Step 1 - Organisation Search"</t>
  </si>
  <si>
    <t>The system displays "Registration Step 2 - Confirm Organisation"</t>
  </si>
  <si>
    <t>Request to proceed</t>
  </si>
  <si>
    <t>The system displays "Registration Step 3 - Registration Method"</t>
  </si>
  <si>
    <t>The system displays "Registration Step 4 - User Details"</t>
  </si>
  <si>
    <t>Enter my user details (and request to proceed)</t>
  </si>
  <si>
    <t>The system displays "Registration Step 5 - Terms and Conditions"</t>
  </si>
  <si>
    <t>Accept the Terms and Conditions (and request to proceed)</t>
  </si>
  <si>
    <t>The system displays "Registration Step 6 - Confirm Details"</t>
  </si>
  <si>
    <t>The system displays "Registration Step 7 - Account Created"</t>
  </si>
  <si>
    <t>Request to create account</t>
  </si>
  <si>
    <t>The system tells me the email address that my password will be sent to.</t>
  </si>
  <si>
    <t>Rejoin Main Flow at Step 7</t>
  </si>
  <si>
    <t>There is no organisation that matches on Organisation Name Keywords (or I left them blank)</t>
  </si>
  <si>
    <t>The system tells me it can't find a matching organisation</t>
  </si>
  <si>
    <t>10a</t>
  </si>
  <si>
    <t>There is already an admin for my org</t>
  </si>
  <si>
    <t>There is a hyperlink through to the "Contact us" page</t>
  </si>
  <si>
    <t>No logos in footer</t>
  </si>
  <si>
    <t>The "At A Glance" information is nicely lined up for clarity</t>
  </si>
  <si>
    <t>The system tells me I should register via them or, if I can't contact them, contact the helpdesk</t>
  </si>
  <si>
    <t>View any page (not logged in)</t>
  </si>
  <si>
    <t>The nav bar has the following options:</t>
  </si>
  <si>
    <t>What's New (goes to What's New page)</t>
  </si>
  <si>
    <t>Reports (goes to Reports page)</t>
  </si>
  <si>
    <t>Home (goes to Home [not logged in] page)</t>
  </si>
  <si>
    <t>Resources (goes to Resources page [new])</t>
  </si>
  <si>
    <t>Help (goes to Help page [new])</t>
  </si>
  <si>
    <t>Assessments (goes to Assessments Summary and History page)</t>
  </si>
  <si>
    <t>Home (goes to Home [logged in] page [new])</t>
  </si>
  <si>
    <t>Admin (goes to Admin page [new])</t>
  </si>
  <si>
    <t>Assessments (goes to Assessments Org Chooser page)</t>
  </si>
  <si>
    <t>Organisation Reviewer</t>
  </si>
  <si>
    <t>S093</t>
  </si>
  <si>
    <t>S094</t>
  </si>
  <si>
    <t>S095</t>
  </si>
  <si>
    <t>S096</t>
  </si>
  <si>
    <t>S097</t>
  </si>
  <si>
    <t>S098</t>
  </si>
  <si>
    <t>S099</t>
  </si>
  <si>
    <t>S100</t>
  </si>
  <si>
    <t>S101</t>
  </si>
  <si>
    <t>S102</t>
  </si>
  <si>
    <t>S103</t>
  </si>
  <si>
    <t>Navigate the site more easily</t>
  </si>
  <si>
    <t>Improved Navigation</t>
  </si>
  <si>
    <t>Resources page displayed</t>
  </si>
  <si>
    <t>The following options are available:</t>
  </si>
  <si>
    <t>Knowledge Base (goes to Knowledge Base Org Type Chooser page)</t>
  </si>
  <si>
    <t>Glossary (displays Glossary page as non-modal pop-up)</t>
  </si>
  <si>
    <t>Knowledge Base Archive (goes to Knowledge Base Archive page)</t>
  </si>
  <si>
    <t>View any page (logged in as org admin)</t>
  </si>
  <si>
    <t>View any page (logged in as org user)</t>
  </si>
  <si>
    <t>Request to view resources (not logged in)</t>
  </si>
  <si>
    <t>Request to view help (not logged in or logged in as any type of user)</t>
  </si>
  <si>
    <t>1e</t>
  </si>
  <si>
    <t>1f</t>
  </si>
  <si>
    <t>1g</t>
  </si>
  <si>
    <t>Request to view resources (logged in a "simplified interface" user)</t>
  </si>
  <si>
    <t>ISO/IEC 27002:2005 (goes to ISO/IEC 27002:2005 page)</t>
  </si>
  <si>
    <t>All options for "simplified interface" users (join flow 1f at step 3)</t>
  </si>
  <si>
    <t>All options for not logged in users (join flow 1e at step 3)</t>
  </si>
  <si>
    <t>1h</t>
  </si>
  <si>
    <t>System displays Views page</t>
  </si>
  <si>
    <t>Navigate to Views Maintenance</t>
  </si>
  <si>
    <t>Be able to access the Views Maintenance function</t>
  </si>
  <si>
    <t>Delay until we agree whether we are getting rid of Views</t>
  </si>
  <si>
    <t>Next Deadline Info</t>
  </si>
  <si>
    <t>Find out when my next assessment deadline is</t>
  </si>
  <si>
    <t>Log in (any user type)</t>
  </si>
  <si>
    <t>Log in (assessed user type)</t>
  </si>
  <si>
    <t>Log In</t>
  </si>
  <si>
    <t>Log Out</t>
  </si>
  <si>
    <t>Log out from the system</t>
  </si>
  <si>
    <t>Log in to the system</t>
  </si>
  <si>
    <t>Request to log in</t>
  </si>
  <si>
    <t>System displays Home [logged in] page</t>
  </si>
  <si>
    <t>System re-displays Home [not logged in] page</t>
  </si>
  <si>
    <t>Invalid user ID/password combination</t>
  </si>
  <si>
    <t>System displays error message to say that my log-in details were invalid</t>
  </si>
  <si>
    <t>Request to log out</t>
  </si>
  <si>
    <t>System displays Home [not logged in] page</t>
  </si>
  <si>
    <t>System displays my user information (name and organisation)  in box above nav bar</t>
  </si>
  <si>
    <t>DH logo appears in header bar (RHS) - clicking on it opens DH website in new window</t>
  </si>
  <si>
    <t>The width of the main panel is a fixed width of 760px (i.e. Just the right width to be fully visible when viewed in a maximised browser on an 800px wide screen.</t>
  </si>
  <si>
    <t>If the browser window is narrower than the main panel, a horizontal scroll bar is displayed</t>
  </si>
  <si>
    <t>The header and footer are variable width, expanding or contracting as the browser is re-sized.</t>
  </si>
  <si>
    <t>The header and footer re-size gracefully (i.e. Graphics don't crash into text or links)</t>
  </si>
  <si>
    <t>There is an option to enter my organisation Code and/or Organisation Name Keywords</t>
  </si>
  <si>
    <t>There is a link to the ODS Organisation Code lookup service (opens the name/address/postcode search in a new window)</t>
  </si>
  <si>
    <t>Enter my Organisation Code and/or Organisation Name Keywords and request to proceed</t>
  </si>
  <si>
    <t>The system validates that there is an organisation in the database with a matching Organisation Code</t>
  </si>
  <si>
    <t>The system displays details for my organisation (Name, Organisation Code, Organisation Type)</t>
  </si>
  <si>
    <t>The system displays my organisation details (Organisation code, org name, org type) and user details (name, email and telephone) and asks me to confirm that I wish to register the account</t>
  </si>
  <si>
    <t>The system displays my account details (Organisation code, user ID)</t>
  </si>
  <si>
    <t>Enter my Organisation Code, User ID and Password</t>
  </si>
  <si>
    <t>System validates that my Organisation Code exists</t>
  </si>
  <si>
    <t>System validates my user ID and password (against my Organisation Code)</t>
  </si>
  <si>
    <t>Organisation Code doesn't exist</t>
  </si>
  <si>
    <t>System displays error message to say the Organisation Code was invalid</t>
  </si>
  <si>
    <t>View Updated Registration Terms &amp; Conditions</t>
  </si>
  <si>
    <t>The system displays the Ts &amp; Cs of registration</t>
  </si>
  <si>
    <t>Request to register for an account, and progress through the process to the Terms and Conditions page</t>
  </si>
  <si>
    <t>v8.0 (i2)</t>
  </si>
  <si>
    <t>S079, S092</t>
  </si>
  <si>
    <t>Visible to healthcare commission?</t>
  </si>
  <si>
    <t>The custom evidence type is persisted against the appropriate attainment criterion for the assessment</t>
  </si>
  <si>
    <t>Options to save or print the glossary are availavle (standard Acrobat Reader functions so no need to actually test them).</t>
  </si>
  <si>
    <t>There is an option to remove the "New Users..." section</t>
  </si>
  <si>
    <t>Request to remove the "New Users..." section</t>
  </si>
  <si>
    <t xml:space="preserve">System removes "New Users..." section </t>
  </si>
  <si>
    <t>Log out and back in again</t>
  </si>
  <si>
    <t>New Users section is not there (and there is no way of getting it back!)</t>
  </si>
  <si>
    <t>The system displays the "Contact us" page</t>
  </si>
  <si>
    <t>The system displays the Exeter Helpdesk phone number (01392 251289)</t>
  </si>
  <si>
    <t>The default for Organisation Type is "&lt;Select&gt;"</t>
  </si>
  <si>
    <t>The default for Subject is "&lt;Select&gt;"</t>
  </si>
  <si>
    <t>There is an option to submit an online enquiry, with the following data entry fields:
- Name (text)
- Email (text)
- Telephone (text)
- Organisation Type (drop down)
- Subject (drop down)
- Details (text area)
- Email me a Copy of my Enquiry (checkbox, default not selected)</t>
  </si>
  <si>
    <t>The system sends an email to Exeter Helpdesk (exeter.helpdesk@nhs.net)</t>
  </si>
  <si>
    <t>The email body includes Name, Email, Telephone and Details</t>
  </si>
  <si>
    <t>The system validates that I didn't select "Email me a Copy"</t>
  </si>
  <si>
    <t>11a</t>
  </si>
  <si>
    <t>Validation fails</t>
  </si>
  <si>
    <t>Enter details of my enquiry and click "Submit"</t>
  </si>
  <si>
    <t>The system re-displays the "Contact Us" page with all the fields reset to their default values</t>
  </si>
  <si>
    <t>The system displays all validation failures</t>
  </si>
  <si>
    <t>Rejoin Main flow at step 10 (re-enter details)</t>
  </si>
  <si>
    <t>12a</t>
  </si>
  <si>
    <t>Rejoin Main flow at step 14 (email subject)</t>
  </si>
  <si>
    <t>I requested a copy of the enquiry by email</t>
  </si>
  <si>
    <t>The system sends a copy of the enquiry email to the email address I specified</t>
  </si>
  <si>
    <t>Rejoin Main flow at step 17 (confirmation of submission)</t>
  </si>
  <si>
    <t>As per Main flow except:</t>
  </si>
  <si>
    <t>The system doesn't display the Exeter Helpdesk phone number</t>
  </si>
  <si>
    <t>My name, email and telephone details are pre-populated</t>
  </si>
  <si>
    <t>My organisation type is defaulted to "Other"</t>
  </si>
  <si>
    <t>1a.1a</t>
  </si>
  <si>
    <t>As per flow 1a except:</t>
  </si>
  <si>
    <t>Show Environment Name and Build Number</t>
  </si>
  <si>
    <t>See which (non live) environment I am connected to and also which software build I am using</t>
  </si>
  <si>
    <t>Browse to the home page on a non-live environment</t>
  </si>
  <si>
    <t>The system displays the environment name (e.g. Somewhere in the header bar)</t>
  </si>
  <si>
    <t>The system displays the software build number (e.g. Somewhere in the header bar)</t>
  </si>
  <si>
    <t>Defect</t>
  </si>
  <si>
    <t>Defect Notes</t>
  </si>
  <si>
    <t>There are currently no bulk emails</t>
  </si>
  <si>
    <t>The system displays a message to indicate that there are no bulk emails</t>
  </si>
  <si>
    <t>Message says "No Bulk Email sent yet" - change it to "No Bulk Emails created yet" (notice plural!)</t>
  </si>
  <si>
    <t>Page title - change "E-mail" to "Email" (also in breadcrumb)</t>
  </si>
  <si>
    <t>Page title - change to "Bulk Email Details" - no hyphen and capital "D"</t>
  </si>
  <si>
    <t>Test Status</t>
  </si>
  <si>
    <t>Fail</t>
  </si>
  <si>
    <t>Pass</t>
  </si>
  <si>
    <t>Defect Status</t>
  </si>
  <si>
    <t>Defect Priority</t>
  </si>
  <si>
    <t>Low</t>
  </si>
  <si>
    <t>Error text - "atleast" should be "at least"</t>
  </si>
  <si>
    <t>I put a blank date and no error message came up</t>
  </si>
  <si>
    <t>Medium</t>
  </si>
  <si>
    <t>I typed "efkverk" in the date field and got a server error</t>
  </si>
  <si>
    <t>High</t>
  </si>
  <si>
    <t>Pending</t>
  </si>
  <si>
    <t>The breadcrumb trail shows "Org Admin -&gt; Bulk E-mails List -&gt; Bulk E-mails List"!</t>
  </si>
  <si>
    <t>Can you put the large file warning in bold red (in the prototype I have done it using &lt;span class="warning"&gt; - the warning style would also need adding to the stylesheet</t>
  </si>
  <si>
    <t>Withdrawn</t>
  </si>
  <si>
    <t>CMC:Data issue only, fixed in test data set up script</t>
  </si>
  <si>
    <t>CMC:Data issue as this text held in database.  Have changed test data setup script to include full stop</t>
  </si>
  <si>
    <t>CMC:Have been changed to Jquery panels as part of reskin</t>
  </si>
  <si>
    <t>CMC:Has been changd as part of reskin</t>
  </si>
  <si>
    <t>CMC:Fixed as part of re-skin</t>
  </si>
  <si>
    <t>nili: I've used the existing 'errorMessage' class which displays the message in red</t>
  </si>
  <si>
    <t>nili: Test web.config now specifies the directory for these documents.</t>
  </si>
  <si>
    <t>nili: all the links should now be underlined</t>
  </si>
  <si>
    <t>CMC:Because you didn't ask it to.  You only asked it to remember when clicking the Next and Previous buttons.  See pre-development note for step 3 for 8c above.  Is that what you want then ?
TH: No, leave it as it is, it's fine</t>
  </si>
  <si>
    <t>(2)You can test this as have set page to display for V7 assessment sets in order to allow testing.  Suggest using V7 assessment for organisation code REM.</t>
  </si>
  <si>
    <t>These items will probably take an extra 1 days</t>
  </si>
  <si>
    <t>The system does *not* show the assessment description (removal of existing feature)</t>
  </si>
  <si>
    <t>The system presents a list of actions that can be performed (as per existing actions but presented as a list of links instead of a mixture of links and buttons)</t>
  </si>
  <si>
    <t>The system provides an option to create a new assessment (existing function)</t>
  </si>
  <si>
    <t>S112</t>
  </si>
  <si>
    <t>S113</t>
  </si>
  <si>
    <t>S114</t>
  </si>
  <si>
    <t>S115</t>
  </si>
  <si>
    <t>S116</t>
  </si>
  <si>
    <t>Submission Email Log</t>
  </si>
  <si>
    <t>View a record of the sending of an submission e-mail</t>
  </si>
  <si>
    <t>Pre</t>
  </si>
  <si>
    <t>The system creates a new entry in the assessment status history (no change)</t>
  </si>
  <si>
    <t>The system records the fact that the e-mail was sent and to whom in the "notes" field of the new assessment status history record</t>
  </si>
  <si>
    <t>My assessment is ready to be submitted</t>
  </si>
  <si>
    <t>The system marks the assessment as submitted (no change)</t>
  </si>
  <si>
    <t>The system sends a submission e-mail to the relevant users at the organsiation (no change)</t>
  </si>
  <si>
    <t>Submit the assessment, from the assessment summary page (including confirmation)</t>
  </si>
  <si>
    <t>Proceed as per Main Flow</t>
  </si>
  <si>
    <t>Request to produce an evidence and action report</t>
  </si>
  <si>
    <t>Select report criteria</t>
  </si>
  <si>
    <t>There is an option to select the assessment to report on (v8+ assessments only)</t>
  </si>
  <si>
    <t>Request to produce report</t>
  </si>
  <si>
    <t>The system displays the report in a new window</t>
  </si>
  <si>
    <t>Request to administer improvement plan settings</t>
  </si>
  <si>
    <t>The system displays the Improvement Plan Admin page</t>
  </si>
  <si>
    <t>S117</t>
  </si>
  <si>
    <t>S118</t>
  </si>
  <si>
    <t>S119</t>
  </si>
  <si>
    <t>S120</t>
  </si>
  <si>
    <t>S121</t>
  </si>
  <si>
    <t>S122</t>
  </si>
  <si>
    <t>S123</t>
  </si>
  <si>
    <t>S124</t>
  </si>
  <si>
    <t>S125</t>
  </si>
  <si>
    <t>S127</t>
  </si>
  <si>
    <t>Add Improvement Action</t>
  </si>
  <si>
    <t>Specify a user from my organisation as the owner for a given requirement</t>
  </si>
  <si>
    <t>By default there is no owner (and this is an allowed state)</t>
  </si>
  <si>
    <t>Specify a user from my organisation as the second owner for a given requirement</t>
  </si>
  <si>
    <t>Add an improvement action against a specific attainment criterion</t>
  </si>
  <si>
    <t>For each attainment criterion there is an option to add an improvement action</t>
  </si>
  <si>
    <t>Request to add an improvement action to an attainment criterion</t>
  </si>
  <si>
    <t>The system adds an improvement action, with the following fields:</t>
  </si>
  <si>
    <t>Auto Complete Improvement Action Owners</t>
  </si>
  <si>
    <t>Have the system auto complete the improvement action owner as I type</t>
  </si>
  <si>
    <t>Description (free format text, default blank)</t>
  </si>
  <si>
    <t>Due date (calendar selection, can be any date past or future)</t>
  </si>
  <si>
    <t>Completed flag (default not completed)</t>
  </si>
  <si>
    <t>Enter details for the action</t>
  </si>
  <si>
    <t>Request to add another improvement action</t>
  </si>
  <si>
    <t xml:space="preserve">The system persists the improvement action </t>
  </si>
  <si>
    <t>The system adds another improvement action (rejoin main flow at step 4)</t>
  </si>
  <si>
    <t>There is an option to edit the improvement action</t>
  </si>
  <si>
    <t>The system persists the changes</t>
  </si>
  <si>
    <t>There is an option to delete the improvement action</t>
  </si>
  <si>
    <t>The system persists the deletion</t>
  </si>
  <si>
    <t>Edit the improvement action (this includes the option to mark it as completed)</t>
  </si>
  <si>
    <t>Capture Improvement Action Completion Audit Trail</t>
  </si>
  <si>
    <t>Have the system capture and display the date and user who marked an improvement action as complete</t>
  </si>
  <si>
    <t>Produce Improvement Plan and Evidence Report</t>
  </si>
  <si>
    <t>Produce an improvement plan for my organisation</t>
  </si>
  <si>
    <t>Organisation Admin</t>
  </si>
  <si>
    <t>Send Regular Improvement Action Reminders</t>
  </si>
  <si>
    <t>Send regular email reminders to requirement owners with outstanding improvement actions</t>
  </si>
  <si>
    <t>There is an option to indicate whether regular email reminders should be sent</t>
  </si>
  <si>
    <t>Send Ad-hoc Improvement Action Reminders</t>
  </si>
  <si>
    <t>Send ad-hoc email reminders to requirement owners with outstanding improvement actions</t>
  </si>
  <si>
    <t>Indicate that regular email reminders should be sent</t>
  </si>
  <si>
    <t>Wait until the 1st of the month</t>
  </si>
  <si>
    <t>For each action, the email includes the description, owner and due date</t>
  </si>
  <si>
    <t>If the due date is in the past the action is flagged as overdue</t>
  </si>
  <si>
    <t>Breadcrumb expands on to multiple lines if content is too long</t>
  </si>
  <si>
    <t>Request to view the knowledge base (not logged in or logged in as a non-assessable org type)</t>
  </si>
  <si>
    <t>The system asks me to select an organisation type to view the knowledge base for</t>
  </si>
  <si>
    <t>There is also an option to view the entire knowledge base (i.e. All org types)</t>
  </si>
  <si>
    <t>Select to view the KB for a specific org type</t>
  </si>
  <si>
    <t>The list is in alphabetical order by title</t>
  </si>
  <si>
    <t>For each KB resource, the following info is displayed:</t>
  </si>
  <si>
    <t>Title</t>
  </si>
  <si>
    <t>Creation Date</t>
  </si>
  <si>
    <t>Last Reviewed Date</t>
  </si>
  <si>
    <t>Type</t>
  </si>
  <si>
    <t>External resource indicator to the RHS of the title - if its Location is "External"</t>
  </si>
  <si>
    <t>There is an option to view each KB resource (the Title of each resource (including the external resource indicator if displayed) is a hyperlink to the KB resource itself - based on its Filename if internal or Weblink if external)</t>
  </si>
  <si>
    <t>Request to view an internal KB resource</t>
  </si>
  <si>
    <t>The system opens the KB resource in a new window</t>
  </si>
  <si>
    <t>Request to view an external KB resource</t>
  </si>
  <si>
    <t>Request to view the knowledge base (logged in as an assessable org type)</t>
  </si>
  <si>
    <t>Skip the org type chooser (go to Main flow step 5), displaying information for my own org type</t>
  </si>
  <si>
    <t>The system displays the Knowledge Base page</t>
  </si>
  <si>
    <t>The Knowledge Base page also includes search filters for the KB resources, as follows:</t>
  </si>
  <si>
    <t>Keyword(s) - free form text, default blank</t>
  </si>
  <si>
    <t>Enter search criteria and request a search</t>
  </si>
  <si>
    <t>Including integrating with the Ratty tool and Developing Staging Database build project</t>
  </si>
  <si>
    <t>DES</t>
  </si>
  <si>
    <t xml:space="preserve">nili: addition of flag for each organisation type specifying whether evidence is 'overall mandatory'. </t>
  </si>
  <si>
    <t>Description (via float-over pop-up, in order to make better use of space)</t>
  </si>
  <si>
    <t>The KB resource title or description contains any of the specified keywords
in any order (no change from current)</t>
  </si>
  <si>
    <t>Select to view the entire KB</t>
  </si>
  <si>
    <t>There is an option (in the "At a Glance" box) to start working on your current assessment (by clicking on the "Assessments" nav bar item)</t>
  </si>
  <si>
    <t>Log in as a user of an "assessable" org</t>
  </si>
  <si>
    <t>System behaves as if I had clicked the "Assessments" nav bar option i.e. takes me to the Assessments page (note, currently non-admin users cannot see the "Assessments" tab but it's OK, we're going to change this in a later story</t>
  </si>
  <si>
    <t xml:space="preserve">Information Mapping/Area Administration (goes to Area Administration page)
[note this option is not available to org types which use the "information Mapping Simplified Interface"]
</t>
  </si>
  <si>
    <t>nili: not displayed if using Inf. Mapping simplified interface as they don't use Areas.</t>
  </si>
  <si>
    <t>The system tells me that it cannot proceed with the re-publish because some organisations would be affected.</t>
  </si>
  <si>
    <t>7b</t>
  </si>
  <si>
    <t>Rejoin main flow at step 8 (confirmation)</t>
  </si>
  <si>
    <t>The system warns me that I should only proceed with the re-publish if it is to reflect a simple change (e.g. Typo fix) because some organisations would be affected.</t>
  </si>
  <si>
    <t>nili: page uses the navbar permissions to determine whether to show the 'assessments' instruction. If the navbar permissions change, the page should reflect that change automatically.</t>
  </si>
  <si>
    <t>Navigate more sensibly to the requirements list page</t>
  </si>
  <si>
    <t>Select an org type</t>
  </si>
  <si>
    <t>Proceed as per main flow (from step 2)</t>
  </si>
  <si>
    <t>View any page (logged in as a user from an assessable org type - any role)</t>
  </si>
  <si>
    <t>View any page (logged in as an Org User or Org Reviewer from an assessable org type)</t>
  </si>
  <si>
    <t xml:space="preserve">There is an option to view Assessments (currently only available to Org Admin users - needs to be extended to Org User and Org Reviewer roles)
</t>
  </si>
  <si>
    <t>Request to view assessments</t>
  </si>
  <si>
    <t>The system displays the Assessments Summary and History page</t>
  </si>
  <si>
    <t>There are *not* options to delete, baseline, perf update or submit the assessment - these actions can only be performed by Org Admin users</t>
  </si>
  <si>
    <t>Dev Increment</t>
  </si>
  <si>
    <t>Phase 1</t>
  </si>
  <si>
    <t>There *is* an option to view the implementation plan</t>
  </si>
  <si>
    <t>Deploy a (test) context sensitive help configuration file with the application (including some simple HTML formatting e.g. &lt;strong&gt; and &lt;p&gt;).</t>
  </si>
  <si>
    <t>View Past Attainment Level</t>
  </si>
  <si>
    <t>Link is there</t>
  </si>
  <si>
    <t xml:space="preserve">Option is there
</t>
  </si>
  <si>
    <t>If I open a fresh browser window, don't log in and type "http://igttest1dr/igt/DocumentDownload.aspx" into the URL, I can get to the downloads page. Shouldn't there be some sort of role-based security which blocks the page if I don't have the relevant permissions?</t>
  </si>
  <si>
    <t xml:space="preserve">All the booklets seem to point to the same (non existent) PDF file - is this just because of how you've set up the test data? If so, can you set up test data with different file names so I can see that you're displaying the correct link?
</t>
  </si>
  <si>
    <t>TH 15/3 Failed retest
TH 22/3 can you remove the space between "here" and the colon</t>
  </si>
  <si>
    <t>If I select Req'ts/A.TEST:Acute/All/101 then the words crash into the graphics on the RHS</t>
  </si>
  <si>
    <t>Testing of this will be picked up as a separate exercise and new stories raised as appropriate</t>
  </si>
  <si>
    <t>"Not relevant" is not a valid response</t>
  </si>
  <si>
    <t>nili: this functionality already exists</t>
  </si>
  <si>
    <t>CMC: Ok have added tooltip to the a href as well as the image and added the space, try again.</t>
  </si>
  <si>
    <t>It's showing the cross icon correctly but it's showing the key icon instead of the tick icon</t>
  </si>
  <si>
    <t>The system validates that "not relevant" is a valid response</t>
  </si>
  <si>
    <t>The link doesn't work - because the &lt;a&gt; tag doesn't have an href attribute in it. This was previously working so maybe it's a config issue that has been re-created when the test server DB was rebuilt?</t>
  </si>
  <si>
    <t>There is a warning that the booklet is a large file (because it is &gt; 250MB)</t>
  </si>
  <si>
    <t>Formatting of label - should be bold - check the styling used elsewhere (e.g. Register page) and copy that.</t>
  </si>
  <si>
    <t>Can you make the pop-up window a bit taller - currently it's not so tall and you can only see the (blank) top third of the booklet. Can you make it tall enough so that some of the booklet header page text is visible?</t>
  </si>
  <si>
    <t>TH 23/3: failed retest</t>
  </si>
  <si>
    <t>Dotted underline good.
Can your remove the italics (apparently it's not so good for disabled users)
Can you change the colour (I'm thinking green - I'll put something in the prototype</t>
  </si>
  <si>
    <t>Don't have enough test data to test this - can you add some more glossarised terms to the guidance text so I can try out the various options. Whilst you're at it, can you remove the glossary tags from Caldicott Guardian and IM&amp;T (I think they have been copied across from the prototype HTML)</t>
  </si>
  <si>
    <t>Can't test - need test data</t>
  </si>
  <si>
    <t>Superseded by S078 - link is on Resources page instead</t>
  </si>
  <si>
    <t>There is no indicator as to which letter of the alphabet you are looking at - this is a problem for e.g. "E" where there are no glossary terms. How about making the current letter a different colour, or not a link?</t>
  </si>
  <si>
    <t>No test data so can't test - can you add a glossary term which is an abbreviation only. Also, how will this be displayed in terms of alphabetical order?</t>
  </si>
  <si>
    <t>Des 18/03:Is this just for this instance or on all error messages
TH 23/3: I will write a separate story to fix this across the site</t>
  </si>
  <si>
    <t>The email received has no formatting</t>
  </si>
  <si>
    <t>TH 15/3 No option to contact us - see prototype for how it should be (just include the contact us link for new, we will add the others in as we develop the relevant pages)
TH 22/3: page title should be "Help", not "Contact Us"</t>
  </si>
  <si>
    <t>The system tells me when my next deadline is, according to the following rules:</t>
  </si>
  <si>
    <t>The system validates that I either have an assessment in progress or I have not yet started the current year's assessment (if I have completed this year's assessment, no deadline information is displayed)</t>
  </si>
  <si>
    <t>- Ditto performance update</t>
  </si>
  <si>
    <t>The system tells me what deadline it is, in the format "Version &lt;version&gt; &lt;type&gt; Deadline", where &lt;type&gt; is one of "Baseline", "Performance Update" or "Submission"</t>
  </si>
  <si>
    <t>- If I have no previous assessments, it is blank.</t>
  </si>
  <si>
    <t>Set Target Attainment Level and Date</t>
  </si>
  <si>
    <t>Set the target level and date</t>
  </si>
  <si>
    <t>The system validates that the target date is a valid date (future or past)</t>
  </si>
  <si>
    <t>There is an option to set a target date (default blank).</t>
  </si>
  <si>
    <t>The system validates that , if I am an "in-year assessee", this is *not* my first assessment. In-year assessees are those org types that tend to submit their first assessment throughout the year and as such should not be presented with a deadline for this. The org type list is the same as for the "Send Submission Notification Email to Exeter Helpdesk"</t>
  </si>
  <si>
    <t>View my attainment level for a (v8+) requirement on my previous assessment</t>
  </si>
  <si>
    <t>Set a target attainment level and date for a given (v8+) requirement</t>
  </si>
  <si>
    <t>Mark a (v8+) requirement response as complete</t>
  </si>
  <si>
    <t>Mark a (v8+) requirement response as confirmed</t>
  </si>
  <si>
    <t>The system validates that the user's org type is not a "simplified interface" org type</t>
  </si>
  <si>
    <t>Organisation User (or Reviewer or Admin)</t>
  </si>
  <si>
    <t>Organisation Reviewer (or Admin)</t>
  </si>
  <si>
    <t>Chris</t>
  </si>
  <si>
    <t>Richard</t>
  </si>
  <si>
    <t>Tom</t>
  </si>
  <si>
    <t>Niall</t>
  </si>
  <si>
    <t>View Submission Deadline on Performance Update</t>
  </si>
  <si>
    <t>Be told the (correct) submission deadline when I do a Performance Update</t>
  </si>
  <si>
    <t>- If my current assessment is subject to 3 stage reporting, and I have not yet baselined it, the deadline is the Baseline Date</t>
  </si>
  <si>
    <t xml:space="preserve">- If neither of the above is true, the deadline is the submission date. Note that the Submission Date is separate from the Version End Date (the date after which it is not possible to create a new assessment)
</t>
  </si>
  <si>
    <t xml:space="preserve">- If I do not have an assessment in progress (i.e. I have not yet started this year's assessment), this is treated the same as having started this year's assessment.
</t>
  </si>
  <si>
    <t>The system tells me how many days there are left to go until the deadline.</t>
  </si>
  <si>
    <t xml:space="preserve">If it is overdue, the system tells me how many days overdue it is instead, and this information is highlighted (e.g. Bold red).
</t>
  </si>
  <si>
    <t>The deadlines for v8 assessments are as follows:
- Baseline: 30/09/2010
- Performance Update: 31/12/2010
- Submission: 31/03/2011
- Version End Date: leave blank for now as per usual</t>
  </si>
  <si>
    <t>The Submission Date for previous assessments is 31st March in the appropriate year (not necessarily the same as the Version End Date)</t>
  </si>
  <si>
    <t>Request to do a Performance Update</t>
  </si>
  <si>
    <t>The system provides information (in a pop-up) to tell me when I need to submit my assessment. The date displayed is the Submission Date (currently the Version End Date)</t>
  </si>
  <si>
    <t>If the assessment is subject to 3-stage reporting, the system validates that the user's assessment has been performance updated</t>
  </si>
  <si>
    <t>This story builds on S105 by implementing all context sensitive help items as specified in ContextHelp v2.xml</t>
  </si>
  <si>
    <t>Odds and Ends</t>
  </si>
  <si>
    <t>See a range of random and unrelated point improvements across the site</t>
  </si>
  <si>
    <t>The tooltip on the User ID field on the Home Page refers to "User ID" not "login name"</t>
  </si>
  <si>
    <t>The What's New section of the Home Page displays just the top 4 news articles</t>
  </si>
  <si>
    <t>The links on the Admin page are in the same order as per the prototype</t>
  </si>
  <si>
    <t>On the Org Admin org chooser screen, the note next to the Look For field says organisation code not NACS code</t>
  </si>
  <si>
    <t>Not a fail, since not in prototype, but Level 3 Maint label is too big. See latest cut of prototype for markup and CSS to make it smaller</t>
  </si>
  <si>
    <t>By default all sections should be collapsed, whereas Attainment Level 1 and Criterion 1a are expanded</t>
  </si>
  <si>
    <t>Is there any way of making the collapse of the other section a smooth "roll-up"? I would think roll up the other one first then roll down the selected one.</t>
  </si>
  <si>
    <t>As above, can it be smoother?</t>
  </si>
  <si>
    <t>If I enter a CR then it displays as a "wide" space. If I leave the screen and come back it's a normal space. Only fix this if trivial</t>
  </si>
  <si>
    <t>Checkbox icons don't match prototype - can you change back as per e-mail conversation with RJM and TM on 18/3</t>
  </si>
  <si>
    <t>Padding between border and content is larger than on prototype</t>
  </si>
  <si>
    <t>Right padding/margin is too big in the RH column of the inner table</t>
  </si>
  <si>
    <t>The Cancel button should only appear if the screen is being viewed in the context of completing an application</t>
  </si>
  <si>
    <t>The selected tab has a black line between the tab and content</t>
  </si>
  <si>
    <t>1 day sofar. Implemented on a number of pages specified in the ContextHelp.xml file</t>
  </si>
  <si>
    <t>RJM/CMC</t>
  </si>
  <si>
    <t>There is an option to set a target attainment level (the options are blank [default], 1, 2 and 3 - not 0 or NR).</t>
  </si>
  <si>
    <t>S128</t>
  </si>
  <si>
    <t>S129</t>
  </si>
  <si>
    <t>S130</t>
  </si>
  <si>
    <t>S131</t>
  </si>
  <si>
    <t>S132</t>
  </si>
  <si>
    <t>S133</t>
  </si>
  <si>
    <t>S134</t>
  </si>
  <si>
    <t>S135</t>
  </si>
  <si>
    <t>S136</t>
  </si>
  <si>
    <t>S137</t>
  </si>
  <si>
    <t>S138</t>
  </si>
  <si>
    <t>S139</t>
  </si>
  <si>
    <t>S140</t>
  </si>
  <si>
    <t>S141</t>
  </si>
  <si>
    <t>S142</t>
  </si>
  <si>
    <t>S143</t>
  </si>
  <si>
    <t>S144</t>
  </si>
  <si>
    <t>S145</t>
  </si>
  <si>
    <t>S146</t>
  </si>
  <si>
    <t>S147</t>
  </si>
  <si>
    <t>Unsubmit Baseline/Performance Update: Changed Permissions</t>
  </si>
  <si>
    <t>Unsubmit baselines and performance updates whereas organisation admins cannot</t>
  </si>
  <si>
    <t>There is an option to unsubmit the baseline</t>
  </si>
  <si>
    <t>Request to unsubmit the baseline</t>
  </si>
  <si>
    <t>The system unsubmits the baseline</t>
  </si>
  <si>
    <t>There is an option to unsubmit the performance update</t>
  </si>
  <si>
    <t>Request to unsubmit the performance update</t>
  </si>
  <si>
    <t>There is *not* an option to unsubmit the baseline</t>
  </si>
  <si>
    <t>There is *not* an option to unsubmit the performance update</t>
  </si>
  <si>
    <t>[logged in as an org admin]
View my 3-stage assessment which has been baselined but not performance updated</t>
  </si>
  <si>
    <t>[logged in as an org admin]
View my 3-stage assessment which has been performance updated but not submitted</t>
  </si>
  <si>
    <t>Submit Baseline/Performance Update Warnings</t>
  </si>
  <si>
    <t>Receive warnings when submitting baselines and performance updates</t>
  </si>
  <si>
    <t>View my 3-stage assessment which is ready to be baselined</t>
  </si>
  <si>
    <t>The option is labelled "submit baseline", not just "baseline"</t>
  </si>
  <si>
    <t>Request to submit a baseline</t>
  </si>
  <si>
    <t>The existing evidence comments are displayed (perhaps via a pop-up)</t>
  </si>
  <si>
    <t>Edit an evidence comment</t>
  </si>
  <si>
    <t>The updated comments are persisted against the evidence type</t>
  </si>
  <si>
    <t>There is an option to enter comments against each evidence type (free form text) - perhaps via pop-up
Note: this option is available even if the user has not yet specified the evidence type as having been obtained</t>
  </si>
  <si>
    <t>There is an option to select the org type (all "assessable" org types in the list, alphabetical, default Acute Trust)</t>
  </si>
  <si>
    <t>The downloads for the (default) selected org type are displayed</t>
  </si>
  <si>
    <t>Select another org type and request to view the downloads for it</t>
  </si>
  <si>
    <t>The downloads for the newly selected org type are displayed</t>
  </si>
  <si>
    <t>1k</t>
  </si>
  <si>
    <t>1l</t>
  </si>
  <si>
    <t>Information Mapping (goes to Information Mapping page) - appears between "Resources" and "Admin"</t>
  </si>
  <si>
    <t>View any page (logged in as user with "Information Mapping User" permission)</t>
  </si>
  <si>
    <t>View any page (logged in as user with "Information Mapping Admin" permission)</t>
  </si>
  <si>
    <t>Improved Navigation - Information Mapping</t>
  </si>
  <si>
    <t>Information Mapping User</t>
  </si>
  <si>
    <t>Be able to navigate to the information mapping functions</t>
  </si>
  <si>
    <t>The nav bar has the following options (in addition to any other options applicable to the user):</t>
  </si>
  <si>
    <t>Request to view admin page</t>
  </si>
  <si>
    <t>Admin page displayed with the following options (in additon to any other options applicable to the user):</t>
  </si>
  <si>
    <t>Information Mapping/Data Item Administration (goes to Data Item Administration page)</t>
  </si>
  <si>
    <t>Information Mapping/Location Administration (goes to Location Administration page)</t>
  </si>
  <si>
    <t>The system tells me who my admin is (name only, not email or telephone) - if there are multiple admins, it shows the one that logged in most recently</t>
  </si>
  <si>
    <t>The system validates that I selected an org type of "Other"</t>
  </si>
  <si>
    <t>The system tells me that it has submitted my enquiry</t>
  </si>
  <si>
    <t>The email body includes my User ID, Org Code and Org Type</t>
  </si>
  <si>
    <t>Home Page - What Next</t>
  </si>
  <si>
    <t>Once I have logged in, view instructions on what I can do next</t>
  </si>
  <si>
    <t>Log in</t>
  </si>
  <si>
    <t>The system displays the Home (logged in) page</t>
  </si>
  <si>
    <t>There is an instruction (in the "At a Glance" box) to select an option from the nav bar</t>
  </si>
  <si>
    <t>Select this option</t>
  </si>
  <si>
    <t>Publish or re-publish the printable versions of the requirements</t>
  </si>
  <si>
    <t>Publish or re-publish the ZIP file downloads for the requirements</t>
  </si>
  <si>
    <t>Download and open the file</t>
  </si>
  <si>
    <t>Publish or re-publish the booklet downloads for the requirements</t>
  </si>
  <si>
    <t>Page footer includes page number and page count (central) and key info (RHS): req't no., org type, req't version (major/minor) e.g. "R101 | Acute Trust | v8.0"</t>
  </si>
  <si>
    <t>Page footer includes page number and page count (central) and key info (RHS): org type, req't version (major) e.g. "Acute Trust | v8"</t>
  </si>
  <si>
    <t>Publish or re-publish the booklet downloads for the requirements, including a glossary section</t>
  </si>
  <si>
    <t>Publish or re-publish the per-initiative booklet downloads for the requirements</t>
  </si>
  <si>
    <t>S065, S076</t>
  </si>
  <si>
    <t>S100, S101</t>
  </si>
  <si>
    <t>This story extends S065 by also including the glossary in the PDF booklets and ZIP files (continue on from the end of S065).</t>
  </si>
  <si>
    <t>nili: Time Taken includes configuration and set-up time</t>
  </si>
  <si>
    <t>thma1</t>
  </si>
  <si>
    <t>The system validates that I entered an Organisation Code</t>
  </si>
  <si>
    <t>I did not enter an Organisation Code</t>
  </si>
  <si>
    <t>The system validates that I entered Organisation Name Keywords</t>
  </si>
  <si>
    <t>There was no matching organisation code</t>
  </si>
  <si>
    <t>7a.2a</t>
  </si>
  <si>
    <t>I did not enter Organisation Name Keywords</t>
  </si>
  <si>
    <t>Proceed as per Flow 8a</t>
  </si>
  <si>
    <t>7a.3a</t>
  </si>
  <si>
    <t>nili</t>
  </si>
  <si>
    <t>The PDF document is a static placeholder document - this will change once S065 and/or S082 are delivered</t>
  </si>
  <si>
    <t>The ZIP file is a static placeholder file</t>
  </si>
  <si>
    <t>Bulk Email Look &amp; Feel</t>
  </si>
  <si>
    <t>S104</t>
  </si>
  <si>
    <t>S105</t>
  </si>
  <si>
    <t>S106</t>
  </si>
  <si>
    <t>S107</t>
  </si>
  <si>
    <t>S108</t>
  </si>
  <si>
    <t>S109</t>
  </si>
  <si>
    <t>S110</t>
  </si>
  <si>
    <t>S111</t>
  </si>
  <si>
    <t>Look and Feel v2</t>
  </si>
  <si>
    <t>Have an enhanced aesthetic experience, with lovely soft curves caressing my visual senses</t>
  </si>
  <si>
    <t>The system tells me the version and status of my most recent assessment.</t>
  </si>
  <si>
    <t>The system validates that I have at least one assessment on record</t>
  </si>
  <si>
    <t>1b.2a</t>
  </si>
  <si>
    <t>I do not have any assessments on record</t>
  </si>
  <si>
    <t>The system tells me that I have not yet created an assessment</t>
  </si>
  <si>
    <t>Look &amp; feel is as per S077 except where listed below:</t>
  </si>
  <si>
    <t>Lovely curves here and there as per Tom's prototype</t>
  </si>
  <si>
    <t>Application title is centred, not LHS</t>
  </si>
  <si>
    <t>Selected nav bar item has DH sea green background and arrow indicator at RHS</t>
  </si>
  <si>
    <t>The main content of the page "looks nice" and is consistent with the overall theme. This item is time-boxed: it is to be applied to as many of the pages as possible in the time available for the story. The reaminder will be picked up in a separate story if necessary.</t>
  </si>
  <si>
    <t>Decided we don't want to include a 30 page glossary at the end of every booklet</t>
  </si>
  <si>
    <t>The system tells me I can register via the helpdesk.</t>
  </si>
  <si>
    <t>Incorporated Full-text search</t>
  </si>
  <si>
    <t>The system validates that the file is not too large (configurable but default 1MB)</t>
  </si>
  <si>
    <t>File too large</t>
  </si>
  <si>
    <t>The system displays an appropriate error message</t>
  </si>
  <si>
    <t>Have a nice look &amp; feel for the bulk email function</t>
  </si>
  <si>
    <t>S056, S057, S058, S059, S060, S061</t>
  </si>
  <si>
    <t>Context Sensitive Help Mechanism</t>
  </si>
  <si>
    <t>Developer</t>
  </si>
  <si>
    <t>Implement context sensitive help in a straightforward and flexible manner</t>
  </si>
  <si>
    <t>Go to the Bulk Email List screen</t>
  </si>
  <si>
    <t>Look &amp; feel is as per prototype page "bulk_email_list.html"</t>
  </si>
  <si>
    <t>Look &amp; feel is as per prototype page "bulk_email_details.html"</t>
  </si>
  <si>
    <t>The screen displays the "Bulk Email Details" screen</t>
  </si>
  <si>
    <t>S022, S066</t>
  </si>
  <si>
    <t>The spreadsheet file is an MS Excel workbook (XLS file i.e. compatible with Excel 97-2003)</t>
  </si>
  <si>
    <t>The spreadsheet has a sheet called "Details" (second sheet)</t>
  </si>
  <si>
    <t>The Attainment level and attainment level description fields are merged into a single cell for each attainment level</t>
  </si>
  <si>
    <t>The spreadsheet has a sheet called "Report" (third sheet)</t>
  </si>
  <si>
    <t xml:space="preserve">The sheet has (auto populated) summary data as follows:
- no. of reqts not yet answered
- no. of reqts answered at level 0
- no. of reqts answered at level 1
- no. of reqts answered at level 2
- no. of reqts answered at level 3
- no. of reqts answered "not relevant"
- current score
- target score
</t>
  </si>
  <si>
    <t>Taget score is calculated as per current score but based on target attainment levels</t>
  </si>
  <si>
    <t>The summary data is shown per initiative and also as an overall total</t>
  </si>
  <si>
    <t xml:space="preserve">There is a pie chart based on the summary data as demonstrated in the prototype
</t>
  </si>
  <si>
    <t>The file is an MS Excel workbook (XLS format i.e. compatible with Excel 97-2003)</t>
  </si>
  <si>
    <t>The spreadsheet is a static placeholder document - this will change once S106 is delivered.</t>
  </si>
  <si>
    <t>There is an option to specify the evidence location type as one of the following:
0) Unspecified (the default, but not an acceptable answer!)
1) Uploaded
2) Internet
3) Intranet
4) Local file
5) Other
6) Duplicate (i.e. a reference to evidence already obtained against another attainment criterion)</t>
  </si>
  <si>
    <t>Specify the evidence location type as "other"</t>
  </si>
  <si>
    <t>The system presents an option to specify the evidence location details (free form text, multiple lines)</t>
  </si>
  <si>
    <t>The system opens the specified file in a new browser window (tech note: different file types have different behaviour re. opening a new window e.g. for a PDF you have to explicitly launch a new window whereas for Word/Excel you don't)</t>
  </si>
  <si>
    <t>The system presents an option to upload the evidence file</t>
  </si>
  <si>
    <t>The system highlights the fact that the user has not yet uploaded the evidence file</t>
  </si>
  <si>
    <t>The system no longer highlights the fact that the user has not yet uploaded the evidence file</t>
  </si>
  <si>
    <t>The system displays the uploaded file name</t>
  </si>
  <si>
    <t>The system makes it clear that the file will be uploaded to the DH server and provides details of who will be able to access it.</t>
  </si>
  <si>
    <t>The system validates that the file is not bigger than the maximum file size (configurable, initially 5MB)</t>
  </si>
  <si>
    <t>The system validates that the file exists</t>
  </si>
  <si>
    <t>Request to remove the uploaded file from the server</t>
  </si>
  <si>
    <t>The system re-presents the option to upload an evidence file</t>
  </si>
  <si>
    <t>The system indicates that the uploaded file has been removed (but does not actually remove at this point - only when the user saves their changes - just in case they cancel or crash out)</t>
  </si>
  <si>
    <t>The system persists my changes including the reference to the uploaded file</t>
  </si>
  <si>
    <t xml:space="preserve">The system persists my changes including removing the reference to the uploaded file (tech note: the uploaded file could also be removed at this point or it could be left to a periodic housekeeping function)
</t>
  </si>
  <si>
    <t>Change the evidence location to something else other that "uploaded"</t>
  </si>
  <si>
    <t>Change the evidence location back to "uploaded"</t>
  </si>
  <si>
    <t>File doesn't exist</t>
  </si>
  <si>
    <t>System displays error message</t>
  </si>
  <si>
    <t>Specify the file to upload (type file name or via file browser) and request to upload it</t>
  </si>
  <si>
    <t>File too big</t>
  </si>
  <si>
    <t>13a</t>
  </si>
  <si>
    <t>13b</t>
  </si>
  <si>
    <t>13c</t>
  </si>
  <si>
    <t>The system uploads the file to the server (note: at this point the file is officially an orphan file until the user saves their changes. If they never save, the uploaded file will have to be cleared out somehow)
(tech note:if it's easy to do it might be a good idea to compress the files for storage)</t>
  </si>
  <si>
    <t>Request to view an attachment (click on its file name)</t>
  </si>
  <si>
    <t>The system re-displays the same uploaded file as before</t>
  </si>
  <si>
    <t>Have a nice look &amp; feel for the requirement details page</t>
  </si>
  <si>
    <t>The formatting of each attainment level is as per the prototype</t>
  </si>
  <si>
    <t>The formatting of the attainment levels summary is as per the prototype</t>
  </si>
  <si>
    <t>The formatting of each attainment criterion is as per the prototype</t>
  </si>
  <si>
    <t>Each attainment level can be expanded to show the attainment criteria within, and collapsed again</t>
  </si>
  <si>
    <t>When an attainment level is expanded, if another attainment level is already expanded, it is collapsed (i.e. Accordion style)</t>
  </si>
  <si>
    <t>Each attainment criterion can be expanded to show the details within, and collapsed again</t>
  </si>
  <si>
    <t>When an attainment criterion is expanded, if another attainment criterion is already expanded (within the same attainment level), it is collapsed (i.e. Accordion style)</t>
  </si>
  <si>
    <t>The evidence comments pop-up is accessed via an icon in the RHS of the Comments column</t>
  </si>
  <si>
    <t>If an evidence comment has been entered, the first 30 characters of the comment is displayed, with CRs replaced by spaces, and with "..." on the end if the comment is more than 30 characters long</t>
  </si>
  <si>
    <t>Superseded by S104</t>
  </si>
  <si>
    <t>Scroll bar appears even if browser window is wider than the page - there seems to be about 300px of whitespace to the right of the page</t>
  </si>
  <si>
    <t>Link works but links in this section need to be separated by a vertical bar "|" or similar</t>
  </si>
  <si>
    <t>Took me to the start of the main section *after* the breadcrumb</t>
  </si>
  <si>
    <t>content panel too wide</t>
  </si>
  <si>
    <t>The header and footer are fixed width</t>
  </si>
  <si>
    <t>When I hover over a nav bar &lt;li&gt; item, it goes light blue (nice) but I can only click on it if am hovering the actual &lt;a&gt; - if I click within the &lt;li&gt; but outside the &lt;a&gt; then nothing happens, which is a bit confusing because it is highlighted blue, suggesting I should be able to click it</t>
  </si>
  <si>
    <t>It's in the right place but I don't like "You are here &gt;&gt;" - can you change it to "You are Here:" or convince me otherwise :)</t>
  </si>
  <si>
    <t>Didn't open in a new window</t>
  </si>
  <si>
    <t>Likewise the DH logo is fuzzy - can you sharpen it up a bit?</t>
  </si>
  <si>
    <t>Some of the straight lines (e.g. Top edge of header) look a bit fuzzy because of the anti-aliasing - can you sharpen them up a bit please?</t>
  </si>
  <si>
    <t>Help page should just be blank for now (eventually it will contain a number of help options) - it seems to be populated with a load of help content</t>
  </si>
  <si>
    <t>Given that I have just logged in, this actually needs to tell me the last but one time I logged in (i.e. Not the time just now!)
Also, if last login was today, it should say "last logged in at", not "last logged in on"
Also, can you get rid of the indentation (padding left) of "You last logged in..."</t>
  </si>
  <si>
    <t>Help page displayed - blank for now
Note: the contents of the help page are specified in other stories</t>
  </si>
  <si>
    <t>Didn't open as a pop-up</t>
  </si>
  <si>
    <t>ISO/IEC link shown but should not be shown for simplified interface users</t>
  </si>
  <si>
    <t>All options for logged in users (join flow 1h at step 3)</t>
  </si>
  <si>
    <t>Link OK but too much whitespace between menu options - due to using a separate &lt;ul&gt; tag for the optional list items. Any way you can incorporate them all into a single &lt;ul&gt; so that we can re-style things more easily in the future?
Same goes for the Admin page</t>
  </si>
  <si>
    <t>Raised</t>
  </si>
  <si>
    <t xml:space="preserve">Smaller organisations - context sensitive help saying which org types - changed text instead to simple "register" link
</t>
  </si>
  <si>
    <t>aim for</t>
  </si>
  <si>
    <t>S028, S030</t>
  </si>
  <si>
    <t>Much more complicated than initially estimated for</t>
  </si>
  <si>
    <t>v8.0 (i3)</t>
  </si>
  <si>
    <t>Need single quotes around 'quick start'</t>
  </si>
  <si>
    <t>Wording in "Registered Users..." section needs to match prototype wording, including "Forgotten user details?" link (which admittedly might have changed after you copied it!)</t>
  </si>
  <si>
    <t>Single quotes on 'quick start'</t>
  </si>
  <si>
    <t>1) What's New link doesn't go to What's New page
2) RSS feed link doesn't go to RSS feed</t>
  </si>
  <si>
    <t>See prototype for how it should be</t>
  </si>
  <si>
    <t>Section not removed</t>
  </si>
  <si>
    <t>The system persists the date and time of upload and the current user along with the uploaded file</t>
  </si>
  <si>
    <t>The system displays the date and time of upload and the user name and user ID of the user who uploaded it.</t>
  </si>
  <si>
    <t>Definition: a "fully specified" evidence type is one for which the evidence has been marked as obtained, the location type has been specified and the relevant evidence location details have been entered.</t>
  </si>
  <si>
    <t>more complicated than originally thought. Required integration with main page for testing save functionality</t>
  </si>
  <si>
    <t>System is in bulk email test mode</t>
  </si>
  <si>
    <t>The system has sent the bulk email to a single (configurable) test account (default value tony.heap@nhs.net)</t>
  </si>
  <si>
    <t>The email includes an attachment or appendix which is a list of the recipients that it would have sent it to if not in test mode</t>
  </si>
  <si>
    <t>User will be informed, if they try to add the same filename. Is this okay or do we need to allow the user to attach the same file more than once.
TH 23/3: rete4sted this - I still get a server error; needs to be a user-friendly error.  CMC 26/4 Cannot get this error to occur on local mahcine or test server, suspect may have been some config changes,  Suggest re-testing</t>
  </si>
  <si>
    <t>CMC: Cannot get to occur, have made confiog changes, suggest re-test.</t>
  </si>
  <si>
    <t>Not really a fail but can you confirm that you haven't actually coded anything for this - it's supposed to be an authoring note to the Policy Team, as opposed to anything the system needs to do.</t>
  </si>
  <si>
    <t>Can't Delete User</t>
  </si>
  <si>
    <t>Not delete a user who is referenced from various other data within the system</t>
  </si>
  <si>
    <t>The system validates that the user is related to (or referenced from) any of the following data items:</t>
  </si>
  <si>
    <t>AssessmentCriterion. ModifiedUserId</t>
  </si>
  <si>
    <t>AssessmentCriterionEvidence. ModifiedUserId</t>
  </si>
  <si>
    <t>AssessmentCriterionEvidenceUpload. UploadedUserId</t>
  </si>
  <si>
    <t>AssessmentCriterionImprovementAction. CreatedUserID</t>
  </si>
  <si>
    <t>AssessmentCriterionImprovementAction. ModifiedUserID</t>
  </si>
  <si>
    <t>AssessmentHistory.OrganisationUserID</t>
  </si>
  <si>
    <t>BulkEmail. CreatedBy</t>
  </si>
  <si>
    <t>BulkEmail. UpdatedBy</t>
  </si>
  <si>
    <t>AssessmentCriterionEvidence. CustomCreatedUserId</t>
  </si>
  <si>
    <t xml:space="preserve">The current level field is calculated automatically based on which criteria the user has marked as achieved, as follows (see prototype for an example formula):
- (NR explicitly marked as achieved) = level NR
- (past level = 3) and (all level 1,2 and 3 criteria achieved) = level 3
- (past level = 2 or less) and (all level 1,2 and 3 criteria except level 3 maintenance achieved) = level 3
- (all level 1 and 2 criteria achieved) = level 2
- (all level 1 criteria achieved) = level 1
- (level 0 explicitly marked as achieved) = level 0
- otherwise blank (i.e. not yet answered)
</t>
  </si>
  <si>
    <t>The system "locks" the "complete" flag by making it read-only</t>
  </si>
  <si>
    <t>The system "unlocks" the "complete" flag by making it editable</t>
  </si>
  <si>
    <t>The system displays the "complete" and "confirmed" statuses (both will be ticked) but they are read-only</t>
  </si>
  <si>
    <t>There is an option to compare with  previous assessments, with a sub-option to select which assessment to go back to (list of all assessments except the most recent one, default is the last-but one assessment)</t>
  </si>
  <si>
    <t>If the user selected "compare with previous assessments", the table contains a row of data for the all assessments in the selected range</t>
  </si>
  <si>
    <t>The assessments are in reverse date order</t>
  </si>
  <si>
    <t>Can you change the formatting so that (a) all the text is a bit bigger -standard Windows tooltip size and (b) the acronym is in bold but not italics</t>
  </si>
  <si>
    <t>View a (v8+) requirement with a hyperlink within any RATML field</t>
  </si>
  <si>
    <t>The hyperlink is displayed and the formatting is as per the RATty preview</t>
  </si>
  <si>
    <t>View the fact that I have been exempt from a requirement in the requirements list</t>
  </si>
  <si>
    <t>Fixing the above defect by adding the static text from the prototype will fix this</t>
  </si>
  <si>
    <t>Fixing the above defect in S038 by adding the static text from the prototype will fix this</t>
  </si>
  <si>
    <t>There is a superfluous context help icon to the RHS of "Reason"</t>
  </si>
  <si>
    <t>Locate a (v8+) assessment for any organisation</t>
  </si>
  <si>
    <t>The Attainment Level is shown as "Exempt"</t>
  </si>
  <si>
    <t>Log in as an org user for the amended organisation</t>
  </si>
  <si>
    <t>For the avoidance of doubt, if the target level is NR or EX then the attainment criterion is *not* outstanding</t>
  </si>
  <si>
    <t>CMC: previously text size was set to x-small have now set it to small which is the next size up.  If this is too large then we would have to explicity set the font-size to a paticular point which is not good accessibility practice.</t>
  </si>
  <si>
    <t>CMC:Think this should be withdrawn as is no longer a pop up for adding custom evidence</t>
  </si>
  <si>
    <t>- target grade (satisfactory/not satisfactory) based on target scores. Any target scores not set count as not having attained level 2, whereas NR and EX are OK</t>
  </si>
  <si>
    <t>Go to the assessment summary page</t>
  </si>
  <si>
    <t>There is an option to submit a Baseline</t>
  </si>
  <si>
    <t>What's New - in IE6 the separator bar is about 10 px deep. Note there is a related defect to format as per prototype somewhere</t>
  </si>
  <si>
    <t>I changed my mind on the format: can you remove the word "Deadline" so it just says e.g. "Version 99 Submission"</t>
  </si>
  <si>
    <t>If the deadline is today it says "0 days overdue"" instead of "0 days to go!". Perhaps in this case it should be in red to highlight it</t>
  </si>
  <si>
    <t>Looking at the DB, the EndDate has been set to 31/03/2011 rather than having been left blank</t>
  </si>
  <si>
    <t>Completed all req'ts for a.test:acute but Baseline button didn't appear</t>
  </si>
  <si>
    <t>Org type names have not changed - possibly due to migration script not having run</t>
  </si>
  <si>
    <t>As above</t>
  </si>
  <si>
    <t>When I float over "Who is this", the tooltip is positioned OK but if I scroll the page down a bit and try again, the tooltip is positioned too high up the page (IE6 and IE7)</t>
  </si>
  <si>
    <t>The attainment criteria tickboxes are visible and correctly set, but disabled</t>
  </si>
  <si>
    <t>There is *not* an option to add an improvement action</t>
  </si>
  <si>
    <t>The evidence details are visible but read-only (including location and comments pop-ups)</t>
  </si>
  <si>
    <t>There is *not* an option to add new evidence</t>
  </si>
  <si>
    <t>The action details are visible but read-only (including location and comments pop-ups)</t>
  </si>
  <si>
    <t>View Assessment as a General User</t>
  </si>
  <si>
    <t>View an organisation's assessment details as a General user, with the relevant fields visible but read-only</t>
  </si>
  <si>
    <t>The attainment level tickboxes are visible and correctly set, but disabled (greyed out to make it clear that this data is read-only to a general user)</t>
  </si>
  <si>
    <t>This includes the NR and EX tickboxes where appropriate</t>
  </si>
  <si>
    <t>This includes the NR tickbox where appropriate</t>
  </si>
  <si>
    <t>Attainment criterion comments are displayed read-only</t>
  </si>
  <si>
    <t>The past level is not shown (including the label)</t>
  </si>
  <si>
    <t>The target level and date are not shown (including the labels)</t>
  </si>
  <si>
    <t>None of the detail below each attainment criterion is displayed (and there is no expander because there is nothing to expand) - NOTE: if this is tricky to code we could look at simpler alternatives e.g. Display evidence list and evidence obtained but nothing else</t>
  </si>
  <si>
    <t>Close4d</t>
  </si>
  <si>
    <t>Amend any data on the page</t>
  </si>
  <si>
    <t>Request to Cancel my edits</t>
  </si>
  <si>
    <t>The system asks me to confirm that it is OK to lose my changes</t>
  </si>
  <si>
    <t>Cancel the cancel (!)</t>
  </si>
  <si>
    <t>My amendments remain in place</t>
  </si>
  <si>
    <t>Navigate to any other page by clicking a link on the page (e.g. Contact Us)</t>
  </si>
  <si>
    <t>Navigate to any other page by explicitly typing a URL</t>
  </si>
  <si>
    <t>If I click "add new evidence", then type in the evidence name, then hit Enter, the page refreshes but the text I entered has not been remembered.</t>
  </si>
  <si>
    <t>If I remove the bottom evidence item, confirm, and then float over the "Add other evidence" link, the bottom border of the evidence table disappears. Floating inside the table sometimes makes it reappear. Strange!</t>
  </si>
  <si>
    <t>CMC:Not sure what the issue is here haven't been to replicate yet</t>
  </si>
  <si>
    <t xml:space="preserve">RJM: this is a test data issue. </t>
  </si>
  <si>
    <t>The system presents the following warning: "Once you have submitted your Baseline you will not be able to unsubmit it without contacting us", with options to proceed or cancel</t>
  </si>
  <si>
    <t>The system does not submit the baseline</t>
  </si>
  <si>
    <t>1b.6a</t>
  </si>
  <si>
    <t>View my 3-stage assessment which is ready to be performance updated</t>
  </si>
  <si>
    <t>The option is labelled "submit performance update", not just "performance update"</t>
  </si>
  <si>
    <t>Request to submit a performance update</t>
  </si>
  <si>
    <t>The system presents the following warning: "Once you have submitted your Performance Update you will not be able to unsubmit it without contacting us", with options to proceed or cancel</t>
  </si>
  <si>
    <t>The system does not submit the performance update</t>
  </si>
  <si>
    <t>Capital A for "add"</t>
  </si>
  <si>
    <t>Fixed</t>
  </si>
  <si>
    <t>This is a general issue across the whole site, not just specific to this page - separate story required to fix it. CMC:People need to get a bit smarter about how pages are called not just case of getting to the page but also need to make sure query string parameters aren't spoofed etc.  These are the kind of issues which will cause us to fail Pen Test if not careful</t>
  </si>
  <si>
    <t>0.5 days. Most of the functionality was already implemented through other stories.</t>
  </si>
  <si>
    <t>v8.0 (i4)</t>
  </si>
  <si>
    <t>For each assessment (whatever version), the system displays the following information:</t>
  </si>
  <si>
    <t>- Assessment ref</t>
  </si>
  <si>
    <t>- Current status</t>
  </si>
  <si>
    <t>- Status history (pop-up), in reverse chronological order</t>
  </si>
  <si>
    <t>[If the assessment has already been submitted, the label for the current score is "Overall Score"]</t>
  </si>
  <si>
    <t>- The percentage scores are *not* colour-coded (we do not want to RAG overall percentages) (removal of existing feature)</t>
  </si>
  <si>
    <t>- All scores (current, target, baseline, perf update) are RAG coloured as per existing rules</t>
  </si>
  <si>
    <t>- Baseline score (if assessment is 3-stage and has been baselined)</t>
  </si>
  <si>
    <t>- Performance Update score (if assessment is 3-stage and has been Performance Updated)</t>
  </si>
  <si>
    <t>- As above for the baseline (if assessment is 3-stage and has been baselined)</t>
  </si>
  <si>
    <t>- As above for the performance update (if assessment is 3-stage and has been Performance Updated)</t>
  </si>
  <si>
    <t>The following information is included:</t>
  </si>
  <si>
    <t>- Current status of "not yet started"</t>
  </si>
  <si>
    <t>- *not* Grade</t>
  </si>
  <si>
    <t>- Next deadline as per S091</t>
  </si>
  <si>
    <t>The system displays all of my assessments, in reverse order (most recent first) [no change]</t>
  </si>
  <si>
    <t>The top-most (most recent assessment), even if it is "not yet started", is titled as "Your Current Assessment" and the remaining assessments (if any) are titled as "Your Previous Assessments"</t>
  </si>
  <si>
    <t>The system does *not* prompt me for an assessment description in order to create a new assessment</t>
  </si>
  <si>
    <t>I am in a position to start a new assessment</t>
  </si>
  <si>
    <t>This is labelled as "Your Current Assessment"</t>
  </si>
  <si>
    <t>My existing assessments are displayed below this "shell" assessment as per Main Flow</t>
  </si>
  <si>
    <t>My existing assessments are labelled as "Your Previous Assessments"</t>
  </si>
  <si>
    <t>All buttons and links for each assessment are shown as per current [no change]</t>
  </si>
  <si>
    <t>[The attainment levels are colour coded: red for 0-1, green for 2-3]</t>
  </si>
  <si>
    <t>Request to specify requierment owners</t>
  </si>
  <si>
    <t>For each displayed attainment criterion, the attainment criterion description is included</t>
  </si>
  <si>
    <t>My attainment level is shown as "EX"</t>
  </si>
  <si>
    <t>The current attainment level changes to EX</t>
  </si>
  <si>
    <t>The system persists my changes (including the current attainment level)</t>
  </si>
  <si>
    <t>Request to delete the improvement action</t>
  </si>
  <si>
    <t>The improvement action disappears from the screen</t>
  </si>
  <si>
    <t>There is an option to submit a baseline [no change]</t>
  </si>
  <si>
    <t>The system submits the baseline as per current functionality [no change]</t>
  </si>
  <si>
    <t>There is an option to submit a performance update [no change]</t>
  </si>
  <si>
    <t>The system submits the performance update as per current functionality [no change]</t>
  </si>
  <si>
    <t>There is an option to search for and select an organisation to report on</t>
  </si>
  <si>
    <t>Search for and select an organisation to report on</t>
  </si>
  <si>
    <t>System displays "Reports Single Organisation Chooser" (as used in other reports)</t>
  </si>
  <si>
    <t>Rejoin main flow at step 2, reporting on the specified organisation</t>
  </si>
  <si>
    <t>Not delete a user who is a requirement owner</t>
  </si>
  <si>
    <t>Request to edit details for a user</t>
  </si>
  <si>
    <t>System does *not* provide the option to delete the user</t>
  </si>
  <si>
    <t>The system validates that all potential email recipients have email addresses set up</t>
  </si>
  <si>
    <t>There are one or more potential email recipeints who do not have an email address set up</t>
  </si>
  <si>
    <t>The system displays a warning listing the potential email recipients who do not have email addresses set up</t>
  </si>
  <si>
    <t>Rejoin main flow at next step</t>
  </si>
  <si>
    <t>Popup appears off-screen if near RHS of screen</t>
  </si>
  <si>
    <t>Problem with persisting related data to the database. Found bug in v7 fixed with CMC help.</t>
  </si>
  <si>
    <t>There is an option to amend the notes</t>
  </si>
  <si>
    <t>Amend the notes</t>
  </si>
  <si>
    <t>The system persists the changed notes but does not change the person or date of exemption</t>
  </si>
  <si>
    <t>The system persists the unexemption and clears out the person, date and comments</t>
  </si>
  <si>
    <t>There is an option for me to add free-form notes to explain the exemption [not mandatory]</t>
  </si>
  <si>
    <t>The system persists the exemption along with the person, date and comments</t>
  </si>
  <si>
    <t xml:space="preserve">The system validates that the organisation has an assessment which is:
a) v8 or above and
b) not yet submitted
</t>
  </si>
  <si>
    <t>There is an option to send an ad-hoc email reminder, including the following data entry fields:</t>
  </si>
  <si>
    <t>"Cc" - a free format text box (default blank)</t>
  </si>
  <si>
    <t>Preamble - a free format text area (default blank)</t>
  </si>
  <si>
    <t>Enter details for the ad-hoc reminder</t>
  </si>
  <si>
    <t>Request to send the ad-hoc reminder</t>
  </si>
  <si>
    <t xml:space="preserve">The system validates that I have selected a recipient (or "All") in the "To" field
</t>
  </si>
  <si>
    <t>The system validates that I have specified zero or more valid email addresses in the "CC" field (separated by semi-colons or commas)</t>
  </si>
  <si>
    <t>The system sends a separate reminder email to each specified recipient (if they have an email address set up)</t>
  </si>
  <si>
    <t>The content of the email is as specified in S115</t>
  </si>
  <si>
    <t>The email also includes the preamble (see prototype for location)</t>
  </si>
  <si>
    <t>Any HTML special characters (&amp;, &lt;, &gt; etc.) are correctly displayed in the email</t>
  </si>
  <si>
    <t>The email does not have to be sent immediately but is sent within 30 minutes</t>
  </si>
  <si>
    <t>The system tells the user that the emails will be sent within 30 minutes</t>
  </si>
  <si>
    <t>Each email is copied to all email addresses in the "CC field"</t>
  </si>
  <si>
    <t xml:space="preserve">A marked up glossary term which is a plural matches against a glossary which is singular. For example "Calditott Guardians" should match "Caldicott Guardian" and "spies" should match "spy"
</t>
  </si>
  <si>
    <t>There is *not* an option to enter requireemnt-level comments</t>
  </si>
  <si>
    <t>Section headers are black, not blue</t>
  </si>
  <si>
    <t>Glossary text is green, not black (including underline)</t>
  </si>
  <si>
    <t>CMC:Am using suggested file for Test Acute org type</t>
  </si>
  <si>
    <t>Register Step 3 - wording matches wording on prototype (including "contact our Helpdesk" instead of "contact us")</t>
  </si>
  <si>
    <t>Contact Us page - insert a space between "Frequently Asked Questions" and "(FAQ)"</t>
  </si>
  <si>
    <t>The unselected tabs need to be a darker grey colour as per prototype (the shade you have used looks OK on some monitors but is too pale on others)</t>
  </si>
  <si>
    <t>If I expand 1a and then expand 1b then the accordian facility works, but 1a does not collapse slowly, it just disappears, meaning that section 1b opens but then suddenly jumps updards and I lose track of where it is. Can this be made smoother?</t>
  </si>
  <si>
    <t>DONE</t>
  </si>
  <si>
    <t>Likewise the "quick start" guide, linked in from the home page (both not logged in and logged in variants)</t>
  </si>
  <si>
    <t>Specifiy Evidence Location Improvement</t>
  </si>
  <si>
    <t>Specify an external location for my evidence (improved UI)</t>
  </si>
  <si>
    <t>For each evidence type, there is an option to specify the evidence location (icon launching pop-up)</t>
  </si>
  <si>
    <t>Request to specify the location for a particular evidence type</t>
  </si>
  <si>
    <t>The system displays the Evidence Location pop-up</t>
  </si>
  <si>
    <t>There is an option to specify the evidence location type (drop down as per S028)</t>
  </si>
  <si>
    <t>Specify the evidence location</t>
  </si>
  <si>
    <t>The system displays the evidence location details appropriate to the evidence location type (dynamically, within the same pup-up) as specified in S028</t>
  </si>
  <si>
    <t>Specify evidence location details</t>
  </si>
  <si>
    <t>Close the pop-up</t>
  </si>
  <si>
    <t>The evidence location type is updated in the evidence table</t>
  </si>
  <si>
    <t>The evidence location type and details are persisted</t>
  </si>
  <si>
    <t>Beta Test Phase</t>
  </si>
  <si>
    <t>Context help to RHS of "Evidence Required:" when not logged in  - to be same as per "Evidence Required" column header when logged in (see context help file v2 for details)</t>
  </si>
  <si>
    <t>PARTLY DONE: Need Test script URL reference adding</t>
  </si>
  <si>
    <t>Was more complex than anticipated, plus all of the associated bubbling of events needed to be changed.</t>
  </si>
  <si>
    <t>No red cross next to details</t>
  </si>
  <si>
    <t>Can't test until above defect fixed</t>
  </si>
  <si>
    <t>Red cross still appears</t>
  </si>
  <si>
    <t>Issues with red crosses as per main flow</t>
  </si>
  <si>
    <t>Context help appears behind the pop-up</t>
  </si>
  <si>
    <t>New browser window needs scroll bars</t>
  </si>
  <si>
    <t>Cant view 'duplicate' type as this story hasn't been defined &amp; implemented. Viewing a local file within the browser will not be possible as it breaches the browser security.
TH 07/04: de-scoped "view duplicate evidence" from this story</t>
  </si>
  <si>
    <t>I added new custom evidence and marked it obtained but didn't specify the evidence location. Nevertheless, the system marked the criterion as achieved</t>
  </si>
  <si>
    <t>DONE: Note we should either treat this problem though as a DR or else remove date modified entirely i.e. from database model as well etc</t>
  </si>
  <si>
    <t>Needs to be configurable (CMC says it currently isn't)</t>
  </si>
  <si>
    <t>The system validates the data fields (description is mandatory, the others are optional)</t>
  </si>
  <si>
    <t xml:space="preserve">When I go to user admin to check if the user has info mapping permissions, for some reason, the info mapping roles are not displayed (even if I go to the "New User" screen they are not there)
</t>
  </si>
  <si>
    <t>This section seems to have disappeared completely! (logged in as a.test:acute)</t>
  </si>
  <si>
    <t>TH 08/04 Retested - Dark gray as per prototype, not blue please</t>
  </si>
  <si>
    <t>Not really a fail, but the prototype was wrong, sorry. Can you move the Information Mappign Admin links below "Improvement Plan Admin" please?</t>
  </si>
  <si>
    <t>All "custom" (i.e. jquery) tooltips have a 15 second timeout to cater for the fact that in some cases they don't disappear when the mouse leaves the relevant hover zone</t>
  </si>
  <si>
    <t>When you float over a hyperlink the underline disappears rather than getting a blue background</t>
  </si>
  <si>
    <t>Sorry, I missed out an "8" between Version and Beta</t>
  </si>
  <si>
    <t>The "who is this" floater isn't obviously a floater - I propose the following CSS (see prototype): span.floatable {color:blue; border-bottom:dashed 1px blue; cursor:pointer}</t>
  </si>
  <si>
    <t xml:space="preserve">CANT BE DONE IN IE WORKS OK IN FIREFOX AND CHROME. IE CANT HANDLE THE SLIDE VERY WELL SO THIS HAS TO BE SHOWN OR HIDDEN. FIREFOX/CHROME HANDLE SLIDE REALLY NICELY AS IS VERY ELEGANT. IE IS CLUNKY.
TH 08/04 Let's see what the users say about it in beta testing
</t>
  </si>
  <si>
    <t>Title is too small - use &lt;h1&gt;</t>
  </si>
  <si>
    <t>a.test:acute, req't 102 - criteria 1b, 2b and 2c are being (incorrectly) displayed as if they were Level 3 Maintenance criteria - this is probably a test data issue</t>
  </si>
  <si>
    <t>Can you make the pop-up appear relative (near) to the "add other evidence" link - or alternatively can you create a new row in the evidence table and allow the user to type directly into the table?</t>
  </si>
  <si>
    <t>Can you make the cursor focus in the pop-up (currently the focus is on the OK button)</t>
  </si>
  <si>
    <t>Can you make the OK button on the popup the default one which fires if I hit return, and the Cancel button fire if I hit "Escape"</t>
  </si>
  <si>
    <t>As per "add evidence" popup can you make the text field focussed initially</t>
  </si>
  <si>
    <t>Org type a.test:acute should be 3 stage reporting but next deadline is showing as submission</t>
  </si>
  <si>
    <t>If I have achieved all L2 criteria but not all L1 criteria then it is correctly showing Current Level=0 but it is showing L2 as ticked. If not all L1 criteria achieved then L2 should remain unticked even if all L2 criteria are achieved</t>
  </si>
  <si>
    <t>Tooltip missing from icon (see prototype)</t>
  </si>
  <si>
    <t>Tooltip missing from the icon (see prototype)</t>
  </si>
  <si>
    <r>
      <t xml:space="preserve">For better alignment of attainment levels, change the following CSS in igt.requireemnt.css: "div.attainmentLevel div.attainmentLevelNumber {float:left; width:41px; font-weight:bold; font-size:1.5em; text-align:right; padding-right:4px; </t>
    </r>
    <r>
      <rPr>
        <b/>
        <sz val="11"/>
        <color indexed="8"/>
        <rFont val="Calibri"/>
        <family val="2"/>
      </rPr>
      <t>line-height:80%</t>
    </r>
    <r>
      <rPr>
        <sz val="11"/>
        <color theme="1"/>
        <rFont val="Calibri"/>
        <family val="2"/>
        <scheme val="minor"/>
      </rPr>
      <t>}
"</t>
    </r>
  </si>
  <si>
    <t>Specify Evidence Location Improvement</t>
  </si>
  <si>
    <t>On the pop-up, can you put "Cancel" to the right of "Done" as per standard practice - I keep clicking "Cancel" by mistake!</t>
  </si>
  <si>
    <t>For org a.test:acute, req't 101 - AL1 and AL2 are ticked even though the criteria are not</t>
  </si>
  <si>
    <t>Note that the "weblink" field is in MS Access weblink format - to get the "raw" URL, take the string between the first and second "#" symbol</t>
  </si>
  <si>
    <t>Any records in the staging table for which Title, Type or Location is not specified are *not* published, and the user is presented with a warning message to this effect.</t>
  </si>
  <si>
    <t>Any records for which Location is "External" and "Weblink" is not specified are *not* published, and the user is presented with a warning</t>
  </si>
  <si>
    <t>Any records for which Location is "Internal" and "FileName" is not specified are *not* published, and the user is presented with a warning</t>
  </si>
  <si>
    <t>Low priority:DONE wouldn't have affected UAT anyway</t>
  </si>
  <si>
    <t>CMC: Fixed</t>
  </si>
  <si>
    <t>Should the message be clearer about who they might need to contact? (ie who is the 'us' in the message)?</t>
  </si>
  <si>
    <t>The system persists the fact that the attainment criterion is not achieved.</t>
  </si>
  <si>
    <t>Currently the FS doesn't specify this way of indicating level. Will the FS be changed first? Probably 2-4 days work to change it.</t>
  </si>
  <si>
    <t>a.test:acute, req't 101, achieved 3a, no previous assessment, but L3 not shown</t>
  </si>
  <si>
    <t>Weont into a "fresh" req't, ticked L0, saved, went out, back in, unticked L0 but Current Level did not go blank (even though no data has been entered)</t>
  </si>
  <si>
    <t>The "booklets" list item is incorrectly in bold (lloking at the HTML it looks like it is tagged up as &lt;h3&gt;)</t>
  </si>
  <si>
    <t>When I float over "Who is this", most of the header bar of the page suddenly goes white, even after the pop-up has disappeared</t>
  </si>
  <si>
    <t>CMC:Have changed, have also added an extra bullet point to display for step 8a as otherwise reads rather confusingly in this instance
TH 23/3: if you enter neither the org code nor any org name keywords it should take you directly to step 2 instead of displaying a validation error</t>
  </si>
  <si>
    <t>Evidence items have speech marks around them</t>
  </si>
  <si>
    <t>ISO/IEC page - make main title an &lt;h1&gt; tag</t>
  </si>
  <si>
    <t>Tooltips disappear off the RHS of the screen</t>
  </si>
  <si>
    <t>Beta Test Phase 1 Defects</t>
  </si>
  <si>
    <t>See various defects/issues resolved that appeared in Beta Test Phase 1</t>
  </si>
  <si>
    <t>Glossary terms are not matching e.g. Req 210 "information assets" - suspect it might be due to differences in capitalisation</t>
  </si>
  <si>
    <t>Glossary PDF is out of date - suspect it has not been correctly re-published (how can there even be a PDF file in there if the glossary PDF publish failed - is there a default PDF file in SourceSafe - if so remove it because it hides the problem)</t>
  </si>
  <si>
    <t>Knowledge Base section layout is wrong when viewed in IE6 (tabs on left, content on right)</t>
  </si>
  <si>
    <t xml:space="preserve">Evidence items truncated by commas e.g. req 210, 1b evidence.
Also, evidence for req 210 2b – has two items – the second item text is actually part of the first item text – looks like a problem with comma delimiters.
Also, speech marks around the evidence items
</t>
  </si>
  <si>
    <t xml:space="preserve">Evidence location has red cross even though evidence not marked as obtained
Evidence Location does not have [select]
When I click Evidence Location pop-up arrow, screen refreshes and no pop-up appears
Seems to work OK for custom evidence, so maybe it’s a data problem (perhaps the publish process?)
</t>
  </si>
  <si>
    <t xml:space="preserve">Defect fixes/enhancements to Home Page "At a Glance" section as per S079
</t>
  </si>
  <si>
    <t xml:space="preserve">The system validates that I am in a position to start a new assessment (same criteria as for the "Create new assessment" dialog on the Assessment Summary page, ref. S073) </t>
  </si>
  <si>
    <t xml:space="preserve">The system says my most recent assessment is the new version and that my status is "not yet started" - consistent with Assessment Summary (S073)
</t>
  </si>
  <si>
    <t>I am not in a position to start a new assessment</t>
  </si>
  <si>
    <t>1b.2a.2a</t>
  </si>
  <si>
    <t>If my most recent assessment is not the latest version (and I have not yet submitted it), it warns me of this.</t>
  </si>
  <si>
    <t>You need to dynamically populate the latest version</t>
  </si>
  <si>
    <t>Bold red is OK but the underline is too much - suggest removing it.</t>
  </si>
  <si>
    <t>Remove "More details" i.e. link to FAQ page for now - I'd rather it was not there than look incomplete.</t>
  </si>
  <si>
    <t>TM Need to clarify</t>
  </si>
  <si>
    <t>Tooltip for Current Level context help appears behind Target Level drop down (IE6)</t>
  </si>
  <si>
    <t>Odds and Ends 2</t>
  </si>
  <si>
    <t>Publish Tool Config Refactor</t>
  </si>
  <si>
    <t>Have a simplified configuration structure for the Publish Tool</t>
  </si>
  <si>
    <t>Week 4</t>
  </si>
  <si>
    <t>Had some issues with the jQuery Datepicker formatting.</t>
  </si>
  <si>
    <t>There is an option to select the Report Type, including:
- Improvement Plan (incomplete items only) (default)
- Improvement Plan (including completed items)
- Completed Items Only</t>
  </si>
  <si>
    <r>
      <t xml:space="preserve">- The Report Type specifies completed items </t>
    </r>
    <r>
      <rPr>
        <b/>
        <sz val="11"/>
        <color indexed="8"/>
        <rFont val="Calibri"/>
        <family val="2"/>
      </rPr>
      <t>and</t>
    </r>
    <r>
      <rPr>
        <sz val="11"/>
        <color theme="1"/>
        <rFont val="Calibri"/>
        <family val="2"/>
        <scheme val="minor"/>
      </rPr>
      <t xml:space="preserve"> the attainment criterion is marked achieved</t>
    </r>
  </si>
  <si>
    <r>
      <t xml:space="preserve">The report includes all attainment criteria for which </t>
    </r>
    <r>
      <rPr>
        <b/>
        <sz val="11"/>
        <color indexed="8"/>
        <rFont val="Calibri"/>
        <family val="2"/>
      </rPr>
      <t>any</t>
    </r>
    <r>
      <rPr>
        <sz val="11"/>
        <color theme="1"/>
        <rFont val="Calibri"/>
        <family val="2"/>
        <scheme val="minor"/>
      </rPr>
      <t xml:space="preserve"> of the following is true:
</t>
    </r>
  </si>
  <si>
    <t>If the user requested for evidence to be displayed then evidence items are displayed under each of the displayed attainment criteria according to the following rules:</t>
  </si>
  <si>
    <r>
      <t xml:space="preserve">- If the Report Type specified complete items then show evidence items which </t>
    </r>
    <r>
      <rPr>
        <b/>
        <sz val="11"/>
        <color indexed="8"/>
        <rFont val="Calibri"/>
        <family val="2"/>
      </rPr>
      <t>are</t>
    </r>
    <r>
      <rPr>
        <sz val="11"/>
        <color theme="1"/>
        <rFont val="Calibri"/>
        <family val="2"/>
        <scheme val="minor"/>
      </rPr>
      <t xml:space="preserve"> "fully specified" as per definition in S033</t>
    </r>
  </si>
  <si>
    <r>
      <t xml:space="preserve">- If the Report Type specified incomplete items then show evidence items which are </t>
    </r>
    <r>
      <rPr>
        <b/>
        <sz val="11"/>
        <color indexed="8"/>
        <rFont val="Calibri"/>
        <family val="2"/>
      </rPr>
      <t>not</t>
    </r>
    <r>
      <rPr>
        <sz val="11"/>
        <color theme="1"/>
        <rFont val="Calibri"/>
        <family val="2"/>
        <scheme val="minor"/>
      </rPr>
      <t xml:space="preserve"> "fully specified" as per definition in S033</t>
    </r>
  </si>
  <si>
    <t>If the user requested for actions to be displayed then actions are displayed under each of the displayed attainment criteria according to the following rules:</t>
  </si>
  <si>
    <r>
      <t xml:space="preserve">- If the Report Type specified incomplete items then show actions which are </t>
    </r>
    <r>
      <rPr>
        <b/>
        <sz val="11"/>
        <color indexed="8"/>
        <rFont val="Calibri"/>
        <family val="2"/>
      </rPr>
      <t>not</t>
    </r>
    <r>
      <rPr>
        <sz val="11"/>
        <color theme="1"/>
        <rFont val="Calibri"/>
        <family val="2"/>
        <scheme val="minor"/>
      </rPr>
      <t xml:space="preserve"> marked complete</t>
    </r>
  </si>
  <si>
    <r>
      <t xml:space="preserve">- If the Report Type specified complete items then actions items which </t>
    </r>
    <r>
      <rPr>
        <b/>
        <sz val="11"/>
        <color indexed="8"/>
        <rFont val="Calibri"/>
        <family val="2"/>
      </rPr>
      <t>are</t>
    </r>
    <r>
      <rPr>
        <sz val="11"/>
        <color theme="1"/>
        <rFont val="Calibri"/>
        <family val="2"/>
        <scheme val="minor"/>
      </rPr>
      <t xml:space="preserve"> marked complete</t>
    </r>
  </si>
  <si>
    <t>For each evidence item, Evidence Location includes a hyperlink to view the document (in a new window) for appropriate location types</t>
  </si>
  <si>
    <t>For each displayed attainment criterion, the attainment criterion "achieved" status is displayed</t>
  </si>
  <si>
    <r>
      <t xml:space="preserve">- The Report Type specifies incomplete items </t>
    </r>
    <r>
      <rPr>
        <b/>
        <sz val="11"/>
        <color indexed="8"/>
        <rFont val="Calibri"/>
        <family val="2"/>
      </rPr>
      <t>and</t>
    </r>
    <r>
      <rPr>
        <sz val="11"/>
        <color theme="1"/>
        <rFont val="Calibri"/>
        <family val="2"/>
        <scheme val="minor"/>
      </rPr>
      <t xml:space="preserve"> the attainment criterion is "outstanding" (see definition below)</t>
    </r>
  </si>
  <si>
    <t>Organisation Type Names</t>
  </si>
  <si>
    <t>See better, shorter names for organisation types</t>
  </si>
  <si>
    <t>done</t>
  </si>
  <si>
    <t>Assessment Summary page - in IE6, create or delete an assessment - page content goes blank and page header partially blanked out. Click refresh and it's OK again</t>
  </si>
  <si>
    <t>Request to view an Assessment Report</t>
  </si>
  <si>
    <t>Note: the org type names appear elsewhere in the system too but it is assumed that they are always populated from the same source (in the database) so this story does not explicitly check each appearance</t>
  </si>
  <si>
    <t>Test using SUO</t>
  </si>
  <si>
    <t>When I float over a glossary definition, sometimes I get: "Undefined - unable to get definition from the server", and when I float over it again a comple of seconds later I get the correct definition. A timing issue perhaps? A simple fix might be to change the message to say "temporarily unavailable" or "loading, try again in a few seconds"</t>
  </si>
  <si>
    <t>Need to link home page through to test script when it's ready</t>
  </si>
  <si>
    <t>Evidence upload - this is not disabled but it doesn't work properly. Needs disabling (as per Duplicate Evidence)</t>
  </si>
  <si>
    <t>Created new acute org "acutest11" and user "test"/"4testing", log in, create assessment then nav to req 202. Attainment levels showing -1 instead of 1,2,3. Req 210 the same but Req 310 and 312 are OK</t>
  </si>
  <si>
    <t>The system validates that the user has at least one v8+ assessment</t>
  </si>
  <si>
    <t>The system displays a single option of "&lt;No assessments at v8 or greater&gt;"</t>
  </si>
  <si>
    <t>All other options are displayed as per main flow</t>
  </si>
  <si>
    <t>The "Show Report" button is disabled</t>
  </si>
  <si>
    <t>The org has no v8+ assessments</t>
  </si>
  <si>
    <t>The format of the assessments in the drop-down is:  “Version &lt;version number&gt; (&lt;start year&gt;-&lt;end year&gt;)"</t>
  </si>
  <si>
    <t>Req 312 - when I complete criteria 1a and 1b, they are both ticked but AL1 is not ticked. Tried Req 310 which is OK</t>
  </si>
  <si>
    <t>CMC:Note it is unlikely that we now have condition flow 1b above that this situation would occur i.e. have no assessments and are not able to create an assessment</t>
  </si>
  <si>
    <t>RIMA</t>
  </si>
  <si>
    <t>On the Create Organisation page change "National Code" to "Organisation Code"</t>
  </si>
  <si>
    <t>View Assessment Summary Target Score</t>
  </si>
  <si>
    <t>View my target score along with my assessment summary</t>
  </si>
  <si>
    <t>For each assessment which has one or more target scores set, the system displays the following information:</t>
  </si>
  <si>
    <t>- target score - calculated as (total of target attainment levels) / (3 x total number of req'ts excluding thise with a taregt of NR or EX)</t>
  </si>
  <si>
    <t>Set Target Attainment Level of 0, NR or EX</t>
  </si>
  <si>
    <t>Set a target attainment level of 0, NR or EX</t>
  </si>
  <si>
    <t>There is an option to set a target attainment level of 0</t>
  </si>
  <si>
    <t>View Improvement Actions</t>
  </si>
  <si>
    <t>View improvement actions</t>
  </si>
  <si>
    <t>General</t>
  </si>
  <si>
    <t>The actions are displayed</t>
  </si>
  <si>
    <t>There is not an option to add an action</t>
  </si>
  <si>
    <t>There is not an option to edit or remove individual actions</t>
  </si>
  <si>
    <t>The system no longer highlights the fact that the user has not yet specified evidence location details. This happens even if the referenced evidence is not fully specified</t>
  </si>
  <si>
    <t>Cannot Delete Referenced Custom Evidence</t>
  </si>
  <si>
    <t>Be prevented from deleting custom evidence which is referenced from elsewhere</t>
  </si>
  <si>
    <t>The system validates that the evidence type does have references to it from other evidence types (i.e. There are evidence types marked as location "Duplicate" with a reference to this evidence type)</t>
  </si>
  <si>
    <t>The system informs me that I cannot remove this evidence type because it is referenced.</t>
  </si>
  <si>
    <t>TH 15/3 Check with Richard - there is a particular size that the glossary pop-up should be</t>
  </si>
  <si>
    <t>2) The password field is too wide - I can enter a max of 15 characters so I guess this field should be 15 chars wide</t>
  </si>
  <si>
    <t xml:space="preserve">1) The org code and User ID fields are too wide - suggest making them 8 characters wide as per existing system, or 10 at the most if 8 looks too narrow on the screen
</t>
  </si>
  <si>
    <t>3) I think the data field labels should be in bold so they stand out more (applies generally across the application i.e. a stylesheet change).</t>
  </si>
  <si>
    <t xml:space="preserve">3. Labels are bold.  </t>
  </si>
  <si>
    <t>1) Can you change the error message to  "Organisation Code not recognised" (Not "Error," at the beginning)
2) Can you get rid of the underline for the error message?</t>
  </si>
  <si>
    <t>TH 10/3 the "register for a user account" link still doesn't work
TH 15/3 still doesn't work</t>
  </si>
  <si>
    <t>5) In "Email me a copy of my Enquiry", can you put a lowercase "e"on "Enquiry"? (sorry, my fault, the prototype was wrong)</t>
  </si>
  <si>
    <t>4) Can you size the details field as per the prototype</t>
  </si>
  <si>
    <t>3) Can you make the sentence above the data fields into an  "instruction" class as per the prototype (&lt;p class="instruction"&gt;)</t>
  </si>
  <si>
    <t xml:space="preserve">1) Can you put a highlight box around the data fields as per prototype
</t>
  </si>
  <si>
    <t>2) Can you put mandatory field markers against the fields as per the prototype</t>
  </si>
  <si>
    <t>15/3 Failed retest</t>
  </si>
  <si>
    <t>15/3 Sorry, I didn't spot this first time round...can you put the submission (a) in red and (b) in the "Contact us Online" section - as per the validation errors</t>
  </si>
  <si>
    <t>No downloads displayed until I click "View Downloads" - the downloads for Acute should be displayed without me having to click "View Downloads"</t>
  </si>
  <si>
    <t>2) The message telling me that there are no documents available for a given org type: can you format it as an error instead of an instruction. Check with Tom re. what CSS class to use for an error</t>
  </si>
  <si>
    <t>1) I can't test this because there are no downloads set up for any org type other than Acute Test. Can you add some test data</t>
  </si>
  <si>
    <t>nili: 2 - amended mark-up format to errormessage for the 'no documents available'message.
TH 15/3: Error message shown in black, not red - you have used class "errormessage" - are you sure this is the right one?</t>
  </si>
  <si>
    <t>Tried adding the same file twice and got a server error:
"An item with the same key has already been added."
Only fix this if it is relatively easy to do</t>
  </si>
  <si>
    <t>Not enter requirement-level comments for a (v8+) requirement</t>
  </si>
  <si>
    <t>Header panel layout is as per prototype</t>
  </si>
  <si>
    <t>Top row of buttons to appear below header panel, not above page title</t>
  </si>
  <si>
    <t>Print/Download to be changed from links to buttons (as per prototype)</t>
  </si>
  <si>
    <t>Print/Download Multiple to be changed from links to buttons (as per prototype)</t>
  </si>
  <si>
    <t>References to KB resources are correctly mapped across from staging tables.</t>
  </si>
  <si>
    <t>The key includes v8 details if there are any v8 or after assessments in the report</t>
  </si>
  <si>
    <t>The key includes v7 details if there are any v7 or before assessments in the report</t>
  </si>
  <si>
    <t>View Improved Assessment Report - HTML Version</t>
  </si>
  <si>
    <t>Create an HTML version of the assessment report</t>
  </si>
  <si>
    <t xml:space="preserve">This story extends S142 by first displaying an HTML version of the report and then allowing the user to create an XL version if they wish
</t>
  </si>
  <si>
    <t>The system displays the report in HTML format on the same page, below the report criteria</t>
  </si>
  <si>
    <t>The content and layout of the HTML format report are as per the XL report (ref. stories S142-S146, S152 and also see the prototype)</t>
  </si>
  <si>
    <t>There is an option to drill down on each *current* or *final* score (by initiative or overall)</t>
  </si>
  <si>
    <t>There is *not* an option to drill down on stage or target scores</t>
  </si>
  <si>
    <t>Request to drill down on one of the scores for my own organisation</t>
  </si>
  <si>
    <t xml:space="preserve">View Improved Assessment Report - Drill Down on Breakdown
</t>
  </si>
  <si>
    <t>Drill down into the details of an assessment report for specific breakdown figures (e.g. Key requirements met/not met)</t>
  </si>
  <si>
    <t>S142-S146, S152</t>
  </si>
  <si>
    <t>Branch from S142 Main Flow at step 16 (request report)</t>
  </si>
  <si>
    <t>Branch from S147 Main Flow after step 6</t>
  </si>
  <si>
    <t>If the report include a breakdown by attainment level, there is an option to drill down on individual attainment level counts (for current, final and target scores)</t>
  </si>
  <si>
    <t>Select the option to upload</t>
  </si>
  <si>
    <t>The system indicates that I have not yet either selected an uploaded file or uploaded a new file</t>
  </si>
  <si>
    <t>The system includes an option to select an existing uploaded file</t>
  </si>
  <si>
    <t xml:space="preserve">The list of existing uploaded files includes all files uploaded against the current assessment (this might change in future to include previous assessments too)
</t>
  </si>
  <si>
    <t>The system no longer indicates that I have not either selected an uploaded file or uploaded a new file</t>
  </si>
  <si>
    <t>Doesn't remember the uploaded file</t>
  </si>
  <si>
    <t>Link to Existing Uploaded Evidence (Mark 2)</t>
  </si>
  <si>
    <t>Specify an existing uploaded evidence file against another evidence item (enhanced/simplified version)</t>
  </si>
  <si>
    <t>Superseded by S163</t>
  </si>
  <si>
    <t>Can;t test until above defect fixed</t>
  </si>
  <si>
    <t>When I try to upload a large file it "never" completes. Specifically, if I load a 2.4MB file it uploads in ~5 seconds but if I upload a 4MB file (still below 5MB) it hadn't completed after 4 minutes so I aborted.</t>
  </si>
  <si>
    <t>Use the Browser Back Button</t>
  </si>
  <si>
    <t>Have the browser "back" button operate more gracefully</t>
  </si>
  <si>
    <t>From the home page (not logged in), indicate that I have forgotten my user details</t>
  </si>
  <si>
    <t>The system displays the "Forgotten User Details" page</t>
  </si>
  <si>
    <t>CMC: Changed test data so Acute tests now do 3 stage assessments</t>
  </si>
  <si>
    <t>Required a new setting in the webconfig file</t>
  </si>
  <si>
    <t>CMC:test data now there try N for No defintion glossary term.  Note glossary entry always has a term and it is this which is used to order the glossary as per step 6 above</t>
  </si>
  <si>
    <t>Highlights selected letter in red with no underline</t>
  </si>
  <si>
    <t>The system resets my password</t>
  </si>
  <si>
    <t>There is an option to receive a reminder of my user details by email, including an input field for my email address and a sub-option to have my password reset.</t>
  </si>
  <si>
    <t>Enter details and request a password reminder</t>
  </si>
  <si>
    <t>The system validates that there is a uniquely matching active account for the specified email address</t>
  </si>
  <si>
    <t>The system sends me a reminder email containing my org code and user ID (see prototype for wording)</t>
  </si>
  <si>
    <t>The system validates that I requested a password reset</t>
  </si>
  <si>
    <t>The system tells me that it has sent me a reminder email</t>
  </si>
  <si>
    <t>If I requested a password reset, the system tells me it has reset my password and sent it in a separate email</t>
  </si>
  <si>
    <t>The system tells me how to log on (including a link to the home page)</t>
  </si>
  <si>
    <t>There is no matching active account for the specified email address</t>
  </si>
  <si>
    <t>The system tells me this and provides a link to the "contact us" page</t>
  </si>
  <si>
    <t>There are multiple matching active accounts for the specified email address</t>
  </si>
  <si>
    <t>Password reset not requested</t>
  </si>
  <si>
    <t>The system sends me an email containing my new password (see prototype for wording)</t>
  </si>
  <si>
    <t>View Assessment as a General User (Mark 2)</t>
  </si>
  <si>
    <t>This story is an amendment to S160</t>
  </si>
  <si>
    <t>None of the detail below each attainment level is displayed (and there is no expander because there is nothing to expand) - NOTE: if this is tricky to code we could look at simpler alternatives e.g. Display evidence list and evidence obtained but nothing else</t>
  </si>
  <si>
    <t>This includes EX - a general user should not be able to view the reason for exemption</t>
  </si>
  <si>
    <t>About page content is as per prototype page "about.html"</t>
  </si>
  <si>
    <t>See various enhancements as suggested during Beta Test Phase 1</t>
  </si>
  <si>
    <t>The top-level sections are initiailly collapsed</t>
  </si>
  <si>
    <t>The tables within the KB section do not have a table heading which repeats the name on the tab (e.g. "Key Resources")</t>
  </si>
  <si>
    <t>The attainment levels expand and collapse normally rather than in "accordion" style</t>
  </si>
  <si>
    <t>The attainment criteria expand and collapse normally rather than in "accordion" style</t>
  </si>
  <si>
    <t>The width of the attainment criterion ID div has narrowed (because its contents have narrowed, since e.g. "1a" is now just "a" and "Main" is now just e.g. "C")</t>
  </si>
  <si>
    <t>The attainment criterion ID for Level 3 Maintenance criteria is displayed instead of the word "Maint"</t>
  </si>
  <si>
    <t>For Level 3 maintenance criteria, the phrase "[Only required if Attainment Level 3 was achieved in the previous assessment]" appears above the criterion description instead of below</t>
  </si>
  <si>
    <t>The Print and Download buttons appear at the bottom of the page as well as at the top</t>
  </si>
  <si>
    <t>Section headings are not split from the first paragraph below them</t>
  </si>
  <si>
    <t>Long tables split across multiple pages (currently expanding into the footer)</t>
  </si>
  <si>
    <t>The attainment level tick boxes are not greyed out</t>
  </si>
  <si>
    <t>The attainment criterion tick boxes are not greyed out</t>
  </si>
  <si>
    <t>In IE6, req't 210 (not logged in), the main content panel is displayed below the nav bar instead of to the right of it. Other reqts are OK and 210 in context of assessment is OK too.</t>
  </si>
  <si>
    <t>If I attempt to click on the "Current Level" field, I get a (pop-up) warning saying, "You cannot enter the Current Level yourself. The system calculates it automatically based on the data you enter in the table above."</t>
  </si>
  <si>
    <t>If I attempt to mark an attainment criterion as achieved (and evidence provision is mandatory), the message displayed is the same as the context help text i.e. "You cannot tick this box yourself. The system ticks it automatically once you have obtained all required evidence and either uploaded it or otherwise fully specified its location."</t>
  </si>
  <si>
    <t>The page footer is lower down, providing more space on the page</t>
  </si>
  <si>
    <t>The print button is labelled "Print (PDF)</t>
  </si>
  <si>
    <t>Can you change it so that the filename uses OrganisationType.Code instead of OrganisationType.Description? This also applies to all PDFs, booklets and ZIP files.</t>
  </si>
  <si>
    <t>On the test server, I notice the XML files generated in "Output" are suffixed ".PDF.XML" whereas they should probably just be ".XML". Not a functional fail, obviously, but confusing for support usersf</t>
  </si>
  <si>
    <t>Be able to select from three variants of the requirement PDF</t>
  </si>
  <si>
    <t>Select the "Guidance only" option</t>
  </si>
  <si>
    <t>Select the "Attainment levels/checklist only" option</t>
  </si>
  <si>
    <t>Your XSL files are out of date. I will send you a new set. When you get these, do not reformat them or pretty-print them because it causes FOP to insert whitespace where it's not wanted.</t>
  </si>
  <si>
    <t>The TOC only shows the initiatives for the specified initiative</t>
  </si>
  <si>
    <t>The header indicates which initiative is covered</t>
  </si>
  <si>
    <t>The width of the attainment criterion ID div has narrowed (because its contents have narrowed, since e.g. "1a" is now just "a" and "Main" is now just e.g. "c")
Specifically, style "attainmentCriterionNumber" is 53px wide instead of 56 and "attainmentCriterionDescription" is 586px wide instead of 583px</t>
  </si>
  <si>
    <t>There is a sentence below the Attainment Levels heading indicating that the attainment levels are cumulative</t>
  </si>
  <si>
    <t>If evidence provision is mandatory for the current org type, there is a sentence within each criterion indicating that all of the stated evidence items must be obtained</t>
  </si>
  <si>
    <t>If evidence provision is mandatory for the current org type, the evidence heading reads "The following evidence must &lt;strong&gt;all&lt;/strong&gt; be obtained:" (currently "&lt;strong&gt;Evidence Required:&lt;/strong&gt;)</t>
  </si>
  <si>
    <t>If evidence provision is optional for the current org type, the evidence heading reads "The following evidence should &lt;strong&gt;all&lt;/strong&gt; be obtained (recommended but not mandatory):" (currently "&lt;strong&gt;Evidence Required:&lt;/strong&gt;)</t>
  </si>
  <si>
    <t>The context help next to "Evidence Required:" is no longer needed and can be removed.</t>
  </si>
  <si>
    <t>If evidence provision is optional for the current org type, there is a sentence within each criterion saying "The following evidence should &lt;strong&gt;all&lt;/strong&gt; be obtained (recommended but not mandatory):"</t>
  </si>
  <si>
    <t>The evidence comments column is renamed as "Details"</t>
  </si>
  <si>
    <t>When I mark an evidence item as obtained, and the evidence location is not fully specified, the system displays a red cross in the evidence location field (no change) and also displays a call-out to explain what the red cross means. The call-out includes a "close" option and a "don't show me this again" option</t>
  </si>
  <si>
    <t>When a glossary term is first visible, there is a callout (or other device) drawing my attention to the first glossary term explaining what it does e.g. "&lt;p&gt;To see a definition of this term, hover your mouse pointer over it.&lt;/p&gt;
&lt;p&gt;To view the Glossary in full, click on it.&lt;/p&gt;". The callout has an option to close and an option to "don't show me this again"</t>
  </si>
  <si>
    <t>Week 5</t>
  </si>
  <si>
    <t>The Attainment Levels section is after the Guidance section</t>
  </si>
  <si>
    <t>Resources page - ISO/IEC link - mis-spelling of "access"</t>
  </si>
  <si>
    <t>There is a sentence within each attainment level (1-3) indicating that all criteria must be satisfied</t>
  </si>
  <si>
    <t>The email address validator should allow apostrophes (well, at least fay o'sullivan thinks so). This applies to all screens which accept email address input (I am hoping we use a single validator in all cases)</t>
  </si>
  <si>
    <t>View the "Contact Us" page</t>
  </si>
  <si>
    <t>The wording of the "Contact Us by phone" section has changed (as per prototype)</t>
  </si>
  <si>
    <t>The headings "Contact us Online and Contact us by Phone" have a capital "U" for "Us"</t>
  </si>
  <si>
    <t>The label "Email me a Copy of my Enquiry" has a capital "E" on "Enquiry"</t>
  </si>
  <si>
    <t>The required field markers are a bit bigger (1.2em) and there is an explanation of what they mean at the bottom of the blue box (see prototype)</t>
  </si>
  <si>
    <t>There is an option to specify my Organisation Code (not mandatory, default blank)</t>
  </si>
  <si>
    <t>There is an option to specify my Organisation Name (not mandatory, default blank)</t>
  </si>
  <si>
    <t>If I am logged in, both the above fields are pre-populated</t>
  </si>
  <si>
    <t>Click Submit</t>
  </si>
  <si>
    <t>The email includes the org name and org code specified</t>
  </si>
  <si>
    <t>(IE6) Contact Us page - Organisation Type context help pop-up appears behind the Subject drop-down field</t>
  </si>
  <si>
    <t>The "Register Now" button is labelled "Register" (less emphasis on ability to do it right now)</t>
  </si>
  <si>
    <t>Request to register an account</t>
  </si>
  <si>
    <t>The system displays Register Step 1</t>
  </si>
  <si>
    <t>There is *not* a link through to the ODS Online Enquiries facility</t>
  </si>
  <si>
    <t>The last para says if I don't know the above information the contact us, with a link through to the Contact Us page</t>
  </si>
  <si>
    <t>Enter an unknown org code and click "Next"</t>
  </si>
  <si>
    <t>The system displays Register Step 2</t>
  </si>
  <si>
    <t>The system tells me that it didn't recognise the org code (see prototype "register_2b.html")</t>
  </si>
  <si>
    <t>The system gives me options to go back or contact us (hyperlink to Contact Us page)</t>
  </si>
  <si>
    <t>There is no "Next" button</t>
  </si>
  <si>
    <t>Click "Next"</t>
  </si>
  <si>
    <t>The system tells me that it cannot provide contact details for the local admin for security reasons</t>
  </si>
  <si>
    <t>The system displays Register Step 3 (see prototype "register_3b.html"</t>
  </si>
  <si>
    <t xml:space="preserve">Enter an org code for an org which already has an administrator
</t>
  </si>
  <si>
    <t>Enter org name keywords which won't generate a unique match and click "Next"</t>
  </si>
  <si>
    <t>Leave both fields blank and click "next"</t>
  </si>
  <si>
    <t>The system displays a validation error telling me I must enter one or the other</t>
  </si>
  <si>
    <t>The system tells me that it couldn't find a uniquely matching organisation (see prototype "register_2c.html")</t>
  </si>
  <si>
    <t>You have put version before org code</t>
  </si>
  <si>
    <t>When displying the org type, display the org type name, not the org type short name</t>
  </si>
  <si>
    <t>The system didn't roll back the database changes when it crashed out trying to copy the files</t>
  </si>
  <si>
    <t>The system didn't provide any sort of error message when it crashed out</t>
  </si>
  <si>
    <t>7/5 Still occurs in system test (a.test:acute, reqt 101, criterion 1a)</t>
  </si>
  <si>
    <t>Can you change the button and associated text from "New" to "Add" so that it is a verb (more consistent with the other buttons)</t>
  </si>
  <si>
    <t>The pop-up disappeared after a period. I'm sure there's a reason it does this, but it seems wrong for a pop-up to disappear of its own accord - is there anything we can do about this?</t>
  </si>
  <si>
    <t>I attempted to upload a file &gt; 5MB. I got the failure pop-up as expected but when I clicked "Done" on the Evidence Location pop-up I got a pop-up saying "You haven't uploaded the selected file. Are you sure you want to cancel the operation?" The same thing happens if I try to upload a file with an ".accdb" suffix. This message is wrong in this scenario but also it's probably obsolete because we no longer have a 2-stage upload so there's no way you can select a file without uploading it.</t>
  </si>
  <si>
    <t>7/5 Can the popup get the focus when it opens</t>
  </si>
  <si>
    <t>7/5 Can the label "Edit Evidence" be in black, not gray, so it doesn't look like the pop-up is disabled?</t>
  </si>
  <si>
    <t>Sometimes it says "This file is linked to" and sometimes it says "this file is *also* linked to". What's the difference between the two scenarios? Shouldn't it always say "this file is *also* linked to"</t>
  </si>
  <si>
    <t>It's a blank line instead of "[select]"</t>
  </si>
  <si>
    <t>Guidance section heading is present - needs removing from XSL (Tony to do)</t>
  </si>
  <si>
    <t>Just Attainment Levels (Tony to fix in XSL)</t>
  </si>
  <si>
    <t>Attainment c riterion ID section can be narrower now we don't have Maint</t>
  </si>
  <si>
    <t>The filename should have "_v8" not just "_8" in it</t>
  </si>
  <si>
    <t>The booklet header page includes "Confidentiality and Data Protection Assurance" which it shouldn't. Looking at the source XML file, you have incorrectly inserted an "&lt;initiativeName&gt;" tag at the top level - this should only be inserted for an initiative-specific booklet</t>
  </si>
  <si>
    <t>On the TOC page the first initiative heading is not being displayed. This is an XSL fix by Tony</t>
  </si>
  <si>
    <t>The Attainment Levels section is titled "Attainment Levels (including Checklist)" in order to make it clear that the previously separate checklists documents have been incorporated</t>
  </si>
  <si>
    <t xml:space="preserve">done. </t>
  </si>
  <si>
    <t>Done.  Problem was new areas of code i.e. Registration rewrite and Contact Us didn't use existing email validation</t>
  </si>
  <si>
    <t>Done</t>
  </si>
  <si>
    <t>Submit Assessment (Simplified Interface)</t>
  </si>
  <si>
    <t>S171</t>
  </si>
  <si>
    <t>S172</t>
  </si>
  <si>
    <t>S173</t>
  </si>
  <si>
    <t>S174</t>
  </si>
  <si>
    <t>S175</t>
  </si>
  <si>
    <t>S176</t>
  </si>
  <si>
    <t>S177</t>
  </si>
  <si>
    <t>S178</t>
  </si>
  <si>
    <t>S179</t>
  </si>
  <si>
    <t>S180</t>
  </si>
  <si>
    <t>S181</t>
  </si>
  <si>
    <t>S182</t>
  </si>
  <si>
    <t>S183</t>
  </si>
  <si>
    <t>S184</t>
  </si>
  <si>
    <t>Look and Feel Mark 3</t>
  </si>
  <si>
    <t>Experience a yet further enhanced look and feel</t>
  </si>
  <si>
    <t>The Nav Bar options have (standard) tooltips as per the prototype (index.html and index_logged_in.html)</t>
  </si>
  <si>
    <t>Changing the font size via the browser had no effect on the page
TH 11/05 - the latest cut of the prototype includes relative font sizes - talk to me about how best to incorporate these</t>
  </si>
  <si>
    <t>Superseded by S171</t>
  </si>
  <si>
    <t>All pages have &lt;h1&gt; headings (some currently have no headings)</t>
  </si>
  <si>
    <t>The system displays the following "headline" information:</t>
  </si>
  <si>
    <t>- Assessment Ref</t>
  </si>
  <si>
    <t>- Status</t>
  </si>
  <si>
    <t>- No. of reqts marked complete</t>
  </si>
  <si>
    <t>- No. of reqts confirmed complete</t>
  </si>
  <si>
    <t>The above figures include reqts marked NR or EX</t>
  </si>
  <si>
    <t>- Current score</t>
  </si>
  <si>
    <t>Greyed Out Submit Buttons</t>
  </si>
  <si>
    <t>See greyed out submit buttons on the Assessment Summary page</t>
  </si>
  <si>
    <t>The system validates that I am *not* using the "simplified interface"</t>
  </si>
  <si>
    <t>There is context help for current/target score and current/target grade (keys as per prototype)</t>
  </si>
  <si>
    <t>Proceed as per main flow except:</t>
  </si>
  <si>
    <t>The system displays the following "score" information:</t>
  </si>
  <si>
    <t>- don't display reqts marked complete</t>
  </si>
  <si>
    <t>- don't display reqts confirmed complete</t>
  </si>
  <si>
    <t>- Target score (only if I have set any target scores)</t>
  </si>
  <si>
    <t>There is an option to view the assessment status history (no change)</t>
  </si>
  <si>
    <t xml:space="preserve">I am using the simplified interface
</t>
  </si>
  <si>
    <t>This story extends/alters S073</t>
  </si>
  <si>
    <t>- No. of reqts "not answered" (aka not started)</t>
  </si>
  <si>
    <t>- No. of reqts "answered" (aka in progress"</t>
  </si>
  <si>
    <t>There is a (yellow) "Contact Us" button after the Next button which also goes to the Contact Us page</t>
  </si>
  <si>
    <t>The "Next" button is yellow</t>
  </si>
  <si>
    <t>Home Page Mark 2</t>
  </si>
  <si>
    <t>Contact Us Page Mark 2</t>
  </si>
  <si>
    <t>Registration Mark 2</t>
  </si>
  <si>
    <t>Assessment Summary Mark 2</t>
  </si>
  <si>
    <t>Auto Create Assessment</t>
  </si>
  <si>
    <t>Have the user auto create a new assessment for me instead of having to create it myself</t>
  </si>
  <si>
    <t>All alert boxes are yellow instead of pink</t>
  </si>
  <si>
    <t>The log in button is yellow</t>
  </si>
  <si>
    <t>The register button is yellow</t>
  </si>
  <si>
    <t>6c</t>
  </si>
  <si>
    <t>- user name</t>
  </si>
  <si>
    <t>- organisation name</t>
  </si>
  <si>
    <t>- user email address</t>
  </si>
  <si>
    <t>- user phone number</t>
  </si>
  <si>
    <t>Below the table there is an option to update my user details (links through to the "update user details" page</t>
  </si>
  <si>
    <t>The "At a Glance" section includes a "User Details" table containing the followiong data:</t>
  </si>
  <si>
    <t>The "At a Glance" section includes a "Current Assessment" table containing the followiong data:</t>
  </si>
  <si>
    <t>- Version</t>
  </si>
  <si>
    <t>- Next deadline</t>
  </si>
  <si>
    <t>Below the table there is a (yellow) button labelled "Go To The Assessments Page" which links through to the assessment summary page</t>
  </si>
  <si>
    <t>The user details panel (in the nav bar) does not include my email address and phone number</t>
  </si>
  <si>
    <t>The user details panel (in the nav bar) does not  include an option to update my user details</t>
  </si>
  <si>
    <t>If present, the "Baseline" button is labelled "Submit Baseline"</t>
  </si>
  <si>
    <t>If present, the "Performance Update" button is labelled "Submit Performance Update"</t>
  </si>
  <si>
    <t>As per main flow except:</t>
  </si>
  <si>
    <t>Keep table header with at least the first table row</t>
  </si>
  <si>
    <t>Request to view the assessment summary page</t>
  </si>
  <si>
    <t>The system unsubmits my assessment as per current</t>
  </si>
  <si>
    <t>Complete my assessment such that I have an "answer" for all requierements</t>
  </si>
  <si>
    <t>The system automatically creates an assessment for me. Note that this already happens for the simplified interface, so this is only a change for non-simplified interface</t>
  </si>
  <si>
    <t>As per main flow (where applicable outside of an assessment) except:</t>
  </si>
  <si>
    <t>Request to view a printable version of the page</t>
  </si>
  <si>
    <t>The system displays the printable version (no change)</t>
  </si>
  <si>
    <t>The page title is as per the non-printable version of the page</t>
  </si>
  <si>
    <t>If I am in a position to perform a final submission, and I am using the simplified interface, there is *not* an option to submit the assessment from this page (rather, I need to return to the Assessment Summary page)</t>
  </si>
  <si>
    <t>The Cancel button is always available, not just once changes have been made to the response</t>
  </si>
  <si>
    <t>If this is not the latest version of my assessment, the system tells me (no functional change but see prototype for new wording)</t>
  </si>
  <si>
    <t>If there are any yellow buttons in the page, the first yellow button is the default button.</t>
  </si>
  <si>
    <t>Hyperlinks within the breadcrumb are underlined by default and the underline disappears on hover</t>
  </si>
  <si>
    <t>The SLA text is as per the prototype</t>
  </si>
  <si>
    <t>The logos in the header bar have sharper definition (see prototype)</t>
  </si>
  <si>
    <t>The title in the header bar matches the font for the rest of the site</t>
  </si>
  <si>
    <t>The context help icon for "Organisation Code" is just one space away from the field (currently there is a gap which is taken up by a hidden mandaotry field marker but there is another defect elsewhere to get rid of this)</t>
  </si>
  <si>
    <t>When a modal pop-up is displayed, the main page fades to dark, not to white</t>
  </si>
  <si>
    <t>On all modal pop-ups, the background colour for the button bar is the same as for the rest of the pop-up</t>
  </si>
  <si>
    <t>The "New Users..." section is at the top, above the "At a Glance..." section</t>
  </si>
  <si>
    <t>The expander icon is used for the evidence location and evidence details pop-ups (instead of the "down arrow" icon)</t>
  </si>
  <si>
    <t>The system lists all the references to this evidence type in the format "R&lt;req no&gt;/&lt;criteria ID or "maint"&gt;:&lt;evidenve type desc&gt;"</t>
  </si>
  <si>
    <t>View Duplicate Evidence</t>
  </si>
  <si>
    <t>View duplicate evidence files that I have previously specified in my requirement response</t>
  </si>
  <si>
    <t>There is an option to view the referenced evidence</t>
  </si>
  <si>
    <t>The referenced file is not viewable</t>
  </si>
  <si>
    <t>The system validates that the referenced evidence is viewable i.e.
- it is of type "uploaded" and has been uploaded, or
- it is of type "internet" or "intranet" and the URL has been specified, or
- it is of type "local file" and the filename has been specified</t>
  </si>
  <si>
    <t>System displays error message saying "Organisation Code not entered" (wording change only)</t>
  </si>
  <si>
    <t>System displays error message(s) saying "User ID not entered" and/or "Password not entered" (wording change only)</t>
  </si>
  <si>
    <t>Context help HTML formatting - see Register Step 1/Organisation Code - there needs to be less space between paragraphs and the text for bullet points needs to remain indented on the second line</t>
  </si>
  <si>
    <t>The system sends me an approval email (no change)</t>
  </si>
  <si>
    <t>View Improved Assessment Report</t>
  </si>
  <si>
    <t>View an organisation's Assessment Report with various enhancements</t>
  </si>
  <si>
    <t>Request to view reports</t>
  </si>
  <si>
    <t>The supplementary text is as per the prototype</t>
  </si>
  <si>
    <t>Search for and select an organisation</t>
  </si>
  <si>
    <t>Request report</t>
  </si>
  <si>
    <t>There is *not* an option to order the results (initiatives are to be displayed in a fixed order - 100s, 200s etc.)</t>
  </si>
  <si>
    <t>The system displays the Assessment Report Org Chooser page</t>
  </si>
  <si>
    <t>The system displays the organisation name</t>
  </si>
  <si>
    <t>If I selected a drill down on a given initiative, the system only displays the results for that initiative (no change)</t>
  </si>
  <si>
    <t>Request to drill down on one of the scores</t>
  </si>
  <si>
    <t>When I navigate from one req't to another, the attainment levels should always start out collapsed (unlike the top-level sections, which should be the same as the previous page).</t>
  </si>
  <si>
    <t>Not logged in, navigate the req 210, observe 2x material changes. Then click Next then Previous and it says "no material changes"</t>
  </si>
  <si>
    <t>Formatting should be  "&lt;strong&gt;Version 7&lt;/strong&gt; (Status: &lt;strong&gt;Started&lt;/strong&gt;)"</t>
  </si>
  <si>
    <t>Didn't bother testing this since unlikely to occur</t>
  </si>
  <si>
    <t>One defect remaining (recorded against S079) but is cosmetic</t>
  </si>
  <si>
    <t>v8.0 (i5)</t>
  </si>
  <si>
    <t>The system performs validations as per Main Flow steps 3, 4 and 5</t>
  </si>
  <si>
    <t>There is an option to view another organisation's Assessment Report</t>
  </si>
  <si>
    <t>The format of the assessment in the list is:  “Version &lt;version number&gt; (&lt;start year&gt;-&lt;end year&gt;)"</t>
  </si>
  <si>
    <t>View Improved Assessment Report - Breakdown by Initiative</t>
  </si>
  <si>
    <t>View Improved Assessment Report - Breakdown by Attainment Level</t>
  </si>
  <si>
    <t>View an organisation's Assessment Report broken down by initiative</t>
  </si>
  <si>
    <t>View an organisation's Assessment Report broken down by attainment level</t>
  </si>
  <si>
    <t>View an organisation's Assessment Report including baseline, performance update and target scores</t>
  </si>
  <si>
    <t>There is *not* an option to select the report breakdown (this is specified in a separate story - S143)</t>
  </si>
  <si>
    <t>There is an option to select an assessment to report on, including all *approved* assessments in reverse date order - default latest assessment (no change)</t>
  </si>
  <si>
    <t>The report includes the date it was prepared on</t>
  </si>
  <si>
    <t>The report contains a table with a row of data for the selected assessment</t>
  </si>
  <si>
    <t>For each assessment, the following data is displayed:</t>
  </si>
  <si>
    <t>- Overall Score (expressed as a percentage)</t>
  </si>
  <si>
    <t>- Grade, as follows:</t>
  </si>
  <si>
    <t xml:space="preserve">  - For a v7- assessment, this is the RAG status calculated from the Overall Score (no change)
</t>
  </si>
  <si>
    <t>For a v7- assessment, the background colour of the Grade matches the RAG status (no change, but currently not working in sys test)</t>
  </si>
  <si>
    <t xml:space="preserve">  - For a v8+ assessment, this is "Satisfactory" or "Not Satisfactory", as per Assessment Summary page</t>
  </si>
  <si>
    <t>For a v8+ assessment, the Grade is colour coded - green for Satisfactory or Red for Not Satisfactory</t>
  </si>
  <si>
    <t>If my email address is too long (e.g. marie.greenfield@dh.dsi.gov.uk) then in IE7 it extends past the RHS of the "user info" box. In IE6 it causes the user info box to widen and forces the main panel down below the nav bar</t>
  </si>
  <si>
    <t>done, I think.  Found some issues with glossary terms which I think may have ben causing the issue hard to be 100% sure as problem only occurred sporadically.</t>
  </si>
  <si>
    <t>done, also handles bottom of the [page as well a right hand side</t>
  </si>
  <si>
    <t>View Improved Assessment Report (Own Org)</t>
  </si>
  <si>
    <t>There is an option to view my own organisation's Assessment Report</t>
  </si>
  <si>
    <t>Request to view an Assessment Report on my own organisation</t>
  </si>
  <si>
    <t>The system displays the Assessment Report Criteria page</t>
  </si>
  <si>
    <t>Request to view my Assessment Summary</t>
  </si>
  <si>
    <t>For each assessment (in progress or approved) there is an option to view a summary report</t>
  </si>
  <si>
    <t>Request to view a summary report for a given assessment</t>
  </si>
  <si>
    <t>Proceed as per S142 except that the default assessment is the selected assessment from the Assessment Summary page</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</si>
  <si>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</si>
  <si>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</si>
  <si>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</si>
  <si>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</si>
  <si>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</si>
  <si>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</si>
  <si>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</si>
  <si>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</si>
  <si>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</si>
  <si>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</si>
  <si>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</si>
  <si>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</si>
  <si>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</si>
  <si>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</si>
  <si>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</si>
  <si>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</si>
  <si>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</si>
  <si>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</si>
  <si>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</si>
  <si>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</si>
  <si>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</si>
  <si>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</si>
  <si>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</si>
  <si>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This story extends S142 - branch from S142 after step 15</t>
  </si>
  <si>
    <t>There is an option to show a breakdown by attainment level</t>
  </si>
  <si>
    <t>Select report criteria, including option to show breakdown by attainment criteria</t>
  </si>
  <si>
    <t>- no. of reqts at level 0, 1, 2 and 3 (four separate columns)</t>
  </si>
  <si>
    <t>- no of reqts not yet answered (column only shown if there are any non-zero values in it)</t>
  </si>
  <si>
    <t>- no. of reqts marked Not Relevant (column only shown if any non-zero values in it)</t>
  </si>
  <si>
    <t>- no. of reqts marked Exempt (column only shown if any non-zero values in it)</t>
  </si>
  <si>
    <t>- total no. of reqts</t>
  </si>
  <si>
    <t>There is an option to show Baseline and Performance Update scores</t>
  </si>
  <si>
    <t>There is an option to show target scores</t>
  </si>
  <si>
    <t>There is an option to show the date for each reporting stage</t>
  </si>
  <si>
    <t>If I selected to show target scores, the report includes an extra row for each assessment showing target scores (but only if there is one or more target score for the assessment)</t>
  </si>
  <si>
    <t>- the list of available assessments includes any non-approved assessment as well as all approved ones</t>
  </si>
  <si>
    <t>Proceed as per S142 except:</t>
  </si>
  <si>
    <t>The report includes the following additional data (see prototype example 3):</t>
  </si>
  <si>
    <t>The report includes the following additional columns (see prototype example 3):</t>
  </si>
  <si>
    <t>- If I selected to show Baseline and Performance Update scores, the report includes an extra row of data for each Baseline or Performance Update that has been "captured" for the displayed assessments (this can be derived based on the assessment status and whether the assessment is subject to 3-stage reporting)</t>
  </si>
  <si>
    <t>- The data shown for the Baseline and PU stages is the data as it was at the date and time when the Baseline or PU was performed (not as of the official Baseline or PU date, which might be different)</t>
  </si>
  <si>
    <t>There is an option to show a breakdown by initiative</t>
  </si>
  <si>
    <t>Select report criteria, including the option to show a breakdown by initiative</t>
  </si>
  <si>
    <t>The report includes the following additional data (see prototype example 4):</t>
  </si>
  <si>
    <t>- the whole table of data in the report is repeated once per initiative</t>
  </si>
  <si>
    <t>- the set of initiatives used is the superset of all initiatives across all assessments included in the report</t>
  </si>
  <si>
    <t>- the initiative name is shown as the overall header for the table</t>
  </si>
  <si>
    <t>- the overall totals (i.e. Across all initiatives) are shown last, with a heading of "Overall"</t>
  </si>
  <si>
    <t>- the initiatives are displayed in the following order:
- Information Governance Management
- Confidentiality and Data Protection Assurance
- Information Security Assurance
- Clinical Information Assurance
- Secondary Use Assurance
- Corporate Information Assurance</t>
  </si>
  <si>
    <t>The various column headings have comments as per the prototype</t>
  </si>
  <si>
    <t>This story follows on from S106</t>
  </si>
  <si>
    <t>Link to Existing Uploaded Evidence</t>
  </si>
  <si>
    <t>Specify an existing uploaded evidence file against another evidence item</t>
  </si>
  <si>
    <t>The sheet has the org type shown in the title (as per prototype)</t>
  </si>
  <si>
    <t>Publish or re-publish the XL spreadsheet download for the requirements (report sheet)</t>
  </si>
  <si>
    <t>The list is in alphabetical order</t>
  </si>
  <si>
    <t>Select a file from the list</t>
  </si>
  <si>
    <t>The system displays the audit trail data for the selected file (date and time uploaded, user name and user ID)</t>
  </si>
  <si>
    <t>Request to view the file</t>
  </si>
  <si>
    <t>The system displays the file in a new window</t>
  </si>
  <si>
    <t>The system enables an option to view the selected file</t>
  </si>
  <si>
    <t>Select a new local file and request to upload it</t>
  </si>
  <si>
    <t>Indicate whether I want to replace or add</t>
  </si>
  <si>
    <t>The system replaces or adds the file accordingly (details as per S030)</t>
  </si>
  <si>
    <t>The default value is unselected ("[Select]")</t>
  </si>
  <si>
    <t>Instead of selecting a file from the list, select a new local file and request to upload it</t>
  </si>
  <si>
    <t>The system uploads the file as per S030</t>
  </si>
  <si>
    <t>The system adds the new file to the list of uploaded files and shows it as the selected file</t>
  </si>
  <si>
    <t>Rejoin main flow at step 9</t>
  </si>
  <si>
    <t>There is an option to view another organisation's Assessment Report (no change)</t>
  </si>
  <si>
    <t>View the correct "guidance" document from the Performance Progress Report for a v8+ assessment</t>
  </si>
  <si>
    <t>The system displays the Individual PPR page</t>
  </si>
  <si>
    <t>Request to view an (individual) PPR for a specific organisation and v8+ assessment (either directly from reports or via a multiple org PPR)</t>
  </si>
  <si>
    <t>Request to view an (individual) PPR for a specific organisation and v7+ assessment (either directly from reports or via a multiple org PPR)</t>
  </si>
  <si>
    <t>The organisation does not have an in-progress assessment</t>
  </si>
  <si>
    <t>The system displays a message to say I can't send an ad-hoc reminder at the moment (see prototype for wording)</t>
  </si>
  <si>
    <t>THMA</t>
  </si>
  <si>
    <t>Look &amp; Feel - Forgotten User Details</t>
  </si>
  <si>
    <t>Get help with forgotten user details (org code, user ID, password)</t>
  </si>
  <si>
    <t>actual dev time includes time for work done for S141</t>
  </si>
  <si>
    <t>actual dev time included in time for work done for S135</t>
  </si>
  <si>
    <t>View Improved Assessment Report - Stages and Targets</t>
  </si>
  <si>
    <t>If I selected to show the date for each reporting stage, the report includes a column showing this data for Baseline, Performance Update and Current/Final data sets (note this is the official stage date, not the date that the organisation actually completed the stage)</t>
  </si>
  <si>
    <t>The system displays the Individual PPR page (no change)</t>
  </si>
  <si>
    <t>Publish or re-publish the XL spreadsheet download for the requirements (simple version to prove technology)</t>
  </si>
  <si>
    <t>Publish or re-publish the XL spreadsheet download for the requirements (requirements list sheet)</t>
  </si>
  <si>
    <t>This story extends S151 by also generating the details in the "List" sheet.</t>
  </si>
  <si>
    <t>This story extends S151 by also generating the "Details" sheet.</t>
  </si>
  <si>
    <t>The past, current and target level fields on the "List" sheet are are read-only and automatically copied from the corresponding fields on the Details sheet</t>
  </si>
  <si>
    <t xml:space="preserve">View Improvement Actions
</t>
  </si>
  <si>
    <t>- Allow in-progress assessments as per Main Flow above</t>
  </si>
  <si>
    <t>View an organisation's Assessment Report broken down by key requirement status</t>
  </si>
  <si>
    <t>The report includes the following additional columns (see prototype example 5):</t>
  </si>
  <si>
    <t>View a (v8+) requirement with a table within the guidance text</t>
  </si>
  <si>
    <t>View a (v8+) requirement with a main heading within the guidance text</t>
  </si>
  <si>
    <t>The table is displayed and the formatting is as per the RATty preview</t>
  </si>
  <si>
    <t>The main heading is displayed and the formatting is as per the RATty preview</t>
  </si>
  <si>
    <t>Incorporate Exemptions into Report Scores</t>
  </si>
  <si>
    <t>Have the system take exemptions into account when calculating overall % scores</t>
  </si>
  <si>
    <t>Request to view a Performance Progress Report (Multiple)</t>
  </si>
  <si>
    <t>Request to view a Performance Progress Report (Individual)</t>
  </si>
  <si>
    <t>Request to export to CSV</t>
  </si>
  <si>
    <t>Sumbit Assessment (Simplified Interface)</t>
  </si>
  <si>
    <t>Org User</t>
  </si>
  <si>
    <t>Submit my (v8+) assessment once I have entered a score for each requirement</t>
  </si>
  <si>
    <t>There is not an option to submit my assessment</t>
  </si>
  <si>
    <t>There *is* an option to submit my assessment</t>
  </si>
  <si>
    <t>Request to submit my assessment</t>
  </si>
  <si>
    <t>It says "Today" but not the time!</t>
  </si>
  <si>
    <t>Could you also remove the text "and read the appropriate "Getting Started" material" - this is now obsolete</t>
  </si>
  <si>
    <t>As a CTP, when I have answered all req'ts I am still getting the Submit panel on the Req List page. This needs to go.</t>
  </si>
  <si>
    <t>RJM: NOT FOUND: Req 210 does not exist in test data so unable to test or verify it.
TH 14/06: req 210 was in UAT but no longer there so cannot recreate</t>
  </si>
  <si>
    <t>Click the Terms and Conditions link in the footer bar on any page</t>
  </si>
  <si>
    <t>The system displays the Terms and Conditions page with text as per prototype</t>
  </si>
  <si>
    <t>Click the Accessibility link in the footer bar on any page</t>
  </si>
  <si>
    <t>The system displays the Accessibility page with text as per prototype</t>
  </si>
  <si>
    <t>There is an option to view the Accessibility page (wording and ordering as per prototype)</t>
  </si>
  <si>
    <t>System displays updated Terms and Conditions as per prototype</t>
  </si>
  <si>
    <t>Des 11/06: Fixed</t>
  </si>
  <si>
    <t>nili: re-formatted text</t>
  </si>
  <si>
    <t>Des 15/06: Fixed</t>
  </si>
  <si>
    <t>Logged into UAT as nhscfh user (elpe) and I go to the admin area and search for org RXL. I click to view users and then on edit next to the first user pabu. I get an error:
Conversion failed when converting the varchar value 'tohe1' to data type int
Interestingly this does not occur in sys test environment.</t>
  </si>
  <si>
    <t>I have a login a.test:gp and set:
1st req to current level 3 and target level 3
2nd req to current level NR and target level NR
3rd req to current level EX and target level EX
I choose to display an 'improvement plan (uncluding completed items)' and only the 1st req shows (should show all of them. Same happens with the 'Completed items only' plan.</t>
  </si>
  <si>
    <t>Downloads - download ZIP and try to open PDFs - PDFs won't open (OK in WinRAR but not Windows Explorer)</t>
  </si>
  <si>
    <t>nili: Org. Admin users also have access to Inf Mapping. If user only has Org User/Reviewer permisions the navbar option does not appear.</t>
  </si>
  <si>
    <t>Header bar includes a "Skip to Content" link which takes the user to an anchor/div at the top of the main panel. This is for accessibility purposes</t>
  </si>
  <si>
    <t>CMC:The link is just a standard a href tag with target of blank.  Therefore size is not being explicity set and will just take the default browser behaviour
TH 22/05: can you change it so that it *does* open the window at a specific size then please? CMC: Made to be maxiumum size think we can get away with whilst still supporting 800x600 resolution</t>
  </si>
  <si>
    <t>Fixed by CC (15/3)
TH 22/3: Failed retest.CMC: Contact Us no longer directly avaialbel from main navigation menu so think this can be withdrawn, have marked as Fixed for now
TH 20/5 - Contact Us available as a link from the header links on every page CMC: Also same issue fixed for Accessibility and About header links</t>
  </si>
  <si>
    <t xml:space="preserve">CMC:Looks ok on my monitor at 800x600 on both IE7 and IE6.  Can you re-test please to see if this is still an issue. RJM has fixed this
TH 14/06 Just tried it in IE7 and </t>
  </si>
  <si>
    <t>All data input fields with a label should have the label marked up with the &lt;label&gt; tag, and the &lt;label&gt; tag should have a 'for="**"' element referring to the ID of the labelled element</t>
  </si>
  <si>
    <t>All field sets use &lt;table class="dataLayout"&gt; for layout. Two reasons: (1) the label widths adjust automatically, (2) the formatting is more consistent when I change the browser text size
See index.html for example</t>
  </si>
  <si>
    <t>CMC:Was fixed as part of new approach taken to get over other issues with the Excel report opening</t>
  </si>
  <si>
    <t>Des 15/06: Need to check if the file physically exists.
TH 16/6 CMC says this is now sorted out - it was an env't problem</t>
  </si>
  <si>
    <t>TH 16/6 CMC says he fixed this yesterday</t>
  </si>
  <si>
    <t>Failed</t>
  </si>
  <si>
    <t>Des 15/06 - FIXED
Des 16/06: Refer to Christ email dt.16.06.10 18:19</t>
  </si>
  <si>
    <t>Des 16/06: Fixed</t>
  </si>
  <si>
    <t>Des 08/06: Not going to be impletemented now as we need to finalise various scenarios of the user input content.
TH 9/6 chatted with CC and he proposes storing the HTML in the DB (ask him for details)
Des 15/06: FIXED
TH 16/6: if the text in the config DB table is blank, don't display the yellow box at all
Des 16/06: Fixed</t>
  </si>
  <si>
    <t>RJM
TH 16/6 Retested - there is no scroll bar now so I can't scroll the pop-up (IE7). RJM tested in all browsers, cant find a problem with scroll bar. Appears when more data is present than page length permits. Problem was in Resources/glossary terms link not in the general glossary pop-up.</t>
  </si>
  <si>
    <t>CMC:This was a problem with the test data set up in that you had 2 different versions (Acute Test V7 and V99) which had the same start/end dates.  This would never happen in real life and so have changed the test data to make it reflect how it would be in real life (V7 being set to have data reange of a year before V99) and all works ok.
TH 16/6 didn't retest since only test data</t>
  </si>
  <si>
    <t>There is a pencil icon agains the comments column - I can't edit the comments but the icon shouldn't be there. Likewise action owner and there is also a calendar icon for the action date
TH 16/6 as discussed, change back to a pencil icon but hide the pencil if the comments field is shorter than 30 chars</t>
  </si>
  <si>
    <t>Same scenario as above, for the 1st req that shows, in the 'improvement plan (uncluding completed items)' plan it shows the yellow evidence secion but in the 'Completed items only' plan it doesn't show this evidence section. Both tickboxes to show this detail are ticked for both plans.
UPDATE 17/06
The 'improvement plan (uncluding completed items)' plan shows evidence &amp; actions but the 'Completed items only' plan only shows evidence, not actions. Odd</t>
  </si>
  <si>
    <t>The "Work On This Assessment" button is yellow unless another button is yellow (see below), otherwise it is gray</t>
  </si>
  <si>
    <t>If I am in a position to perform a baseline or PU (and I have the relevant permissions), and the current date is within 7 calendar days of the baseline or PU deadline (or after) then the relevant submission button (baseline, PU) is yellow</t>
  </si>
  <si>
    <t>If I am in a position to perform a confirm or final submission then the relevant submission button (confirm, submit) is yellow</t>
  </si>
  <si>
    <t>There is an option to view the quick start guide</t>
  </si>
  <si>
    <t>Request to view the quick start guide</t>
  </si>
  <si>
    <t>The page content is as per the prototype (including images)</t>
  </si>
  <si>
    <t>Request to view my assessment</t>
  </si>
  <si>
    <t>The system validates that I am in a position to delete the current assessment (no change)</t>
  </si>
  <si>
    <t>Request to delete the assessment</t>
  </si>
  <si>
    <t>The system deletes the assessment (no change)</t>
  </si>
  <si>
    <t>The system provides an option to "Reset" the assessment (previously "Delete"</t>
  </si>
  <si>
    <t>The system automatically creates a new assessment of the same version (as per auto-create above)</t>
  </si>
  <si>
    <t>The blue colour below the nav bar and around the bottom of the page is a little lighter</t>
  </si>
  <si>
    <t>CMC:Was actually bit longer from when gave estimate as encompassed the new "Reset" functionality on assessment details page.  Have also changed the description for auto-created assessments to match the new Version 8 (2010-2011) format</t>
  </si>
  <si>
    <t>New Org Type: Eyecare</t>
  </si>
  <si>
    <t>Be able to view requirements and complete assessments for eyecare organisations</t>
  </si>
  <si>
    <t>Import relationships between pharmacies and pharnacy HQs from TDB</t>
  </si>
  <si>
    <t>All context help icons are top-aligned</t>
  </si>
  <si>
    <t>The context help icons (normal and alternate) are as per the prototype</t>
  </si>
  <si>
    <t>All errors and warnings use the "info" icon as per the prototype with the text to the right of it (&lt;div class="infoMessage"&gt; includes the image automatically as a background - see prototype "assessments.html" for an example of use)</t>
  </si>
  <si>
    <t>The "expand all/collapse all" icons are top-aligned</t>
  </si>
  <si>
    <t>The "missing information" icon in the Location column, and in various places on the Evidence Location pop-up, is as per the prototype.</t>
  </si>
  <si>
    <t>Transparent PNGs don't work in IE6 - keep them as PNGs but use a workaround (see google for details!)</t>
  </si>
  <si>
    <t>Odds and Ends 3</t>
  </si>
  <si>
    <t>Request to view my assessment summary</t>
  </si>
  <si>
    <t>The system displays the "Submit" button but it is disabled</t>
  </si>
  <si>
    <t>The system validates that I have an in-progress assessment that hasn't yet been submitted</t>
  </si>
  <si>
    <t>The system displays the "Submit Baseline" button but it is disabled</t>
  </si>
  <si>
    <t>The system displays the "Confirm" button but it is disabled</t>
  </si>
  <si>
    <t>The system validates that I have the necessary permissions to perform a baseline</t>
  </si>
  <si>
    <t>The system validates that I have the necessary permissions to perform a confirm</t>
  </si>
  <si>
    <t>The system validates that I have the necessary permissions to submit</t>
  </si>
  <si>
    <t>Check booklet footer to make sure version number and org type appearing</t>
  </si>
  <si>
    <t>Numbered paragraphs - first line correctly aligned</t>
  </si>
  <si>
    <t>Special characters (e.g. Left and right hand quotes) are correctly displayed in all fields</t>
  </si>
  <si>
    <t>Individual table cells within attainment levels are not split across a page</t>
  </si>
  <si>
    <t>Maintain Users (Simplified Interface)</t>
  </si>
  <si>
    <t>Create, amend and delete users within my organisation user (using the simplified interface)</t>
  </si>
  <si>
    <t>The system displays the quick start guide page (in a new window)</t>
  </si>
  <si>
    <t>There is an option to print the page (selecting this triggers the print dialog)</t>
  </si>
  <si>
    <t>There is an option "Back To Assessments page" (button) - links back to the Assessments page</t>
  </si>
  <si>
    <t>v8.0 (i6)</t>
  </si>
  <si>
    <t>There is a (gray) "Contact Us" button after the Next button which also goes to the Contact Us page</t>
  </si>
  <si>
    <t>TH 23/3: failed retest
TH 19/04: failed retest
Superseded by new story</t>
  </si>
  <si>
    <t>What's new items - formatting not as per prototype</t>
  </si>
  <si>
    <t>See "help" callouts on the requirement details page</t>
  </si>
  <si>
    <t>When I first view the page, there is a callout (or other device) drawing my attention to the first expander explaining what it does e.g. "To see the details for each section, click on the expander icon:". The callout has an option to close and an option to "don't show me this again"</t>
  </si>
  <si>
    <t>The tables within the KB section do not have rounded corners (see prototype)</t>
  </si>
  <si>
    <t>The various tick boxes are read-only but not greyed out</t>
  </si>
  <si>
    <t>If I click any of the tick boxes I do not get a warning message about not being able to tick the box</t>
  </si>
  <si>
    <t>If I click in the Current Level box I do not get a warning about not being able to enter the current level</t>
  </si>
  <si>
    <t>Not found</t>
  </si>
  <si>
    <t>Popup timeout is 30s. Can be set to infinity or other time very simply.</t>
  </si>
  <si>
    <t>"Add Improvement Action" link - change to "Add an action"</t>
  </si>
  <si>
    <t xml:space="preserve">Not really a defect since I didn't ask for it, but could you display a modal pop-up once the upload has succeeded saying "File upload complete" or similar? That way the user gets a very positive message that their file has been uploaded.
</t>
  </si>
  <si>
    <t>Only remembers it if it has been saved but that's good enough</t>
  </si>
  <si>
    <t>Not found
TH 18/5 tester error</t>
  </si>
  <si>
    <t>(defect) Section expanders aren't working!</t>
  </si>
  <si>
    <t>Can you make it so that when I mark complete, the caonfirmed checkbox immediately becomes enabled rather than me having to save it first? This is not actually a valid real-life scenario because it's supposed to be a different user doing the "confirm" but I know that some orgs have a single person doing both and also it will speed up testing quite a bit.</t>
  </si>
  <si>
    <t>Complete and confirmed flags not displayed</t>
  </si>
  <si>
    <t>Attainment level checkboxes not displayed - should be displayed "greyed out" (although Current Level is displayed correctly)</t>
  </si>
  <si>
    <t>Glossary terms within attainment levels have dashed underlines (currently they are green but with no underline)</t>
  </si>
  <si>
    <t>Need test data (org type with not simplified interface and not 3 stage reporting)</t>
  </si>
  <si>
    <t>Admin page - typo on "User Admin" line</t>
  </si>
  <si>
    <t>Resources page - make Downloads the topmost link (only if avialable to user)</t>
  </si>
  <si>
    <t>PPR report (individual) - needs gaps between the 3 tables (currently merged together)</t>
  </si>
  <si>
    <t>More than estimate owing to fact that the tooltip wordings were status specific</t>
  </si>
  <si>
    <t>More than estimate as existing screen wasn’t fully working therefore extra effort  was required to re-work/fix existing functionality.  Hence spilled over into Increment 5 period by a day or so</t>
  </si>
  <si>
    <t>RM 18/5: Have changed this but not as discussed as the technical issues involved are complex. Have changed the wording. The 'also' is removed when the only link is itself. Ie it isn't 'also' linked to itself.
TH 18/5 as discussed, change this to (a) not display the current criterion as linked and (b) always say "also"</t>
  </si>
  <si>
    <t>Dont like it but fixed.
TH 18/5 Less obtrusive alternative: make the upload "hourglass" more obvious and say "uploading". RM19/5 implemented loading display</t>
  </si>
  <si>
    <t>Not found
TH 18/5 still occurring (and demonstrated to RJM). RM 19/5 Fixed</t>
  </si>
  <si>
    <t>TH 15/3 failed retest
TH 22/3: failed retest
Des 18/5: Fixed</t>
  </si>
  <si>
    <t>The system displays a list of all my assessments (there will always be at least one assessment)</t>
  </si>
  <si>
    <t xml:space="preserve">The assessments are ordered by creation date (i.e. Primary key), most recent first
</t>
  </si>
  <si>
    <t>For each assessment, the system does the following:</t>
  </si>
  <si>
    <t>The system validates that the assessment is not yet approved</t>
  </si>
  <si>
    <t>If the assessment is not the latest version of my assessment, the system warns me that it is out of date (see prototype for new wording)</t>
  </si>
  <si>
    <t>- Next Deadline (unless already submitted)</t>
  </si>
  <si>
    <t>The system validates that the assessment is not yet "locked down" (confirmed for non-simplified interface or submitted for simplified interface)</t>
  </si>
  <si>
    <t>The system is already approved</t>
  </si>
  <si>
    <t>- don't display Next Deadline</t>
  </si>
  <si>
    <t>- Current grade (in v8 or v7 notation as appropriate)</t>
  </si>
  <si>
    <t>- Target grade (in v8 or v7 notation as appropriate) (only if I have set any target scores)</t>
  </si>
  <si>
    <t>Current and target grade are colour-coded RAGRed, RAGAmber or RAGGreen as appropriate</t>
  </si>
  <si>
    <t>Ther context help for current/target grade relates to v8 or v7 notation as appropriate</t>
  </si>
  <si>
    <t>28a</t>
  </si>
  <si>
    <t>The assessment is "locked down"</t>
  </si>
  <si>
    <t>- the system displays "view details" instead of "Work on This Assessment"</t>
  </si>
  <si>
    <t>- the system displays "view details" instead of "Work on This Assessment" (regardless of assessment status)</t>
  </si>
  <si>
    <t>If the Approve button is present then it is yellow</t>
  </si>
  <si>
    <t>In IE6, when I first specity the evidence location type as "uploaded", the "Loading" div appears for a second and then disappears again. If I change the evidence location type to something else and then back again, it doesn't happen</t>
  </si>
  <si>
    <t>In IE6, if I drag and drop the evidence pop-up, the buttons remain transparent after I have dropped it</t>
  </si>
  <si>
    <t>The Done button should be to the left of the Cancel button</t>
  </si>
  <si>
    <t xml:space="preserve">All buttons are styled as per prototype (unless otherwise stated in a specific story, all buttons are gray, not yellow).
</t>
  </si>
  <si>
    <t>This will be 3rd time swapped. Are you sure?</t>
  </si>
  <si>
    <t>Not a fault. Access to the server will cause a loading panel. This happens on first use of upload facility to get the content for the drop down list. The loading panel is displayed for a minimum 0.9s.</t>
  </si>
  <si>
    <t>The "expand all", "collapse all", "print" and "download" buttons are links (style/wording/position as per prototype). The tooltips are still in place for them. Note that the download button only appears for logged in users.</t>
  </si>
  <si>
    <t>Can you make the tab section a bit taller so that all the User Roles fit in without needing a scroll bar</t>
  </si>
  <si>
    <t>The "required field" marker for Subject has wrapped on to the next line (IE6, IE7). Perhaps make the subject box a little narrower?</t>
  </si>
  <si>
    <t>"Add Attachments" should be "Add attachment" (lower case A and singular)</t>
  </si>
  <si>
    <t>"Create Bulk Email" should be "Create new bulk email"</t>
  </si>
  <si>
    <t>Context help icons should be below the table headings (use &lt;br&gt;)</t>
  </si>
  <si>
    <t>The "New bulk email created" messages should be within a &lt;div class="infoMessage"&gt;</t>
  </si>
  <si>
    <t>Created a new bulk email with no attachments. Tried to edit it and got a system error (see email from TH to Des on 20/05/2010)</t>
  </si>
  <si>
    <t>Assessment report org chooser - change table heading "National Code" to "Organisation Code"</t>
  </si>
  <si>
    <t>Working as a.test:acute 2 on reqt 101 (past level=3)...
When I fully specified the evidence for criterion 3a, 3b and 3c, the system did not tick the 3a, 3b or 3c achieved box. When I went out and back in again, the system ticked the box. Didn't have the same problem for level 1 or level 2, or for 3d (a maintennace criterion)</t>
  </si>
  <si>
    <t>Working as a.test:acute 2 on reqt 101 (past level=3)... When I fully specified the evidence for criteria 3a, 3b, 3c and 3d, the system ticked Level 3 but did not update Current Level to 3 (remained at 2)</t>
  </si>
  <si>
    <t>Working as a.test:acute2, req 102 should have past level 3 and req 103 should have no past level (req 103 doesn't exist in previous assessment). But if I click "Next" from req 102, it shows past level as 3 for req 103 (looks like it is remembering the past level from req 102 instead of blanking it out)</t>
  </si>
  <si>
    <t>Wording doesn't match prototype</t>
  </si>
  <si>
    <t xml:space="preserve">Had to completely re-write the entire wizard to implement the 'primary key'  CSS </t>
  </si>
  <si>
    <t>Des 20/05 - Fixed</t>
  </si>
  <si>
    <t>No page footer. I have updated the glossary XSL to include a page footer (available on request) but note that it will also require a change to the glossary XML file because I have re-factored it a bit</t>
  </si>
  <si>
    <t>HTML formatting needs styling up properly (e.g. See Org Code help on Home Page)</t>
  </si>
  <si>
    <t>TH 20/5 leave as-is</t>
  </si>
  <si>
    <t>Not a fail (in fact it's very nice) but is there any way to make the pop-up position relative (close) to the icon the user clicks?</t>
  </si>
  <si>
    <t>TH 20/5 too difficult to fix</t>
  </si>
  <si>
    <t>TH 20/5 Changed prototype to match site!</t>
  </si>
  <si>
    <t>TH 20/5 not a big deal so withdrawn</t>
  </si>
  <si>
    <t>As discussed, email sender should write some output to a log file stating what time it ran and a summary of the results of the run (number of emails sent, Ids of emails sent, number of recipients for each one)</t>
  </si>
  <si>
    <t>Validate that the system was *not* in bulk email test mode (configurable)</t>
  </si>
  <si>
    <t>Still marked as pending</t>
  </si>
  <si>
    <t>Email content needs to be exactly as users would see it</t>
  </si>
  <si>
    <t>Float over isn't working (it used to work so must be broken!)</t>
  </si>
  <si>
    <t>Need to test with real data</t>
  </si>
  <si>
    <t>17a</t>
  </si>
  <si>
    <t>17b</t>
  </si>
  <si>
    <t xml:space="preserve">The system changes the list of KB resources to include only those that match ALL of the following criteria (change from current which matches ANY):
</t>
  </si>
  <si>
    <t>Contact Us page - probably need to remove link to FAQ since we aren't going to have any FAQ (leave this until confirmed)</t>
  </si>
  <si>
    <t>There appears to be a bug in the system that is preventing saving of any details data outside of criterion 1a . I suspect some test data is missing that wouldn't be missing if the assessment had been created by the system.  RM 21/5: Issue created by change criterion from 1a/1b etc to a/b etc</t>
  </si>
  <si>
    <t>The system does not persist the Owner, Date or Complete status for a newly-created action (only for a pre-existing action)</t>
  </si>
  <si>
    <t>S185</t>
  </si>
  <si>
    <t>S187</t>
  </si>
  <si>
    <t>S188</t>
  </si>
  <si>
    <t>S189</t>
  </si>
  <si>
    <t>S190</t>
  </si>
  <si>
    <t>S192</t>
  </si>
  <si>
    <t>S193</t>
  </si>
  <si>
    <t>S195</t>
  </si>
  <si>
    <t>S196</t>
  </si>
  <si>
    <t>S197</t>
  </si>
  <si>
    <t>S198</t>
  </si>
  <si>
    <t>S199</t>
  </si>
  <si>
    <t>S200</t>
  </si>
  <si>
    <t>S201</t>
  </si>
  <si>
    <t>S202</t>
  </si>
  <si>
    <t>S203</t>
  </si>
  <si>
    <t>Add Improvement Action Usability</t>
  </si>
  <si>
    <t>Be able to add improvement actions more easily, with less reliance on pop-ups</t>
  </si>
  <si>
    <t>There is an option to set report options, including:
- Evidence (default checked)
- Actions (default checked)</t>
  </si>
  <si>
    <t>Context help icon missing to RHS of options</t>
  </si>
  <si>
    <t>If there is no current level then display "(not answered)"</t>
  </si>
  <si>
    <t>On reflection, the suffixes (excluding/including maintenance) are confusing so remove them (sorry!)</t>
  </si>
  <si>
    <t>The attainment criteria Ids are beign displayed as just "a", "b", "c" etc. instead of "1a", "1b", "1c". This is because we have changed the way we store the ID in the database - you need to construct the displayed ID from the attainment level and the criteria ID e.g. "1" &amp; "a" -&gt; "1a"</t>
  </si>
  <si>
    <t>Look and feel needs some work - try to match prototype as much as possible e.g.:
- font
- line spacing a bit wider between paragraphs
- left hand margin</t>
  </si>
  <si>
    <t xml:space="preserve">Organisation name not displayed
</t>
  </si>
  <si>
    <t>Not Tested</t>
  </si>
  <si>
    <t>Edge case not tested</t>
  </si>
  <si>
    <t>On the "Reports" page, can you move the Improvement Plan and Evidence Report link to the bottom of the list</t>
  </si>
  <si>
    <t>Not tested since no change fron current</t>
  </si>
  <si>
    <t>Status history pop-up doesn't work</t>
  </si>
  <si>
    <t>Showing a target score of 0%. I have not set any target scores so the system should not show this table row</t>
  </si>
  <si>
    <t>Working as a.test:acute2:
- deleted v99 assessment manually via database (since you can no longer delete via the front end)
- unapproved v7 assessment (manually via DB since "Unapprove" button not available on Ass Summ screen - defect)
- cycled v7 assessment through various statre changes, finally ending up at "approved" again
- Logged out and logged in
- System showing v7 assessment but hasn't created v99 assessment</t>
  </si>
  <si>
    <t>Some context help not showing - need latest version of context help file installing</t>
  </si>
  <si>
    <t>I set target levels of &lt;blank&gt;, 2 and 3.
The &lt;blank&gt; should be treated as 0 to give a target score of (2+3+0)/(3*3) = 55%
However, the &lt;blank&gt; is being ignored to give a target score of (2+3)/(3*2)=87%</t>
  </si>
  <si>
    <t>change "View History" link to "view history" (i.e. No caps)</t>
  </si>
  <si>
    <t>a.test:acute2, req't 101, past level 2, achieved 3a,3b,3c but L3 not shown - had to complete 3d to get L3 even though past level not 3
Likewise, req't 201 - no past level, but still required to achieve 3d to get L3</t>
  </si>
  <si>
    <t>When not logged in, the system displays a blank line followed by bullets</t>
  </si>
  <si>
    <t>The spacing around the bar separators is inconsistent - in some places you have double spaces and in others you have single spaces</t>
  </si>
  <si>
    <t>Text is still "You cannot directly mark an attainment criteria as achieved. Please use the criteria section to enter evidence for the criteria"</t>
  </si>
  <si>
    <t>The sentence "It is not mandatory to enter details for the criteria but it is recommended" below the attainment level needs to be the same as for "evidence provision mandatory" i.e. "The following criteria must all be satisfied:"</t>
  </si>
  <si>
    <t>Button should be gray not yellow</t>
  </si>
  <si>
    <t>Phase 2</t>
  </si>
  <si>
    <t>Phase 2 (priority "Highest" items only)</t>
  </si>
  <si>
    <t>There is an option to view the quick start guide (within the "New Users" panel) - see prototype for "stronger" wording</t>
  </si>
  <si>
    <t>Des 24/05 - Fixed</t>
  </si>
  <si>
    <t>Assessments page - for each (v8+) assessment there is a link through to the Improvement Plan and Evidence report (and when you get there, the relevant assessment is selected by default)</t>
  </si>
  <si>
    <t>Reports page: improvement plan and evidence report to appear after PPR</t>
  </si>
  <si>
    <t>Assessment Summary page - in Google Chrome the button bar sticks out of the bottom of the blue &lt;div&gt;. OK in prototype.</t>
  </si>
  <si>
    <t>I am unable to unapprove the assessment once approved (don't need to fix for beta test phase 2)</t>
  </si>
  <si>
    <t>Publish process - the text "[DRAFT] is prefixed to the Question Text field". This is to support beta test phase 2 and will need to be removed for go-live (so make it configurable if you like)</t>
  </si>
  <si>
    <t>TH 22/3 failed retest
Des 24/05 - Fixed</t>
  </si>
  <si>
    <t>If I type an invalid date and hit enter, the screen fades to white and back again but no pop-up is displayed. If I tab out of the field I do get the popup.</t>
  </si>
  <si>
    <t>If I set the target level as exempt and then click "Next" I get a system error</t>
  </si>
  <si>
    <t>If I set the target level as NR and then click "Next" I get a system error</t>
  </si>
  <si>
    <t>If I have previously opened the report and I open it again, it reuses the same popup window but doesn't bring it to the front. Either bring it to the front or open in a new window</t>
  </si>
  <si>
    <t>If the current level is exempt, it should display "Exempt" instead of blank</t>
  </si>
  <si>
    <t>A.test:acute, req 204, current level 0, target level 3: the system is displaying criteria 1a, 1b, 2c and 3d but not 2b, 2c, 3a, 3b or 3c. It seems that each letter is only displayed once - is it de-duplicating letters and if so this might be fixed by fixing the above defect which will make each criterion ID unique</t>
  </si>
  <si>
    <r>
      <t xml:space="preserve">Definition of "outstanding": an attainment criterion is defined as "outstanding" if:
1) it is </t>
    </r>
    <r>
      <rPr>
        <b/>
        <sz val="11"/>
        <color indexed="8"/>
        <rFont val="Calibri"/>
        <family val="2"/>
      </rPr>
      <t>not</t>
    </r>
    <r>
      <rPr>
        <sz val="11"/>
        <color theme="1"/>
        <rFont val="Calibri"/>
        <family val="2"/>
        <scheme val="minor"/>
      </rPr>
      <t xml:space="preserve"> marked achieved
</t>
    </r>
    <r>
      <rPr>
        <b/>
        <sz val="11"/>
        <color indexed="8"/>
        <rFont val="Calibri"/>
        <family val="2"/>
      </rPr>
      <t xml:space="preserve">AND
</t>
    </r>
    <r>
      <rPr>
        <sz val="11"/>
        <color theme="1"/>
        <rFont val="Calibri"/>
        <family val="2"/>
        <scheme val="minor"/>
      </rPr>
      <t xml:space="preserve">2) it is within the "calculated target level" (see definition above)
</t>
    </r>
  </si>
  <si>
    <t>Both boxes should be ticked by default</t>
  </si>
  <si>
    <t>Data removed from database script. Needs re-instating.</t>
  </si>
  <si>
    <t>Due date is showing time as well as date (only date required)</t>
  </si>
  <si>
    <t>I marked an evidence item as obtained but did not fully specify the evidence location. It should have been included in the report (because it is not "fully specified"). Chat to Richard about the business rules for "fully specified" - there may be some business logic that can be re-used</t>
  </si>
  <si>
    <t>If the evidence location is not specified, display "[not specified]" instead of leaving it blank</t>
  </si>
  <si>
    <t>No hyperlink for uploaded evidence</t>
  </si>
  <si>
    <t>For an uploaded file, display "Uploaded" followed by the filename (see defect below - the filename also needs to be a hyperlink)</t>
  </si>
  <si>
    <t>The bullets are too far indented relative to the new pre-bullet staement. On the prototype I have the bluuets less indented but an alternative would be to indent the pre-bullet statement if you think it looks better that way</t>
  </si>
  <si>
    <t>Request to add an action against a given attainment criterion</t>
  </si>
  <si>
    <t>The system provides the option to add details for the action</t>
  </si>
  <si>
    <t>The method of input is easier to use than current in that it does *not* involve using multiple individual pop-ups for each data field. But at the same time the page is not littered with white input fields on a yellow background (looks too untidy/cluttered).
One option would be to have a single pop-up that takes input for all three fields (Action, Owner, Due Date).
An alternative would be to dynamically insert input fields into the yellow table if the user clicks "edit".</t>
  </si>
  <si>
    <t>It is still possible to enter a date by typing rather than only via the calendar selector</t>
  </si>
  <si>
    <t>It is still possible to mark the action as complete without going via a pop-up</t>
  </si>
  <si>
    <t>Request to edit an existing action</t>
  </si>
  <si>
    <t>The system provides the option to edit details for the action</t>
  </si>
  <si>
    <t>As per "add", the method of input is easier to use than current.</t>
  </si>
  <si>
    <t>Table shouldn't have thick blue border</t>
  </si>
  <si>
    <t>Req numbers should be larger, bold, black</t>
  </si>
  <si>
    <t>Table text should be black</t>
  </si>
  <si>
    <t>Initiative headnings should be black</t>
  </si>
  <si>
    <t>The printable version includes an empty Action column - can you remove it?</t>
  </si>
  <si>
    <t>If the assessment is "ready to advance" i.e. If the "next stage" button on the Assessment Syummary page would be displayed in yellow then the "Back To Assessments Page" button is yellow</t>
  </si>
  <si>
    <t>This button should only be yellow if the assessment is "ready to advance" (check with Chris for rules). If not, all buttons should be gray (which I admit is not perfect)</t>
  </si>
  <si>
    <t>Note the buttons are changed to "View" once each req't is marked complete which is OK</t>
  </si>
  <si>
    <t>Remove nbsp from "Req No" table heading so column can be narrower</t>
  </si>
  <si>
    <t>Remove nbsp from "Attainment Level" table heading so column can be narrower</t>
  </si>
  <si>
    <t>Currently says "Acute Assessment"</t>
  </si>
  <si>
    <t>I deliberately caused the KB publish to fail by removing some of the KB files. The system did fail and tell me why but it also gave me the following error: "Publication failed with: Unable to cast object of type 'System.Int32' to type 'System.String'." which sounds like a coding error to me</t>
  </si>
  <si>
    <t>System says "files have been exported successfully" - should say "imported"</t>
  </si>
  <si>
    <t>glossary.pdf, contextHelp.xml and contextHelp.xsd should probably *not* be published to the folder KnowledgeBaseNew (which is supposed to be for knowledge base docs)</t>
  </si>
  <si>
    <t>Using real KB data...System bombed out with no error message. I think it was part way through processing as it has copied 202 out of 244 KB docs from Source to KnowledgeBaseNew. The first defect is that there should be an error message</t>
  </si>
  <si>
    <t>Once you have got it to display the error message, fix the underlying defect too!</t>
  </si>
  <si>
    <t>I marked the assessment as confirmed but the system didn't display the error message</t>
  </si>
  <si>
    <t>The system validates that the organisation has an "in-progress" assessment (not yet confirmed or submitted as appropriate)</t>
  </si>
  <si>
    <r>
      <t>error message - should be "</t>
    </r>
    <r>
      <rPr>
        <i/>
        <sz val="11"/>
        <color indexed="8"/>
        <rFont val="Calibri"/>
        <family val="2"/>
      </rPr>
      <t>The</t>
    </r>
    <r>
      <rPr>
        <sz val="11"/>
        <color theme="1"/>
        <rFont val="Calibri"/>
        <family val="2"/>
        <scheme val="minor"/>
      </rPr>
      <t xml:space="preserve"> following emails are not valid"</t>
    </r>
  </si>
  <si>
    <t>The system confirms who it has sent an email to and who it has failed to send an email to due to a lack of email address</t>
  </si>
  <si>
    <t>See prototype for wording</t>
  </si>
  <si>
    <t>remove gap between recipient name and comma</t>
  </si>
  <si>
    <t>Increase paragraph spacing</t>
  </si>
  <si>
    <t>Outstanding evidence not displayed (I haven't tried but I'm guessing that outstanding actions are not displayed either)</t>
  </si>
  <si>
    <t>System won't handle whitespace after the comma or semicolon - it says the secont email address is invalid</t>
  </si>
  <si>
    <t>The system should treat newlines in the preamble as starting a new paragraph (i.e. insert &lt;p&gt; tags as appropriate. If there are two newlines together, do not include a blank paragraph (assuming of course that you have set up the formatting to include a bit of whitespace between paras)</t>
  </si>
  <si>
    <t>Label should be "Cc:", not "CC:"</t>
  </si>
  <si>
    <t>Waiting for fixes to S114 before testing</t>
  </si>
  <si>
    <t>Waiting for defect at MF step 3 to be fixed</t>
  </si>
  <si>
    <t>Although gramatically correct, can you remove the "." from "Req." in "Req. No" and "Key Req." column headings please</t>
  </si>
  <si>
    <t>Des 25/05 - Fixed</t>
  </si>
  <si>
    <t>Left over defects not yet fixed</t>
  </si>
  <si>
    <t>TH: RJM says no change required</t>
  </si>
  <si>
    <t>- last log in</t>
  </si>
  <si>
    <t>If I have never logged in before, display "(first log in)" instead of leaving it blank</t>
  </si>
  <si>
    <t>Styling as per prototype please - it is OK to use table tags to present this data because it really *is* a table of data - no need to convert to dvis (table class="assessmentSummaryData")</t>
  </si>
  <si>
    <t>This link is a "shortcut" to Admin/My Details, so (a) the Nav Bar should be highlighted on "Admin" and (b) the breadcrumb should show "Admin -&gt; My Details"</t>
  </si>
  <si>
    <t>"Assessments" should be plural</t>
  </si>
  <si>
    <t>Nav bar should highlight "Assessments" and breadcrumb should show "Assessments" (i.e. It should be the same as if you clicked the "Assessments" option on the nav bar</t>
  </si>
  <si>
    <t>As well as the correct text showing on the RHS of "At a Glance", the old version of the text is also showing on the LHS</t>
  </si>
  <si>
    <t>Superseded by S173</t>
  </si>
  <si>
    <t>Text showing is "The following evidence must all be obtained"</t>
  </si>
  <si>
    <t>Miscellaneous Defects</t>
  </si>
  <si>
    <t>On the Req Details page, if I have achieved 1a but not 1b, the score should be 0, not blank. More generally, only leave the score blank if I have not yet achieved *any* criteria.</t>
  </si>
  <si>
    <t>Des 25/05 - Fixed
TH 26/5 - it only displays the criteria that are not marked as achieved but that is OK</t>
  </si>
  <si>
    <t>If the target level is NR it's showing "4" and if the target level is EX is is showing "5"</t>
  </si>
  <si>
    <t>Need to fix above defect first</t>
  </si>
  <si>
    <t>File size slightly out - you need to divide the number of bytes by 1024, not 1000, to get KB</t>
  </si>
  <si>
    <t>Got error: "Publication failed with: Unable to cast object of type 'System.Int32' to type 'System.String'."</t>
  </si>
  <si>
    <t>Can you put the file type in caps and remove the leading dot?</t>
  </si>
  <si>
    <t>Need to be able to get an assessment to status approved first
Also need Assessment Report to be working</t>
  </si>
  <si>
    <t>Assessment Summary page - when I click "Reset", the wording on the warning pop-up makes it clear that it will create me a latest version assessment</t>
  </si>
  <si>
    <t>Home page (logged in) and Assessment Summary page - wording re. out-of-date assessment should refer to "Reset" instead of "Delete"</t>
  </si>
  <si>
    <t>Des 26/05: Fixed</t>
  </si>
  <si>
    <t>TM - Chris and I thought we iked the way IE formatted the rss feeds and mimicked that. ??
Des 26/05: Fixed</t>
  </si>
  <si>
    <t>Key reqt icon not appearing in header box - is this due to a missing GIF?</t>
  </si>
  <si>
    <t>Maintenance criteria are not showing the preliminary phrase "[Only required if Attainment Level 3 was achieved in the previous assessment]". This is present and correct in the XSL but needs to be triggered by the presence of a &lt;maintenanceCriterion/&gt; tag in the XML file</t>
  </si>
  <si>
    <t>Knowledge base items are not in the correct order - should be ordered by sequence ID</t>
  </si>
  <si>
    <t>The system opens the report as an MS Excel document (XLS format i.e. compatible with XL 97-2003)</t>
  </si>
  <si>
    <t xml:space="preserve">The report includes the organisation name
</t>
  </si>
  <si>
    <t xml:space="preserve">The report includes the assessment version, start year and end year. </t>
  </si>
  <si>
    <t>- Assessment version number, start date and end date. Format: "Version 8 (2010-2011)", and in the HTML version, use a non-breaking hyphen (&amp;#8209;) to ensure the best layout</t>
  </si>
  <si>
    <t>There is a context help to explain the Assessment Grade (HTML version only)</t>
  </si>
  <si>
    <t>There is a key to explain the Assessment Grade (see prototype)</t>
  </si>
  <si>
    <t>HTML markup within the Evidence Required field of the yellow evidence table is being displayed raw e.g. "&lt;strong&gt;Blah blah blah&lt;/strong&gt;"(example req 203 criterion 2a)</t>
  </si>
  <si>
    <t>DES 22/06: Fixed</t>
  </si>
  <si>
    <t>Des 22/06: Implemented</t>
  </si>
  <si>
    <t>By implementation of s208</t>
  </si>
  <si>
    <t>Needs update to context help</t>
  </si>
  <si>
    <t>Need an example in test data.</t>
  </si>
  <si>
    <t>The ? Next to the 'Upload New File' button in the evidence location dialog box is missing the word 'to'.
Needs to say:
Click this button to upload a file from your local PC or network to our server.</t>
  </si>
  <si>
    <t>done
EP - Only if one file is uploaded and available to select</t>
  </si>
  <si>
    <t>done
EP - System automatically expands this section</t>
  </si>
  <si>
    <t>Attempt to upload virus-infected file and then attempt to upload a normal file immediately afterwards. Get error re. startIndex (see eamil from Pete Spence, 22/06)</t>
  </si>
  <si>
    <t>Firefox 3.5.2: yellow buttons aren't yellow, unless you hover! Some problem in the CSS perhaps?</t>
  </si>
  <si>
    <t>TH: "Upload File" looks good when you first go into the dialog, but it looks bad in the evidence table back on the Req Details page, and also not so good if you go back into the Evidence pop-up tyo edit it. Is it possible to make it display as "Upload File" only if the file hasn't already been uploaded and "Uploaded" otherwise?</t>
  </si>
  <si>
    <t>FF 3.5.2: on an evidence item which has a location of "[select]", upload an evidence file and then go back to the Req Details page. The location remains as "[select]" even though the evidence is there if you open the pop-up again. Clicking "Save" updates the evidence table so it is correct.</t>
  </si>
  <si>
    <t>Need UAT rebuild with full req't set</t>
  </si>
  <si>
    <t>Test (Low)</t>
  </si>
  <si>
    <t>Rows are not quite high enough to fit the descriptions in - if I double-click the row header to auto-adjust the height it makes each one a bit bigger and then it's OK. Can you simulate this via ASPOSE to get them all the right height?</t>
  </si>
  <si>
    <t>Past and Target levels are showing as '0' instead of blank</t>
  </si>
  <si>
    <t>Req No field still too wide - bear in mind the req numbers are in the format "8-101", not "8-8101"</t>
  </si>
  <si>
    <t>The rows are not high enough to display all the descriptions</t>
  </si>
  <si>
    <t>The description for Attainment Level 0 (column E) should ne "Insufficient evidence to attain Level 1."</t>
  </si>
  <si>
    <t>The criteria should be just "a, b, c" instead of "1a, 1b, 1c" etc. (sorry, my fault, the prototype was wrong</t>
  </si>
  <si>
    <t>If I mark level 0 achieved, the field is still blank</t>
  </si>
  <si>
    <t>Set up some test data with 'NR allowed' set for reqt 101 but an NR row was not included on the spreadsheet</t>
  </si>
  <si>
    <t>Tested by TH</t>
  </si>
  <si>
    <t>What's New article headers seem to be fixed size</t>
  </si>
  <si>
    <t>No underlines - CSS problem I suspect</t>
  </si>
  <si>
    <t>Remove the &lt;h3&gt; tag starting "BSI ISO/IEC" which is immediately below the &lt;h1&gt; tag</t>
  </si>
  <si>
    <t>Des 23/06: Implemented</t>
  </si>
  <si>
    <t>Des 23/06: Fixed</t>
  </si>
  <si>
    <t>Des 23/06: Could not find any issue. Need specific instances.</t>
  </si>
  <si>
    <t>Req Details page, not logged in - NR option not showing for reqt which allows NR</t>
  </si>
  <si>
    <t>Whats new articles should show the date only, and not the time</t>
  </si>
  <si>
    <t>Date Unknown</t>
  </si>
  <si>
    <t>The callout that states: (next to attainment level 1)
Expand this section to enter or edit your answer to this attainment criteria.
Should say:
Expand this section to view and edit the criteria for this attainment level.</t>
  </si>
  <si>
    <t>The callout that states: (next to criterion 1)
Expand this section to enter your attainment criteria evidence.
Please change the message to read:
Expand this section to enter  evidence and comments.</t>
  </si>
  <si>
    <t>Nothing to do with sequence. It's due to attempting to upload a file without an extension.</t>
  </si>
  <si>
    <t>EP - Intranet help updated, internet ? Has been removed.</t>
  </si>
  <si>
    <t xml:space="preserve">Firefox has a whole heap of it's own quirks </t>
  </si>
  <si>
    <t>Content as per prototype including images</t>
  </si>
  <si>
    <t>There is a link to Assessment help for Trusts etc.</t>
  </si>
  <si>
    <t>There is a link to Assessment help for Social Care etc.</t>
  </si>
  <si>
    <t>Click any of the three links</t>
  </si>
  <si>
    <t>The relevant help topic opens in a new window</t>
  </si>
  <si>
    <t>There is an option to print the page at the bottom of the page (which triggers the standar print dialog)</t>
  </si>
  <si>
    <t>View the quick start guide</t>
  </si>
  <si>
    <t>The content is as per the prototype (needs updating)</t>
  </si>
  <si>
    <t>At the bottom there are links to the three assessment help topics</t>
  </si>
  <si>
    <t>Each link opens the relevant heop topic in a new window</t>
  </si>
  <si>
    <t>View any of the help topics</t>
  </si>
  <si>
    <t>The following styles render as per the prototype (see master_delta.css for definitions):
- p.screenshot
- #mainContent.helpPage h2
- #mainContent.helpPage h2.mainSubHeading</t>
  </si>
  <si>
    <t>There is an 'X' in the "achieved" column for the NR row</t>
  </si>
  <si>
    <t>For the NR row, I think that columns F thru K should be greyed out the same as attainment level 0</t>
  </si>
  <si>
    <t>If I mark NR achieved, the Current Level field is still blank</t>
  </si>
  <si>
    <t>Tried in sys test and its still not grouping by initiative</t>
  </si>
  <si>
    <t>PDFs (individual and booklets) - Not Relevant Reason not appearing in the Attainment Levels table</t>
  </si>
  <si>
    <t>Medium
EP - Tested in IE7</t>
  </si>
  <si>
    <t>The "for" ID is wrong - looks like a static ID instead of matching the .net created ID. After discussion with TH left for next iteration.</t>
  </si>
  <si>
    <t>nili: after discussions with TH left for next iteration</t>
  </si>
  <si>
    <t>EP - Retest failed</t>
  </si>
  <si>
    <t>nil</t>
  </si>
  <si>
    <t>EP NEW
Assessment Report screen
aka ReportsOrganisationChooser.aspx
Organisation Type drop down</t>
  </si>
  <si>
    <t>Upload a document as evidence and click 'Done', then upload another piece of evidence. When you get the dialog box up the option in the 'Evidence Location' dropdown says 'Uploaded'. For a new piece of evidence it should state 'Upload File'</t>
  </si>
  <si>
    <t>As above. There are many issues on several pages with Firefox.</t>
  </si>
  <si>
    <t xml:space="preserve">RJM: this was discussed and agreed that it would stay for Simplified Interface User's. However, the submit panel has now been completely removed for all users as per this new request that overrides the agreed way of doing it.  </t>
  </si>
  <si>
    <t>Very odd change request that makes no sense and completely changes the way the upload evidence works currently. Will take several hours to do.
TH 25/6 - explained to RJM on the phone and now understood and already fixed!</t>
  </si>
  <si>
    <t>EP - Retest failed
TH - you need a suffix "_ddlOrgTypes" on the ID in the "for" field</t>
  </si>
  <si>
    <t>EP - Retest failed
TH - need suffix "_txtName" in "for" field</t>
  </si>
  <si>
    <t>In UAT: v8 acute assessment says "2010-1" (defect previously raised but through to only affect test data)</t>
  </si>
  <si>
    <t>24/06 EP - RAISED INCORRECTLY
After uploading one document as evidence, click to add another piece of evidence and select 'Uploaded' (which should actually be 'Upload File' as per previous defect). The 'Upload File' drop down in the middle (where you can select a file shows '[select a previously uploaded file]'. By default this area should show the file that has already been uploaded i.e 'DOC.docx'</t>
  </si>
  <si>
    <t>25/06 EP - WHAT I ACTUALLY MEANT TO WRITE WAS:
After uploading one document as evidence, click on the pencil icon against that 'Uploaded' status to open the evidence location dialog box again. the drop down in the middle should show the uploaded document name with the 'View' button enabled. It is showing '[select a previously uploaded file]' and the 'View' button is disabled. You have to actually select the file in the drop down to view it which is wrong. Should show there by default.</t>
  </si>
  <si>
    <t>Odds and Ends 5</t>
  </si>
  <si>
    <t>EP - This info doesn't appear to even be there anymore. Need to check if ok? RJM: these items are being displayed ok now as required. Dont understand above comment?
EP - Forgot to actually click 'save' after adding documents! Whoops!. All fine.</t>
  </si>
  <si>
    <t>Link to quick start guide (under step 1 of 5) doesn't work - needs to open in a new window - applies to all 3 help files</t>
  </si>
  <si>
    <t>Not yet done</t>
  </si>
  <si>
    <t>Not updated yet</t>
  </si>
  <si>
    <t>Click "Register" - the system displays register step 7!</t>
  </si>
  <si>
    <t>current 1.1em for &lt;h3&gt; and 0.9em for &lt;p&gt;
TH 25/6 - need to update #mainContent.h3 to 1.1em too</t>
  </si>
  <si>
    <t>Performance Progress Report -
Interestingly, when I click on the 'Guidance' link, the hyperlink line is removed underneath the word 'Guidance' (although it is still a link)</t>
  </si>
  <si>
    <t>[tohe] Stylesheet change required for "vsisted" style of the link</t>
  </si>
  <si>
    <t>Performance Progress Report -
The Choose Assessment drop down - there is no gap between that and the 'Contact'… section below</t>
  </si>
  <si>
    <t>Assessments screen -
Logged in as gp on UAT environment where gp has a V8 plus some other previous versions. The 'reset' and 'submit' buttons aren't placed correctly within the blue section of V8. They kind of straddle the V8 and the previous V7 blue section.</t>
  </si>
  <si>
    <t>Home page (logged in) - Help On Assessments link doesn't work - suggest removing the link for now</t>
  </si>
  <si>
    <t>Home page - log in validation failure doesn't have a "!" icon</t>
  </si>
  <si>
    <t>Des 25/06: Implemented</t>
  </si>
  <si>
    <t>EP - retested again 24/06 on UAT (IE6&amp;7) with login P87024 / elpe / 4testing and i can see the same thing (2010-1). This does not however happen on system test environment where it shows 'Version 99 (2010-2011).
25/06 EP - Need to retest once UAT rebuilt
25/6 TH re-tested OK in sys test but EP to retest in UAT
EP - retested in systest by creating a proper gp new user showing a V8 (not a V99). Looks fine.</t>
  </si>
  <si>
    <t>DEV - login details p87639/elpe/4testing. Not found. Need more info re browser version etc. Tested with IE8/Chrome.
EP - That’s cos UAT has been rebuilt. You just need to setup another gp user to test this with.</t>
  </si>
  <si>
    <t>Noticed now that when I click to open an improvement plan, it opens in a new browser window but on the task bar instead of being visable immedialtely on your screen in a new window.</t>
  </si>
  <si>
    <t>Opened up an improvement plan and clicked to open a piece of attached evidence but I get the error:
Unable to view the document. An exception occurred: Value cannot be null. Parameter name: String</t>
  </si>
  <si>
    <t xml:space="preserve">High - Ellie can re-create this consistently
EP - retest with latest UAT build (25/06) and looks fine now. </t>
  </si>
  <si>
    <t>EP - Retest failed 25/06</t>
  </si>
  <si>
    <t>Des 25/06: Fixed
EP - Retest passed 25/06</t>
  </si>
  <si>
    <t>Increment</t>
  </si>
  <si>
    <t>Man Days</t>
  </si>
  <si>
    <t>Velocity</t>
  </si>
  <si>
    <t>Total</t>
  </si>
  <si>
    <t>Story Point Count Summary</t>
  </si>
  <si>
    <t>Misc Defects 2</t>
  </si>
  <si>
    <t>On the Assessments Page, click "Work on this Assessment" before page properly loaded (in IE8) gives an error "Validation of Viewstate MAC failed". Suggested fix is to disable the buttons until the page is fully loaded.</t>
  </si>
  <si>
    <t>Rename What's New page to "News" - also rename the Nav Bar menu too (the tooltip is OK though)</t>
  </si>
  <si>
    <t>Archive various articles on the "What's New" page (see email from Magi Nwolie 28/06/2010)</t>
  </si>
  <si>
    <t>Bulk Email Create page - page loads and immediately scrolls down to bottom - presume bacsue default button is the Create button and it wants to get it on the page. Can we change it somehow so that the top of the page displays initially</t>
  </si>
  <si>
    <t>Enter Own Password in Registration</t>
  </si>
  <si>
    <t>Enter my own password during registration</t>
  </si>
  <si>
    <t>User Friendly Error Page</t>
  </si>
  <si>
    <t>In live: create bulk email; add attachment; view attachment - attachment not shown. Also click save bulk email and get an error (says Des)</t>
  </si>
  <si>
    <t>Improvement Plan Report - context help icon not being displayed</t>
  </si>
  <si>
    <t>Knowledge Base search - below the keywords input field add "(only shows results where &lt;strong&gt;all&lt;/strong&gt; keywords match)".
See prototype for styling</t>
  </si>
  <si>
    <t>Assessment Report XLS - problems opening file (unknown file type) in IE6/XL2002 -seems to be worst when all three breakdown options are ticked (OK if only tick one or two options). See email from Magi 29/06/2010</t>
  </si>
  <si>
    <t>v8.0 (i8)</t>
  </si>
  <si>
    <t>Problem in live, ok in UAT: Create new user. Once created, the user details are re-displayed for editing. The breadcrumb says just "Edit" and you can't easily get back to the list of users for that org.</t>
  </si>
  <si>
    <t>Do something to cause a system error</t>
  </si>
  <si>
    <t>The system displays the user friendly "system error" page (see error.html in prototype)</t>
  </si>
  <si>
    <t>The server code is "L" for Leeds or "E" for Exeter followed by "W" for WWW server or "N" for N3 server e.g. "LW" or "EN"</t>
  </si>
  <si>
    <t>The system logs the details of the error to an error log file, including the error reference as displayed to the user</t>
  </si>
  <si>
    <t>Request to create a new organisation</t>
  </si>
  <si>
    <t>Request to create a new user for the org</t>
  </si>
  <si>
    <t>Log in as the new user</t>
  </si>
  <si>
    <t>There is only one possible role - "Organisation Admin" or similar (model it on the healthcare commission)</t>
  </si>
  <si>
    <t>There are *not* details of my assessment</t>
  </si>
  <si>
    <t>There is *not* an Assessments option on the nav bar</t>
  </si>
  <si>
    <t>Wait overnight</t>
  </si>
  <si>
    <t>Select this report</t>
  </si>
  <si>
    <t>There are *not* any reports related to assessments for my organisation</t>
  </si>
  <si>
    <t>Select version</t>
  </si>
  <si>
    <t>Yellow buttons no longer yellow in Chrome</t>
  </si>
  <si>
    <t>Contact Us page: Tooltips for Org Name and Org Code need changing (cut &amp; pasted from Telephone field)</t>
  </si>
  <si>
    <t>Contact Us email - no newlines between Org Name, Org Type and content</t>
  </si>
  <si>
    <t>Assessment Report criteria - when I tick or untick options there is a jitter which I think is due to running a bit of javascript (maybe some ajax) to update the "Compare With Previous" drop-down contents. It makes ticking the boxes a bit tricky and unpredictable, especially in IE6. The JS doesn't need to fire on every field, just on the Assessment Version one.</t>
  </si>
  <si>
    <t>Request to create a new user for my own organisation</t>
  </si>
  <si>
    <t>There is an option to give them a role "Organisation Auditor"</t>
  </si>
  <si>
    <t>Give them this role</t>
  </si>
  <si>
    <t>Create the user</t>
  </si>
  <si>
    <t xml:space="preserve">System displays new user details including the fact that they have the new role </t>
  </si>
  <si>
    <t>The system validates that I am *not* using the simplified interface</t>
  </si>
  <si>
    <t>I am using the simplified interface</t>
  </si>
  <si>
    <t>The "Organisation Auditor" role is not displayed</t>
  </si>
  <si>
    <t>The Organisation Auditor role is not assigned to the user</t>
  </si>
  <si>
    <t>As per main flow (simplified interface check applies to created user org type, not my own org type)</t>
  </si>
  <si>
    <t>Log on as an Information Mapping User or Information Mapping Admin (but not org admin)</t>
  </si>
  <si>
    <t>Go to the Assessments page</t>
  </si>
  <si>
    <t>There is an option to edit the audit details</t>
  </si>
  <si>
    <t>Request to edit audit details</t>
  </si>
  <si>
    <t>The following fields are available (all default to blank)</t>
  </si>
  <si>
    <t>- Assessment Audited (checkbox)</t>
  </si>
  <si>
    <t>- Audit Date (date field)</t>
  </si>
  <si>
    <t>- Scope of Audit (text area)</t>
  </si>
  <si>
    <t>- Lead Auditor (text)</t>
  </si>
  <si>
    <t>- Auditor Organisation (text)</t>
  </si>
  <si>
    <t>- Auditor Address (text)</t>
  </si>
  <si>
    <t>- Auditor Telephone (text)</t>
  </si>
  <si>
    <t>- Auditor Email (text)</t>
  </si>
  <si>
    <t>Mark the assessment as audited and enter the audit data</t>
  </si>
  <si>
    <t>Click "Save"</t>
  </si>
  <si>
    <t>For each assessment (current and past), there a row in the "Headlines" table indicating whether each assessment has been audited</t>
  </si>
  <si>
    <t>Go to the assessments page (as a user who does not have the Organisation Auditor role)</t>
  </si>
  <si>
    <t>To view the error details logon as nhscfh goto admin and then view system error. On the page enter the error reference to view the detail</t>
  </si>
  <si>
    <t>If an assessment has been audited, there is an option to view the audit details</t>
  </si>
  <si>
    <t>Request to view audit details</t>
  </si>
  <si>
    <t>Improvement Plan and Evidence Report - add the date - see prototype for wording and styling</t>
  </si>
  <si>
    <t>Click Cancel</t>
  </si>
  <si>
    <t>My changes are not saved</t>
  </si>
  <si>
    <t>Click Done</t>
  </si>
  <si>
    <t>An assessment hasn't been audited</t>
  </si>
  <si>
    <t>There is not an option to view the audit details</t>
  </si>
  <si>
    <t>KB items with links to toolkit e.g. Link to ISO page don't work</t>
  </si>
  <si>
    <t>Story details TBC</t>
  </si>
  <si>
    <t>As an nhscfh user i am unable to tick the "Exempt" box (it's greyed out)</t>
  </si>
  <si>
    <t>Firefox 3.6.3 - completed req't up to level 3 (did level 3 first followed by 1 and 2) but Current Level not populated</t>
  </si>
  <si>
    <t>FF 3.5.2: clicking "Add other evidence" or "Add an action" doesn't work (sends you to the top of the page but doesn't add a blank row for you to fill in)</t>
  </si>
  <si>
    <t>System displays the Audit Details page</t>
  </si>
  <si>
    <t>The system displays the "Assessment Summary" page</t>
  </si>
  <si>
    <t>The assessment is marked as having been audited</t>
  </si>
  <si>
    <t>Knowledge base "exemplar" section missing in some cases e.g. Acute reqt 3. They appear to be missing from the XML file.</t>
  </si>
  <si>
    <t>The reqt numbers need to be padded to 3 digits with zeros to make sure they will appear in numerical order</t>
  </si>
  <si>
    <t>In the KB table, can the file type be in caps and with no leading dot? This probably needs fixing within the knowledge base publish function</t>
  </si>
  <si>
    <t>Set target level -&gt; done -&gt; select previous reqt -&gt; next -&gt; target level is blank</t>
  </si>
  <si>
    <t>Missing full stop at end of introductionary para "This page gives you..."</t>
  </si>
  <si>
    <t>I've updated the prototype - can you get the new heading/preamble wording from there please</t>
  </si>
  <si>
    <t>The "Search" button is the default button i.e. It fires if I hit Enter</t>
  </si>
  <si>
    <t>Single quotes around 'Show Report' please</t>
  </si>
  <si>
    <t>System error - Aspose licence not installed</t>
  </si>
  <si>
    <t>Accessibility</t>
  </si>
  <si>
    <t>Be able to access the site as a disabled user</t>
  </si>
  <si>
    <t>7/5/10 You have used org name instead of org code e.g. It should be "AMT" not "Ambulance Trust"
TH 27/5: now the org type is blank meaning that the files for the different org types have overwritten one another
TH 27/5: you have used the Org Type ID instead of the Org Type "Code" field</t>
  </si>
  <si>
    <t>Logged in as REM, whose latest assessment is v7. Version was showing as v8 (whereas status was correctly showing as "Updated"). If I go to the Asessments page it correctly shows v7 as the most recent.</t>
  </si>
  <si>
    <t>Des 28/05 - Fixed</t>
  </si>
  <si>
    <t>CMC:Permissions for this as for Step 2.  Have also made this option only selectable if the Baseline and Performance Update scores are selected as otherwise doesn't seem to make sense, paticularly as we don’t display a stage column in all the assessments are at the submitted stage (see step 7 for S143 above)</t>
  </si>
  <si>
    <t>CMC:Fixed</t>
  </si>
  <si>
    <t>RJM: caused by change of criterion from 1a, 1b etc to a, b, etc</t>
  </si>
  <si>
    <t>Des 02/06 - Fixed</t>
  </si>
  <si>
    <t>RJM: No fault found. Require more information. Can not identify any truncated files. Can not find any files with incorrect filename. TH:You have put a suffix of "Guidance_Only_Attainment_Levels_Only"! Also it looks like the filename may have been truncated at some point (difficult to tell where)</t>
  </si>
  <si>
    <t>CMC:With new numbering convention have 0 padded to 4 characters rather than 3.</t>
  </si>
  <si>
    <t>CMC:Don’t think it could have been putting this in at all as the XML was missing the maintenanceCriteria element</t>
  </si>
  <si>
    <t>Des 03/06 - Fixed</t>
  </si>
  <si>
    <t>You have put a suffix of "Guidance_Only_Attainment_Levels_Only"!  CMC: And you've put a suffix of Only_Only.pdf to the left ;-) However pretty sure I know what you want and have fixed it</t>
  </si>
  <si>
    <t>CMC:Will now dipslay below Initoative booklets and Initiative booklets will be in the correct "Initiative" order (previously they weren't ordered at all)</t>
  </si>
  <si>
    <t>DES/CMC</t>
  </si>
  <si>
    <t>Done.  CMC:Also fixed security hole with Improvement plan report whereby querystring params could be spoofed to view another organisations report</t>
  </si>
  <si>
    <t>CMC:Very much agree, Done</t>
  </si>
  <si>
    <t>Validate Email Address</t>
  </si>
  <si>
    <t>Assessment Report - Graphs</t>
  </si>
  <si>
    <t>View graphs within my Assessment Summary XL file</t>
  </si>
  <si>
    <t>View Help Topics</t>
  </si>
  <si>
    <t>View various help topics</t>
  </si>
  <si>
    <t>Approve Bulk Email</t>
  </si>
  <si>
    <t>Approve a bulk email to be sent</t>
  </si>
  <si>
    <t>View Number of Recipeients for Bulk Emails</t>
  </si>
  <si>
    <t>See roughly how many users bulk emails will be sent to</t>
  </si>
  <si>
    <t>Assign Organisation Auditor Role</t>
  </si>
  <si>
    <t>Assign the "Organisation Auditor" role to users within my organisation</t>
  </si>
  <si>
    <t>Organisation Auditor</t>
  </si>
  <si>
    <t>User responsible to auditing assessments for a specific organisation</t>
  </si>
  <si>
    <t>Organisation Auditor Permissions</t>
  </si>
  <si>
    <t>Mark Assessment As Audited</t>
  </si>
  <si>
    <t>Access existing functions as appropriate to my status</t>
  </si>
  <si>
    <t>Mark an assessment as audited</t>
  </si>
  <si>
    <t>Upload Audit Report</t>
  </si>
  <si>
    <t>Upload an audit report for a give assessment</t>
  </si>
  <si>
    <t>Mark individual requirements as audited</t>
  </si>
  <si>
    <t>View statistics on the auditing of individual requirements</t>
  </si>
  <si>
    <t>S204</t>
  </si>
  <si>
    <t>S205</t>
  </si>
  <si>
    <t>S206</t>
  </si>
  <si>
    <t>S207</t>
  </si>
  <si>
    <t>S208</t>
  </si>
  <si>
    <t>S209</t>
  </si>
  <si>
    <t>S210</t>
  </si>
  <si>
    <t>S211</t>
  </si>
  <si>
    <t>S212</t>
  </si>
  <si>
    <t>S213</t>
  </si>
  <si>
    <t>S214</t>
  </si>
  <si>
    <t>S215</t>
  </si>
  <si>
    <t>S216</t>
  </si>
  <si>
    <t>S217</t>
  </si>
  <si>
    <t>S218</t>
  </si>
  <si>
    <t>S219</t>
  </si>
  <si>
    <t>S220</t>
  </si>
  <si>
    <t>S221</t>
  </si>
  <si>
    <t>I'm pretty sure the help topic HTML files should not be in the knowledgebasenew folder</t>
  </si>
  <si>
    <t>If I create a report XLS but don't close it, then try to create another report, the system brings the first report into focus rather than opening a new report - probably due to same filename. Maybe we could add the current time to the filename or some other unique suffix?</t>
  </si>
  <si>
    <t>- if the report includes a not-yet submitted assessment, the report includes a "Stage Column" which says "Final" for submitted assessments and "Current" for non-submitted assessments (see prototype example 2)</t>
  </si>
  <si>
    <t>Alignment of text "Iniiative" - extra space on LHS</t>
  </si>
  <si>
    <t>TH 7/6 Failed retest (need to rebuild test?)</t>
  </si>
  <si>
    <t>Can you make the cursor focus in the "action" field when I click "add an action"</t>
  </si>
  <si>
    <t>Can you change the Evidence Location and Evidence Description "plus" icons to "pencil" (edit) icons (and the minus icon to "tick" icons)</t>
  </si>
  <si>
    <t>Will test when new XSL is in place (also need to run Glossary PDF publish process)</t>
  </si>
  <si>
    <t xml:space="preserve">done. Not possible to show on load becuase the terms are hidden in expandable divs. </t>
  </si>
  <si>
    <t>CMC/RJM</t>
  </si>
  <si>
    <t>Des 04/06 - Fixed</t>
  </si>
  <si>
    <t>TH 7/6 failed re-test
Des 07/06: Latest version might not have been in the test</t>
  </si>
  <si>
    <t>Superseded - glossary no longer included in booklets</t>
  </si>
  <si>
    <t>Glossary includes terms that have been deleted and are presumably being cached somewhere in memory. Can the publish process clear out the cache?</t>
  </si>
  <si>
    <t>Superseded by S081</t>
  </si>
  <si>
    <t>View the glossary for the letter "B" which has enough terms to produce a scroll bar. Scroll down and notive that the table content scrolls behind the (static) table headings</t>
  </si>
  <si>
    <t>On system test env't, the PDF file is not being created. We suspect this is due to folder access permissions (read-only folder) - it works OK in UAT - but I can't test this until it works</t>
  </si>
  <si>
    <t>Awaiting defect fix above</t>
  </si>
  <si>
    <t>Publish Knowledge Base Enhancements</t>
  </si>
  <si>
    <t>Be able to republish the knowledge base without wiping out links with requirements</t>
  </si>
  <si>
    <t>v8.0 (i7)</t>
  </si>
  <si>
    <t>Odds and Ends 4</t>
  </si>
  <si>
    <t>Be able to publish the requirements without generating all the PDF files (to save time)</t>
  </si>
  <si>
    <t>Javascript error when trying to define new info mapping report (see CC for details)</t>
  </si>
  <si>
    <t>Needs to include markup to force IE8 to operate in IE7 compatibility mode</t>
  </si>
  <si>
    <t>Tester</t>
  </si>
  <si>
    <t>Des 0806: Fixed</t>
  </si>
  <si>
    <t>RJM: problem with z-index on IE6. Placed jQuery bgiframe plugin onto master page to overcome it</t>
  </si>
  <si>
    <t>Desi 08/06: Fixed</t>
  </si>
  <si>
    <t>RJM:Not found</t>
  </si>
  <si>
    <t>Des 11/03: Handling this scenario is possible (ie. Searching with Prefix). However searching with Suffix (ie. *tree park) is not possible.
TH 23/3: well go ahead and do it then!
Des 09/06: Fixed</t>
  </si>
  <si>
    <t>Des 26/05 - Fixed
TH 7/6 - can you change "NR" to "Not Relevant" and "EX" to Exempt so it matches the "Current Level" labels?
Des 09/06: Fixed</t>
  </si>
  <si>
    <t>On UAT site, created a new user "test" under org "RVV" with just user permissions. Attempted to edit user and got a server error. Other (existing) users can be edited OK.</t>
  </si>
  <si>
    <t>Assessments page very slow to load, especially for orgs with a full assessment history going back to v1</t>
  </si>
  <si>
    <t>Home Page/At a Glance/Last Log In - if last log in was today, display "Today" abd then the time</t>
  </si>
  <si>
    <t>in UAT, v8 baseline deadline is showing as 31 July - I think it should be 31 Oct 2010</t>
  </si>
  <si>
    <t>New user and password emails - URL links to site at bottom of email need updating (currently refer to GettingStartedChooser.aspx) - change them to point to the home page</t>
  </si>
  <si>
    <t>Info Mapping pages need styling e.g. Tabbed control with no borders (ref. Niall)</t>
  </si>
  <si>
    <t>In UAT: Not logged in, select Reports/Assessment Report. Search for KMH123, click "Report" and get a system error. Other orgs are OK. KMH123 is a test org created by Kim Hobday</t>
  </si>
  <si>
    <t>Create new user (Simplified Interface) - when I create the new user it shows (greyed out) the Reviewer and User permissions but not the Admin permission - this is a bit confusing because the system then allocates them Admin permissions, plus also Info Mapping Admin and Info Mapping User. I can guess why it works this way but it doesn't seem right.</t>
  </si>
  <si>
    <t>Low
One for CC probably</t>
  </si>
  <si>
    <t>In UAT, Contact Us page, not logged in, fill in contact form and submit - Org Name, Org Code not being included on email</t>
  </si>
  <si>
    <t>Withdrawn - couldn't re-create</t>
  </si>
  <si>
    <t>Improvement Plan report pop-up - context help icon image filenames are wrong - is this because PNGs have changed to GIFs?</t>
  </si>
  <si>
    <t>This helps grouping them together in the file space - I can delete these after publish...??
TH 9/6 fair enough - leave as-is</t>
  </si>
  <si>
    <t>TM - I took this from the nhs logo website. Do you still want me to se if I can find a better one?
TH 15/3 - The logo I downloaded from nhsidentity.nhs.uk is nice and crisp - I suspect that it has got fuzzified by your painting software when you have resized it.
TH 9/6 superseded by S172</t>
  </si>
  <si>
    <t>Again took it fro their site, the scaling seems to have that effect.
Superseded by S172
TH 15/3 See comment above</t>
  </si>
  <si>
    <t>Superseded by S087</t>
  </si>
  <si>
    <t>TM Without the aiasing they would be jaggy. I cant control the level of anti-aliasing.
Superseded by S172</t>
  </si>
  <si>
    <t>TH 08/04 retested and I get a system error when I click this link
TH 9/6 Superseded</t>
  </si>
  <si>
    <t>If I type my email address and hit "Enter", it doesn't fire the "Remind Me" button (the page refreshes but nothing else)</t>
  </si>
  <si>
    <t>Can you top justify the error test with the error icon (use &lt;div class="infoMessage"&gt; which sorts it for free and also gives you the icon</t>
  </si>
  <si>
    <t>Skip to Main Flow step 12</t>
  </si>
  <si>
    <t>Put a link to "Change Password" page from "Update User Details" page</t>
  </si>
  <si>
    <t>Assessment report XLS - change the filename suffix to format yyyy_mm_dd_hh_mm_ss so that multiple saved files would appear in date order in Windows Explorer</t>
  </si>
  <si>
    <t>The system unsubmits the performance update</t>
  </si>
  <si>
    <t>See "really" disabled tick boxes as greyed out but see "auto tick by system" tick boxes as not greyed out</t>
  </si>
  <si>
    <t>Bullet lists in tables (e.g. Reqt 101 in UAT):
- less white space before, after and between each para
- indent the bullets a bit</t>
  </si>
  <si>
    <t>Unless there's a good reason not to, can we make the default style for bullet lists to actuall display the bullet points and then get rid of the class "bulletList" - check first with Tom why he did it this way in the first place in case there's a good reason. This will also resolve a defect that the training tool text on tyhe Req Details page is not showing bullet points</t>
  </si>
  <si>
    <t>The system submits my assessment as per current</t>
  </si>
  <si>
    <t>Assessment Summary page - "view history" link - exclude brackets from hyperlink</t>
  </si>
  <si>
    <t>In IE6 it is possible to tick attainment criteria (for an acute org) - details from Ellie or Richard</t>
  </si>
  <si>
    <t>nili:V8 end dates now shd be null</t>
  </si>
  <si>
    <t>Req Details page - system error when clicking "Next" (intermittant) - screenshot of error message sent to RJM on 10/06/2010</t>
  </si>
  <si>
    <t>Improvement Plan pop-up - add a "Print this page" link jsut below the title which triggers the browser print function (see quickstart.html for a cut&amp;paste example)</t>
  </si>
  <si>
    <t>Improved Local File Specification</t>
  </si>
  <si>
    <t>See the ebay "Easy Lister" photo upload pop-up for an example of showing the full path name.</t>
  </si>
  <si>
    <t>Be able to type the file name, see the full path view "local file" evidence</t>
  </si>
  <si>
    <t>Request to create an assessment report</t>
  </si>
  <si>
    <t xml:space="preserve">There is an sub-option under "break down by attainment level" which is to include a pie chart </t>
  </si>
  <si>
    <t>The sub-option is disabled</t>
  </si>
  <si>
    <t>Select break down by attainment level</t>
  </si>
  <si>
    <t>The sub-option is now enabled</t>
  </si>
  <si>
    <t>Select to include a pie chart</t>
  </si>
  <si>
    <t>Request to generate the report</t>
  </si>
  <si>
    <t>The report includes a pie chart below the data table</t>
  </si>
  <si>
    <t>The pie chart references the attainment level break down for the current/final scores on the selected assessment (not any historical assessments also in the report)</t>
  </si>
  <si>
    <t>The formatting and segment colours are as per the prototype</t>
  </si>
  <si>
    <t>The pie chart title is as per the prototype</t>
  </si>
  <si>
    <t>If I selected breakdown by initiativwe, there is one pie chart for each initiative and one for overall</t>
  </si>
  <si>
    <t>Evidence upload: uploaded Word doc then clicked "View" - got MS Word pop-up message "Word cannot start the converter mswrd32.wpc". IE7. Originally raised by Kim Hobday (2nd line, Exeter) if you need a demo!</t>
  </si>
  <si>
    <t>Improvement Plan Report - if no records, you get the message "There aren't any record to generate..." Record should be plural i.e. Records.</t>
  </si>
  <si>
    <t>About page: Change hyperlink text Guidance about Compliance: Essential standards of quality and safety to Essential standards of quality and safety</t>
  </si>
  <si>
    <t>Have commented it out.</t>
  </si>
  <si>
    <t>IE6, one of the beta testers: Assessment report - when click "Show report" I get the XLS file displayed as raw text in the browser window (email sent to CC/RJM on 11/6)</t>
  </si>
  <si>
    <t>Beta tester: Evidence location pop-up: Uploaded a file, the changed the drop down back to [select]. Then clicked "View" and got an error saying "Unable to find the specified file. It may have been removed form the Server"!</t>
  </si>
  <si>
    <t>Req List/Req Details - click yellow "Answer" button and get system error "Invalid postback or callback argument" (full error sent in email to RJM/CC on 11/6)</t>
  </si>
  <si>
    <t>Assessment Report in UAT - org code RDE, compare with v1, not showing result for v2 assessment even though it is displayed on Assessment Summary page</t>
  </si>
  <si>
    <t>EP</t>
  </si>
  <si>
    <t>See defect above</t>
  </si>
  <si>
    <t>View the printable version (having done a re-publish)</t>
  </si>
  <si>
    <t>See the major version number as a prefix to the requirement number (v8+ only)</t>
  </si>
  <si>
    <t>No prefixes on the req numbers</t>
  </si>
  <si>
    <t>XSL updates available from Tony on request</t>
  </si>
  <si>
    <t>Req List page, logged in as nhscfh - viewing assessments for org a.test:acute, the "Back to Assessments Page" button takes me the assessments page but with no assessment data showing</t>
  </si>
  <si>
    <t>It says "Guidance" for v8+ and "Details" for v7-...the wrong way round!</t>
  </si>
  <si>
    <t>Text OK but formatting bad. Needs blank lines here &amp; there and also there are newlines where there shouldn't be e.g. Between "31st" and "March"</t>
  </si>
  <si>
    <t>Superseded</t>
  </si>
  <si>
    <t>Not tested due to lack of time and low priority</t>
  </si>
  <si>
    <t>Pop-up way too big on 800x600. Also, if I have my screen on full-res but the window not full size, the pop-up is still too big</t>
  </si>
  <si>
    <t>Tested in UAT - some docs loaded OK (e.g. "Audit Programme - Mobile and Remote Working") but others gave me "file not found" e.g. "Bite-sized Good Practice Guide: Application Security"</t>
  </si>
  <si>
    <t>If I type in a keyword and then click "Search" it's OK, but if I type in a keyword and hit "Enter" then the page is re-displayed as-is without taking into account the keyword I entered</t>
  </si>
  <si>
    <t>Wording and ordering as per prototype, and whilst you're at it, can you put a capital "U" on "Contact Us"</t>
  </si>
  <si>
    <t>If I click "return to home page" link at bottom, the home page is idsplayed by the nav bar says "Help" and the breadcrumb says "Help &gt; About &gt; Home"</t>
  </si>
  <si>
    <t>Des 18/03: Need to discuss about the sequence of the process.
TH 23/3: Chris, when you get round to fixing this give me a shout to discuss if it's not clear
Des 08/06: Fixed
TH 14/6 not re-tested; assumed OK, low priority</t>
  </si>
  <si>
    <t>TM. 1 - Are you not worried that this will leave a lot of 'blue space'? Have limited the boxes to 10 characters and 15 character entry. 
TH 15/3 - Update - DIP team has asked for all 3 fields to be the same width, so can we make the password field 15 chars wide and the others to match its width?
TH 14/6 still too wide but losing the will to live on this one so closing anyway</t>
  </si>
  <si>
    <t>RJM
TH 14/6 Message is incorrect in case where I have a valid user ID/password combo but have typed an existing but incorrect org code - it sayd "Invalid Username/Password combination"</t>
  </si>
  <si>
    <t>Logged in as user without info mapping user permissions and Information Mapping is still visible on the nav bar</t>
  </si>
  <si>
    <t>Logged in as user without info mapping admin permissions and Information Mapping options are still visible on the nav bar</t>
  </si>
  <si>
    <t>Breadcrumb should say "Information Mapping Area Admin"</t>
  </si>
  <si>
    <t>Area Admin page should have a page title of "Information Mapping Area Admin"</t>
  </si>
  <si>
    <t>Breadcrumb and page title as above</t>
  </si>
  <si>
    <t>TM Without rewriting the whole nav bar not to use links, not sure on this one.  RJM: Fixed
TH 14/06 - an improvement but we could also do with (a) the pointer changing to a hand shape and (b) the tooltip appearing wherever you are in the blue rectangle. This probably means changing the styling for the &lt;a&gt; tag to cover the whole of the rectangle area. Shout me if you want me to see if I can do it in the prototype</t>
  </si>
  <si>
    <t>Not found
TH 14/06 no longer an issue</t>
  </si>
  <si>
    <t>Above the reset box it randomly says: "Question 30:"</t>
  </si>
  <si>
    <t>For each account to be reset, the system displays my org name, org code and user id</t>
  </si>
  <si>
    <t>The system resets my password (on all accounts) to the new password</t>
  </si>
  <si>
    <t>The link is unique to this request and not guessable</t>
  </si>
  <si>
    <t>DB tweak done - PDF files need re-creating</t>
  </si>
  <si>
    <t>Improve email validation within the registration process by sending an email to the user and forcing them to acknowledge it</t>
  </si>
  <si>
    <t>The system displays "Registration Step 7 - Email Validation"</t>
  </si>
  <si>
    <t>The system sends an email to the supplied email address</t>
  </si>
  <si>
    <t>The email contains a URL for the user to click</t>
  </si>
  <si>
    <t>The URL is unique and not guessable</t>
  </si>
  <si>
    <t>The email content is as per the prototype (register_7.html)</t>
  </si>
  <si>
    <t>Click the link in the email</t>
  </si>
  <si>
    <t>The system creates the user account and sends account and password details in separate emails (as per current).</t>
  </si>
  <si>
    <t>An hour has passed since the email was sent</t>
  </si>
  <si>
    <t>The system tells me that my registration token has expired (see prototype for wording)</t>
  </si>
  <si>
    <t>There is an option to try again</t>
  </si>
  <si>
    <t>Request to try again</t>
  </si>
  <si>
    <t>The system displays Registration Step 1</t>
  </si>
  <si>
    <t>The system displays "Registration Step 8 - Account Created" (NB ignore prototype which has changed to due to story S211)</t>
  </si>
  <si>
    <t>Some KB docs are in .XLSX/.DOCX format and need converting to XLS/DOC and re-publishing to the toolkit (Magi to update RATty DB and convert docs)</t>
  </si>
  <si>
    <t>No server code in sys test - suspect this needs configuring so I can re-test</t>
  </si>
  <si>
    <t>The wording on the error page is confusing - Do I click the error ID or click the email link?</t>
  </si>
  <si>
    <t>When I click on the error ref the system creates an email to the help desk out of the back of the system. This is probably a bad idea since the error might be that the system cannot send emails. Perhaps would be better to do the following: when the user clicks the help desk email address the system opens an outlook email with the error ref already populated</t>
  </si>
  <si>
    <t>I suspect that the error details are being stored in the DB - this is a bad idea since the error might be that the DB is down. Rather it should send the error details to an error log</t>
  </si>
  <si>
    <t>Fix</t>
  </si>
  <si>
    <t>Need to test in live</t>
  </si>
  <si>
    <t>When increase browser text size, top menu links and nav bar links overspill. Not sure what the best way is to fix this - make them fixed size?</t>
  </si>
  <si>
    <t>Bulk email send failed in live (see log for details) - every 31st email address fails</t>
  </si>
  <si>
    <t>Appear to be alphabetically ordered (in sys test) - this is probably due to the test data not having the correct order plumbed in, cos it seems OK for v8 data</t>
  </si>
  <si>
    <t>In order for the report to look tidy, if any of the initiatives include a "Not Yet Answered", "NR" or "EX" column, then you should include these columns in all tables so it all lines up nicely and so the Grade column is always in the same place (otherwise it's not always wide enough)</t>
  </si>
  <si>
    <t>CMC: Tested this in live and couldn't recreate all appeared fine so marking as fixed</t>
  </si>
  <si>
    <t>CMC:Again appeared fine in live so marking as Fixed</t>
  </si>
  <si>
    <t>CMC: Also made this change live</t>
  </si>
  <si>
    <t>CMC: Fixed this issue and some other issues with this page i.e. was showing the Org type as the code</t>
  </si>
  <si>
    <t>6/7 tested OK in live</t>
  </si>
  <si>
    <t>TH 16/6 for now it's a manual process to copy the files into the web server folder, but needs addressing longer term
TH 6/7 raised a separate defect in Misc Defects 2</t>
  </si>
  <si>
    <t>TH 6/7 raised as separate defect in Misc Defects 2</t>
  </si>
  <si>
    <t>The system does not publish the knowledge base</t>
  </si>
  <si>
    <t>The system does not publish any XL sheets</t>
  </si>
  <si>
    <t>The system does not publish any PDFs (and therefore does not publish the PDF file names to the database)</t>
  </si>
  <si>
    <t>Request to publish the knowledge base</t>
  </si>
  <si>
    <t>The system publishes the knowledge base (as per current)</t>
  </si>
  <si>
    <t>The system publishes or republishes the PDF and ZIP filenames to the database so that the download links all work OK</t>
  </si>
  <si>
    <t>The system publishes or republishes the XLS filenames to the database so that the download links all work OK</t>
  </si>
  <si>
    <t>Update Organisation Type help page (see prototype)</t>
  </si>
  <si>
    <t>Downloads page - large file size warning should only be displayed for files larger than 1MB</t>
  </si>
  <si>
    <t>Assessment Report: if no reports available, put message "No reports are currently available for this organisation" instead of "This organisation does not have any assessments you able to report on" (requested by Alistair Donaldson; he can't find anything more significant that needs changing :)</t>
  </si>
  <si>
    <t>TH 6/7 couldn't re-create either!</t>
  </si>
  <si>
    <t>TH 6/7 needs testing in live (can't test in sys test)</t>
  </si>
  <si>
    <t>TH 6/7 couldn't re-test since original issue came by way of a help desk call</t>
  </si>
  <si>
    <t>About page: update "Who has to carry out an information governance assessment?" section - content as per prototype.</t>
  </si>
  <si>
    <t>Evidence Location pop-up: using IE6 on Citrix, select "Upload File". System displays "Loading" message and progress indicator, but progress indicator is not animated and the system does not respond (waited for 10 minutes)</t>
  </si>
  <si>
    <t>THMA Re-working</t>
  </si>
  <si>
    <t>Changed wording in some help files as well</t>
  </si>
  <si>
    <t>Low.  CMC: Changed wording in some help files as well (sent mail to TOHE to update his opies)</t>
  </si>
  <si>
    <t>Low.  CMC: Also changes so open all help pages in a window without toolbars etc</t>
  </si>
  <si>
    <t>Low: CMC, couldn't actually see any difference ?  Have also changed breadcrumb so that when about is accessed correctly shows Help._About rather than Home-&gt;About, have done the same for Contact Us and Accessibility in the page header</t>
  </si>
  <si>
    <t>Req Details page (IE6) - target date calendar icon wraps onto separate line</t>
  </si>
  <si>
    <t>Low: CMC Have fixed font sizes for navigation headers etc as was unuseable anyway if increased text size</t>
  </si>
  <si>
    <t>ISO/IEC 27002:2005 - rename page to "BS ISO 27000 Series of Information Secuerity Standards", including link on Resources page. Breadcrumb can be shortened to "BS ISO 27000 Series"</t>
  </si>
  <si>
    <t>Criteria preamble (class "attainmentLevelPrompt") and evidence preamble (class "attainmentCriterionPrompt") are now too small</t>
  </si>
  <si>
    <t>Home page "What's New..." section should not have been changed - since it only shows the last 4 articles. Don't forget the ellipses either :)</t>
  </si>
  <si>
    <t>Need to rebuild test</t>
  </si>
  <si>
    <t>Need "s" on the end of "show" and need bold for "all"</t>
  </si>
  <si>
    <t>Org name and date should be &lt;h2&gt; not &lt;h3&gt;</t>
  </si>
  <si>
    <t>TH: Sorry, my fault, hadn't copied the prototype across to the shared drive. Have a look at it now.</t>
  </si>
  <si>
    <t>Nav bar items have grown slightly in font size and now Information Mapping crashes into the current item marker at the RHS</t>
  </si>
  <si>
    <t>Fixed in UAT but problem still occurring in live e.g. Org code FVG16 (Pearl Chemist)
TH 12/7: re-tested OK by user</t>
  </si>
  <si>
    <t>Was a data issue but only for the test i.e. Acute:Test and Gp:Test org types was missing the ordering in the test data script</t>
  </si>
  <si>
    <t>Assessment report - preamble para - change "RAG status" to "grade". Also on Report chooser page</t>
  </si>
  <si>
    <t>Improvement Plan Admin page - CC field - context help not showing - checked source code and I think the tag is wrong - should have a lower case "c" at the end of "improvementPlanReminderCc"</t>
  </si>
  <si>
    <t>Changed the error handling so that if it cannot write to the database it outputs a particular error message stating this.  Writing to log files etc can produce their own errors anyway</t>
  </si>
  <si>
    <t>CMC:Cant re-create on local or UAT enviroment.  I wonder iof changes to this screen have fixed this issue anyway so marked as fixed
TH 13/7 assumed fixed without retest</t>
  </si>
  <si>
    <t>In order for the report to look tidy, if any of the initiatives include a "Key Req'ts Not Yet Answered" column, then you should include this columns in all tables so it all lines up nicely and so the Grade column is always in the same place (otherwise it's not always wide enough)</t>
  </si>
  <si>
    <t>Request to register an account, and work through registration steps 1 and 2</t>
  </si>
  <si>
    <t>The system validates that I am able to register online (no change)</t>
  </si>
  <si>
    <t>The system displays step 3 and tells me i can register online (no change)</t>
  </si>
  <si>
    <t>The page includes a warning that I need to have access to my email account to complete registration. (see prototype for wording)</t>
  </si>
  <si>
    <t>Request to register an account, and work through steps 1, 2 and 3</t>
  </si>
  <si>
    <t>There is an option to enter my password</t>
  </si>
  <si>
    <t>There is an option to confirm my password</t>
  </si>
  <si>
    <t>The valid password rules are displayed</t>
  </si>
  <si>
    <t>Enter user details</t>
  </si>
  <si>
    <t>The system displays Registration Step 4</t>
  </si>
  <si>
    <t>The system validates that I have entered a password</t>
  </si>
  <si>
    <t>The system validates that I have confirmed my password and that it matches the password I entered</t>
  </si>
  <si>
    <t>The system displays Registration Step 5</t>
  </si>
  <si>
    <t>Work through registration to the point where I have validated my email address</t>
  </si>
  <si>
    <t>The system displays Regsitration Step 8</t>
  </si>
  <si>
    <t>Content is as per prototype</t>
  </si>
  <si>
    <t>The system sends me an email containing my account details (but not my password) - content as per registration_8.html</t>
  </si>
  <si>
    <t>Request to view the list of bulk emails</t>
  </si>
  <si>
    <t>For each unsent email, the system tells me the approximate number of users the email will be sent to, based on current user numbers and roles</t>
  </si>
  <si>
    <t>For each sent email, the system tells me how many users it was successfully sent to (captured at the time of sending)</t>
  </si>
  <si>
    <t>For each sent email, if there were any email failures, the system tells me how many users it failed to send to (captured at the time of sending)</t>
  </si>
  <si>
    <t>System validates that I have the "Bulk Email Approver" role (this is a role that can only be assigned by the sys admin)</t>
  </si>
  <si>
    <t>There is an option to approve the email</t>
  </si>
  <si>
    <t>Request to approve the email</t>
  </si>
  <si>
    <t>System approves the email</t>
  </si>
  <si>
    <t>System displays the bulk email list</t>
  </si>
  <si>
    <t>The email is marked as approved</t>
  </si>
  <si>
    <t>The system sends all approved emails that are on or past their send date</t>
  </si>
  <si>
    <t>View the email again</t>
  </si>
  <si>
    <t>There is an option to unapprove the email</t>
  </si>
  <si>
    <t>The email is read only</t>
  </si>
  <si>
    <t>Request to unapprove the email</t>
  </si>
  <si>
    <t>View the bulk email list</t>
  </si>
  <si>
    <t>All emails that are not sent (and not approved) are marked as "Draft" (state name change from "Pending")</t>
  </si>
  <si>
    <t>Request to view a Draft bulk email</t>
  </si>
  <si>
    <t>The system does not send any draft emails</t>
  </si>
  <si>
    <t>System unapproves the email (changes it back to draft)</t>
  </si>
  <si>
    <t>The email is marked as draft</t>
  </si>
  <si>
    <t>There is an option to view the email and an option to delete the email (but not to edit it)</t>
  </si>
  <si>
    <t>Make some changes to the email</t>
  </si>
  <si>
    <t>System saves my changes</t>
  </si>
  <si>
    <t>In live (using Firefox): org NP201, req 206 - level 1 and 2 ticked but current level shows as blank.</t>
  </si>
  <si>
    <t>Req Details page - add whitespace between "Add other edidence" and the context help icon. Ditto "Add an action" and context help icon</t>
  </si>
  <si>
    <t>Evidence Location pop-up, Upload File option, info message "Evidence files are stored on our secure server...". Change text from bold red to normal black by changing class from (I think) "infoMessage error" to "infoMessage"</t>
  </si>
  <si>
    <t>In sys test, cannot upload any evidence files - getting a virus checker error message (even for a gif)</t>
  </si>
  <si>
    <t>Req Details page. Add an action, type enough words to over fill the input box. Then add an owner, then click on the calendar icon to add a date.  In IE7, the table becomes too wide to fit in the surrounding DIV and disappears off the RHS. In IE8, the whole left hand half of the main panel disappears. See email from Rees Cox, 13/06,2010 - forwarded by Tony Heap to Chris Clark on 13/06/2010</t>
  </si>
  <si>
    <t>Assessment Summary page: make the assessment status larger - font-size 1.2em (see prototype for styling)</t>
  </si>
  <si>
    <t>Started RATty, didn't import data into staging tables, ran XLS publish, RATty crashed with no error message</t>
  </si>
  <si>
    <t xml:space="preserve">Reqt Owners page - add a Save button to the top as well as at the bottom. Also </t>
  </si>
  <si>
    <t>Req Owners page - add a "Cancel" button which returns to the Req List page without saving changes</t>
  </si>
  <si>
    <t>Req Owners page - add white space between the table and the Save button. In the prototype I have a class "buttons" defined in master_delta.css</t>
  </si>
  <si>
    <t>Req Owners page - change table style to match that on Req List page</t>
  </si>
  <si>
    <t>Req Details page - evidence bullet list - second and subsequent lines need to be indented</t>
  </si>
  <si>
    <t>TH 14/7 Suspect this is a Citrix security permissions issue so have asked user to check it out with their IT people (lyndaharris2@nhs.net; 01582 568935).
Awaiting a response</t>
  </si>
  <si>
    <t>Sorry, my fault: all the current and target scores need to be rounded down to the nearest whole percentage. You can achieve this by wrapping your formula within "=FLOOR(&lt;formula&gt;, 0.01)"</t>
  </si>
  <si>
    <t>Downloads page - XLS download - change ".XLS" to just "XLS"</t>
  </si>
  <si>
    <t>Started RATty, did import data, didn't publish data, ran XLS publish, got the following error: "Publish failed &amp; Rolled Back with: Object cannot be cast from DBNull to other types</t>
  </si>
  <si>
    <t>System Error page - make it not log the user out if possible</t>
  </si>
  <si>
    <t>Published req data then published req PDFs. In web app, went to req list page and got a system error "Item has already been added. Key in dictionary: '101' Key being added: '101'" - screenshot sent to Tom</t>
  </si>
  <si>
    <t>TH</t>
  </si>
  <si>
    <t>System Error page - in test environment only, provide direct link to the error display page</t>
  </si>
  <si>
    <t>Published new req't 102 to acute, went into web app, viewed req't and KB links were there - they should not have been.</t>
  </si>
  <si>
    <t>TH retected still failed</t>
  </si>
  <si>
    <t>Tried to publish XLS based on full RATty DB (not just a subset). Got the following error: "A an item with the same key has already been added"</t>
  </si>
  <si>
    <t>Firefox: yellow buttons not yellow (only yellow on hover)</t>
  </si>
  <si>
    <t>Firefox: News page: RSS Feed logo on RHS too low down</t>
  </si>
  <si>
    <t>Context help link not there</t>
  </si>
  <si>
    <t>Include &lt;h2&gt; tage Report Results as per prototype</t>
  </si>
  <si>
    <t>Remove date prepared - I know someone might print out the report so the date might be useful but it just looks a bit weird on an online report with the criteria at the top</t>
  </si>
  <si>
    <t>Table format - change all table styles from "listing" to "simple"</t>
  </si>
  <si>
    <t>Button to create XL: change label to "Export Report (MS Excel) - with a tooltip "Click to export the report to Microsoft Excel (XLS format)"</t>
  </si>
  <si>
    <t>Use classes "RAGRed", "RAGAmber" and "RAGGreen" for the RAG/grade colours (see prototype)</t>
  </si>
  <si>
    <t>Don't put the report within a scrollable frame (the prototype seems OK re. the table going off the RHS of the page)</t>
  </si>
  <si>
    <t>Further updates to Assessment Help (simplified and Social Care) as per email from TH to CMC on 19/07/2010 (ref. Magi)</t>
  </si>
  <si>
    <t>Put an &lt;hr&gt; before "Report Results" (as per prototype)</t>
  </si>
  <si>
    <t>You have a empty &lt;tr&gt; at the end of the report table which is showing up as an extra horizontal black line</t>
  </si>
  <si>
    <t>You are not using the "odd" and "even" classes to set the background colours for alternate rows in the table - instead you have a black border separator. Note that all rows for a gve version should be the same bg colour (see. Prototype example 3]</t>
  </si>
  <si>
    <t>Content is being cut off at the RHS due to overflow:hidden in IE6.css</t>
  </si>
  <si>
    <t>Superseded by S201</t>
  </si>
  <si>
    <t>19/07 TH retested still failed</t>
  </si>
  <si>
    <t>Version numbers are reversed (e.g. It says "will be uplifted from v8.1 to v8.0")</t>
  </si>
  <si>
    <t>The system told me I *cannot* publish, even though I only have req'ts to be uplifted, not added</t>
  </si>
  <si>
    <t>The system warning was displayed *before* the summary of affected orgs instead of after</t>
  </si>
  <si>
    <t>TM 20/7 Cannot replicate</t>
  </si>
  <si>
    <t>TM 20/7 - As above.</t>
  </si>
  <si>
    <t>You have black borders hard-coded in as HTML styles - remove them</t>
  </si>
  <si>
    <t>Tested target but not stages</t>
  </si>
  <si>
    <t>Version 8 assessment (approved), org a.test:acute - got system error</t>
  </si>
  <si>
    <t>tested by cmc</t>
  </si>
  <si>
    <t>System error as sent to Tom</t>
  </si>
  <si>
    <t>When clicked "back to Assessment Report" got a system error (specifically if no previous assessment to report on)</t>
  </si>
  <si>
    <t>TM 20/7 - Have added credentials as part of request to see if it is a proxy problem - pls retest and let me know if fixed.
TH 21/7 still not clearing the cache - TM says the web service is being called OK (checked Meerkat logs) so problem must be within the cache clearing code (originally written by RJM)</t>
  </si>
  <si>
    <t>NR tickbox shown but level 0-3 tickboxes not shown</t>
  </si>
  <si>
    <t>Superseded by S165</t>
  </si>
  <si>
    <t>Assessments page: logged in as nhscfh, view assessments for a.test:acute when the v99 assessment is approved. Importantly, the main content is shorter than the nav bar. Unapprove the assessment. The main panel grows in length and overflows into the footer. The main content does not expand. I think this is because somewhere in javascript there is a bit which sets the main content height to the same as the nav bar height if it is smaller (to avoid a pale blue background) - i am guessing that this function isn't being triggered when the page refreshes with the unapproved assessment. The most elegant solution to this would be to change the main content background to white and get rid of the height fixer function (but then again the height fixer is in there for a reason...)</t>
  </si>
  <si>
    <t>The data is not shown but the expander is there - remove it if the user is not entitled to see the details</t>
  </si>
  <si>
    <t>Attainment criteria are shown - there should be no expanders against the attainment levels</t>
  </si>
  <si>
    <t>a.test:acute - answer level 0 on all req'ts, baseline, perf update, mark all req'ts complete and confirmed, then confirm assessment, submit, approve. Now unapprove, unsubmit, unconfirm. Drill down to Req 99-101. Got a system error "Object reference not set to an instance of an object"</t>
  </si>
  <si>
    <t>System Error display page - make the system cauture and display date &amp; time the error occurred</t>
  </si>
  <si>
    <t>Too much - I only wanted a single space!</t>
  </si>
  <si>
    <t>Odds and Ends 6</t>
  </si>
  <si>
    <t>Spare " at the end of added para</t>
  </si>
  <si>
    <t>Works OK in UAT - problem is sys test doesn't have Symantec installed - so just need to fix in sys test env't</t>
  </si>
  <si>
    <t>News Article page - change "Back to What's New page" to "Back to News page"</t>
  </si>
  <si>
    <t>Misc Defects 3</t>
  </si>
  <si>
    <t>TH 23/07 Assumed client-side problem - user never got back to us to confirm</t>
  </si>
  <si>
    <t>CMC: Have slightly changed the segment colours as thought the Not Relevant/Exmpt/Not Answered segments were'nt clear.</t>
  </si>
  <si>
    <t>CMC: Note only a chart for an initiative if that initiative contains break down for the main assessment, can be instances where it isn't e.g. when displaying historical initiative which no longer exist for current assessments</t>
  </si>
  <si>
    <t>CMC: Note this is only PPR report on other organisations.  Should still be able to see it for own organisation</t>
  </si>
  <si>
    <t>GT</t>
  </si>
  <si>
    <t>GT - Not sure on this - simplified interface?</t>
  </si>
  <si>
    <t>GT - This is displayed but the user has to browse back to the user admin page</t>
  </si>
  <si>
    <t>GT - Assessment, PPR and Improvement Plan Reports are all visible for my organisation and PPR for other organisations</t>
  </si>
  <si>
    <t>GT - If you click cancel then no amendments are saved</t>
  </si>
  <si>
    <t>CMC:Cannot re-create locally or on system test will need to check with Gee what org type he used etc.</t>
  </si>
  <si>
    <t xml:space="preserve">GT - When editing a users role, once updated the screen should either return to the previous screen and/or provide confirmation that the role has been updated.  Also the commas between each role title are sepearated by an extra space between each title e.g. Organisation Administrator ,  Organisation Auditor ,  User admin sceen needs a Cancel button.  </t>
  </si>
  <si>
    <t>The breadcrumb trail is unable to display the full trail path due to size limitation in the sites design.</t>
  </si>
  <si>
    <t>CMC:Have added a user updated message to the screen.  Also changed to remove extra whitespace in role summary on user summary screen.  Have also added Cancel button to User details screem</t>
  </si>
  <si>
    <t>This is duplicate of step 7</t>
  </si>
  <si>
    <t>GT - This may not be a defect but should the key grade colours match the atainment colours? E.g. Atainment Level 2 Yellow equals Grade Satisfactory Yellow as  satisfactory is level two and above?</t>
  </si>
  <si>
    <t>GT - You mentioned colours have changed however I'm not sure which ones.  Grade colour - Red appears to be a slightly different red.  You mentioned - Not yet answered colour has been changed this was previously grey and is now pink.</t>
  </si>
  <si>
    <t>GT - There now appears to be multiple piecharts each of these are current.</t>
  </si>
  <si>
    <t>This is related to problem outlined in step 10</t>
  </si>
  <si>
    <t>With IE6 when expand the criteria for an attainment level the display jumps and puts the main display below the navigation header</t>
  </si>
  <si>
    <t>The email tells me how many accounts are registered to the same address</t>
  </si>
  <si>
    <t>The email includes a link to reset all passwords at once</t>
  </si>
  <si>
    <t>The email lists details for all accounts (as per Main Flow)</t>
  </si>
  <si>
    <t>The email puts "Account 1", "Account 2" etc. above each set of account details</t>
  </si>
  <si>
    <t>The email includes a link to reset the password on each individual account</t>
  </si>
  <si>
    <t>This document (together with a number of supplementary documents) is the functional specification for the "ExampleApp" project.</t>
  </si>
  <si>
    <r>
      <t>The "</t>
    </r>
    <r>
      <rPr>
        <b/>
        <sz val="11"/>
        <color indexed="8"/>
        <rFont val="Calibri"/>
        <family val="2"/>
      </rPr>
      <t>Actors</t>
    </r>
    <r>
      <rPr>
        <sz val="11"/>
        <color theme="1"/>
        <rFont val="Calibri"/>
        <family val="2"/>
        <scheme val="minor"/>
      </rPr>
      <t>" workheet specifies all actors (users and external systems)</t>
    </r>
  </si>
  <si>
    <t>Nb CMC also spent some time on this</t>
  </si>
  <si>
    <t>Better understand the widgets list</t>
  </si>
  <si>
    <t>Request to view the widgets list (any org type)</t>
  </si>
  <si>
    <t>The widgets are grouped by initiative (with initiative sub-headers and colour coding)</t>
  </si>
  <si>
    <t>A new column "Key Req" indicates whether key widget (including use of icons and/or colour)</t>
  </si>
  <si>
    <t>For each answered key widget, the Attainment Level column includes a "status" indicator showing whether or not Attainment Level 2 reached</t>
  </si>
  <si>
    <t>View key information about a (v8+) widget</t>
  </si>
  <si>
    <t>Request to view a specific (v8+) widget</t>
  </si>
  <si>
    <t>The header panel is re-organised to list key data down the RHS (widget no, initiative, whether key widget, org type, widget version number)</t>
  </si>
  <si>
    <t>The version number is of the format &lt;major&gt;.&lt;minor&gt; e.g. 8.0. Note that individual widgets in the same set can be at different minor versions.</t>
  </si>
  <si>
    <t>The HORUS categorisation is removed
(this only applies for v8+ widgets - it is to be retained for v7- widgets)</t>
  </si>
  <si>
    <t>The MSPrPe categorisation is removed
(this only applies for v8+ widgets - it is to be retained for v7- widgets)</t>
  </si>
  <si>
    <t>The Category categorisation is removed
(this only applies for v8+ widgets - it is to be retained for v7- widgets)</t>
  </si>
  <si>
    <t>View the widget description for a (v8+) widget</t>
  </si>
  <si>
    <t>View the guidance text for a (v8+) widget</t>
  </si>
  <si>
    <t>Medium
EP - This seems to have rectified itself. Perhaps with a subsequent fix for another defect.</t>
  </si>
  <si>
    <t>EP - a.test:gp is currently in this state. I am now using acute2 user for further tests for now
EP - This defect is not occuring now for some reason.</t>
  </si>
  <si>
    <t>DES fixed 17/06</t>
  </si>
  <si>
    <t>[email from Rees Cox, sent to RJM/CMC]
IE8, UAT env't - Req Details page (logged in) - reqt 8603 - expand Attainment Levels then expand Guidance. Blue boxes obscure the guidance text</t>
  </si>
  <si>
    <t>Setup an action with a due date in the past but it appears on the email like the rest of the future due date actions. Is not specifically flagged as overdue (that I can see anyway)!</t>
  </si>
  <si>
    <t>No KB docs being displayed (but are appearing in req'ts pages)</t>
  </si>
  <si>
    <t>Copying the file to the web server is currently a manual process and needs automating</t>
  </si>
  <si>
    <t>Glossary PDF - don't break table rows across pages</t>
  </si>
  <si>
    <t>Change page title as per email to NL</t>
  </si>
  <si>
    <t>Formatting of description field first row is incorrect</t>
  </si>
  <si>
    <t>Remove hyperlink from description field</t>
  </si>
  <si>
    <t>home page - extraneous &lt;label&gt; tag in TD cell to left of "Log In" button</t>
  </si>
  <si>
    <t>Regsiter 1 - no "for" in labels</t>
  </si>
  <si>
    <t>ReportsOrganisationChooser.aspx - no "for" in Org Code label</t>
  </si>
  <si>
    <t>You've added tables but not set the class "dataLayout" (you will also need to copy the relevant styles from master_delta.css")</t>
  </si>
  <si>
    <t>Content not changed!</t>
  </si>
  <si>
    <t>Had to setup a user at an acute trust to test this. Set up and chose option 'don't email' in dropdown. When this user is then set as a req owner and you go to the imp plan admin page you get a msg to say the user does not have an email address</t>
  </si>
  <si>
    <t>Resources -&gt; Knowledgebase Archive -&gt; Search (without specifying text) -&gt; Exception Details: System.Data.OleDb.OleDbException: Service is not running.</t>
  </si>
  <si>
    <t>Log on as acute trust user with no permissions. "Go to Assessments Page" button should not be displayed (in the same way that the Assessments option on the nav bar is not displayed (and if you click the button you get an error)</t>
  </si>
  <si>
    <t>Withdrawn - environment issue due to MS Index Server not being installed on test server - not worth installing to test. Chris promises it will be Okk in live</t>
  </si>
  <si>
    <t>corners are not curved but other than that all looks good.</t>
  </si>
  <si>
    <t>DES - fixed 17/06 / 18/06</t>
  </si>
  <si>
    <t>There is an option to view the Improvement Plannign help topic (order and wording as per prototype)</t>
  </si>
  <si>
    <t>Request to view the Improvement Planning help topic</t>
  </si>
  <si>
    <t>Improvement Planning help topic displayed in new window</t>
  </si>
  <si>
    <t>Go to improvement plan report page</t>
  </si>
  <si>
    <t>Go to improvement plan admin page</t>
  </si>
  <si>
    <t>There is an option to print the page at the top of the page (which triggers the standar print dialog)</t>
  </si>
  <si>
    <t>There is an option to close the window at the bottom of the page (which closes the window)</t>
  </si>
  <si>
    <t>There is an option to view the Organisation Types help topic (order and wording as per prototype)</t>
  </si>
  <si>
    <t>Organisation Types help topic displayed in new window</t>
  </si>
  <si>
    <t>Request to view the help topic</t>
  </si>
  <si>
    <t>There is an option to view the Organisation Types help topic (style as per prototype)</t>
  </si>
  <si>
    <t>There is an option to view the Organisation Types help topic (not prototyped)</t>
  </si>
  <si>
    <t>There is an option to view the Improvement Planning help topic (style as per prototype)</t>
  </si>
  <si>
    <t>Upload Evidence Last Chance Saloon</t>
  </si>
  <si>
    <t>Be less confused when uploading evidence</t>
  </si>
  <si>
    <t>The "Uploaded" option is changed to "Upload File"</t>
  </si>
  <si>
    <t>The "Local File" option is no longer available</t>
  </si>
  <si>
    <t>Select "Upload File"</t>
  </si>
  <si>
    <t>The "Upload New File" button is above the "Uploaded File" drop-down</t>
  </si>
  <si>
    <t>The context help icon to the RHS of the "Upload New File" button has tag "evidenceLocationUploadNewFile"</t>
  </si>
  <si>
    <t>The context help icon to the RHS of the "Uploaded File" button has tag "evidenceLocationUploadedFile"</t>
  </si>
  <si>
    <t>Select "intranet"</t>
  </si>
  <si>
    <t>There is a context help icon to the RHS of the "View" button, tag evidenceLocationIntranetView (intranet only, not internet)</t>
  </si>
  <si>
    <t>The default option for Uploaded File is "[Select a previously uploaded file]"</t>
  </si>
  <si>
    <t>The context help file has been updated to cover the new tags mentioend above</t>
  </si>
  <si>
    <t>TH 16/6 re-tested this and now it is showing the template row as well as the real data rows (need to delete it?)</t>
  </si>
  <si>
    <t>Column A needs to be a bit wider to accommodate the wider text</t>
  </si>
  <si>
    <t>Setup an EXEMPT req. This has a req owner setup. When I send the ad hoc email an email is sent to this person but it is completely blank.</t>
  </si>
  <si>
    <t>I have a gp assessment where first 2 reqs are set to level 2 but their target levels are 3. These both show when I produce an imp plan report. However, the third req is set to level 1 with no target level set so can see a red cross. I would also expect to see this on the imp plan report but it isn't.
Also tried to send an ad-hoc email to the req owner of the third one but their name is not in the list to send an email to. Just the first 2 owners of the first 2 reqs.</t>
  </si>
  <si>
    <t>The system displays the "expanders" call-out (no change)</t>
  </si>
  <si>
    <t>The system does not display the "Attainment Levels" call-out</t>
  </si>
  <si>
    <t>Close the "expanders" call-out</t>
  </si>
  <si>
    <t>The system displays the "Attainment Levels" call-out</t>
  </si>
  <si>
    <t>Click an attainment level 1, 2 or 3</t>
  </si>
  <si>
    <t>Instead of the warning pop-up, the system displays a warning call-out (including the standard "close" and "don't show me this again" options</t>
  </si>
  <si>
    <t>Click on an attainment criterion (as an org type for whom evidence is "overall mandatory"</t>
  </si>
  <si>
    <t>Expand the Attainment Levels section</t>
  </si>
  <si>
    <t>The system displays a call-out on the expander for Attainment Level 1 saying something like "Click here to view the attainment criteria."</t>
  </si>
  <si>
    <t>The checkboxes are disabled but I get the "you can't tick this yourself" warnings whereas in this case they are *really* disabled because the assessment is submitted so the warning is not appropriate</t>
  </si>
  <si>
    <t>RJM: Makes sense that if anything entered mark as L0. Doesn't make sense that if 1a changed but not 1b mark 0. What if 1a &amp;&amp; 1b are changed? What if level is NR or EX when you change any of the other criteria?
TH: I agree so only leave the score blank if I have not yet achieved *any* criteria.</t>
  </si>
  <si>
    <t>The "for" ID is wrong - it's missing "_ddlOrgTypes" off the end</t>
  </si>
  <si>
    <t>Assessment Report page - Assessment label not marked up as a label</t>
  </si>
  <si>
    <t>Assessment Report page - First group of checkboxes not marked up as labels</t>
  </si>
  <si>
    <t>Assessment Report page - second group of checkboxes *are* marked up as labels and are consequently appearing in bold, which looks wrong. Suggest adding a new style checkboxLabel and making them not bold</t>
  </si>
  <si>
    <t>Registration Step 1 - can you explicitly set the width of the first column in both tables to the same so that they line up (see prototype for markup)</t>
  </si>
  <si>
    <t>Registration Step 6 - can you explicitly set the width of the first column in both tables to the same so that they line up (see prototype for markup)</t>
  </si>
  <si>
    <t>Registratuion Step 7 - the two yellow alert boxes need the "!" icon adding (use &lt;div class="infoMessage"&gt;)</t>
  </si>
  <si>
    <t>IE7, Req Details page - top nav not showing (it's OK on other pages, just this one!)</t>
  </si>
  <si>
    <t>Evidence location dialog box. Choose 'Internet' or 'Intranet'. The ? Next to URL line states 'context help is not available'</t>
  </si>
  <si>
    <t>Des 21/06: Not able to re-produce</t>
  </si>
  <si>
    <t>Des 21/06: Fixed.</t>
  </si>
  <si>
    <t>Des 18/06: Implemented</t>
  </si>
  <si>
    <t>Des 16/06: Implemented</t>
  </si>
  <si>
    <t>On the Forgotten User Details screen the sentence at the top reads 'To receive a reminder of your user details by email, fill in the form below, then click 'Remind Me':
Please can you change the : to be a . As per the prototype</t>
  </si>
  <si>
    <t>Register Step 4
Fields:
Name (Forename Surname)
Email
Confirm Email
Telephone</t>
  </si>
  <si>
    <t>Admin link
New User link
Field:
Name (Forename Surename)</t>
  </si>
  <si>
    <t>Admin link
My Details link
Field:
Name (Forename Surename)</t>
  </si>
  <si>
    <t>Admin link
My Password link
Fields:
Current Password
New Password
Confirm New Password</t>
  </si>
  <si>
    <t>Evidence Location dialog box
Fields:
Evidence Location dropdown
Uploaded File (Uploaded File)
URL (Internet/Intranet)
Fielname (Local File)
Details (Other)</t>
  </si>
  <si>
    <t>EP - I need to try and re-produce this because Des can't recreate this and neither can I now
EP - Can't reproduce this now. Weird things happening with imp plan.</t>
  </si>
  <si>
    <t>Text for a bullet point which goes onto a second line could be better indented</t>
  </si>
  <si>
    <t>Fix (Low)</t>
  </si>
  <si>
    <t>TH - I have updated the relevant text in contextHelp v3 WIP.xml - just needs copying across</t>
  </si>
  <si>
    <t>Rename the Assessments page to "Assessment Summary". This should affect the &lt;h1&gt; tag and also the breadcrumb</t>
  </si>
  <si>
    <t>On the home page, relabel the "Go To The Assessments Page" button to "Go To The Assessments Section"</t>
  </si>
  <si>
    <t>Re-test in UAT once re-deployed</t>
  </si>
  <si>
    <t>Not found
TH 22/6 - can't re-create</t>
  </si>
  <si>
    <t>Evidence Location pop-up - if I specify "Local File" and select a file and then do the same again (same file) against another evidence item, the filename won't populate. If I click Save on the Req Details page and then try again it works.</t>
  </si>
  <si>
    <t>RJM: Not a defect. It is a feature of IE6/7.  They need to ask their own tech support to fix the issue with Word/IE6/7. The problem occurs with .docx files - ie the new word 2007 format. If you just click OK, OK, OK... the file will display. This message can appear if:
The converter was not properly registered.
The converter was inadvertently deleted without removing the registry information.
The converter support files are corrupt.
The converter installation was removed and the uninstall tool did not finish clearing the registry settings.
The hard disk is damaged where the converter files were stored.
Usually, reinstalling the converter will overcome this problem. If the converter reports that it is already installed, first uninstall it so that the setup program can remove the files and registry settings.
If removing and reinstalling the converter is not successful, there may be a problem with a resource on the computer (for example, an executable file that is needed to properly register the converters on the computer has failed or stopped running). In this case, it is best to turn off the computer and start over.
TH 22/6 - withdrawn</t>
  </si>
  <si>
    <t>I have an assessment where I have not got an "answer" for all widgets (an "answer" is an attainment level, NR or EX)</t>
  </si>
  <si>
    <t>The widget is "locked out" - all the fields are disabled read-only</t>
  </si>
  <si>
    <t>The widget is no longer "locked out" - all the fields are disabled read-only</t>
  </si>
  <si>
    <t>View the fact that I have been exempt from a widget in the widgets list</t>
  </si>
  <si>
    <t>Browse to a specific widget for which "not relevant" is *not* an option</t>
  </si>
  <si>
    <t>Mark the widget as exempt</t>
  </si>
  <si>
    <t>The system updates the status of the widget response to "In Progress"</t>
  </si>
  <si>
    <t>The widget status is shown as "In Progress"</t>
  </si>
  <si>
    <t>Answer all other widgets at level 0</t>
  </si>
  <si>
    <t>Request to view a (v8+) assessment for a specific organisation (one which has widgets owners set up)</t>
  </si>
  <si>
    <t>Request to view the details of a specific widget</t>
  </si>
  <si>
    <t>The widget complete and confirmed fields are not shown (including the labels)</t>
  </si>
  <si>
    <t>View a specific (v8+) widget within the context of an in-progress assessment</t>
  </si>
  <si>
    <t>WITHDRAWN: When I move to a new widget the top levels are also initially collapsed (the system does not remember how I left them)</t>
  </si>
  <si>
    <t>If there are no widget changes to display, the system displays the text: "There are no material changes since the last major version of this widget." instead of just "There are no material changes."</t>
  </si>
  <si>
    <t>When not logged in, Can't get through to the widget details page as there is no link from the widgets list page! (the "Action" column has disappeared!</t>
  </si>
  <si>
    <t>Superseded by later widget</t>
  </si>
  <si>
    <t>The tooltip for the print button is "View a printable (PDF) version of this widget"</t>
  </si>
  <si>
    <t>The key icon in the widget header panel (if present) has style "vertical-align:middle" which gives a good compromise between it poking out the top too much versus too big a gap between first and second line of text</t>
  </si>
  <si>
    <t>If the assessment is in progress and this is not the last widget, the "Next" button is yellow</t>
  </si>
  <si>
    <t>If I am looking at the widget not within the context of an assessment, there should be no yellow button (neither "Next" nor "Done")</t>
  </si>
  <si>
    <t>If the assessment is in progress and this *is* the last widget, the "Done" button is yellow</t>
  </si>
  <si>
    <t>See "help" callouts on the widget details page</t>
  </si>
  <si>
    <t>When I first view the page, there is a callout (or other device) drawing my attention to the Attainment Levels section explaining what it does e.g. "Expand this section to enter or edit your answer to this widget.". The callout has an option to close and an option to "don't show me this again"</t>
  </si>
  <si>
    <t>View the PDF version of a (v8+) widget</t>
  </si>
  <si>
    <t>Be able to select from three variants of the widget PDF</t>
  </si>
  <si>
    <t>Request to print a (v8+) widget</t>
  </si>
  <si>
    <t xml:space="preserve">The system displays a pop-up asking "Please select an option:" then three radio buttons: "Full widget", "Guidance only", "Attainment levels/checklist only".
</t>
  </si>
  <si>
    <t>Select the "Full widget" option</t>
  </si>
  <si>
    <t>The system displays the full widget variant of the widget PDF</t>
  </si>
  <si>
    <t>The system displays the "guidance only" variant of the widget PDF (note, this may require some enhancements to the publish process)</t>
  </si>
  <si>
    <t>The system displays the "attainment levels only" variant of the widget PDF (note, this may require some enhancements to the publish process)</t>
  </si>
  <si>
    <t>The system displays the following "widget status" information:</t>
  </si>
  <si>
    <t>- don't display "widget status" information</t>
  </si>
  <si>
    <t>The system validates that the next stage for my assessment is a baseline but that it is not yet ready for a baseline (because not all widgets answereed)</t>
  </si>
  <si>
    <t>The tooltip on the "Submit Baseline" button says "You cannot submit a baseline until all widgets have been answered"</t>
  </si>
  <si>
    <t>The system validates that the next stage for my assessment is confirmation but that it is not yet ready for confirmation (because not all widgets confirmed complete)</t>
  </si>
  <si>
    <t>The tooltip on the "Confirm" button says "You cannot confirm this assessment until all individual widgets have been confirmed complete"</t>
  </si>
  <si>
    <t>The system validates that the next stage for my assessment is final submission but that it is not yet ready for submission (because not all widgets answered)</t>
  </si>
  <si>
    <t>The tooltip on the "Submit" button says "You cannot submit this assessment until all widgets have been answered"</t>
  </si>
  <si>
    <t>Request to view the widgets list for my own in-progress assessment</t>
  </si>
  <si>
    <t>The table headings and look and feel of the page and table are as per the prototype ("widgets_list_acute_logged_in.html")</t>
  </si>
  <si>
    <t>Font size still too small - see prototype for appropriate style "widgetNumber"</t>
  </si>
  <si>
    <t>The widget status for a "not started" widget is displayed as "Not Answered" (yes, it's a u-turn!)</t>
  </si>
  <si>
    <t>The widget status for an "in progress" widget is displayed as "Answered" (yes, it's a u-turn!)</t>
  </si>
  <si>
    <t>The widget descriptions are *not* clickable</t>
  </si>
  <si>
    <t>For each widget there is a button (in a separate column) which links through to the widget details page</t>
  </si>
  <si>
    <t>If the widget is "not answered" then the button label is "Answer"</t>
  </si>
  <si>
    <t>If the widget is "not answered" then the button label is "Edit"</t>
  </si>
  <si>
    <t>If there are any widgets that are "not answered", the button for the topmost one is coloured yellow</t>
  </si>
  <si>
    <t>The links "Printable version", "Downloads and booklets" and "Assign widget owners" (if available to the current user) are positioned on a single line as per prototype.</t>
  </si>
  <si>
    <t xml:space="preserve">Request to view the widgets list for my own "confirmed" (i.e. Not in progress) assessment
</t>
  </si>
  <si>
    <t>The widget details button labels are all "View"</t>
  </si>
  <si>
    <t xml:space="preserve">Request to view the widgets list for a given org type (i.e. Not within the context of an assessment)
</t>
  </si>
  <si>
    <t>The table headings and look and feel of the page and table are as per the prototype ("widgets_list_acute.html")</t>
  </si>
  <si>
    <t>There are various stylesheet changes (Tony to provide updated versions of master.css and igt.widgets.css)</t>
  </si>
  <si>
    <t>The system validates that my organisation is in a position to start a new assessment i.e. I do not already have an assessment for the latest widget version and I do not have an incomplete previous assessment</t>
  </si>
  <si>
    <t>Knowledge base page - include file type and size after filename for internal files (as per widget details page)</t>
  </si>
  <si>
    <t>View an in-progress (v8+) widget within the context of an in-progress assessment</t>
  </si>
  <si>
    <t>IE6 fix: Keep your eyes closed then you wont notice. No widget 202. Not sufficient information on conditions to recreate problem.</t>
  </si>
  <si>
    <t>On the widget details page, if I change the target date, the save button is not enabled</t>
  </si>
  <si>
    <t>If you log in as CfH go to the Assessments option and pick an organisation to view their assessments (e.g. REM).  Drill down into the View Details link to get the widgets list.  If you now click the Back To Assessments Page it’s lost the details of what organisation was being viewed.</t>
  </si>
  <si>
    <t>On widgets details page had a problem that when logged on as CfH user if set a widget to Exempt and click Next or Prev button to save it, it doesn’t get saved.</t>
  </si>
  <si>
    <t>As a.test:gp, completed all widgets then submitted assessment. Went back to Req Details page and the attainment level and attainment criteria tickboxes were still enabled (although there was correctly no save button)</t>
  </si>
  <si>
    <t>in UAT, with full widget set, the Improvement Plan Report pop-up very slow to load (probably slower due to having full reqt set)</t>
  </si>
  <si>
    <t>Improvement Plan report - Incomplete Items Only - widget was not yet answered and target not set - and it wasn't included in the report - I would expect it to assume current level 0 and target level 3 and thus show all criteria in levels 1, 2 and 3 (subject to rules on Level 3 Maintenance)</t>
  </si>
  <si>
    <t>Org a.test:sc - answered all widgets then went to Req List page. It displayed the "submit now" panel which was supposed to have been removed.</t>
  </si>
  <si>
    <t>CMC:I copied the HTML as was given in the prototype at the time of development.  The HTML which will get produced is really part of the publish story, as such .  not sure there's too much point frigging with the test HTML to get the result we want.  Propose leaving this till testing of the publish process.
TH 16/3: I will attempt to "fix" these in the prototype and then you can take the latest cut of the prototype HTML
TH 22/3: fixed in prototype (see email from me the other day) CMC 06/04 Think this is now fixed looks ok to me with published data from RATTY anyway
TH 12/04: the publish function may work OK but the test data itself needs to be valid, both for manual and automated testing purposes
CMC 26/04 Guidance text fixed for Acute Test widget 101</t>
  </si>
  <si>
    <t>View and access the knowledge base resources that are relevant to a (v8+) widget</t>
  </si>
  <si>
    <t>There is a list of all knowledge base resources relevant to the widget</t>
  </si>
  <si>
    <t>CMC:Fixed as part of reskin of widgets page</t>
  </si>
  <si>
    <t>CMC: Are now underlined as per re-skin of widgets page
22/10 TH: Failed retest. Note that some links are not underlined even before I have visited them.</t>
  </si>
  <si>
    <t>View the widget origins for a (v8+) widget</t>
  </si>
  <si>
    <t>There is a section containing the widget origins  (after the (optional) Training section)</t>
  </si>
  <si>
    <t>The widget origins section is a bullet list of free format text items</t>
  </si>
  <si>
    <t>Request to view a specific (v8+) widget which has no widget origins</t>
  </si>
  <si>
    <t>The widget origins section is empty i.e. this case is treated as a bullet list with zero items in it (on the basis that it is not expected to arise)</t>
  </si>
  <si>
    <t>View a list of material changes that have been made in this (major) version of the (v8+) widgets</t>
  </si>
  <si>
    <t>There is a section containing a list of material changes to the current (major) version of the widget</t>
  </si>
  <si>
    <t>Request to view a specific (v8+) widget which has no material changes</t>
  </si>
  <si>
    <t>The "changes" section states that there are no material changes in this version of the widget</t>
  </si>
  <si>
    <t>View the training tool text for a (v8+) widget</t>
  </si>
  <si>
    <t>Request to view a specific (v8+) widget for which the training tool text is relevant</t>
  </si>
  <si>
    <t>Request to view a specific (v8+) widget for which the training tool text is *not* relevant</t>
  </si>
  <si>
    <t>CMC:Was a misinterpretation of the widget.  I thought it was only the custom text which was conditional and thought that IO could simply check whether it was null or not.  So to confirm if the Training Text relevant flag is set you display the traing text section and if theres some custom text you also display that.  Correct ?</t>
  </si>
  <si>
    <t>View (v8+) widget-specific training tool text</t>
  </si>
  <si>
    <t>Request to view a specific (v8+) widget for which the training tool text is relevant and for which there is widget-specific training tool text</t>
  </si>
  <si>
    <t>The widget-specific training tool text is displayed as a paragraph immediately prior to the training tool link.</t>
  </si>
  <si>
    <t>View attainment levels and attainment criteria for a (v8+) widget</t>
  </si>
  <si>
    <t>Request to view a (v8+) widget which has Level 3 Maintenance criteria</t>
  </si>
  <si>
    <t>Request to view a (v8+) widget for which "not relevant" is a valid response</t>
  </si>
  <si>
    <t>There is some widget-specific text to explain what "not relevant" means.</t>
  </si>
  <si>
    <t>Request to view a (v8+) widget for which "not relevant" is *not* a valid response</t>
  </si>
  <si>
    <t>Expand or collapse the various sections of the (v8+) widget page</t>
  </si>
  <si>
    <t>View a specific (v8+) widget</t>
  </si>
  <si>
    <t>Navigate to a different widget</t>
  </si>
  <si>
    <t>CMC: Only for Next/Prev buttons if go back via breadcrumb to the widgets list then panel states are reset to default</t>
  </si>
  <si>
    <t>The top-level section that was collapsed for the previous widget is collapsed for the new widget</t>
  </si>
  <si>
    <t>Why doesn't it remember the panel states if I go out of the widgets screen and back in again? Is there a technical issue?</t>
  </si>
  <si>
    <t>The attainment criterion details section that was expanded for the previous widget is *not* expanded for the new widget</t>
  </si>
  <si>
    <t>Indicate that a (v8+) widget is not relevant to my organisation</t>
  </si>
  <si>
    <t>Request to view a (v8+) widget</t>
  </si>
  <si>
    <t>There is an option to indicate that the widget is not relevant to my organisation</t>
  </si>
  <si>
    <t xml:space="preserve">Indicate that the widget is not relevant to my organisation.
</t>
  </si>
  <si>
    <t>The not relevant status is persisted against the widget</t>
  </si>
  <si>
    <t>The system does *not* require me to provide details as to why the widget is not relevant (the "not relevant" text already makes clear the valid reasons for a widget not being relevant).</t>
  </si>
  <si>
    <t>There is *not* an option to indicate that the widget is not relevant to my organisation</t>
  </si>
  <si>
    <t>Request to view a widget which already has comments for an attainment criterion</t>
  </si>
  <si>
    <t>Request to view a widget which already has a custom evidence type against one of its attainment criteria</t>
  </si>
  <si>
    <t>Request to view a specific (v8+) widget which already has evidence comments</t>
  </si>
  <si>
    <t>Request to view a specific (v8+) widget for which there is an evidence type that has been indicated as obtained</t>
  </si>
  <si>
    <t>Request to view a specific widget for which there is an evidence type that has *not* been indicated as obtained</t>
  </si>
  <si>
    <t>Request to save the widget</t>
  </si>
  <si>
    <t>Request to save the widget response data</t>
  </si>
  <si>
    <t>View evidence files that I have previously specified in my widget response</t>
  </si>
  <si>
    <t>Request to view a (v8+) widget for which the evidence location type has already been specified as one of "uploaded", "internet", "intranet" or "local file" and the evidence details have also been specified</t>
  </si>
  <si>
    <t>The system presents an option to specify the evidence location details. This is a list of all evidence types across all other widgets (for the current assessment), including custom evidence.</t>
  </si>
  <si>
    <t xml:space="preserve">For each evidence type in the list, the following information is provided:
- widget number
- attainment criterion ID or "maint" for a maintenance criterion
- evidence type name (standard or custom) - first 50 chars plus ellipsis if overflowed
- whether it has been "fully specified"
Proposed format is a simple drop-down with items in the following format: "R&lt;req no&gt;/&lt;criteria ID or "maint"&gt;:&lt;evidenve type desc&gt; [(incomplete)]" e.g. "R101/1a:Job description (incomplete)"
</t>
  </si>
  <si>
    <t>View duplicate evidence files that I have previously specified in my widget response</t>
  </si>
  <si>
    <t>Request to view a (v8+) widget for which the evidence location type has already been specified as "duplicate" and the evidence details have also been specified</t>
  </si>
  <si>
    <t xml:space="preserve">ie6 is crap. This is being caused by the big yellow button widget causing IE6/7 to render incorrectly. I have changed the button type for the evidence popup from submit's to button's.
</t>
  </si>
  <si>
    <t>The list included "orphaned" files which were not currently linked to the assessment (they were previously linked but I unlinked them by changing the evidence location type back to "[select]". When I selected one of these files, the system also told me that it was still linked to the widget that I had unlinked it from.</t>
  </si>
  <si>
    <t>The system displays the other widgets that the file is also linked to</t>
  </si>
  <si>
    <t xml:space="preserve">If the currently selected file is linked to any other widgets, the system (in a model pop-up) asks me whether I want to:
a) Replace the file (so that all widgets are linked to the new file) or
b) Add a new file (leaving other widgets linked to the existing one)
</t>
  </si>
  <si>
    <t>I should only be asked this question if the currently selected document is also linked to other widgets - if it's not linked elsewhere then there is no difference between "Add" and "Replace" and the question is confusing and intrusive</t>
  </si>
  <si>
    <t>18/5: technically difficult - not done. there is a difference but have removed the option and it now does a replace only if there are not other links.
TH 18/5 as discussed can you try to make it only ask this question if the widget is linked to any *other* criteria (i.e. Excluding the link to the current criterion)</t>
  </si>
  <si>
    <t>Related to the above, can you add the following text to the top of the pop-up: "This evidence is linked to other widgets. Please select one of the following options:" or similar.</t>
  </si>
  <si>
    <t>There is an option to explicitly indicate Attainment Level 0 for the widgets (this allows the system to distinguish this state from a "not answered" state)</t>
  </si>
  <si>
    <t>Request to view a specific (v8+) widget, which includes an attainment criterion that has not yet had any details specified</t>
  </si>
  <si>
    <t>Have the system determine my current attainment level for a given widget</t>
  </si>
  <si>
    <t>The widget is marked as not relevant</t>
  </si>
  <si>
    <t>The user has entered *any* data against the widget</t>
  </si>
  <si>
    <t>The system displays my current attainment level as "0".
This ties in with S037 - changing the status from "Not Started" to "In Progress" - once a widget has any data put against it, it can be considered In Progress and thus legitimate to assume a score of 0 if not achieved level 1 or higher.</t>
  </si>
  <si>
    <t>Have the system determine the status of my widget response</t>
  </si>
  <si>
    <t>View the widgets list for an in-progress assessment (any version) where one of the widgets has not yet been started</t>
  </si>
  <si>
    <t>The system displayes the widget status as "Not Started" (previously "Not Answered")</t>
  </si>
  <si>
    <t>Make some changes to the widget and save my changes</t>
  </si>
  <si>
    <t>View the widget list again</t>
  </si>
  <si>
    <t>The system displayes the widget status as "In Progress" (previously "Answered")</t>
  </si>
  <si>
    <t xml:space="preserve">Grant an exemption from a (v8) widget to an organisation </t>
  </si>
  <si>
    <t>View a specific widget within the assessment for which "not relevant" is *not* an option</t>
  </si>
  <si>
    <t>There is an option for me to mark the organisation as being exempt from the widget</t>
  </si>
  <si>
    <t>The exemption description is "Exemption Description for Req 102". This is not supposed to be a widget-specific description, it is just static text (wording as per prototype)</t>
  </si>
  <si>
    <t>Mark the organisation as exempt from the widget</t>
  </si>
  <si>
    <t>View a specific widget which has already been marked as exempt</t>
  </si>
  <si>
    <t>The system displays the fact that the widget is exempt, who exempted it, when and comments</t>
  </si>
  <si>
    <t>There is an option to unexempt the widget</t>
  </si>
  <si>
    <t>Unexempt the widget</t>
  </si>
  <si>
    <t>CMC:Note there was also an issue whereby if the organisation had scored the widget and then CfH marked it as exempt when you actually saved it it wasn't persisitng the exempt setting, this is now also fixed</t>
  </si>
  <si>
    <t>Re-exempt the widget [no connets this time]</t>
  </si>
  <si>
    <t>View a specific widget within the assessment for which "not relevant" *is* an option</t>
  </si>
  <si>
    <t>There is *not* an option for me to mark the organisation as being exempt from the widget</t>
  </si>
  <si>
    <t>View a widget exemption granted to my organisation</t>
  </si>
  <si>
    <t>View a specific widget for my in-progress (v8+) assessment for which my organisation has been granted an exemption</t>
  </si>
  <si>
    <t>The system indicates that my organisation has been granted an exemption for this widget</t>
  </si>
  <si>
    <t>View a specific widget within the assessment</t>
  </si>
  <si>
    <t>Note: the exemption only applies to the current version of the widgets and not to future versions</t>
  </si>
  <si>
    <t>View a specific widget for a specific organisation type, but not within the context of a specific organisation's assessment</t>
  </si>
  <si>
    <t>View a specific widget for my in-progress (v8+) assessment for which my organisation has been granted an exemption against a specific attainment criterion</t>
  </si>
  <si>
    <t>View a specific widget for my in-progress assessment for which my organisation *type* has been granted an exemption against a specific attainment criterion</t>
  </si>
  <si>
    <t>View a specific widget for my in-progress assessment for which both my organisation *and* my organisation type have been granted an exemption against a specific attainment criterion</t>
  </si>
  <si>
    <t>Have the system determine my current attainment level for a given widget, given that I have a criterion exemption</t>
  </si>
  <si>
    <t>Save changes I have made to my widget response when I request it or when I perform various navigation tasks</t>
  </si>
  <si>
    <t>View a specific widget for an in-progress (v8+) assessment</t>
  </si>
  <si>
    <t>Request to move to the next widget</t>
  </si>
  <si>
    <t>Request to move to the previous widget</t>
  </si>
  <si>
    <t>Indicate that I am done with the current widget</t>
  </si>
  <si>
    <t>The system returns me to the widgets list</t>
  </si>
  <si>
    <t>Navigate quickly from one widget to another</t>
  </si>
  <si>
    <t>There is an option to request to jump to another widget</t>
  </si>
  <si>
    <t>Request to jump to another widget (and specify which one)</t>
  </si>
  <si>
    <t>The system displays the specified widget</t>
  </si>
  <si>
    <t>View a printable/downloadable version of a widget</t>
  </si>
  <si>
    <t>There is a (single) option to print or download the widget</t>
  </si>
  <si>
    <t>Request to print or download the widget</t>
  </si>
  <si>
    <t>The system opens up the printable/downloadable version of the widget in a new browser window</t>
  </si>
  <si>
    <t>nili: folder holding widget documents is now specified by test web.config</t>
  </si>
  <si>
    <t>Options to save or print the widget are available (standard Acrobat Reader functions so no need to actually test them)</t>
  </si>
  <si>
    <t>Download printable versions of widgets in bulk, for viewing off-line or for printing out</t>
  </si>
  <si>
    <t>Request to view the (v8+) widgets list</t>
  </si>
  <si>
    <t>There is an option to download widgets in bulk</t>
  </si>
  <si>
    <t>No link on widgets list page</t>
  </si>
  <si>
    <t>Request to download widgets in bulk</t>
  </si>
  <si>
    <t>The widget downloads page is displayed</t>
  </si>
  <si>
    <t>There are warnings for all files - it should just be for the "All widgets" booklet</t>
  </si>
  <si>
    <t>nili: The warning depends upon the file size setting in web.config.  I suspect the web.config for the test site does not include this setting.
TH 15/3 not sure why you have done it based on file size - the spec doesn't say anything about this, only that the "all widgets" booklet should be marked as a large file</t>
  </si>
  <si>
    <t>Request to view a specific widget</t>
  </si>
  <si>
    <t>There is *not* an option to download widgets in bulk</t>
  </si>
  <si>
    <t>Navigate to the widgets list for any org type</t>
  </si>
  <si>
    <t xml:space="preserve">Navigate to a specific widget
</t>
  </si>
  <si>
    <t>Download printable versions of widgets in bulk, for viewing off-line or for printing out (specifically, per-initiative booklets)</t>
  </si>
  <si>
    <t>Download the widget set as a spreadsheet for offline working</t>
  </si>
  <si>
    <t>There is an option to download the widgets as a spreadsheet for my org type</t>
  </si>
  <si>
    <t>Even though it's only a test file for now, the text should read "All widgets"</t>
  </si>
  <si>
    <t xml:space="preserve">Nili: test web.config amended to specify folder holding widget documents
TH 23/3: the link works now but </t>
  </si>
  <si>
    <t>TBC previously done via widgets list but now there's extra detail to worry about</t>
  </si>
  <si>
    <t>Show all widgets and all details (readonly)
Include links for evidence
Doesn't need to be printable</t>
  </si>
  <si>
    <t>Remove general comments from widgets list</t>
  </si>
  <si>
    <t>View a (v8+) widget that has a phrase marked up as a glossary term within any of its RATML fields</t>
  </si>
  <si>
    <t>See guidance for Acute Test 101 widget for examples of glossary items</t>
  </si>
  <si>
    <t>See guidance for Acute Test 101 widget for an example</t>
  </si>
  <si>
    <t>View a widget within the widget list that has a term marked up as a glossary term within the widget question text</t>
  </si>
  <si>
    <t>Identify glossary terms in the printable version of a widget</t>
  </si>
  <si>
    <t>View the printable version of a (v8+) widget that has a term marked up as a glossary term within any of its RATML fields</t>
  </si>
  <si>
    <t>Publish or re-publish a version of the widgets based on the data held in RAT (online widgets only)</t>
  </si>
  <si>
    <t>View online version of widget (ref. stories S013-S021)</t>
  </si>
  <si>
    <t>Correct (new) version of widget is displayed.
Note: format/content of page is specified in S013-S021.</t>
  </si>
  <si>
    <t xml:space="preserve">There are existing assessments that would be affected by an *added* widget
</t>
  </si>
  <si>
    <t xml:space="preserve">There are existing assessments that would be affected by an uplifted or deleted widget
</t>
  </si>
  <si>
    <t>Publish or re-publish the printable versions of the widgets</t>
  </si>
  <si>
    <t>This story extends S065 by also generating the printable versions of the widgets (continue on from the end of S065).</t>
  </si>
  <si>
    <t>Request to view the printable version of a widget</t>
  </si>
  <si>
    <t>Correct (new) version of widget document is displayed.</t>
  </si>
  <si>
    <t>The publish tool crashed out before copying the widget documents up to the web server - suspicion is it's to do with file permissions - not being able to overwrite existing files</t>
  </si>
  <si>
    <t>All sections are the same as the on-line widgets page except where stated below.</t>
  </si>
  <si>
    <t xml:space="preserve">The Attainment Levels section mirrors the content on the on-line widgets page but in a format suitable for printing and filling in by hand (including evidence types and space to make notes).
</t>
  </si>
  <si>
    <t>Publish or re-publish the ZIP file downloads for the widgets</t>
  </si>
  <si>
    <t>This story extends S065 by also generating the ZIP file downloads for the widgets (continue on from the end of S065).</t>
  </si>
  <si>
    <t>Download and open the full widget format individual widgets (ref. S050)</t>
  </si>
  <si>
    <t>The ZIP file contains a file for each widget for the org type</t>
  </si>
  <si>
    <t>The widget file names are such that the widgets appear in ascending numerical order, even if the widgets have different numbers of digits</t>
  </si>
  <si>
    <t>Each widget file is a PDF file</t>
  </si>
  <si>
    <t>Each widget is in the same format as the individual printable version (ref. S022)</t>
  </si>
  <si>
    <t>Download and open the guidance only format individual widgets</t>
  </si>
  <si>
    <t xml:space="preserve">The ZIP file is as per the full widget format except for the differences stated below: </t>
  </si>
  <si>
    <t>The Attainment Levels section is omitted from each widget</t>
  </si>
  <si>
    <t>No footer - can you check it's the latest version of widgetGuidanceOnly2fo.xsl, containing:
&lt;xsl:call-template name="widgetFooter"&gt;
    &lt;xsl:with-param name="variant"&gt;guidanceOnly&lt;/xsl:with-param&gt;
   &lt;/xsl:call-template&gt;</t>
  </si>
  <si>
    <t>Download and open the attainment levels/checklist only format individual widgets</t>
  </si>
  <si>
    <t>For each widget, the header information is in a more compact format</t>
  </si>
  <si>
    <t>For each widget, all sections other that the Attainment Levels section are omitted</t>
  </si>
  <si>
    <t>Publish or re-publish the booklet downloads for the widgets</t>
  </si>
  <si>
    <t>This story extends S065 by also generating the PDF booklet downloads for the widgets (continue on from the end of S065).</t>
  </si>
  <si>
    <t>Download and open the full widget format booklet (ref. story S050)</t>
  </si>
  <si>
    <t>The booklet has a title page which includes the org type, widgets version and issue date</t>
  </si>
  <si>
    <t>The TOC includes a page number for each widget</t>
  </si>
  <si>
    <t>The booklet includes all widgets for the org type</t>
  </si>
  <si>
    <t>The widgets are in ascending numerical order</t>
  </si>
  <si>
    <t>The content of each widget is as per the individual prinatble version of the widget</t>
  </si>
  <si>
    <t xml:space="preserve">The booklet is as per the full widget format except for the differences stated below: </t>
  </si>
  <si>
    <t>Publish or re-publish the per-initiative booklet downloads for the widgets</t>
  </si>
  <si>
    <t>This story extends S065 by also generating the PDF per-initiative booklet downloads for the widgets (continue on from the end of S065).</t>
  </si>
  <si>
    <t>Download and open full widget format per-initiative booklet (ref. story S050)</t>
  </si>
  <si>
    <t xml:space="preserve">The booklet is as per the full widget format "all widgets" booklet except for the differences stated below: </t>
  </si>
  <si>
    <t>It only includes the widgets for the specified initiative</t>
  </si>
  <si>
    <t>Sorry I have sneaked this in as an extra widget. I have updated the XSL but you will also need to add a new tag into the XML - &lt;initiativeName&gt; - immediately following &lt;organisationTypeLongName&gt; in the general header section (not within each individual widget)</t>
  </si>
  <si>
    <t>Publish or re-publish the XL spreadsheet download for the widgets (simple version to prove technology)</t>
  </si>
  <si>
    <t>This story extends S065 by also generating the XL spreadsheet for the widgets (continue on from the end of S065).</t>
  </si>
  <si>
    <t>Download and open widget spreadsheet (ref. story S069)</t>
  </si>
  <si>
    <t>The label for the spreadsheet link should read "All widgets"</t>
  </si>
  <si>
    <t>Publish or re-publish the XL spreadsheet download for the widgets (widgets list sheet)</t>
  </si>
  <si>
    <t xml:space="preserve">The widgets are in sequential order
</t>
  </si>
  <si>
    <t>The widgets are grouped by initiative, with coloured initiative headers</t>
  </si>
  <si>
    <t>The Details sheet has one row per widget attainment criterion</t>
  </si>
  <si>
    <t>The criteria are ordered by widget number first, attainment level second (0,1,2,3,NR), criteria ID third (1a, 1b rtc. Or 2a, 2b etc or 3a, 3b, Maint)</t>
  </si>
  <si>
    <t>The req no, key req status, req question text, past level, current level and target level fields are merged into a single cell for each widget</t>
  </si>
  <si>
    <t>Publish or re-publish the XL spreadsheet download for the widgets (report sheet)</t>
  </si>
  <si>
    <t>The current score is calculated as follows:
(sum of all scores) divided by (3 x total no. of widgets excl. Those marked as N/R)
Expressed as a percentage to the nearest whole number</t>
  </si>
  <si>
    <t>Publish or re-publish the booklet downloads for the widgets, including a glossary section</t>
  </si>
  <si>
    <t>Request to download a widgets booklet (any format)</t>
  </si>
  <si>
    <t>The widgets booklet includes a complete glossary at the end</t>
  </si>
  <si>
    <t>Request to download individual widgets</t>
  </si>
  <si>
    <t>View widgets booklets and ZIP files</t>
  </si>
  <si>
    <t>The system validates that I am *not* in a position to start a new assessment - specifically that I have an in-progress assessment or I have completed my most recent assessment but there is *not* a new version of the widgets available yet [no change]</t>
  </si>
  <si>
    <t>- Current score - this includes widgets that are still at status "in progress" where they have a score</t>
  </si>
  <si>
    <t>- The number of widgets that fall into each of the following categories:
  - Not Yet Answered (i.e. no attainment level calculated - not based on widget status)
  - Level 0
  - Level 1
  - Level 2
  - Level 3
  - Not Relevant
  - Exempt (only display category if count &gt;0)
  - Total (a sum of all the other counts)
For each category except Exempt, if the value is zero, display the category but leave the count blank</t>
  </si>
  <si>
    <t>If the assessment is against v8+ widgets, the system additionally displays the following:</t>
  </si>
  <si>
    <t xml:space="preserve">- Grade, as follows:
  - "Not Satisfactory" (background red) if not achieved level 2 in *all* widgets
  - "Satisfactory" (background green) if achieved level 2 or above in *all* widgets
</t>
  </si>
  <si>
    <t>If the assessment is against v7+ widgets, the system additionally displays the following:</t>
  </si>
  <si>
    <t>The system displays a "shell" assessment summary for the new version widgets at the top of the page, above my other assessments.</t>
  </si>
  <si>
    <t>There is an option to maintain widget views</t>
  </si>
  <si>
    <t>Request to maintain widget views</t>
  </si>
  <si>
    <t>There is a section for casual visitors with links to "reports" and "widgets"</t>
  </si>
  <si>
    <t>Navigate more sensibly to the widgets list page</t>
  </si>
  <si>
    <t>Request to view widgets</t>
  </si>
  <si>
    <t>If I select an org type which has no widgets set up, I get a server error. In the current live system it just displays an empty list (e.g. For Dentists)</t>
  </si>
  <si>
    <t xml:space="preserve">Proceed as per main flow but include KB resources related to widgets which are in the current widget set for any org type.
</t>
  </si>
  <si>
    <t>The system displays the same data as for the auditor but it is all read-only</t>
  </si>
  <si>
    <t>Org type Prison Health Unit needs changing back to Prison Health (feedback from prison staff apparently!)</t>
  </si>
  <si>
    <t>Req 8-210 needs to be a Key Req't - fix it with a DB tweak</t>
  </si>
  <si>
    <t>Forgotten User Details Enhanced</t>
  </si>
  <si>
    <t>Receive user details reminders for multiple accounts and with a more secure password reset solution</t>
  </si>
  <si>
    <t>Indicate that I have forgotten my user details</t>
  </si>
  <si>
    <t>The system asks for my email address</t>
  </si>
  <si>
    <t>The system does *not* ask me whether I want to reset my password or not</t>
  </si>
  <si>
    <t>The system tells me it will send me an email including instructions on how to reset my password (see prototype for wording)</t>
  </si>
  <si>
    <t>Enter my email address and click "Remind Me"</t>
  </si>
  <si>
    <t>The system sends an email to the specified email address</t>
  </si>
  <si>
    <t>Org name</t>
  </si>
  <si>
    <t>Org code</t>
  </si>
  <si>
    <t>User ID</t>
  </si>
  <si>
    <t>User Role(s)</t>
  </si>
  <si>
    <t>The system validates that the email address matches exactly one user account</t>
  </si>
  <si>
    <t>The email lists the following details for the matching account:</t>
  </si>
  <si>
    <t>The email includes a link to follow to reset the password</t>
  </si>
  <si>
    <t>The system opens the "Reset Password" page in a new browser window</t>
  </si>
  <si>
    <t>The system displays my org name, org code and user id</t>
  </si>
  <si>
    <t>The system asks me for my password and to confirm my password</t>
  </si>
  <si>
    <t>Enter my password (including confirm)</t>
  </si>
  <si>
    <t>The system displays details of the password rules</t>
  </si>
  <si>
    <t>The system validates my password (as per current)</t>
  </si>
  <si>
    <t>The system resets my password to the new password</t>
  </si>
  <si>
    <t>The system tells me it has reset my password</t>
  </si>
  <si>
    <t>There is no matching account</t>
  </si>
  <si>
    <t>There are multiple matching accounts</t>
  </si>
  <si>
    <t>The system does not send an email</t>
  </si>
  <si>
    <t>The system displays exactly the same message as if it had sent me an email</t>
  </si>
  <si>
    <t>Click on the "reset password" link in th email</t>
  </si>
  <si>
    <t>The system tells me it has sent me an email (see prototype for wording)</t>
  </si>
  <si>
    <t>The system validates that less than an hour has passed since the email was sent</t>
  </si>
  <si>
    <t>18a</t>
  </si>
  <si>
    <t>Password reset link timed out</t>
  </si>
  <si>
    <t>The system tells me that the password reset has expired and that I need to get another user details reminder.</t>
  </si>
  <si>
    <t>There is a link to the Forgotten User Details page</t>
  </si>
  <si>
    <t>Click on the "reset password on all accounts" link in the email</t>
  </si>
  <si>
    <t>View widgets org type chooser page</t>
  </si>
  <si>
    <t>From the widget details page, request to specify evidence location</t>
  </si>
  <si>
    <t>Not specifically related to test above but it's in this area.
I uploaded the same file in different places:
Req 102 - 1a
Req 102 - 1b
Req 102 - 2a
Then whilst uploading to 3a I noticed it says it's already linked to widgets 102(a), 102(b). This should probably say 102(1a), 102(1b), 102(2a). As it stands it's missing one out.</t>
  </si>
  <si>
    <t>View the widget details page within the context of a (v8+) assessment</t>
  </si>
  <si>
    <t>Changes to igt.widgets.css as per prototype file igt.widgets.css_delta. In particular, this will hopefully fix the problem that the font in the header panel on the Req Details pags has shrunk!</t>
  </si>
  <si>
    <t>Req Owners page: Owner column: context help - change tag to "widgetOwnerEditable" and get latest context help file</t>
  </si>
  <si>
    <t>Done by TH via chanegs to igt.widgets.css</t>
  </si>
  <si>
    <t>XL publish (when adding a new widget) needs to include all widgets in the XL sheet, not just the added one.</t>
  </si>
  <si>
    <t>Evidence upload - every time I save a widget it updates the "date uploaded" for each associated piece of evidence. The date uploaded should remain as the date and time it was actually first uploaded. Unless of course it is re-uploaded</t>
  </si>
  <si>
    <t>Req Details page: the key widget image should be Key.gif, not Key.png</t>
  </si>
  <si>
    <t>CMC:Was only occuring on those widgets which didn't have a Training Tool section entry.</t>
  </si>
  <si>
    <t>Submit baseline (a.test:acute) - message says "go to your version 7 widgets" - should say "go to your version 99 widgets". Message for performance update is correct</t>
  </si>
  <si>
    <t>Publish process - copying of files to web servers is currently a manual process due to issues with file permissions. Need to find a way of automating this. Includes widgets, knowledge base and glossary</t>
  </si>
  <si>
    <t>Req Details page: the time uploaded for an evidence file gets updated every time the widget is saved. Obviously it should remain at the time the file was actually uploaded</t>
  </si>
  <si>
    <t>Get error when viewing widgets details page when not logged in if just open the page directly from previously saved breadcrumb without navigating through the site</t>
  </si>
  <si>
    <t>Can mark a widget as exempt even though the assessment is submitted</t>
  </si>
  <si>
    <t>When a requrement has been exempted if you clear the exemtpion although the reason for the exemption is clared on screen it remains in the database even after a save and so gets re-displayed even though the widget is no longer exempt</t>
  </si>
  <si>
    <t>There is not an option to assign widget owners</t>
  </si>
  <si>
    <t xml:space="preserve">The widgets link was not visible for the user with Organisation Auditor permissions? </t>
  </si>
  <si>
    <t>The widget answer is read only</t>
  </si>
  <si>
    <t>Tick widget as complete - all attainment level and criterion boxes grey out
The untick complete and the other boxes correctly un-grey.
Tick as complete again then click Save
Now untick complete. Only Level 0 achieved ungreys - level 1,2,3 and attainment criteria remain gray.
In the original spec we said that the checkboxes would only ever go grey or ungrey on save, but the current state is somewhere in between, which is probably a bit confusing for users</t>
  </si>
  <si>
    <t>Be able to republish the knowledge base without wiping out links with widgets</t>
  </si>
  <si>
    <t>In Meerkat, request to publish widgets</t>
  </si>
  <si>
    <t>The system publishes the widgets to the database only (as per current), including additions and uplifts to widgets</t>
  </si>
  <si>
    <t>The system does not publish the widget-knowledge base links</t>
  </si>
  <si>
    <t>The system publishes or re-publishes the widget-knowledge base links - this is a complete replacement, so the old set of links is first removed</t>
  </si>
  <si>
    <t>Request to publish the widget PDFs</t>
  </si>
  <si>
    <t>The system republishes the full set of PDFs, booklets and ZIPs for the current widget version</t>
  </si>
  <si>
    <t>Request to publish the widgets XLSs</t>
  </si>
  <si>
    <t>The system republishes the full set of widgets XLSs for the current widget version</t>
  </si>
  <si>
    <t>View Widgets List (Enhancements)</t>
  </si>
  <si>
    <t>1) Alt text should read "Attainment Level 2 met/not met for Key Widget".</t>
  </si>
  <si>
    <t xml:space="preserve">CMC: (1) Currently alt text reads "Key Widget Minimum Level Met/Not met".  Think this is a better wording as there is no guarantee that 2 will remain as the min level for key widgets.  </t>
  </si>
  <si>
    <t>View Widget Header Information (v8+)</t>
  </si>
  <si>
    <t>View Widget Description (v8+)</t>
  </si>
  <si>
    <t>Precondition: the relevant widget text has been converted from RATML into HTML by S065 (Import Widgets Data)</t>
  </si>
  <si>
    <t>The widget description for the widget appears below the header panel (heading: "Widget Description"). This is the text that previously appeared with the widget question in the blue box on the Guidance Document.</t>
  </si>
  <si>
    <t>View Widget Guidance Text (v8+)</t>
  </si>
  <si>
    <t>View Widget Origins (v8+)</t>
  </si>
  <si>
    <t>View Widget Changes (v8+)</t>
  </si>
  <si>
    <t>Looking at the database table WidgetOrganisationType, I can not see a data field which indicates whether or not the training tool text is required (in RATTY it's called XXX). I'm therefore guessing that this widget has not been implemented</t>
  </si>
  <si>
    <t>Precondition: the relevant widget text has been converted from RATML into HTML by S065 (Publish Widgets Data)</t>
  </si>
  <si>
    <t>Expand and Collapse Widget (v8+)</t>
  </si>
  <si>
    <t>Indicate Widget As Not Relevant (v8+)</t>
  </si>
  <si>
    <t>RJM:Cancel is placed here in order to be consistent with the requesirements page. Do you want this one changed to be different from the main page? CMC: Fixed as per defect description but as Richard mentioned need to consider order of buttons on the page as well
TH 28/3: button order also changed on Widget Details page to match</t>
  </si>
  <si>
    <t>If I click "Done" at this point to go back to the Widget Details screen, the evidence is marked as "Uploaded" with no red corss, even though I have not uploaded a file.</t>
  </si>
  <si>
    <t>After having replaced an existing uploaded file, I tried to replace it a second time. I selected the file and then  I got a pop-up appearing very briefly and then disappearing again, and the file was not uploaded. If I leave the Widget Details page and re-enter it, I am able to replace the file (presume re-loading the page clears out some bad state)</t>
  </si>
  <si>
    <t>Determine Widget Status</t>
  </si>
  <si>
    <t>Grant Widget Exemption</t>
  </si>
  <si>
    <t>View Widget Exemption</t>
  </si>
  <si>
    <t>The widget is marked as exempt (ref. S038 - Grant Widget Exemption)</t>
  </si>
  <si>
    <t>Save Widget</t>
  </si>
  <si>
    <t>Jump To Widget</t>
  </si>
  <si>
    <t>View Printable/Downloadable Version of Widget</t>
  </si>
  <si>
    <t>Download Widgets In Bulk</t>
  </si>
  <si>
    <t>Widget documents are available for download in three formats:
1) Full widget format (guidance plus attainment levels/checklist)
2) Guidance only format
3) Attainment levels/checklist only format</t>
  </si>
  <si>
    <t>Widgets documents are available for download in the following groupings:
1) Booklet: all widgets as a single doc
2) Individual widgets: widgets as individual docs, zipped together</t>
  </si>
  <si>
    <t>Download Widgets In Bulk (Per-Initiative Booklets)</t>
  </si>
  <si>
    <t>Widgets documents are available for download in the following groupings (additional to S050):
1) Per-Initiative booklets: all widgets from a given initiative in a single booklet</t>
  </si>
  <si>
    <t>The content of the PDF document is "Widget Document Placeholder" - this will change once S065 and/or S082 are delivered</t>
  </si>
  <si>
    <t>Download Widgets Spreadsheet</t>
  </si>
  <si>
    <t>Publish Widgets - Online Version</t>
  </si>
  <si>
    <t>Widgets that don't already exist (according to widget number, major version number and org type) are added.</t>
  </si>
  <si>
    <t xml:space="preserve">Widgets that require a minor version uplift are replaced with the new minor version.
Note: it can be assumed that attainment levels, attainment criteria and evidence items are not added or removed from one minor version to the next (this would cause problems with existing assessments), but that widget origins and widget changes may be added or removed.
</t>
  </si>
  <si>
    <t>Publish Widgets - Printable Version</t>
  </si>
  <si>
    <t>I notice in the App/Resources folder you have widgetPreview.xsl, widgetCore.xsl and widgetBookletFullWidget2fo.xsl. You do not need these files. Suggest removing to avoid confusion/clutter.</t>
  </si>
  <si>
    <t>Publish Widgets - ZIP File Downloads</t>
  </si>
  <si>
    <t>Publish Widgets - Booklet Downloads</t>
  </si>
  <si>
    <t>On the Downloads page, the "all widgets booklet" label is "Confidentiality and Data Protection Assurance (All Widgets, 107 KB), whereas it should be "All widgets (PDF, 107 KB)"</t>
  </si>
  <si>
    <t>On the downloads page, the "All Widgets" booklet should be after the individual initiative booklets</t>
  </si>
  <si>
    <t>The booklet has a table of contents which mirrors the format of the "Widget List" page</t>
  </si>
  <si>
    <t>Publish Widgets - Per-Initiative Booklets</t>
  </si>
  <si>
    <t>RJM: No fault found. InitiativeName tag is being added to the WidgetSet node as required. 
TH 16/6:Initiative name not showing - I checked the XML and you don't have an &lt;initiativeName&gt; tag within the &lt;widgetSet&gt;.</t>
  </si>
  <si>
    <t>Publish Widgets - Spreadsheet (Technology Spike)</t>
  </si>
  <si>
    <t>The spreadsheet has a sheet called "Widget List" (first sheet)</t>
  </si>
  <si>
    <t>Publish Widgets - Spreadsheet (List Sheet)</t>
  </si>
  <si>
    <t>The Widget List sheet contains a summary list of all widgets, one per row</t>
  </si>
  <si>
    <t>Each widget has the following fields (columns):
- Widget number
- Key widget status
- Widget question text
- Past level
- Current level
- Target level</t>
  </si>
  <si>
    <t>Publish Widgets - Spreadsheet (Details Sheet)</t>
  </si>
  <si>
    <t>Each criterion has the following fields (columns):
- Widget number
- Key widget status
- Widget question text
- Attainment level
- Attainment level description
- Attainment criterion ID
- Attainment criterion description (for level 0 this is defaulted to "There is insufficient evidence to attain Level 1")
- Evidence required (single cell with one line per "standard" evidence item
- Evidence obtained (blank for user to complete)
- Owner (blank for user to complete)
- Actions (blank for user to complete)
- Achieved (blank for user to complete)
- Past level
- Current level
- Target level</t>
  </si>
  <si>
    <t>Publish Widgets - Spreadsheet (Report sheet)</t>
  </si>
  <si>
    <t>Publish Widgets - Booklets with Glossaries</t>
  </si>
  <si>
    <t>- Widgets version (in the header)</t>
  </si>
  <si>
    <t>- Widget set start year (as determined by start date) and end year (as determined by submission date)</t>
  </si>
  <si>
    <t>I clicked "Widgets" then "Contact Us" and noticed that (a) The breadcrumb says "You are Here: Widgets &gt; Contact Us" instead of "Home &gt; Contact Us" and (b) the Widgets nav bar item is highlighted as being the current one, instead of "Home".</t>
  </si>
  <si>
    <t>Widgets (goes to Widgets (Org Types) page)</t>
  </si>
  <si>
    <t>Widgets (goes to Widgets Categories page)</t>
  </si>
  <si>
    <t>Downloads (goes to Widgets Downloads page)</t>
  </si>
  <si>
    <t>System displays Widgets Categories page</t>
  </si>
  <si>
    <t>1) Reports link doesn't link through to the reports page.
2) Widgets link doesn't link through to the widgets page</t>
  </si>
  <si>
    <t>TH 22/3: Links work now but nav bar shows "Home" not "Reports" or "Widgets" respectively</t>
  </si>
  <si>
    <t>Improved Navigation - Widgets</t>
  </si>
  <si>
    <t>There is an option to view widgets ("Widgets" nav bar item) (no change)</t>
  </si>
  <si>
    <t>The system displays the Widgets (Org Chooser) page</t>
  </si>
  <si>
    <t>The system displays the Widgets List page (i.e. Skips over the current widgets "wheel" page)</t>
  </si>
  <si>
    <t>The Widgets List page includes *all* widgets that are applicable to my organisation type</t>
  </si>
  <si>
    <t>There is *not* an option to view widgets (i.e. No "Widgets" nav bar item)</t>
  </si>
  <si>
    <t xml:space="preserve">The page includes a list of all KB resources (DB table KnowledgeBaseDocument) that are relevant to the selected org type - specifically this is a list of all KB resources which are referenced from any Widget Variant (DB table WidgetOrganisationType) which is (a) applicable to the selected org type and (b) part of the current widget set
</t>
  </si>
  <si>
    <t>Related Widget(s) - a comma-separated list of Widget Numbers for all related widgets as identified in step 5 above (in ascending numerical order, with duplicates removed)</t>
  </si>
  <si>
    <t>Widget - drop down menu containing a list of all widgets which are relevant to the selected org type (or all org types if no org type was selected)
The format of each widget is "&lt;Widget Number&gt; (&lt;Initiative Name&gt;)"</t>
  </si>
  <si>
    <t>On Widgets List page hover over 'Status'. My widget states 'Answered' in this column but this is not one of the stated statuses in the context sensitive help popup</t>
  </si>
  <si>
    <t>Look &amp; Feel - Widget Details</t>
  </si>
  <si>
    <t>Widget question text preceded by the key icon for a key widget</t>
  </si>
  <si>
    <t>The unordered lists in the Widget Origins and Changes sections have circular bullet points (currently no bullet points)</t>
  </si>
  <si>
    <t>The top level section headings (Widget Description, Guidance etc.) are  &lt;h2&gt; level headings (or have equivalent formatting)</t>
  </si>
  <si>
    <t>Can't Enter Widget Level Comments</t>
  </si>
  <si>
    <t>Specify A Widget Owner</t>
  </si>
  <si>
    <t>The system displays the "Widget Owners" page</t>
  </si>
  <si>
    <t>The system persists the widget owner for each widget (it is an attribute of the Widget Response)</t>
  </si>
  <si>
    <t>The system displays the Widget List page</t>
  </si>
  <si>
    <t>Specify a Second Widget Owner</t>
  </si>
  <si>
    <t>Widgets are showing with a target of NR (currently showing as "4" due to another defect) and EX (currently showing as 5)</t>
  </si>
  <si>
    <t>Error message refers to "Widget Owner" but field label is "To"</t>
  </si>
  <si>
    <t>Mark Widget as Complete</t>
  </si>
  <si>
    <t>Mark Widget as Confirmed</t>
  </si>
  <si>
    <t>The Cancel button on the Widget Details page has a tooltip "Cancel your changes and return to the widget list"</t>
  </si>
  <si>
    <t>The Done button on the Widget Details page has a tooltip "Save your changes and return to the widget list"</t>
  </si>
  <si>
    <t>When logged in, the Previous and Next buttons on the Widget Details page have tooltips "Save any changes and go to the previous (next) widget"</t>
  </si>
  <si>
    <t>When not logged in, the Previous and Next buttons on the Widget Details page have tooltips "Go to the previous (next) widget"</t>
  </si>
  <si>
    <t>The Save button on the Widget Details page has a tooltip "Save your changes and remain on this page"</t>
  </si>
  <si>
    <t>Widgets org type chooser - the list of org types is supposed to have bullet points</t>
  </si>
  <si>
    <t>Widget Details page - header bar data on RHS needs to *not* have lots of padding to the right)</t>
  </si>
  <si>
    <t>Widget Details page - Attainment Levels section - context help icons for attainment levels and attainment criteria should only be displayed if the tick boxes they refer to are displayed</t>
  </si>
  <si>
    <t>Widget Details page (not logged in) - too much white space below the evidence table - suspect this is due to an invisible/not displayed "add evidence" link.</t>
  </si>
  <si>
    <t>Widget Details page - level 3 maintetnance criteria - include an extra sentence below the criterion description as follows:"&lt;br/&gt;&lt;br/&gt;[Only required if Attainment Level 3 was achieved in the previous assessment]"</t>
  </si>
  <si>
    <t>Widgets list page - only display the "not met key widget" cross if the user has actually answered the question</t>
  </si>
  <si>
    <t>Widget Details page: remove or hide "Date Last Modified", which isn't working properly anyway (it changes the date last modified for all criteria at the same time, even if I only modify one of them)</t>
  </si>
  <si>
    <t>Widget.Owner</t>
  </si>
  <si>
    <t>AssessmentWidget.ExemptionGrantedBy</t>
  </si>
  <si>
    <t>AssessmentWidgetScore.OrganisationUserID</t>
  </si>
  <si>
    <t>When I click "Save" on the Widget Details page, I get "The page cannot be displayed"</t>
  </si>
  <si>
    <t>Widget PDFs not there</t>
  </si>
  <si>
    <t>Widget Details page: When you attempt to click an attainment criterion tick box, the system warns you that you need to enter evidence details. Can you make it so that it also expands the attainment criterion to make the evidence visible?</t>
  </si>
  <si>
    <t xml:space="preserve">Widget Details page: When you attempt to click an attainment level tick box, can you make the system warn you that you need to complete the individual criteria (same text as for the context help tooltip to the side - which is different for each attainment level) Can you also make it so that it expands the attainment level to make the criteria visible (and because it is accordian style you will need to collapse any other open section)?
</t>
  </si>
  <si>
    <t>Replace "TBCs" with real context help on the Widget Details page (ref. context help file v2)</t>
  </si>
  <si>
    <t>Widget Details page - remove context help criterionComments - no longer required</t>
  </si>
  <si>
    <t>Widget Details page (when completing an assessment) - NR option is displayed even though NR isn't an option (it's OK on the read-only view)</t>
  </si>
  <si>
    <t>Widget Details page, KB section - tab headers should be Key Resources, Exemplar Materials, Useful Websites, not Key Resources, Exemplar, Exemplar Materials</t>
  </si>
  <si>
    <t>Widget Details page (read only) - "Evidence Required" as a bullet list (as per prototype) instead of table</t>
  </si>
  <si>
    <t>On the Widgets List page, if the widget set is v7 or before, when I select a widget it should display it using the "old style" Widget Details page</t>
  </si>
  <si>
    <t>On the Widget Details page, for the non simplified interface, if all other conditions are met, the Mark Complete and Confirm Complete options should be available if the widget response is "NR" or "EX" (not just if an attainment level has been obtained). This should be synonymous with a widget status of "Answered".</t>
  </si>
  <si>
    <t>Request to view the Widgets Org Chooser page</t>
  </si>
  <si>
    <t>View Improved Assessment Report - Breakdown by Key Widget Status</t>
  </si>
  <si>
    <t>CMC:Note wasn't sure if Key Widgets applied to target scores as prototype didn't make this clear have assumed they do.  Have also assumed a key widget will never be marked Not Relevant or Exempt and thus if one were to me marked as such it would currently appear as Not Met.</t>
  </si>
  <si>
    <t>NR or EX should be treated as Key Widget Met</t>
  </si>
  <si>
    <t>The KB resource is related to the specified widget number (if specified)</t>
  </si>
  <si>
    <t>Have a nice look &amp; feel for the widget details page</t>
  </si>
  <si>
    <t>View the widget details page (as a logged in user from an "assessable" organisation)</t>
  </si>
  <si>
    <t>Header panel background colour is light blue (no matter whether widget is a key widget or not)</t>
  </si>
  <si>
    <t>Cancel button takes you back to widgets list screen without saving any changes</t>
  </si>
  <si>
    <t>Done button saves changes and takes you back to widgets list screen</t>
  </si>
  <si>
    <t>Not enter widget-level comments for a (v8+) widget</t>
  </si>
  <si>
    <t>View a widget for an in-progress (v8+) assessment</t>
  </si>
  <si>
    <t>Submit the assessment, from the widgets list page (including confirmation)</t>
  </si>
  <si>
    <t>Specify a user from my organisation as the owner for a given widget</t>
  </si>
  <si>
    <t>Request to view the widget list for an in-progress (v8+) assessment</t>
  </si>
  <si>
    <t>There is an option to specify widget owners</t>
  </si>
  <si>
    <t>For each widget, there is an option to specify the widget owner - this is a drop-down list of all users from my organisation (excluding those with locked accounts).</t>
  </si>
  <si>
    <t>Select the widget owner for one or more widgets</t>
  </si>
  <si>
    <t>The system displays the widget owners (read only)</t>
  </si>
  <si>
    <t>Logged on as any user type, request to view the widget list for an assessment from my *own* organisation which has had one or more owners specified.</t>
  </si>
  <si>
    <t>Logged on as any user type, request to view the widget list for an assessment from another organisation which has had one or more owners specified.</t>
  </si>
  <si>
    <t>The system doesn *not* display the widget owners (read only)</t>
  </si>
  <si>
    <t>Not logged on, request to view the widget list for an assessment which has had one or more owners specified.</t>
  </si>
  <si>
    <t>Specify a user from my organisation as the second owner for a given widget</t>
  </si>
  <si>
    <t>Request to view a widget for an in-progress assessment</t>
  </si>
  <si>
    <t>Owner (free format text, default widget owner)</t>
  </si>
  <si>
    <t>Request to save the widget response</t>
  </si>
  <si>
    <t>Request to view a widget for an in-progress assessment which has an existing improvement action</t>
  </si>
  <si>
    <t>Request to view a widget for an assessment which has an existing improvement action when it is "not editable by me"</t>
  </si>
  <si>
    <t xml:space="preserve">Definition of "not editable by me":
1) I am not a user from the owning organisation, or
2) The widget status is past "In Progress"
</t>
  </si>
  <si>
    <t>There is an option to select the widget owner (a list of all users from the organisation plus an option to specify all owners [default])</t>
  </si>
  <si>
    <t>Please can you add curved corner boxes around each widget. This will clearly separate each widget. I think this is something we can do quickly and easily to make it appear better. Tony to compile prototype.
He has now done this (improvement_plan_report_results.html) and it's important to note the gap in between each req. Please make sure it's roughly the same gap as shown.
Also, the org name is formatted using &lt;h2&gt;</t>
  </si>
  <si>
    <t>The report includes all widgets for which there is one or more attainment criteria to display (see below)</t>
  </si>
  <si>
    <t>Current level NR, target level 2 - the widget should be displayed (it's up to the user to change their target level to NR to get it to not display)</t>
  </si>
  <si>
    <t>The displayed widgets are in numerical order</t>
  </si>
  <si>
    <t>For each displayed widget, the widget question is included</t>
  </si>
  <si>
    <t>For each displayed widget, the widget owner (if any) is included</t>
  </si>
  <si>
    <t>If there is no widget owner, don't display the line at all</t>
  </si>
  <si>
    <t>For each displayed widget, the current level is included</t>
  </si>
  <si>
    <t>For each displayed widget, the "calculated target level" is included, as follows:
- If the org has set a target level for this req't then use that target level
- If the org has not set a target level then use level 3 but display "Not set (assumed Level 3)
- If the target level determined above is level 3 and the org achieved L3 for this widget in their previous assessment, then the target level is level 3 including maintenance criteria, otherwise it is level 3 excluding maintenance criteria - so display a suffix of " - excluding maintenance" or " - including maintenance" as appropriate</t>
  </si>
  <si>
    <t>Des 26/05 - Fixed
TH 7/6 - still showing a widget which is current level "Exempt" and target level "EX". Suspect this will be fixed when above defect re. changing "EX" to "Exempt" is fixed, although the system probably shouldn't be relying on the exact wording to detect a match!</t>
  </si>
  <si>
    <t>will only show completed items on the plan if there is evidence obtained and ticked or actions complete. I didn't have any items under the NR &amp; EX widgets</t>
  </si>
  <si>
    <t>Related to the above, I added evidence and actions under the NR &amp; EX widgets and they still don't show on the completed items improvement plans</t>
  </si>
  <si>
    <t>The displayed attainment criteria are in alpha order within their parent widget (Level 3 Maintenance criteria appear after other L3 criteria)</t>
  </si>
  <si>
    <t>Send ad-hoc email reminders to widget owners with outstanding improvement actions</t>
  </si>
  <si>
    <t>The system validates that there is at least one widget owner with "incomplete" widgets on the current assessment (as per steps 9 and 10 of S115)</t>
  </si>
  <si>
    <t xml:space="preserve">"To" - a list of all widget owners with "incomplete" widgets on the current assessment (as per steps 9 and 10 of S115).
There is also an option to send a reminder to them all.
The default value is "&lt;Select&gt;"
</t>
  </si>
  <si>
    <t>Not in the spec but the list of "incomplete" widgets needs to exclude any that are "marked complete" (also applies to S115)</t>
  </si>
  <si>
    <t>There is *not* at least one widget owner with "incomplete" widgets on the current assessment (as per steps 9 and 10 of S115)</t>
  </si>
  <si>
    <t>MSG - You cannot send an ad-hoc reminder at the moment because there are no widget owners with incomplete widgets</t>
  </si>
  <si>
    <t>Send regular email reminders to widget owners with outstanding improvement actions</t>
  </si>
  <si>
    <t xml:space="preserve">The system sends an email to each widget owner with "incomplete" widgets on this assessment (so long as they have an email address).
A widget is "incomplete" if either:
  i) the current level is lower than target level, or
  ii) it has incomplete improvement actions
However, a widget is *not* incomplete if it has been marked complete.
</t>
  </si>
  <si>
    <t>EP - I have a setup where I am the widget owner of 3 widgets and all 3 are currently not answered. I run the job and no email is sent. If I change one of the widgets to level 1 (so still not obtained properly) the email is sent. This email then contains details of all 3 req's, even though 2 are still completely unanswered</t>
  </si>
  <si>
    <t>For the avoidance of doubt, if the target level is "NR" or "EX" then the widget is *not* incomplete</t>
  </si>
  <si>
    <t>If current and target levels are NR / EX, widgets do not show on the email.
If current level is NR or EX but target level is blank, widgets do show on the email.</t>
  </si>
  <si>
    <t>Set 3 widgets to me as the owner. 1st is set to level 3 and complete, 2nd is NR &amp; 3rd is EX. When I run the job I get an email but there are no incomplete items on it. I shouldn't get an email in this case.</t>
  </si>
  <si>
    <t>The email includes a list of the incomplete widgets</t>
  </si>
  <si>
    <t>For each incomplete widget, the email states the current attainment level</t>
  </si>
  <si>
    <t>For each incomplete widget, the email states the target attainment level (if set)</t>
  </si>
  <si>
    <t>For each incomplete widget, the email includes a list of all evidence (including whether obtained, location type and comments)</t>
  </si>
  <si>
    <t>For each incomplete widget, the email includes a list of all actions (if any), including all details</t>
  </si>
  <si>
    <t>View my attainment level for a (v8+) widget on my previous assessment</t>
  </si>
  <si>
    <t>Request to view a (v8+) widget, within the context of an assessment</t>
  </si>
  <si>
    <t>The system displays my "past attainment level" for this widget, as follows (this is as per existing functionality for v7- widgets):</t>
  </si>
  <si>
    <t>- If my most recent assessment was against a widget set which did not have the same widget number in, it is blank.</t>
  </si>
  <si>
    <t>- Otherwise, it is the attainment level I achieved against the same widget number in my most recent assessment.</t>
  </si>
  <si>
    <t>Set a target attainment level and date for a given (v8+) widget</t>
  </si>
  <si>
    <t>The target level and date are persisted along with the widget response</t>
  </si>
  <si>
    <t>If I set the target level and date and then navigate to the next widget, the same target level and date are re-displayed</t>
  </si>
  <si>
    <t>If NR is allowed for this widget, there is an option to set a target attainment level of NR</t>
  </si>
  <si>
    <t>If the organisation has been exempted from this widget, there is an option to set a target attainment level of EX</t>
  </si>
  <si>
    <t>Mark a (v8+) widget response as complete</t>
  </si>
  <si>
    <t>This story implements the same functionality for v8+ widgets as already exists for v7- widgets</t>
  </si>
  <si>
    <t>Request to view a (v8+) widget, within the context of an in-progress assessment</t>
  </si>
  <si>
    <t>The system validates that the widget response includes a current attainment level (you can't mark it complete if you haven't answered it). This is *not* synonymous with a widget status of "In Progress"</t>
  </si>
  <si>
    <t>There is an option to mark the widget response as "complete"</t>
  </si>
  <si>
    <t>Mark the widget response as complete</t>
  </si>
  <si>
    <t>The system persists the fact that the widget has been marked complete and also captures the date and time and the current user</t>
  </si>
  <si>
    <t>The system displays the date and time the widget response was marked complete and the user who marked it complete</t>
  </si>
  <si>
    <t>The widget is now "locked down" and is no longer editable (the only way to unlock it is to untick "widget complete")</t>
  </si>
  <si>
    <t>Return to the widget list page</t>
  </si>
  <si>
    <t>The widget response status is "Marked Complete"</t>
  </si>
  <si>
    <t>The system displays whether the widget is marked complete (read-only e.g. Disabled checkbox)</t>
  </si>
  <si>
    <t>Mark a (v8+) widget response as confirmed</t>
  </si>
  <si>
    <t>This story implements the same functionality for v8+ widgets as already exists for v7- widgets, but with some "improvements"</t>
  </si>
  <si>
    <t>The system validates that the widget response is already marked "Complete"</t>
  </si>
  <si>
    <t>There is an option to mark the widget response as "confirmed complete"</t>
  </si>
  <si>
    <t>Mark the widget response as confirmed complete</t>
  </si>
  <si>
    <t>The system persists the fact that the widget has been confirmed complete and also captures the date and time and the current user</t>
  </si>
  <si>
    <t>The system displays the date and time the widget response was confirmed complete and the user who marked it complete</t>
  </si>
  <si>
    <t>The widget response status is "Confirmed Complete"</t>
  </si>
  <si>
    <t>The widget is not already marked "complete"</t>
  </si>
  <si>
    <t>There is an option to mark the widget response as "confirmed complete" but it is disabled</t>
  </si>
  <si>
    <t>Mark the widget as *not* confirmed complete</t>
  </si>
  <si>
    <t>Request to view a (v8+) widget, within the context of a "confirmed" assessment</t>
  </si>
  <si>
    <t>The system displays whether the widget is marked confirmed (read-only e.g. Disabled checkbox)</t>
  </si>
  <si>
    <t>A widget should only have a status of "Answered" (aka "In Progress") if it actually has an answer i.e. An attainment level, NR or EX. If the user subsequently edits the widget response such that there is no answer (e.g. Unticks "NR") then the status should revert back to "Not Answered" (aka "Not Started")</t>
  </si>
  <si>
    <t>On the Assessment Summary page, for the purposes of determining whether the various Submit options (baseline, performance update and final) should be available, a widget response of "EX" should be considered as a valid answer to a widget. Put another way, if all other conditions for submittion are met, a widget response of "EX" should not block the submission.</t>
  </si>
  <si>
    <t>Currently if you mark a widget as exempt if it’s a key widget when you go back to the widgets list screen it shows the word Exempt but also shows a red cross to indicate you haven’t met the minimum level.  This is wrong, no cross should be displayed as per for widgets marked Not Relevant.</t>
  </si>
  <si>
    <t>The percentage scores take into account where a widget has been assessed as EX (i.e. Excluded from score as per NR)</t>
  </si>
  <si>
    <t>CMC:Although we expect either all or no target scores to be set for an assessment the application doesn't enforce this so have to allow for only partial targets set.  Therefore if not all targets set it includes the Not Yet Answered column count for those widgets not given a target.  If we have this for partially targeted assessments do we not also want to display this column if no targets set, it seems more consistent that way.</t>
  </si>
  <si>
    <t>- a given assessment is only included under a given initiative if it includes one or more widgets from the initiative</t>
  </si>
  <si>
    <t>- the data within each initaitve table is (obviously) based only on widgets belonging to that initiative</t>
  </si>
  <si>
    <t>View an organisation's Assessment Report broken down by key widget status</t>
  </si>
  <si>
    <t>There is an option to show a breakdown by key widget status</t>
  </si>
  <si>
    <t>Select report criteria, including option to show breakdown by key widget status</t>
  </si>
  <si>
    <t>- no. of key widgets not yet answered (only shown if it contains any non-zero values)</t>
  </si>
  <si>
    <t>- no. of key widgets not achieved "pass" attainment level (generally level 2)</t>
  </si>
  <si>
    <t>- no. of key widgets achieved "pass" attainment level (generally level 2)</t>
  </si>
  <si>
    <t>- total no. of key widgets</t>
  </si>
  <si>
    <t>The system does not display the widget status (currently displays it for "overall results" drilldown but not for a single initiative drilldown)</t>
  </si>
  <si>
    <t>The system does not display widget owners</t>
  </si>
  <si>
    <t>The widget status *is* displayed</t>
  </si>
  <si>
    <t>The widget owners *are* shown (but only if there actually are any widget owners)</t>
  </si>
  <si>
    <t>Drill down into the details of an assessment report for specific breakdown figures (e.g. Key widgets met/not met)</t>
  </si>
  <si>
    <t>If the report include a breakdown by key widget status, there is an option to drill down on individual attainment level counts (for current, final and target scores)</t>
  </si>
  <si>
    <t>Request to drill down on an individual widget count</t>
  </si>
  <si>
    <t xml:space="preserve">The list includes the subset of widgets that were included in the selected widget count. For example, if the user clicked on Target/Level 3, the system displays just those widgets with a target of level 3.
</t>
  </si>
  <si>
    <t>For each widget, there is a "Details" link (instead of the "Guidance" link for v7- widgets (if it's easier, you can change the v7- link to "Details" too))</t>
  </si>
  <si>
    <t>Select the "Details" link for a specific widget</t>
  </si>
  <si>
    <t>The system displays the widget PDF document for the selected assessment version, org type and widget number.</t>
  </si>
  <si>
    <t>For each widget, there is a "Guidance" or "Details" link</t>
  </si>
  <si>
    <t>The system displays the widget guidance (MS Word) document for the selected assessment version, org type and widget number.</t>
  </si>
  <si>
    <t>View a (v8+) widget with a table within the guidance text</t>
  </si>
  <si>
    <t>Add a table into a (v8+) widget using RATty using the RATML &lt;table&gt; format (as specified in LDM v5)</t>
  </si>
  <si>
    <t>Preview the widget in RATty in both HTML and PDF format</t>
  </si>
  <si>
    <t>View a (v8+) widget with a main heading within the guidance text</t>
  </si>
  <si>
    <t>Add a main heading into a (v8+) widget using RATty using the RATML &lt;mh&gt; format (as specified in LDM v5)</t>
  </si>
  <si>
    <t>View a (v8+) widget with a hyperlink within any RATML field</t>
  </si>
  <si>
    <t>Add a hyperlink into a (v8+) widget using RATty using the RATML &lt;a&gt; format (as specified in LDM v5)</t>
  </si>
  <si>
    <t>The total score calculation takes into account any exemptions that the widget has been granted on individual widgets (they are treated the same as "not relevant"</t>
  </si>
  <si>
    <t>The total % score is also excluding "not answered" widgets from the calc instead of treating them as Attainment Level 0 - the correct formula is being used on the Assessment Summary page so it might be worth trying to hook into the same code</t>
  </si>
  <si>
    <t>Submit my (v8+) assessment once I have entered a score for each widget</t>
  </si>
  <si>
    <t>Performance Progress Report - an PQRAF req't which is NR or Exempt should have a green background, not blue</t>
  </si>
  <si>
    <t>The system displays an error reference code in the format "PQRT-&lt;server code&gt;-&lt;ref number&gt;"</t>
  </si>
  <si>
    <t>The system validates the password against the PQRT password validation rules</t>
  </si>
  <si>
    <t>Get access to the various file viewers I need to view PQRT files (e.g. Acrobat Reader)</t>
  </si>
  <si>
    <t>Shown as from "PQR App Administrator" - remove this name so the email address only is showing</t>
  </si>
  <si>
    <t>Application title ("Information Governance App") appears in header bar (white, large, bold, LHS)</t>
  </si>
  <si>
    <t>Title in windows header bar is "PQR App Home" and I'm guessing it changes as the page changes. It needs to be "Information Governance App" on every page</t>
  </si>
  <si>
    <t>1) Can you change the label from "Name:" to "PQR App Administrator Name:" and make sure it all fits on a single line</t>
  </si>
  <si>
    <t>The options for Subject are:
- “PQR App - Account Registration”
- “PQR App - Policy”
- “PQR App - Assessments”
- “PQR App - Reports”
- “PQR App - PQR Statement if Compliance (PQRSoC)”
- “PQR App - Technical Issue”
- “PQR App - Feedback”
- “PQR App - Other”</t>
  </si>
  <si>
    <t>The email subject is based on the subject I selected, as follows:
- “PQR App - Account Registration” -&gt; “PQRT - Registration”
- “PQR App - Policy” -&gt; “PQRT - Policy”
- “PQR App - Assessments” -&gt; “PQRT - Assessment”
- “PQR App - Reports” -&gt; “PQRT - Reports”
- “PQR App - PQR Statement if Compliance (PQRSoC)” -&gt; “PQRT - PQRSoC"
- “PQR App - Technical Issue” -&gt; “PQRT - Technical”
- “PQR App - Feedback” -&gt; “PQRT - General (Feedback)”
- “PQR App - Other” -&gt; “PQRT - General”</t>
  </si>
  <si>
    <t>Heading font too large (e.g. "A Message from your PQR App Administrator")</t>
  </si>
  <si>
    <t>Remove "PQR App Administrator" name from the sender details so it just displays DONOTREPLAY@...</t>
  </si>
  <si>
    <t>The email includes a link to the PQR App website</t>
  </si>
  <si>
    <t>Contact Us page - add a third bullet after "the Online Help": "your local PQR App Administrator" (see prototype - but don't put the "(who is this?)" link, because we haven't done that yet!</t>
  </si>
  <si>
    <t>Can you add a skeleton "About" page - title: "About the PQR App" with content of "Content TBC" and link to it from (a) the top links and (b) the intro paragraph on the Home Page</t>
  </si>
  <si>
    <t>The email includes the following amended paragraph:
"Note that the PQR App assessment must be completed annually whilst an organisation continues to use XYZ Connecting For Health systems and services such as N3. Each new version of the PQR App assessment is usually made available by 30th June and must be submitted by 31st March in the following year."</t>
  </si>
  <si>
    <t>Can you put in some blank lines to make the email easier to read e.g. After "Dear PQR App user"</t>
  </si>
  <si>
    <t>The email subject line says "PQR App", not "PQRT" and is suffixed with "query"</t>
  </si>
  <si>
    <t>Quick Start Guide - missing word: "The PQR App has been designed to be used..."</t>
  </si>
  <si>
    <t>Not found
TH 22/6 - Last sentence in para under heading "What is the PQR App?"</t>
  </si>
  <si>
    <t>The first element within the &lt;body&gt; of each page should be an &lt;h1&gt; containing the site title "Information Governance App"</t>
  </si>
  <si>
    <t xml:space="preserve">Change text on submission email from the original:
You have successfully submitted your organisation's Information Governance App (PQR App) assessment.
To: Thank you for submitting your organisation's Information Governance App assessment. Before it is approved, you may be requested to supply an Improvement Plan or clarification.
</t>
  </si>
  <si>
    <t>Quick Start Guide:
1) Change "hover" to "move" (3 places)
2) Change "picture" to "symbol" (1 place)
3) After 1st para ("The PQR App has been designed...", add the following para: "It also includes links to specific help on how to comple an PQR App assessment." (no hyperlinks though as we want to user to scroll through the page to find the links!)</t>
  </si>
  <si>
    <t>At Registration Step 6, request to create an PQR App account</t>
  </si>
  <si>
    <t>Request to view reports as an EFG user</t>
  </si>
  <si>
    <t>Proceed as per S142 except allow in-progress assessments as per Main Flow above if the selected organisation is a trust within my EFG area (same business rule as for PPR report)</t>
  </si>
  <si>
    <t>CMC:The role for this story is organisation user but have made this option avaialable to XYZ CfH and also any parent organisation e.g. EFGs viewing a Trust as this information is available anyway from other reports so for consistency feels like should be accessible by these types of users here as well</t>
  </si>
  <si>
    <t>Dental Practice section, "PQR App view" para - should be in italics.
EFG section - ditto (not bold).
Sorry, my fault - prototype was wrong.</t>
  </si>
  <si>
    <t>Note: the initial configuration for PQRT v8 is that evidence provision is mandatory for large XYZ trusts i.e. Acute, AMT, MHT, GHJ and EFG</t>
  </si>
  <si>
    <t>TBC this is as per S117 but allows the admin to specify a second owner - this is primarily for GHJs who generally have two owners - one "commissioner" owner and one "provider" owner</t>
  </si>
  <si>
    <t>Request to view reports as an GHJ user</t>
  </si>
  <si>
    <t>Make available for EFG and GHJ too</t>
  </si>
  <si>
    <t>CMC: It is available to parent EFG/GHJs not sure why this has been raised
TH 12/7 - sorry, my mistake - withdrawn</t>
  </si>
  <si>
    <t>GHJ Overview Report - assessment status column - should be "Not Started" as opposed to "Not Answered"</t>
  </si>
  <si>
    <t>The system asks me to select which version assessment I want to report on (default most recent as per GHJ overview report)</t>
  </si>
  <si>
    <t>PPRs and GHJ overvioew reports are not available to me</t>
  </si>
  <si>
    <t>Thingy New User E-mail</t>
  </si>
  <si>
    <t>Thingy "Not Relevant" Extras</t>
  </si>
  <si>
    <t>Thingy Assessment Completer</t>
  </si>
  <si>
    <t>Thingy KB Doc Change</t>
  </si>
  <si>
    <t>Thingy Footer Details</t>
  </si>
  <si>
    <t>Thingy User</t>
  </si>
  <si>
    <t>Thingy Request Registration</t>
  </si>
  <si>
    <t>View helpdesk details when self registering for a Thingy</t>
  </si>
  <si>
    <t>New Org Type: Thingy HQ</t>
  </si>
  <si>
    <t>Set up Thingy HQ users</t>
  </si>
  <si>
    <t>Import Thingy HQ Relationships</t>
  </si>
  <si>
    <t>View Thingy Reports as Thingy HQ</t>
  </si>
  <si>
    <t>Be able to view Performance Performance Reports of Pharmacies as a Thingy HQ</t>
  </si>
  <si>
    <t>The system displays the Thingy helpdesk number (0113 394 6540)</t>
  </si>
  <si>
    <t>The options for Organisation Type are:
- Thingy/Dentist
- Other</t>
  </si>
  <si>
    <t>I selected an org type of "Thingy/Dentist"</t>
  </si>
  <si>
    <t>Logged in as a non-Thingy/Dentist user</t>
  </si>
  <si>
    <t>The system doesn't display the Thingy Assurance phone number</t>
  </si>
  <si>
    <t>Logged in as a Thingy or Dentist user</t>
  </si>
  <si>
    <t>My organisation type is defaulted to "Thingy/Dentist"</t>
  </si>
  <si>
    <t>One of the available org types is "Thingy HQ"</t>
  </si>
  <si>
    <t>Create a Thingy HQ org, using the correct ODS code as already specified in ODS - format is "Pxxx"</t>
  </si>
  <si>
    <t>There is a report "Thingy HQ Overview Report"</t>
  </si>
  <si>
    <t>The system displays a report on all pharmacies belonging to the Thingy HQ. The content of the report is as per the GHJ Overview report</t>
  </si>
  <si>
    <t>The system sends an email to Thingy Assurance (thingy.assurance@nhs.net)</t>
  </si>
  <si>
    <t>Proceed as per S142 except allow in-progress assessments as per Main Flow above if the selected organisation is a XYZ, thingy or Prison Health Unit within my EFG area (same business rule as for PPR report)</t>
  </si>
  <si>
    <t>Properties of eye care org type are as per thingy</t>
  </si>
  <si>
    <t>Registration - step 6 - click "create account" (thingy org type) and get system error</t>
  </si>
  <si>
    <t>The system imports the parent/child relationships between pharmacies and thingy HQs from TDB, based on thingy HQ org code and thingy org code</t>
  </si>
  <si>
    <t>Log in as a thingy HQ user</t>
  </si>
  <si>
    <t>Send thingy-specific "new user" e-mails when I create user accounts</t>
  </si>
  <si>
    <t>View an amended thingy Knowledge Base document</t>
  </si>
  <si>
    <t>User within XYZ ABC responsible for performing various cross-organisation admin tasks</t>
  </si>
  <si>
    <t>User responsible for reviewing widget responses for their organisation</t>
  </si>
  <si>
    <t>User responsible for basic operations within their organisation e.g. entering widget responses</t>
  </si>
  <si>
    <t>The system displays the Widgets List page for the selected assessment (no change)</t>
  </si>
  <si>
    <t>The system displays the Widgets List page for the selected assessment</t>
  </si>
  <si>
    <t>View Widget from Performance Progress Report</t>
  </si>
  <si>
    <t>View Widget Containing Table</t>
  </si>
  <si>
    <t>View Widget Containing Main Heading</t>
  </si>
  <si>
    <t>View Widget Containing Hyperlink</t>
  </si>
  <si>
    <t>View Exemption in Widgets List</t>
  </si>
  <si>
    <t>Return to the Widgets List page</t>
  </si>
  <si>
    <t>Go to the Widgets List page for the same assessment</t>
  </si>
  <si>
    <t>Receive Dirty Flag Warning for Widget</t>
  </si>
  <si>
    <t>Receive a warning if I attempt to leave the Widget Details page without saving my changes</t>
  </si>
  <si>
    <t>The system displays the Widgets List page (without persisting my changes)</t>
  </si>
  <si>
    <t>The system remains on the Widget Details page</t>
  </si>
  <si>
    <t>Widget Details Page Enhancements</t>
  </si>
  <si>
    <t>View the Widget Details page for a (v8+) widget</t>
  </si>
  <si>
    <t>View the Widget Details page for a (v8+) widget within the context of an assessment</t>
  </si>
  <si>
    <t>Widget Details Page Callouts</t>
  </si>
  <si>
    <t>Widget PDF Enhancements</t>
  </si>
  <si>
    <t>Widget booklets - start each widget on a new odd page</t>
  </si>
  <si>
    <t>View Widget PDF Variants</t>
  </si>
  <si>
    <t>Widgets not answered should be treated as level 0 for the purposes of determining the grade</t>
  </si>
  <si>
    <t>There is an option to "Work On This Assessment" (button) which links through to the Widgets List page. This is instead of the "View widgets" link but only if the assessment is in progress</t>
  </si>
  <si>
    <t>Widgets List Mark 2</t>
  </si>
  <si>
    <t>The system displays the "Widgets List" page</t>
  </si>
  <si>
    <t>The page title is:
h1:
"Version &lt;version&gt; (&lt;start year&gt;-&lt;end year&gt;) Assessment"
h2:
"Widgets List"</t>
  </si>
  <si>
    <t>Showing as "Matching Widgets"</t>
  </si>
  <si>
    <t>The page title is:
h1:
"Acute Trust Version &lt;version&gt; (&lt;start year&gt;-&lt;end year&gt;)"
h2:
"Widgets List"</t>
  </si>
  <si>
    <t>Widget Details page (Req 202), IE6: scroll down so that para 1 is near the top of the screen. Float over "National Information Governance Board for Health and Social Care" (para 5), which should be near the bottom and then float over "Caldicott Guardians" (para 6). The tooltip appears near the top of the screen instead of next to the text.</t>
  </si>
  <si>
    <t>If the widget is *not* a key widget, the "Key Widget" box in the header panel should *not* be coloured in yellow</t>
  </si>
  <si>
    <t>Widgets list screen, for older assessments (or maybe current ones as well) if a widget has comments entered against it then the row shading on the new View button on the right hand side goes wrong.  Specifically it doesn’t look as if it’s allowing for the extra row(s) for the comments.</t>
  </si>
  <si>
    <t>Widgets List page - if I am working on an assessment and there is a widget marked Not Relevant or Exempt, the button says "View" instead of "Edit"</t>
  </si>
  <si>
    <t>Widgets List page very slow to load, especially for orgs with a full assessment history going back to v1</t>
  </si>
  <si>
    <t>Widgets XL download - Report and Calculations tabs need removing</t>
  </si>
  <si>
    <t>Widget Details screen
Fields:
Target Level
Target Date</t>
  </si>
  <si>
    <t>Trust User
Submit Baseline &amp; Performance Update
Widget Details screen
Fields:
Widget Complete
Widget Confirmed</t>
  </si>
  <si>
    <t>On the Widgets List page, when viewing my own assessment, if the assessment is "locked" i.e. Status of "confirmed" or later, there is *not* an option to add or amend requireemnt owners</t>
  </si>
  <si>
    <t>Widget Details page: in IE6 there are big whitespace gaps between the Attainment Level description and the &lt;hr&gt; tag. Likewise for Attainment Criteria. These don't appear in IE7</t>
  </si>
  <si>
    <t>Widget PDF filenames - change reqt no from 4 digits to 3</t>
  </si>
  <si>
    <t>Widget Number Prefix</t>
  </si>
  <si>
    <t>Better Call-Outs on Widget Details Page</t>
  </si>
  <si>
    <t>Experience better call-out help on the Widget Details page</t>
  </si>
  <si>
    <t>On the Req Details page, the label "Widget Confirmed" needs to be "Widget Confirmed Complete"</t>
  </si>
  <si>
    <t>Richard has put "Widget Complete Confirmed" instead of "Widget Confirmed Complete"</t>
  </si>
  <si>
    <t>Low: CMC Is a more generalised issue in that Des made the yellow button the default button by always focusing on it.  This causes the page to jump to the button.  Is also apparent in other screens such as Contact Us etc.  Also can cause a problem on screens such as Widget details where the first yellow button is actually the Done button for the evidence upload even though its not shown.  Have now fixed so that yellow button should work consistently across the site.</t>
  </si>
  <si>
    <t>Widgets List page: link to downloads should not be displayed for a v7 or less assessment. At some future point we will have to extend in preparation for v9 (separate item added to scope list for this).</t>
  </si>
  <si>
    <t>Widgets XLS: The "Description" column on both the Req List and Details tabs should containg the Widget Question Text, not the Widget Description.</t>
  </si>
  <si>
    <t>Knowledge Base page - Widget dropdown is empty</t>
  </si>
  <si>
    <t>Go to the Widgets List page</t>
  </si>
  <si>
    <t>Drill down to the Widget Details page for an in-progress assessment</t>
  </si>
  <si>
    <t>Tri State Tick Boxes on Widget Details Page</t>
  </si>
  <si>
    <t>Add Widget Comments</t>
  </si>
  <si>
    <t>Can't Delete Widget Owner User</t>
  </si>
  <si>
    <t xml:space="preserve">WidgetOwner is already checked, but there were a number of other tables which referenced the OrganisationUserID which were not being checked. </t>
  </si>
  <si>
    <t>Publish Widgets Without PDFs</t>
  </si>
  <si>
    <t>Publish Widgets - Spreadsheet (Report Sheet)</t>
  </si>
  <si>
    <t>Mark Widget as Audited</t>
  </si>
  <si>
    <t>View Widget Audit Stats</t>
  </si>
  <si>
    <t xml:space="preserve">View Improved Assessment Report - Breakdown by Key Widget Status
</t>
  </si>
  <si>
    <t>Would not let me proceed when adding a req't for an XYZBP even though the only affected assessment was for a CTP (which was only affected by deletions)</t>
  </si>
  <si>
    <t>XYZ Logo looks fuzzy because it's anti-aliased around the outside edge. Can you make it have a nice crisp outside edge? Even the XYZ letters look to have fuzzy edges - can you reduce (not completely remove) the anti-aliasing effect to sharpen it up a bit?</t>
  </si>
  <si>
    <t>Selected nav bar item has XYZ blue background and arrow indicator at RHS</t>
  </si>
  <si>
    <t>Footer separated from main page by horizontal line in XYZ blue</t>
  </si>
  <si>
    <t>Header bar is XYZ blue as per the XYZ logo colour</t>
  </si>
  <si>
    <t>Nav bar items are white text on XYZ blue background, with no separating line</t>
  </si>
  <si>
    <t>Breadcrumb has XYZ blue background</t>
  </si>
  <si>
    <t>This was already done, including the Who Is This link.  Maybe tested when not logged in or logged in under XYZ CfH which would explain why it wasn't displayed ?
TH 08/04: fair point. Tested and raised defect to right</t>
  </si>
  <si>
    <t>CMC:Have made this option available for XYZ CfH users as well just so that support staff can view the report if necessary</t>
  </si>
  <si>
    <t>About page - "HS" should be "XYZ"</t>
  </si>
  <si>
    <t>nili: help page only seems to include CTPs &amp; XYZ BP's</t>
  </si>
  <si>
    <t>Some knowledge base files are missing from the live site. Example: 4 x XLSX files in req't 8-401 including "XYZ Number standard_Training Review Log.xlsx"</t>
  </si>
  <si>
    <t>About page, "Who has to carry out..." section, 1st bullet - "HS" should be "XYZ" (sorry, my fault - prototype was wrong)</t>
  </si>
  <si>
    <t>CMC: Have added test entries for Test Acute and XYZ org types.  NOTE: Think we may need to consider how this screen works for XYZs and other "simplified interface" types e.g. is it appropriate to have initiative booklets for such a small number of widgets etc
TH 23/3: no test data for acute - has it got wiped out by the test server rebuild? Suggest adding test data for "a.test:General Practice" since this is a test org type</t>
  </si>
  <si>
    <t>CMC: Have set up different dummy "placeholder" files for test acute and XYZ types</t>
  </si>
  <si>
    <t>EP - This was because I was logged in as XYZ and ticking the obtained box didn't automatically tick the box to the right hand side. Once I manually tick this, the details do show on the imp plan.
Emailed Tony to confirm if this is correct processing.
Tony raising new story for gp issue - should auto tick the criterion box once all evidence/actions beneath are obtained/complete</t>
  </si>
  <si>
    <t>Org type a.test:gp - req't 101 and 102 are showing attainment levels of NR and -1. Might be a test data issue, if so can you add suitable test data (need to be able to test XYZs)</t>
  </si>
  <si>
    <t>There is a link to Assessment help for XYZs etc.</t>
  </si>
  <si>
    <t>Updates needed to content of XYZ and Trust assessment help as per prototype</t>
  </si>
  <si>
    <t>On live organisation RXYZ, widget 207 try and view evidence against criteria 1a and you get an error.</t>
  </si>
  <si>
    <t>XYZ ABC User</t>
  </si>
  <si>
    <t>As org user I marked a req't as L0. Then as ABC I marked it exempt, and then marked it as not exempt. Instead of changing the Current Level back to L0, it blanked it out. To get it back to L0 again I have to log back in as org user, untick L0 and then tick it again (and save)</t>
  </si>
  <si>
    <t>XYZ ABC is able to mark a specific standard evidence item as exempt for a specific organisation. The system captures who marked the exemption, when, and their comments.</t>
  </si>
  <si>
    <t>Log in as an XYZ ABC user</t>
  </si>
  <si>
    <t>Header bar is XYZ blue (as per ABC branding), with dark blue bottom border</t>
  </si>
  <si>
    <t>XYZ logo (not XYZ ABC logo) appears in header bar (LHS), but doesn't link through to any other website</t>
  </si>
  <si>
    <t>Header bar includes link to XYZ ABC home page (opens in new window)</t>
  </si>
  <si>
    <t>Fonts and sizes are as per the XYZ ABC website</t>
  </si>
  <si>
    <t>Footer contains link to XYZ ABC Privacy Statement (opens in new window)</t>
  </si>
  <si>
    <t>Footer contains link to XYZ ABC Copyright Statement (opens in new window)</t>
  </si>
  <si>
    <t>View any page (logged in as XYZ ABC user)</t>
  </si>
  <si>
    <t>Request to view resources (logged in as an organisation user, admin or XYZ ABC user)</t>
  </si>
  <si>
    <t>Request to view admin (logged in as non-XYZ ABC admin)</t>
  </si>
  <si>
    <t>Request to view admin (logged in as XYZ ABC admin)</t>
  </si>
  <si>
    <t>XYZ ABC User, Organisation Administrator</t>
  </si>
  <si>
    <t>Request to view widgets (logged in as org admin (not "simplified interface") or XYZ ABC user)</t>
  </si>
  <si>
    <t>Request to contact XYZ ABC (via link in header bar) (not logged in user)</t>
  </si>
  <si>
    <t>Request to contact XYZ ABC (via Help page)</t>
  </si>
  <si>
    <t xml:space="preserve">View any page (logged in as a non-assessable org type e.g. XYZ ABC)
</t>
  </si>
  <si>
    <t>Logged on as an XYZ ABC user, request to view the widget list for an assessment which has had one or more owners specified.</t>
  </si>
  <si>
    <t>Request to produce an evidence and action report, logged on as XYZ ABC user</t>
  </si>
  <si>
    <t>Logged in as ABC user and was still able to mark the widget as exempt</t>
  </si>
  <si>
    <t>Request to view a (v8+) widget, within the context of an in-progress assessment, as an XYZ ABC user</t>
  </si>
  <si>
    <t>[logged in as XYZ ABC]
View a 3-stage assessment for an organisation which has been baselined but not performance updated</t>
  </si>
  <si>
    <t>[logged in as XYZ ABC]
View a 3-stage assessment for an organisation which has been performance updated but not submitted</t>
  </si>
  <si>
    <t>Organisation Admin, XYZ ABC User</t>
  </si>
  <si>
    <t>Home page - logged in as XYZABC user - At A Glance - don't display "start working on your assessment" for ABC users</t>
  </si>
  <si>
    <t>Have an XYZ ABC user approve my submitted assessment</t>
  </si>
  <si>
    <t>Request to view reports as an XYZ ABC user</t>
  </si>
  <si>
    <t>Request to drill down on one of the scores as an XYZABC user</t>
  </si>
  <si>
    <t>As an XYZ ABC user, request to unsubmit the assessment</t>
  </si>
  <si>
    <t>Log in as XYZ ABC</t>
  </si>
  <si>
    <t>View Assessment as an XYZ ABC User</t>
  </si>
  <si>
    <t>View an organisation's assessment details as an XYZ ABC user, with the relevant fields visible but read-only</t>
  </si>
  <si>
    <t>The attainment level tickboxes are visible and correctly set, but disabled (greyed out to make it clear that this data is read-only to a ABC user)</t>
  </si>
  <si>
    <t>View the Widget Details page for a (v8+) widget within the context of an assessment, as a ABC user or as a user from another org</t>
  </si>
  <si>
    <t>Current Assessment section (including out of date warning) should not appear for a non-assessing org type e.g. XYZ ABC</t>
  </si>
  <si>
    <t>View thw assessment summary as an XYZ ABC user</t>
  </si>
  <si>
    <t>The available "state change" buttons are appropriate for an XYZ ABC user</t>
  </si>
  <si>
    <t>Request to view the widgets list for another organisation's assessment (including XYZ ABC user)</t>
  </si>
  <si>
    <t>Performance Progress Report - when logged in as XYZ ABC and viewing the PPR of another organisation, the report shows the XYZ ABC admin, whereas it should show the reported org admin</t>
  </si>
  <si>
    <t>ABC org admin page - make sure hyperlinks are on separate lines (or separated by a bar character)</t>
  </si>
  <si>
    <t>Logged in as XYZABC, Assessments -&gt;Select org -&gt; Req List -&gt; Req Details -&gt; Done -&gt; Go Back to Assessment Page - takes me back into the req details page instead of back to the assessments page</t>
  </si>
  <si>
    <t>First set of links "DH Home, XYZ ABC Home, etc." are less important than the main navigation links. These should move down the mark-up. Possibly move to the bottom and use CSS to display them at the top.</t>
  </si>
  <si>
    <t>Logged in as ABC
Admin link
Organisation Admin link
Field:
Organisation Type dropdown</t>
  </si>
  <si>
    <t>View the "Create Organisation page" (as an XYZ ABC user)</t>
  </si>
  <si>
    <t>XYZ ABC users shouldn't really get the yellow buttons on the Req List and Req Details pages</t>
  </si>
  <si>
    <t>Improvement Plan report - can't view evidence files - get permissions error (when logged in as XYZ ABC viewing evidence file from org code RDE)</t>
  </si>
  <si>
    <t>On UAT, as ABC user, view assessment for org ctptest2. Unapprove it. The page is redisplayed but the bottom of the blue box is missing.</t>
  </si>
  <si>
    <t>Improvement Plan report: in live, using Chrome, log in as XYZ ABC, select Improvement Plan and Evidence Report, search for RDE, select Show Report. The report window does not open.</t>
  </si>
  <si>
    <t>Receive a user friendly error message when a system error occurs, including a reference number to help ABC diagnose the problem</t>
  </si>
  <si>
    <t>Created a system error using the facility provided for ABC users under "admin".
Attempted to view the error using the provided error viewer page but it gave an error "Incorrect error reference specified"</t>
  </si>
  <si>
    <t>Request to create a new user for an organisation (as an XYZ ABC user)</t>
  </si>
  <si>
    <t>Use the application via all XYZ ABC supported web browsers</t>
  </si>
  <si>
    <t>The header panel is colour coded to indicate which initiative it belongs to (see PQRT v8 Colour Palette v1)</t>
  </si>
  <si>
    <t>The header panel is colour coded to indicate whether it is a key widget (see PQRT v8 Colour Palette v1)</t>
  </si>
  <si>
    <t>For each resource there is an indicator indicating whether the resource is located internally on the PQRT website or whether it is on an external web page (this gives the user a hint that the content they are looking at is not "owned" by XYZ ABC)..</t>
  </si>
  <si>
    <t>Upload evidence to the PQRT server</t>
  </si>
  <si>
    <t>CMC: This is fixed by using the spreadsheet PQRT_Widgets_workbook_AcUTE_v8 (draft A).xls as mentioned below</t>
  </si>
  <si>
    <t>Could you use the example spreadsheet in the prototype ("PQRT_widgets_workbook_ACUTE_v8 (draft A).xls") as the placeholder file?</t>
  </si>
  <si>
    <t>I get the following error message in the pop-up:
Server Error in '/PQRT' Application.
--------------------------------------------------------------------------------
Maximum request length exceeded.</t>
  </si>
  <si>
    <t>Manually copy all (new or amended) KB "internal" files to the correct location on the PQRT web server(s)</t>
  </si>
  <si>
    <t>Request to import KB data from RAT into PQRT staging tables</t>
  </si>
  <si>
    <t>PQRT staging tables populated with KB data from RAT (identical format)</t>
  </si>
  <si>
    <t>The system validates that all "internal" KB resources exist on the PQRT web server(s)</t>
  </si>
  <si>
    <t>View the KB via the PQRT web interface (ref. S075)</t>
  </si>
  <si>
    <t>One or more KB resources are missing from the PQRT web server(s)</t>
  </si>
  <si>
    <t>Request to import widget and knowledge base data from RAT into PQRT staging tables</t>
  </si>
  <si>
    <t>The system populates PQRT staging tables with widget data form RAT (identical format)</t>
  </si>
  <si>
    <t xml:space="preserve">Request to run widget "publish" process (in PQRT).
</t>
  </si>
  <si>
    <t>PQRT looks at the version info in its own database to determine the major version number for the "current" widget set</t>
  </si>
  <si>
    <t>PQRT determines and displays the widgets that would be added by the re-publish process (i.e. Widget variants in the staging tables but not in the live PQRT database for the "current" major version)</t>
  </si>
  <si>
    <t>PQRT determines and displays the widgets that would be uplifted to a new minor version by the re-publish process (i.e. Widget variants already in the PQRT live database but at a lower minor version for the "current" major version)</t>
  </si>
  <si>
    <t>PQRT determines and displays the widgets that (in theory) would be deleted by the re-publish process (i.e. Widget variants in the PQRT live database but not in the staging tables for the "current" major version), and makes it clear that deletion is a manual process.</t>
  </si>
  <si>
    <t>If there are any widgets to be  added, uplifted or deleted for a given org type, PQRT validates that there are no existing assessments from an affected organisation where the assessment status is anything other that "started".</t>
  </si>
  <si>
    <t>PQRT runs the "knowledge base publish" function first (ref. S066) in order to make sure the PQRT database has the latest knowledge base data in it</t>
  </si>
  <si>
    <t>PQRT updates its widget records to match the data in the staging tables, as follows:</t>
  </si>
  <si>
    <t>Where a KB resource does not exist in the PQRT database (because it failed the KB publish process as per S066), the widget is not linked to it, and no warning message is displayed.</t>
  </si>
  <si>
    <t>PQRT displays a list of affected organisations (including Name, organisation Code, assessment status)</t>
  </si>
  <si>
    <t>The Past Level box has a footnote indicating that this information can be found online via the PQRT</t>
  </si>
  <si>
    <t>The filename should be "PQRT_Widgets_&lt;org code&gt;.zip"</t>
  </si>
  <si>
    <t>The booklet filename should be "PQRT_Widgets_Booklet_&lt;org code&gt;_v&lt;major version&gt;.pdf</t>
  </si>
  <si>
    <t>The booklet filename should be "PQRT_Widgets_Booklet_&lt;org code&gt;_v&lt;major version&gt;_Guidance_Only.pdf</t>
  </si>
  <si>
    <t>The booklet filename should be "PQRT_Widgets_Booklet_&lt;org code&gt;_v&lt;major version&gt;_Attainment_Levels_Only_Only.pdf</t>
  </si>
  <si>
    <t>The booklet filename should be "PQRT_Widgets_Booklet_&lt;org code&gt;_v&lt;major version&gt;_&lt;initiative name with underscores instead of spaces&gt;.pdf"
For the "guidance only" and "attainment levels only" add the relevant suffix "_Guidance_Only" or "_Attainment_Levels_Only"</t>
  </si>
  <si>
    <t>The general layout/formatting of the sheet is as per "PQRT_widgets_workbook_ACUTE_v8.xls" within the prototype</t>
  </si>
  <si>
    <t>PQRM initiative header wrong colour</t>
  </si>
  <si>
    <t>Manually copy glossary PDF (as created by RATty) to the correct location on the PQRT web server(s)</t>
  </si>
  <si>
    <t>View printable version of glossary in PQRT (see story S071)</t>
  </si>
  <si>
    <t>Request to import glossary data from RAT into PQRT staging tables</t>
  </si>
  <si>
    <t>PQRT staging tables populated with glossary data form RAT (identical format)</t>
  </si>
  <si>
    <t>Run glossary "publish" process (in PQRT)</t>
  </si>
  <si>
    <t>PQRT updates its Glossary records to match the data in the staging tables</t>
  </si>
  <si>
    <t>Publish a new version of the glossary based on the data held in RAT (advanced version including PDF generation within PQRT)</t>
  </si>
  <si>
    <t>Request to import glossary data from RAT into PQRT staging tables (using Meerkat)</t>
  </si>
  <si>
    <t>Meerkat populates PQRT staging tables with data form RAT (identical format)</t>
  </si>
  <si>
    <t>PQRT creates the Glossary PDF file and publishes it to the correct location on PQRT web server(s).</t>
  </si>
  <si>
    <t>PQRT re-creates the various widgets booklets and ZIP files that contain the glossary as specified in S082</t>
  </si>
  <si>
    <t>PQRT displays the correct (new) version of glossary.
Note: format/content of document is specified in S064.</t>
  </si>
  <si>
    <t>I added a new term via RATty and ran the publish process. The new term appeared in the PQRT database table GlossaryTerm but does not appear when I view the online glossary. A caching issue perhaps?</t>
  </si>
  <si>
    <t>PQRT displays the correct (new) version of the printable glossary.
Note: format/content of document is specified in S071.</t>
  </si>
  <si>
    <t>PQRT displays correct (new) version of the widget booklets and ZIP files</t>
  </si>
  <si>
    <t>Footer contains link to PQRT Terms &amp; Conditions (opens in same window, ref. story S086) - no change</t>
  </si>
  <si>
    <t>There is a short introduction to PQRT with an option to see more (links to "About" page ref. Story S083)</t>
  </si>
  <si>
    <t>There is an optional "alert" box at the top of the content pane. The content of the pane is configurable by a sys admin. The default message is "welcome to PQRT version 8", with a link through to the relevant "what's new" article for the v8 release</t>
  </si>
  <si>
    <t>Register for an PQRT account</t>
  </si>
  <si>
    <t>Request to register for an PQRT Account</t>
  </si>
  <si>
    <t>Contact XYZ ABC about the PQRT</t>
  </si>
  <si>
    <t>Read general information about PQRT</t>
  </si>
  <si>
    <t>Read information about PQRT accessibility</t>
  </si>
  <si>
    <t>View PQRT terms &amp; conditions</t>
  </si>
  <si>
    <t>View updated Terms &amp; Conditions when registering for an PQRT account</t>
  </si>
  <si>
    <t>There *is* an option to view the PQR Assurance Statement</t>
  </si>
  <si>
    <t>For each context sensitive help item specified in ContextHelp v2.xml (in \\data1brind\data\Information governance\PQRT Version 8\Functional Specification):</t>
  </si>
  <si>
    <t>Smaller PQR Assurance Statement Pop-up</t>
  </si>
  <si>
    <t>Be able to view the PQR Assurance Statement Pop-up on an 800x600 screen</t>
  </si>
  <si>
    <t>My organisation is not exempt from the PQR Assurancer Statement</t>
  </si>
  <si>
    <t>The system displays the PQR Assurance Statement (no change)</t>
  </si>
  <si>
    <t>The PQR Assurance Statement pop-up is small enough to fit into a browser which is maximised on an 800x600 resolution screen</t>
  </si>
  <si>
    <t>The footer appears in front of the PQR Assurance Statement</t>
  </si>
  <si>
    <t>Submit the assessment (including confirmation and PQR Assurance Statement)</t>
  </si>
  <si>
    <t>The email includes contact details for the organisation's PQRT administrator</t>
  </si>
  <si>
    <t>Home page alert says "&lt;h2&gt;PQRT Version Beta Test Phase 1&lt;/h2&gt;&lt;p&gt;Welcome to the PQRT Version 8 Beta Test site. Thank you for agreeing to take part in the beta testing. If you don't already have one, you will need &lt;a href="..."&gt;a copy of the test script&lt;/a&gt;. Happy testing!&lt;/p&gt;"</t>
  </si>
  <si>
    <t>PQRAFOrganisationSubmitted. SubmittedByUserId</t>
  </si>
  <si>
    <t>The org type names are as per "PQRT v8 Organisation Type Names v1.docx"</t>
  </si>
  <si>
    <t>The org type names in the Organisation Type drop-down are as per "PQRT v8 Organisation Type Names v1.docx"</t>
  </si>
  <si>
    <t>PQRT Release Cycle Info in Approval Email Text</t>
  </si>
  <si>
    <t>Receive a message about the PQRT release cycle as part of the approval email</t>
  </si>
  <si>
    <t>URL is "https://www.igt.connectingforhealth.nhs.uk/PQRTTest/UserControls/" with no document name</t>
  </si>
  <si>
    <t>URL is "https://www.igt.connectingforhealth.nhs.uk/PQRTTest/WidgetDocuments/" whereas in live it is something like "https://www.igt.connectingforhealth.nhs.uk/Guidance/PQRM_Acute_101_V7%2009-03-24.doc"</t>
  </si>
  <si>
    <t>Publish the widget to PQRT</t>
  </si>
  <si>
    <t>View the widget in PQRT in HTML format</t>
  </si>
  <si>
    <t>View the widget in PQRT in PDF format</t>
  </si>
  <si>
    <t>The email is from the standard "DONOTREPLY" PQRT email address</t>
  </si>
  <si>
    <t>The training tool boilerplate text (first para) says "The Information Governance Policy team within the Department of Health (DH) has developed an Information Governance Training Tool (PQRTT)."</t>
  </si>
  <si>
    <t>The PQRAF pass/fail icons in the "Attainment Level" column are top-aligned. To do this, insert style="vertical-align:top;" within the &lt;img&gt; tag.</t>
  </si>
  <si>
    <t>The PQRAF pass/fail icons are as per the prototype</t>
  </si>
  <si>
    <t>Get up to speed with using PQRT as quickly as possible</t>
  </si>
  <si>
    <t>The alert box on the Home Page says "PQRT Version 8 Beta Test", and there are two links - one to the "Trust Phase 2 test script" and one to "XYZ test script".</t>
  </si>
  <si>
    <t>PQRAF statement hidden behind nav bar in IE6</t>
  </si>
  <si>
    <t>Create new user as an Org Admin (Acute, XYZ or any other type) - the system should only present the "General New User" email template, and not the "PQRScO Applicant" email template</t>
  </si>
  <si>
    <t>About page: Change the sentence “Organisations are required to carry out self-assessments of their compliance against the PQR widgets.” To “The organisations described below are required to carry out self-assessments of their compliance against the PQR widgets.”</t>
  </si>
  <si>
    <t>Improvement Plan Admin: Only widget owners that have started the widgets are listed. Need this changed to those that are ’not answered’ as well</t>
  </si>
  <si>
    <t>PDF version of req't (and probably booklets too) - Changes section always blank even when there are changes in the online widget - presume the publish process isn't populating the XML file correctly</t>
  </si>
  <si>
    <t>PDF booklet - widgets not being ordered by req't number (e.g. 116 and 324 are out of order at the end)</t>
  </si>
  <si>
    <t>It's an issue with widget2fo.xsl - TH has emailed update to TM</t>
  </si>
  <si>
    <t>Be able to view widgets and complete assessments for eyecare organisations</t>
  </si>
  <si>
    <t>View the widgets (not logged in)</t>
  </si>
  <si>
    <t>There is an option to view widgets for a new org type: "Eye Care Service" (code "EYE")</t>
  </si>
  <si>
    <t>See the major version number as a prefix to the widget number (v8+ only, req list, req details and PDFs only)</t>
  </si>
  <si>
    <t>View the widgets list for a v8+ assessment</t>
  </si>
  <si>
    <t>Each widget number has a prefix of the major version number and a dash e.g. "8-101"</t>
  </si>
  <si>
    <t>View the widget details for one of the widgets</t>
  </si>
  <si>
    <t>The widget number has a prefix of the major version number and a dash e.g. "8-101"</t>
  </si>
  <si>
    <t>View the various widget booklets (having done a re-publish)</t>
  </si>
  <si>
    <t>Each widget number on the contents page has a prefix of the major version number and a dash e.g. "8-101"</t>
  </si>
  <si>
    <t>Each widget number on the individual widget pages has a prefix of the major version number and a dash e.g. "8-101"</t>
  </si>
  <si>
    <t>View the widgets XL download</t>
  </si>
  <si>
    <t>Each widget number on the list tab has a prefix of the major version number and a dash e.g. "8-101"</t>
  </si>
  <si>
    <t>Each widget number on the details tab has a prefix of the major version number and a dash e.g. "8-101"</t>
  </si>
  <si>
    <t>View the widgets list for a v7- assessment</t>
  </si>
  <si>
    <t>Request to assign widget owners</t>
  </si>
  <si>
    <t>S01</t>
  </si>
  <si>
    <t>Ensure form displays to project specifications</t>
  </si>
  <si>
    <t>General user</t>
  </si>
  <si>
    <t>Access all of the items, widgets, buttons, ect…within the webpage form.</t>
  </si>
  <si>
    <t>Request to view the web form online</t>
  </si>
  <si>
    <t>Once the page loads, all widgets are displayed</t>
  </si>
  <si>
    <t>NA</t>
  </si>
  <si>
    <t>S011</t>
  </si>
  <si>
    <t>Test clear button</t>
  </si>
  <si>
    <t>remove current form input in text fields</t>
  </si>
  <si>
    <t>Click the "clear" button on form page</t>
  </si>
  <si>
    <t>The text input is removed from the text fields, and the blank/default field inputs are returned to default state</t>
  </si>
  <si>
    <t>S0111</t>
  </si>
  <si>
    <t>Submit button</t>
  </si>
  <si>
    <t>submit input to form</t>
  </si>
  <si>
    <t xml:space="preserve">click the "submit" button on the form </t>
  </si>
  <si>
    <t>The text items are scraped and echoed out to the user</t>
  </si>
  <si>
    <t>Compatibility Report for SampleTestDoc (1).xls</t>
  </si>
  <si>
    <t>Run on 12/8/2014 10:01</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</si>
  <si>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</si>
  <si>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</si>
  <si>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</si>
  <si>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</si>
  <si>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more conditional formats than are supported by the selected file format. Only the first three conditions will be displayed in earlier versions of Excel.</t>
  </si>
  <si>
    <t>Details'!N2714</t>
  </si>
  <si>
    <t>Details'!P2505</t>
  </si>
  <si>
    <t>Details'!P2361:P2367</t>
  </si>
  <si>
    <t>Details'!P1795:P1802</t>
  </si>
  <si>
    <t>Details'!N1543:N1544</t>
  </si>
  <si>
    <t>Details'!Q1140:Q1141</t>
  </si>
  <si>
    <t>Details'!P815</t>
  </si>
  <si>
    <t>Details'!P670:P671</t>
  </si>
  <si>
    <t>Details'!P679:P680</t>
  </si>
  <si>
    <t>Details'!Q1143:Q2108</t>
  </si>
  <si>
    <t>Details'!Q2110:Q65536</t>
  </si>
  <si>
    <t>Details'!N524</t>
  </si>
  <si>
    <t>Details'!Q1:Q1138</t>
  </si>
  <si>
    <t>Excel 97-2003</t>
  </si>
  <si>
    <t>Some cells have overlapping conditional formatting ranges. Earlier versions of Excel will not evaluate all of the conditional formatting rules on the overlapping cells. The overlapping cells will show different conditional formatting.</t>
  </si>
  <si>
    <t>Details'!Q14:Q15</t>
  </si>
  <si>
    <t>Details'!Q1033</t>
  </si>
  <si>
    <t>Details'!Q1265:Q1271</t>
  </si>
  <si>
    <t>Details'!Q1276</t>
  </si>
  <si>
    <t>Details'!Q1273</t>
  </si>
  <si>
    <t>Details'!Q612:Q613</t>
  </si>
  <si>
    <t>Details'!Q608</t>
  </si>
  <si>
    <t>Details'!Q647</t>
  </si>
  <si>
    <t>Details'!Q576:Q604</t>
  </si>
  <si>
    <t>Details'!Q641:Q645</t>
  </si>
  <si>
    <t>Some cells contain conditional formatting with the 'Stop if True' option cleared. Earlier versions of Excel do not recognize this option and will stop after the first true condition.</t>
  </si>
  <si>
    <t>Details'!H:Q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</si>
</sst>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indexed="8"/>
      <name val="Calibri"/>
      <family val="2"/>
    </font>
    <font>
      <b/>
      <sz val="11"/>
      <color indexed="8"/>
      <name val="Calibri"/>
      <family val="2"/>
    </font>
    <font>
      <sz val="8"/>
      <color indexed="81"/>
      <name val="Tahoma"/>
      <family val="2"/>
    </font>
    <font>
      <b/>
      <sz val="8"/>
      <color indexed="81"/>
      <name val="Tahoma"/>
      <family val="2"/>
    </font>
    <font>
      <sz val="11"/>
      <name val="Calibri"/>
      <family val="2"/>
    </font>
    <font>
      <i/>
      <sz val="11"/>
      <color indexed="8"/>
      <name val="Calibri"/>
      <family val="2"/>
    </font>
    <font>
      <sz val="8"/>
      <name val="Calibri"/>
      <family val="2"/>
    </font>
    <font>
      <b/>
      <sz val="11"/>
      <color theme="1"/>
      <name val="Calibri"/>
      <family val="2"/>
      <scheme val="minor"/>
    </font>
    <font>
      <u/>
      <sz val="11"/>
      <color theme="10"/>
      <name val="Calibri"/>
      <family val="2"/>
      <scheme val="minor"/>
    </font>
  </fonts>
  <fills count="13">
    <fill>
      <patternFill patternType="none"/>
    </fill>
    <fill>
      <patternFill patternType="gray125"/>
    </fill>
    <fill>
      <patternFill patternType="solid">
        <fgColor indexed="13"/>
        <bgColor indexed="64"/>
      </patternFill>
    </fill>
    <fill>
      <patternFill patternType="solid">
        <fgColor indexed="29"/>
        <bgColor indexed="64"/>
      </patternFill>
    </fill>
    <fill>
      <patternFill patternType="solid">
        <fgColor indexed="52"/>
        <bgColor indexed="64"/>
      </patternFill>
    </fill>
    <fill>
      <patternFill patternType="solid">
        <fgColor indexed="44"/>
        <bgColor indexed="64"/>
      </patternFill>
    </fill>
    <fill>
      <patternFill patternType="solid">
        <fgColor indexed="43"/>
        <bgColor indexed="64"/>
      </patternFill>
    </fill>
    <fill>
      <patternFill patternType="solid">
        <fgColor indexed="23"/>
        <bgColor indexed="64"/>
      </patternFill>
    </fill>
    <fill>
      <patternFill patternType="solid">
        <fgColor indexed="45"/>
        <bgColor indexed="64"/>
      </patternFill>
    </fill>
    <fill>
      <patternFill patternType="solid">
        <fgColor indexed="11"/>
        <bgColor indexed="64"/>
      </patternFill>
    </fill>
    <fill>
      <patternFill patternType="solid">
        <fgColor indexed="9"/>
        <bgColor indexed="64"/>
      </patternFill>
    </fill>
    <fill>
      <patternFill patternType="solid">
        <fgColor indexed="51"/>
        <bgColor indexed="64"/>
      </patternFill>
    </fill>
    <fill>
      <patternFill patternType="solid">
        <fgColor theme="1"/>
        <bgColor indexed="64"/>
      </patternFill>
    </fill>
  </fills>
  <borders count="9">
    <border>
      <left/>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s>
  <cellStyleXfs count="2">
    <xf numFmtId="0" fontId="0" fillId="0" borderId="0"/>
    <xf numFmtId="0" fontId="9" fillId="0" borderId="0" applyNumberFormat="0" applyFill="0" applyBorder="0" applyAlignment="0" applyProtection="0"/>
  </cellStyleXfs>
  <cellXfs count="69">
    <xf numFmtId="0" fontId="0" fillId="0" borderId="0" xfId="0"/>
    <xf numFmtId="0" fontId="2" fillId="0" borderId="0" xfId="0" applyFont="1" applyBorder="1" applyAlignment="1">
      <alignment vertical="top" wrapText="1"/>
    </xf>
    <xf numFmtId="0" fontId="0" fillId="0" borderId="0" xfId="0" applyBorder="1" applyAlignment="1">
      <alignment vertical="top" wrapText="1"/>
    </xf>
    <xf numFmtId="14" fontId="0" fillId="0" borderId="0" xfId="0" applyNumberFormat="1" applyFill="1" applyBorder="1" applyAlignment="1">
      <alignment vertical="top" wrapText="1"/>
    </xf>
    <xf numFmtId="0" fontId="0" fillId="2" borderId="0" xfId="0" applyFill="1" applyBorder="1" applyAlignment="1">
      <alignment vertical="top" wrapText="1"/>
    </xf>
    <xf numFmtId="14" fontId="0" fillId="0" borderId="0" xfId="0" applyNumberFormat="1" applyBorder="1" applyAlignment="1">
      <alignment vertical="top" wrapText="1"/>
    </xf>
    <xf numFmtId="0" fontId="0" fillId="0" borderId="0" xfId="0" quotePrefix="1" applyBorder="1" applyAlignment="1">
      <alignment vertical="top" wrapText="1"/>
    </xf>
    <xf numFmtId="0" fontId="0" fillId="0" borderId="0" xfId="0" applyFill="1" applyBorder="1" applyAlignment="1">
      <alignment vertical="top" wrapText="1"/>
    </xf>
    <xf numFmtId="0" fontId="2" fillId="0" borderId="0" xfId="0" applyFont="1" applyFill="1" applyBorder="1" applyAlignment="1">
      <alignment vertical="top" wrapText="1"/>
    </xf>
    <xf numFmtId="0" fontId="2" fillId="0" borderId="0" xfId="0" applyFont="1" applyBorder="1" applyAlignment="1">
      <alignment horizontal="left" vertical="top" wrapText="1"/>
    </xf>
    <xf numFmtId="0" fontId="0" fillId="0" borderId="0" xfId="0" applyBorder="1" applyAlignment="1">
      <alignment horizontal="left" vertical="top" wrapText="1"/>
    </xf>
    <xf numFmtId="0" fontId="0" fillId="0" borderId="0" xfId="0" applyFill="1" applyBorder="1" applyAlignment="1">
      <alignment horizontal="left" vertical="top" wrapText="1"/>
    </xf>
    <xf numFmtId="0" fontId="0" fillId="3" borderId="0" xfId="0" applyFill="1" applyBorder="1" applyAlignment="1">
      <alignment vertical="top" wrapText="1"/>
    </xf>
    <xf numFmtId="0" fontId="0" fillId="4" borderId="0" xfId="0" applyFill="1" applyBorder="1" applyAlignment="1">
      <alignment vertical="top" wrapText="1"/>
    </xf>
    <xf numFmtId="0" fontId="2" fillId="0" borderId="0" xfId="0" applyFont="1" applyAlignment="1">
      <alignment wrapText="1"/>
    </xf>
    <xf numFmtId="0" fontId="0" fillId="0" borderId="0" xfId="0" applyAlignment="1">
      <alignment wrapText="1"/>
    </xf>
    <xf numFmtId="0" fontId="2" fillId="0" borderId="0" xfId="0" applyFont="1" applyAlignment="1"/>
    <xf numFmtId="0" fontId="0" fillId="0" borderId="0" xfId="0" applyAlignment="1"/>
    <xf numFmtId="0" fontId="2" fillId="0" borderId="0" xfId="0" applyFont="1" applyAlignment="1">
      <alignment vertical="top" wrapText="1"/>
    </xf>
    <xf numFmtId="0" fontId="0" fillId="0" borderId="0" xfId="0" applyAlignment="1">
      <alignment vertical="top" wrapText="1"/>
    </xf>
    <xf numFmtId="14" fontId="0" fillId="0" borderId="0" xfId="0" applyNumberFormat="1" applyAlignment="1">
      <alignment vertical="top" wrapText="1"/>
    </xf>
    <xf numFmtId="0" fontId="0" fillId="5" borderId="0" xfId="0" applyFill="1" applyBorder="1" applyAlignment="1">
      <alignment vertical="top" wrapText="1"/>
    </xf>
    <xf numFmtId="14" fontId="0" fillId="2" borderId="0" xfId="0" applyNumberFormat="1" applyFill="1" applyBorder="1" applyAlignment="1">
      <alignment vertical="top" wrapText="1"/>
    </xf>
    <xf numFmtId="16" fontId="0" fillId="0" borderId="0" xfId="0" applyNumberFormat="1" applyAlignment="1">
      <alignment vertical="top" wrapText="1"/>
    </xf>
    <xf numFmtId="2" fontId="2" fillId="0" borderId="0" xfId="0" applyNumberFormat="1" applyFont="1" applyAlignment="1">
      <alignment vertical="top" wrapText="1"/>
    </xf>
    <xf numFmtId="2" fontId="0" fillId="0" borderId="0" xfId="0" applyNumberFormat="1" applyAlignment="1">
      <alignment vertical="top" wrapText="1"/>
    </xf>
    <xf numFmtId="0" fontId="0" fillId="0" borderId="0" xfId="0" applyFill="1" applyAlignment="1">
      <alignment vertical="top" wrapText="1"/>
    </xf>
    <xf numFmtId="0" fontId="0" fillId="6" borderId="0" xfId="0" applyFill="1" applyBorder="1" applyAlignment="1">
      <alignment vertical="top" wrapText="1"/>
    </xf>
    <xf numFmtId="0" fontId="0" fillId="0" borderId="0" xfId="0" applyNumberFormat="1" applyAlignment="1">
      <alignment vertical="top" wrapText="1"/>
    </xf>
    <xf numFmtId="0" fontId="0" fillId="7" borderId="0" xfId="0" applyFill="1" applyBorder="1" applyAlignment="1">
      <alignment vertical="top" wrapText="1"/>
    </xf>
    <xf numFmtId="0" fontId="0" fillId="8" borderId="0" xfId="0" applyFill="1" applyBorder="1" applyAlignment="1">
      <alignment vertical="top" wrapText="1"/>
    </xf>
    <xf numFmtId="0" fontId="0" fillId="9" borderId="0" xfId="0" applyFill="1" applyBorder="1" applyAlignment="1">
      <alignment vertical="top" wrapText="1"/>
    </xf>
    <xf numFmtId="0" fontId="0" fillId="0" borderId="0" xfId="0" applyFill="1" applyBorder="1" applyAlignment="1">
      <alignment horizontal="center" vertical="top" wrapText="1"/>
    </xf>
    <xf numFmtId="0" fontId="0" fillId="2" borderId="0" xfId="0" applyFill="1" applyBorder="1" applyAlignment="1">
      <alignment horizontal="center" vertical="top" wrapText="1"/>
    </xf>
    <xf numFmtId="0" fontId="0" fillId="0" borderId="0" xfId="0" applyNumberFormat="1" applyBorder="1" applyAlignment="1">
      <alignment vertical="top" wrapText="1"/>
    </xf>
    <xf numFmtId="0" fontId="0" fillId="3" borderId="0" xfId="0" applyFill="1" applyAlignment="1">
      <alignment vertical="top" wrapText="1"/>
    </xf>
    <xf numFmtId="0" fontId="0" fillId="0" borderId="0" xfId="0" quotePrefix="1" applyFill="1" applyBorder="1" applyAlignment="1">
      <alignment vertical="top" wrapText="1"/>
    </xf>
    <xf numFmtId="0" fontId="0" fillId="2" borderId="0" xfId="0" applyFill="1" applyAlignment="1">
      <alignment vertical="top" wrapText="1"/>
    </xf>
    <xf numFmtId="0" fontId="0" fillId="10" borderId="0" xfId="0" applyFill="1" applyBorder="1" applyAlignment="1">
      <alignment vertical="top" wrapText="1"/>
    </xf>
    <xf numFmtId="0" fontId="5" fillId="0" borderId="0" xfId="0" applyFont="1" applyFill="1" applyBorder="1" applyAlignment="1">
      <alignment horizontal="center" vertical="top" wrapText="1"/>
    </xf>
    <xf numFmtId="14" fontId="0" fillId="2" borderId="0" xfId="0" applyNumberFormat="1" applyFill="1" applyAlignment="1">
      <alignment vertical="top" wrapText="1"/>
    </xf>
    <xf numFmtId="0" fontId="2" fillId="2" borderId="0" xfId="0" applyFont="1" applyFill="1" applyAlignment="1">
      <alignment vertical="top" wrapText="1"/>
    </xf>
    <xf numFmtId="14" fontId="0" fillId="0" borderId="0" xfId="0" applyNumberFormat="1" applyFill="1" applyBorder="1" applyAlignment="1">
      <alignment horizontal="center" vertical="top" wrapText="1"/>
    </xf>
    <xf numFmtId="0" fontId="0" fillId="11" borderId="0" xfId="0" applyFill="1" applyAlignment="1">
      <alignment vertical="top" wrapText="1"/>
    </xf>
    <xf numFmtId="16" fontId="0" fillId="0" borderId="0" xfId="0" applyNumberFormat="1" applyBorder="1" applyAlignment="1">
      <alignment vertical="top" wrapText="1"/>
    </xf>
    <xf numFmtId="2" fontId="0" fillId="0" borderId="0" xfId="0" applyNumberFormat="1"/>
    <xf numFmtId="0" fontId="2" fillId="0" borderId="0" xfId="0" applyFont="1"/>
    <xf numFmtId="2" fontId="2" fillId="0" borderId="0" xfId="0" applyNumberFormat="1" applyFont="1"/>
    <xf numFmtId="0" fontId="0" fillId="11" borderId="0" xfId="0" applyFill="1" applyBorder="1" applyAlignment="1">
      <alignment vertical="top" wrapText="1"/>
    </xf>
    <xf numFmtId="0" fontId="1" fillId="0" borderId="0" xfId="0" applyFont="1" applyFill="1" applyBorder="1" applyAlignment="1">
      <alignment vertical="top" wrapText="1"/>
    </xf>
    <xf numFmtId="0" fontId="1" fillId="0" borderId="0" xfId="0" applyFont="1" applyBorder="1" applyAlignment="1">
      <alignment horizontal="left" vertical="top" wrapText="1"/>
    </xf>
    <xf numFmtId="0" fontId="1" fillId="0" borderId="0" xfId="0" applyFont="1" applyBorder="1" applyAlignment="1">
      <alignment vertical="top" wrapText="1"/>
    </xf>
    <xf numFmtId="0" fontId="1" fillId="12" borderId="0" xfId="0" applyFont="1" applyFill="1" applyBorder="1" applyAlignment="1">
      <alignment vertical="top" wrapText="1"/>
    </xf>
    <xf numFmtId="0" fontId="1" fillId="12" borderId="0" xfId="0" applyFont="1" applyFill="1" applyBorder="1" applyAlignment="1">
      <alignment horizontal="left" vertical="top" wrapText="1"/>
    </xf>
    <xf numFmtId="0" fontId="8" fillId="0" borderId="0" xfId="0" applyNumberFormat="1" applyFont="1" applyAlignment="1">
      <alignment vertical="top" wrapText="1"/>
    </xf>
    <xf numFmtId="0" fontId="0" fillId="0" borderId="1" xfId="0" applyNumberFormat="1" applyBorder="1" applyAlignment="1">
      <alignment vertical="top" wrapText="1"/>
    </xf>
    <xf numFmtId="0" fontId="0" fillId="0" borderId="2" xfId="0" applyNumberFormat="1" applyBorder="1" applyAlignment="1">
      <alignment vertical="top" wrapText="1"/>
    </xf>
    <xf numFmtId="0" fontId="0" fillId="0" borderId="3" xfId="0" applyNumberFormat="1" applyBorder="1" applyAlignment="1">
      <alignment vertical="top" wrapText="1"/>
    </xf>
    <xf numFmtId="0" fontId="0" fillId="0" borderId="4" xfId="0" applyNumberFormat="1" applyBorder="1" applyAlignment="1">
      <alignment vertical="top" wrapText="1"/>
    </xf>
    <xf numFmtId="0" fontId="0" fillId="0" borderId="5" xfId="0" applyNumberFormat="1" applyBorder="1" applyAlignment="1">
      <alignment vertical="top" wrapText="1"/>
    </xf>
    <xf numFmtId="0" fontId="8"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 xfId="0" applyNumberFormat="1" applyBorder="1" applyAlignment="1">
      <alignment horizontal="center" vertical="top" wrapText="1"/>
    </xf>
    <xf numFmtId="0" fontId="0" fillId="0" borderId="6" xfId="0" applyNumberFormat="1" applyBorder="1" applyAlignment="1">
      <alignment horizontal="center" vertical="top" wrapText="1"/>
    </xf>
    <xf numFmtId="0" fontId="9" fillId="0" borderId="0" xfId="1" quotePrefix="1" applyNumberFormat="1" applyAlignment="1">
      <alignment horizontal="center" vertical="top" wrapText="1"/>
    </xf>
    <xf numFmtId="0" fontId="0" fillId="0" borderId="7" xfId="0" applyNumberFormat="1" applyBorder="1" applyAlignment="1">
      <alignment horizontal="center" vertical="top" wrapText="1"/>
    </xf>
    <xf numFmtId="0" fontId="0" fillId="0" borderId="5" xfId="0" applyNumberFormat="1" applyBorder="1" applyAlignment="1">
      <alignment horizontal="center" vertical="top" wrapText="1"/>
    </xf>
    <xf numFmtId="0" fontId="9" fillId="0" borderId="5" xfId="1" quotePrefix="1" applyNumberFormat="1" applyBorder="1" applyAlignment="1">
      <alignment horizontal="center" vertical="top" wrapText="1"/>
    </xf>
    <xf numFmtId="0" fontId="0" fillId="0" borderId="8" xfId="0" applyNumberFormat="1" applyBorder="1" applyAlignment="1">
      <alignment horizontal="center" vertical="top" wrapText="1"/>
    </xf>
  </cellXfs>
  <cellStyles count="2">
    <cellStyle name="Hyperlink" xfId="1" builtinId="8"/>
    <cellStyle name="Normal" xfId="0" builtinId="0"/>
  </cellStyles>
  <dxfs count="13">
    <dxf>
      <font>
        <condense val="0"/>
        <extend val="0"/>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FFC7CE"/>
        </patternFill>
      </fill>
    </dxf>
    <dxf>
      <fill>
        <patternFill>
          <bgColor rgb="FFFFC7CE"/>
        </patternFill>
      </fill>
    </dxf>
    <dxf>
      <font>
        <condense val="0"/>
        <extend val="0"/>
        <color rgb="FF9C6500"/>
      </font>
      <fill>
        <patternFill>
          <bgColor rgb="FFFFEB9C"/>
        </patternFill>
      </fill>
    </dxf>
    <dxf>
      <font>
        <condense val="0"/>
        <extend val="0"/>
        <color rgb="FF9C0006"/>
      </font>
      <fill>
        <patternFill>
          <bgColor rgb="FFFFC7CE"/>
        </patternFill>
      </fill>
    </dxf>
    <dxf>
      <font>
        <color auto="1"/>
      </font>
      <fill>
        <patternFill>
          <bgColor rgb="FFC6EFCE"/>
        </patternFill>
      </fill>
    </dxf>
    <dxf>
      <fill>
        <patternFill>
          <bgColor rgb="FFFFC7CE"/>
        </patternFill>
      </fill>
    </dxf>
    <dxf>
      <font>
        <condense val="0"/>
        <extend val="0"/>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443892750744788E-2"/>
          <c:y val="4.0935789404552163E-2"/>
          <c:w val="0.8033763654419066"/>
          <c:h val="0.7251482694520669"/>
        </c:manualLayout>
      </c:layout>
      <c:lineChart>
        <c:grouping val="standard"/>
        <c:varyColors val="0"/>
        <c:ser>
          <c:idx val="0"/>
          <c:order val="0"/>
          <c:tx>
            <c:v>Estimated</c:v>
          </c:tx>
          <c:cat>
            <c:numRef>
              <c:f>'Stats (i1)'!$I$2:$I$16</c:f>
              <c:numCache>
                <c:formatCode>m/d/yyyy</c:formatCode>
                <c:ptCount val="15"/>
                <c:pt idx="0">
                  <c:v>40203</c:v>
                </c:pt>
                <c:pt idx="1">
                  <c:v>40204</c:v>
                </c:pt>
                <c:pt idx="2">
                  <c:v>40205</c:v>
                </c:pt>
                <c:pt idx="3">
                  <c:v>40206</c:v>
                </c:pt>
                <c:pt idx="4">
                  <c:v>40207</c:v>
                </c:pt>
                <c:pt idx="5">
                  <c:v>40210</c:v>
                </c:pt>
                <c:pt idx="6">
                  <c:v>40211</c:v>
                </c:pt>
                <c:pt idx="7">
                  <c:v>40212</c:v>
                </c:pt>
                <c:pt idx="8">
                  <c:v>40213</c:v>
                </c:pt>
                <c:pt idx="9">
                  <c:v>40214</c:v>
                </c:pt>
                <c:pt idx="10">
                  <c:v>40217</c:v>
                </c:pt>
                <c:pt idx="11">
                  <c:v>40218</c:v>
                </c:pt>
                <c:pt idx="12">
                  <c:v>40219</c:v>
                </c:pt>
                <c:pt idx="13">
                  <c:v>40220</c:v>
                </c:pt>
                <c:pt idx="14">
                  <c:v>40221</c:v>
                </c:pt>
              </c:numCache>
            </c:numRef>
          </c:cat>
          <c:val>
            <c:numRef>
              <c:f>'Stats (i1)'!$L$2:$L$16</c:f>
              <c:numCache>
                <c:formatCode>0.00</c:formatCode>
                <c:ptCount val="15"/>
                <c:pt idx="0">
                  <c:v>1.0603448275862069</c:v>
                </c:pt>
                <c:pt idx="1">
                  <c:v>2.1206896551724137</c:v>
                </c:pt>
                <c:pt idx="2">
                  <c:v>3.1810344827586206</c:v>
                </c:pt>
                <c:pt idx="3">
                  <c:v>4.2413793103448274</c:v>
                </c:pt>
                <c:pt idx="4">
                  <c:v>5.3017241379310338</c:v>
                </c:pt>
                <c:pt idx="5">
                  <c:v>5.3017241379310338</c:v>
                </c:pt>
                <c:pt idx="6">
                  <c:v>5.3017241379310338</c:v>
                </c:pt>
                <c:pt idx="7">
                  <c:v>8.4827586206896548</c:v>
                </c:pt>
                <c:pt idx="8">
                  <c:v>11.663793103448276</c:v>
                </c:pt>
                <c:pt idx="9">
                  <c:v>14.844827586206897</c:v>
                </c:pt>
                <c:pt idx="10">
                  <c:v>18.025862068965516</c:v>
                </c:pt>
                <c:pt idx="11">
                  <c:v>21.206896551724135</c:v>
                </c:pt>
                <c:pt idx="12">
                  <c:v>24.387931034482758</c:v>
                </c:pt>
                <c:pt idx="13">
                  <c:v>27.568965517241377</c:v>
                </c:pt>
                <c:pt idx="14">
                  <c:v>30.75</c:v>
                </c:pt>
              </c:numCache>
            </c:numRef>
          </c:val>
          <c:smooth val="0"/>
          <c:extLst>
            <c:ext xmlns:c16="http://schemas.microsoft.com/office/drawing/2014/chart" uri="{C3380CC4-5D6E-409C-BE32-E72D297353CC}">
              <c16:uniqueId val="{00000000-A1DF-46E0-B943-80B285867F35}"/>
            </c:ext>
          </c:extLst>
        </c:ser>
        <c:ser>
          <c:idx val="1"/>
          <c:order val="1"/>
          <c:tx>
            <c:v>Actual</c:v>
          </c:tx>
          <c:cat>
            <c:numRef>
              <c:f>'Stats (i1)'!$I$2:$I$16</c:f>
              <c:numCache>
                <c:formatCode>m/d/yyyy</c:formatCode>
                <c:ptCount val="15"/>
                <c:pt idx="0">
                  <c:v>40203</c:v>
                </c:pt>
                <c:pt idx="1">
                  <c:v>40204</c:v>
                </c:pt>
                <c:pt idx="2">
                  <c:v>40205</c:v>
                </c:pt>
                <c:pt idx="3">
                  <c:v>40206</c:v>
                </c:pt>
                <c:pt idx="4">
                  <c:v>40207</c:v>
                </c:pt>
                <c:pt idx="5">
                  <c:v>40210</c:v>
                </c:pt>
                <c:pt idx="6">
                  <c:v>40211</c:v>
                </c:pt>
                <c:pt idx="7">
                  <c:v>40212</c:v>
                </c:pt>
                <c:pt idx="8">
                  <c:v>40213</c:v>
                </c:pt>
                <c:pt idx="9">
                  <c:v>40214</c:v>
                </c:pt>
                <c:pt idx="10">
                  <c:v>40217</c:v>
                </c:pt>
                <c:pt idx="11">
                  <c:v>40218</c:v>
                </c:pt>
                <c:pt idx="12">
                  <c:v>40219</c:v>
                </c:pt>
                <c:pt idx="13">
                  <c:v>40220</c:v>
                </c:pt>
                <c:pt idx="14">
                  <c:v>40221</c:v>
                </c:pt>
              </c:numCache>
            </c:numRef>
          </c:cat>
          <c:val>
            <c:numRef>
              <c:f>'Stats (i1)'!$N$2:$N$16</c:f>
              <c:numCache>
                <c:formatCode>General</c:formatCode>
                <c:ptCount val="15"/>
                <c:pt idx="0">
                  <c:v>0</c:v>
                </c:pt>
                <c:pt idx="1">
                  <c:v>2</c:v>
                </c:pt>
                <c:pt idx="2">
                  <c:v>5.75</c:v>
                </c:pt>
                <c:pt idx="3">
                  <c:v>6.25</c:v>
                </c:pt>
                <c:pt idx="4">
                  <c:v>8.25</c:v>
                </c:pt>
                <c:pt idx="5">
                  <c:v>8.25</c:v>
                </c:pt>
                <c:pt idx="6">
                  <c:v>8.25</c:v>
                </c:pt>
                <c:pt idx="7">
                  <c:v>8.25</c:v>
                </c:pt>
                <c:pt idx="8">
                  <c:v>13.25</c:v>
                </c:pt>
                <c:pt idx="9">
                  <c:v>13.25</c:v>
                </c:pt>
                <c:pt idx="10">
                  <c:v>15.25</c:v>
                </c:pt>
                <c:pt idx="11">
                  <c:v>15.25</c:v>
                </c:pt>
                <c:pt idx="12">
                  <c:v>20.25</c:v>
                </c:pt>
                <c:pt idx="13">
                  <c:v>22.75</c:v>
                </c:pt>
                <c:pt idx="14">
                  <c:v>30.75</c:v>
                </c:pt>
              </c:numCache>
            </c:numRef>
          </c:val>
          <c:smooth val="0"/>
          <c:extLst>
            <c:ext xmlns:c16="http://schemas.microsoft.com/office/drawing/2014/chart" uri="{C3380CC4-5D6E-409C-BE32-E72D297353CC}">
              <c16:uniqueId val="{00000001-A1DF-46E0-B943-80B285867F35}"/>
            </c:ext>
          </c:extLst>
        </c:ser>
        <c:dLbls>
          <c:showLegendKey val="0"/>
          <c:showVal val="0"/>
          <c:showCatName val="0"/>
          <c:showSerName val="0"/>
          <c:showPercent val="0"/>
          <c:showBubbleSize val="0"/>
        </c:dLbls>
        <c:marker val="1"/>
        <c:smooth val="0"/>
        <c:axId val="159033056"/>
        <c:axId val="1"/>
      </c:lineChart>
      <c:dateAx>
        <c:axId val="159033056"/>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59033056"/>
        <c:crosses val="autoZero"/>
        <c:crossBetween val="between"/>
      </c:valAx>
    </c:plotArea>
    <c:legend>
      <c:legendPos val="r"/>
      <c:layout>
        <c:manualLayout>
          <c:xMode val="edge"/>
          <c:yMode val="edge"/>
          <c:wMode val="edge"/>
          <c:hMode val="edge"/>
          <c:x val="0.89771598808341613"/>
          <c:y val="0.43859771914475604"/>
          <c:w val="0.99205561072492554"/>
          <c:h val="0.57894890331690996"/>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409136047666339E-2"/>
          <c:y val="4.0935789404552163E-2"/>
          <c:w val="0.79841112214498511"/>
          <c:h val="0.71052834466472681"/>
        </c:manualLayout>
      </c:layout>
      <c:lineChart>
        <c:grouping val="standard"/>
        <c:varyColors val="0"/>
        <c:ser>
          <c:idx val="0"/>
          <c:order val="0"/>
          <c:tx>
            <c:v>Estimated</c:v>
          </c:tx>
          <c:cat>
            <c:numRef>
              <c:f>'Stats (i2)'!$I$2:$I$17</c:f>
              <c:numCache>
                <c:formatCode>m/d/yyyy</c:formatCode>
                <c:ptCount val="16"/>
                <c:pt idx="0">
                  <c:v>40224</c:v>
                </c:pt>
                <c:pt idx="1">
                  <c:v>40225</c:v>
                </c:pt>
                <c:pt idx="2">
                  <c:v>40226</c:v>
                </c:pt>
                <c:pt idx="3">
                  <c:v>40227</c:v>
                </c:pt>
                <c:pt idx="4">
                  <c:v>40228</c:v>
                </c:pt>
                <c:pt idx="5">
                  <c:v>40231</c:v>
                </c:pt>
                <c:pt idx="6">
                  <c:v>40232</c:v>
                </c:pt>
                <c:pt idx="7">
                  <c:v>40233</c:v>
                </c:pt>
                <c:pt idx="8">
                  <c:v>40234</c:v>
                </c:pt>
                <c:pt idx="9">
                  <c:v>40235</c:v>
                </c:pt>
                <c:pt idx="10">
                  <c:v>40238</c:v>
                </c:pt>
                <c:pt idx="11">
                  <c:v>40239</c:v>
                </c:pt>
                <c:pt idx="12">
                  <c:v>40240</c:v>
                </c:pt>
                <c:pt idx="13">
                  <c:v>40241</c:v>
                </c:pt>
                <c:pt idx="14">
                  <c:v>40242</c:v>
                </c:pt>
                <c:pt idx="15">
                  <c:v>40245</c:v>
                </c:pt>
              </c:numCache>
            </c:numRef>
          </c:cat>
          <c:val>
            <c:numRef>
              <c:f>'Stats (i2)'!$L$2:$L$17</c:f>
              <c:numCache>
                <c:formatCode>0.00</c:formatCode>
                <c:ptCount val="16"/>
                <c:pt idx="0">
                  <c:v>0</c:v>
                </c:pt>
                <c:pt idx="1">
                  <c:v>1.5666666666666667</c:v>
                </c:pt>
                <c:pt idx="2">
                  <c:v>4.7</c:v>
                </c:pt>
                <c:pt idx="3">
                  <c:v>7.833333333333333</c:v>
                </c:pt>
                <c:pt idx="4">
                  <c:v>10.966666666666667</c:v>
                </c:pt>
                <c:pt idx="5">
                  <c:v>14.883333333333333</c:v>
                </c:pt>
                <c:pt idx="6">
                  <c:v>18.8</c:v>
                </c:pt>
                <c:pt idx="7">
                  <c:v>22.716666666666665</c:v>
                </c:pt>
                <c:pt idx="8">
                  <c:v>26.633333333333333</c:v>
                </c:pt>
                <c:pt idx="9">
                  <c:v>30.55</c:v>
                </c:pt>
                <c:pt idx="10">
                  <c:v>33.68333333333333</c:v>
                </c:pt>
                <c:pt idx="11">
                  <c:v>36.816666666666663</c:v>
                </c:pt>
                <c:pt idx="12">
                  <c:v>39.950000000000003</c:v>
                </c:pt>
                <c:pt idx="13">
                  <c:v>43.083333333333336</c:v>
                </c:pt>
                <c:pt idx="14">
                  <c:v>46.216666666666669</c:v>
                </c:pt>
                <c:pt idx="15">
                  <c:v>47</c:v>
                </c:pt>
              </c:numCache>
            </c:numRef>
          </c:val>
          <c:smooth val="0"/>
          <c:extLst>
            <c:ext xmlns:c16="http://schemas.microsoft.com/office/drawing/2014/chart" uri="{C3380CC4-5D6E-409C-BE32-E72D297353CC}">
              <c16:uniqueId val="{00000000-568E-4EC4-843B-2A23A31662E8}"/>
            </c:ext>
          </c:extLst>
        </c:ser>
        <c:ser>
          <c:idx val="1"/>
          <c:order val="1"/>
          <c:tx>
            <c:v>Actual</c:v>
          </c:tx>
          <c:cat>
            <c:numRef>
              <c:f>'Stats (i2)'!$I$2:$I$17</c:f>
              <c:numCache>
                <c:formatCode>m/d/yyyy</c:formatCode>
                <c:ptCount val="16"/>
                <c:pt idx="0">
                  <c:v>40224</c:v>
                </c:pt>
                <c:pt idx="1">
                  <c:v>40225</c:v>
                </c:pt>
                <c:pt idx="2">
                  <c:v>40226</c:v>
                </c:pt>
                <c:pt idx="3">
                  <c:v>40227</c:v>
                </c:pt>
                <c:pt idx="4">
                  <c:v>40228</c:v>
                </c:pt>
                <c:pt idx="5">
                  <c:v>40231</c:v>
                </c:pt>
                <c:pt idx="6">
                  <c:v>40232</c:v>
                </c:pt>
                <c:pt idx="7">
                  <c:v>40233</c:v>
                </c:pt>
                <c:pt idx="8">
                  <c:v>40234</c:v>
                </c:pt>
                <c:pt idx="9">
                  <c:v>40235</c:v>
                </c:pt>
                <c:pt idx="10">
                  <c:v>40238</c:v>
                </c:pt>
                <c:pt idx="11">
                  <c:v>40239</c:v>
                </c:pt>
                <c:pt idx="12">
                  <c:v>40240</c:v>
                </c:pt>
                <c:pt idx="13">
                  <c:v>40241</c:v>
                </c:pt>
                <c:pt idx="14">
                  <c:v>40242</c:v>
                </c:pt>
                <c:pt idx="15">
                  <c:v>40245</c:v>
                </c:pt>
              </c:numCache>
            </c:numRef>
          </c:cat>
          <c:val>
            <c:numRef>
              <c:f>'Stats (i2)'!$N$2:$N$17</c:f>
              <c:numCache>
                <c:formatCode>General</c:formatCode>
                <c:ptCount val="16"/>
                <c:pt idx="0">
                  <c:v>0</c:v>
                </c:pt>
                <c:pt idx="1">
                  <c:v>0</c:v>
                </c:pt>
                <c:pt idx="2">
                  <c:v>0.5</c:v>
                </c:pt>
                <c:pt idx="3">
                  <c:v>2.5</c:v>
                </c:pt>
                <c:pt idx="4">
                  <c:v>2.5</c:v>
                </c:pt>
                <c:pt idx="5">
                  <c:v>3</c:v>
                </c:pt>
                <c:pt idx="6">
                  <c:v>10</c:v>
                </c:pt>
                <c:pt idx="7">
                  <c:v>16</c:v>
                </c:pt>
                <c:pt idx="8">
                  <c:v>25</c:v>
                </c:pt>
                <c:pt idx="9">
                  <c:v>25</c:v>
                </c:pt>
                <c:pt idx="10">
                  <c:v>27</c:v>
                </c:pt>
                <c:pt idx="11">
                  <c:v>29</c:v>
                </c:pt>
                <c:pt idx="12">
                  <c:v>29</c:v>
                </c:pt>
                <c:pt idx="13">
                  <c:v>37</c:v>
                </c:pt>
                <c:pt idx="14">
                  <c:v>43</c:v>
                </c:pt>
                <c:pt idx="15">
                  <c:v>47</c:v>
                </c:pt>
              </c:numCache>
            </c:numRef>
          </c:val>
          <c:smooth val="0"/>
          <c:extLst>
            <c:ext xmlns:c16="http://schemas.microsoft.com/office/drawing/2014/chart" uri="{C3380CC4-5D6E-409C-BE32-E72D297353CC}">
              <c16:uniqueId val="{00000001-568E-4EC4-843B-2A23A31662E8}"/>
            </c:ext>
          </c:extLst>
        </c:ser>
        <c:dLbls>
          <c:showLegendKey val="0"/>
          <c:showVal val="0"/>
          <c:showCatName val="0"/>
          <c:showSerName val="0"/>
          <c:showPercent val="0"/>
          <c:showBubbleSize val="0"/>
        </c:dLbls>
        <c:marker val="1"/>
        <c:smooth val="0"/>
        <c:axId val="158441168"/>
        <c:axId val="1"/>
      </c:lineChart>
      <c:dateAx>
        <c:axId val="158441168"/>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58441168"/>
        <c:crosses val="autoZero"/>
        <c:crossBetween val="between"/>
      </c:valAx>
    </c:plotArea>
    <c:legend>
      <c:legendPos val="r"/>
      <c:layout>
        <c:manualLayout>
          <c:xMode val="edge"/>
          <c:yMode val="edge"/>
          <c:wMode val="edge"/>
          <c:hMode val="edge"/>
          <c:x val="0.89771598808341613"/>
          <c:y val="0.42982578932019461"/>
          <c:w val="0.99205561072492554"/>
          <c:h val="0.57017697349234853"/>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409136047666339E-2"/>
          <c:y val="4.0935789404552163E-2"/>
          <c:w val="0.79841112214498511"/>
          <c:h val="0.71052834466472681"/>
        </c:manualLayout>
      </c:layout>
      <c:lineChart>
        <c:grouping val="standard"/>
        <c:varyColors val="0"/>
        <c:ser>
          <c:idx val="0"/>
          <c:order val="0"/>
          <c:tx>
            <c:v>Estimated</c:v>
          </c:tx>
          <c:cat>
            <c:numRef>
              <c:f>'Stats (i3)'!$I$2:$I$18</c:f>
              <c:numCache>
                <c:formatCode>m/d/yyyy</c:formatCode>
                <c:ptCount val="17"/>
                <c:pt idx="0">
                  <c:v>40245</c:v>
                </c:pt>
                <c:pt idx="1">
                  <c:v>40246</c:v>
                </c:pt>
                <c:pt idx="2">
                  <c:v>40247</c:v>
                </c:pt>
                <c:pt idx="3">
                  <c:v>40248</c:v>
                </c:pt>
                <c:pt idx="4">
                  <c:v>40249</c:v>
                </c:pt>
                <c:pt idx="5">
                  <c:v>40252</c:v>
                </c:pt>
                <c:pt idx="6">
                  <c:v>40253</c:v>
                </c:pt>
                <c:pt idx="7">
                  <c:v>40254</c:v>
                </c:pt>
                <c:pt idx="8">
                  <c:v>40255</c:v>
                </c:pt>
                <c:pt idx="9">
                  <c:v>40256</c:v>
                </c:pt>
                <c:pt idx="10">
                  <c:v>40259</c:v>
                </c:pt>
                <c:pt idx="11">
                  <c:v>40260</c:v>
                </c:pt>
                <c:pt idx="12">
                  <c:v>40261</c:v>
                </c:pt>
                <c:pt idx="13">
                  <c:v>40262</c:v>
                </c:pt>
                <c:pt idx="14">
                  <c:v>40263</c:v>
                </c:pt>
                <c:pt idx="15">
                  <c:v>40266</c:v>
                </c:pt>
                <c:pt idx="16">
                  <c:v>40267</c:v>
                </c:pt>
              </c:numCache>
            </c:numRef>
          </c:cat>
          <c:val>
            <c:numRef>
              <c:f>'Stats (i3)'!$L$2:$L$18</c:f>
              <c:numCache>
                <c:formatCode>0.00</c:formatCode>
                <c:ptCount val="17"/>
                <c:pt idx="0">
                  <c:v>3.9322033898305087</c:v>
                </c:pt>
                <c:pt idx="1">
                  <c:v>6.8813559322033901</c:v>
                </c:pt>
                <c:pt idx="2">
                  <c:v>9.8305084745762716</c:v>
                </c:pt>
                <c:pt idx="3">
                  <c:v>12.779661016949152</c:v>
                </c:pt>
                <c:pt idx="4">
                  <c:v>15.728813559322035</c:v>
                </c:pt>
                <c:pt idx="5">
                  <c:v>21.627118644067799</c:v>
                </c:pt>
                <c:pt idx="6">
                  <c:v>26.542372881355934</c:v>
                </c:pt>
                <c:pt idx="7">
                  <c:v>31.457627118644069</c:v>
                </c:pt>
                <c:pt idx="8">
                  <c:v>36.372881355932208</c:v>
                </c:pt>
                <c:pt idx="9">
                  <c:v>40.305084745762713</c:v>
                </c:pt>
                <c:pt idx="10">
                  <c:v>44.237288135593225</c:v>
                </c:pt>
                <c:pt idx="11">
                  <c:v>49.152542372881356</c:v>
                </c:pt>
                <c:pt idx="12">
                  <c:v>53.084745762711869</c:v>
                </c:pt>
                <c:pt idx="13">
                  <c:v>57.016949152542374</c:v>
                </c:pt>
                <c:pt idx="14">
                  <c:v>57.016949152542374</c:v>
                </c:pt>
                <c:pt idx="15">
                  <c:v>57.016949152542374</c:v>
                </c:pt>
                <c:pt idx="16">
                  <c:v>58</c:v>
                </c:pt>
              </c:numCache>
            </c:numRef>
          </c:val>
          <c:smooth val="0"/>
          <c:extLst>
            <c:ext xmlns:c16="http://schemas.microsoft.com/office/drawing/2014/chart" uri="{C3380CC4-5D6E-409C-BE32-E72D297353CC}">
              <c16:uniqueId val="{00000000-24CE-460E-BBBF-38C4B63BC5E1}"/>
            </c:ext>
          </c:extLst>
        </c:ser>
        <c:ser>
          <c:idx val="1"/>
          <c:order val="1"/>
          <c:tx>
            <c:v>Actual</c:v>
          </c:tx>
          <c:cat>
            <c:numRef>
              <c:f>'Stats (i3)'!$I$2:$I$18</c:f>
              <c:numCache>
                <c:formatCode>m/d/yyyy</c:formatCode>
                <c:ptCount val="17"/>
                <c:pt idx="0">
                  <c:v>40245</c:v>
                </c:pt>
                <c:pt idx="1">
                  <c:v>40246</c:v>
                </c:pt>
                <c:pt idx="2">
                  <c:v>40247</c:v>
                </c:pt>
                <c:pt idx="3">
                  <c:v>40248</c:v>
                </c:pt>
                <c:pt idx="4">
                  <c:v>40249</c:v>
                </c:pt>
                <c:pt idx="5">
                  <c:v>40252</c:v>
                </c:pt>
                <c:pt idx="6">
                  <c:v>40253</c:v>
                </c:pt>
                <c:pt idx="7">
                  <c:v>40254</c:v>
                </c:pt>
                <c:pt idx="8">
                  <c:v>40255</c:v>
                </c:pt>
                <c:pt idx="9">
                  <c:v>40256</c:v>
                </c:pt>
                <c:pt idx="10">
                  <c:v>40259</c:v>
                </c:pt>
                <c:pt idx="11">
                  <c:v>40260</c:v>
                </c:pt>
                <c:pt idx="12">
                  <c:v>40261</c:v>
                </c:pt>
                <c:pt idx="13">
                  <c:v>40262</c:v>
                </c:pt>
                <c:pt idx="14">
                  <c:v>40263</c:v>
                </c:pt>
                <c:pt idx="15">
                  <c:v>40266</c:v>
                </c:pt>
                <c:pt idx="16">
                  <c:v>40267</c:v>
                </c:pt>
              </c:numCache>
            </c:numRef>
          </c:cat>
          <c:val>
            <c:numRef>
              <c:f>'Stats (i3)'!$N$2:$N$18</c:f>
              <c:numCache>
                <c:formatCode>General</c:formatCode>
                <c:ptCount val="17"/>
                <c:pt idx="0">
                  <c:v>0</c:v>
                </c:pt>
                <c:pt idx="1">
                  <c:v>0</c:v>
                </c:pt>
                <c:pt idx="2">
                  <c:v>0</c:v>
                </c:pt>
                <c:pt idx="3">
                  <c:v>0</c:v>
                </c:pt>
                <c:pt idx="4">
                  <c:v>0</c:v>
                </c:pt>
                <c:pt idx="5">
                  <c:v>0</c:v>
                </c:pt>
                <c:pt idx="6">
                  <c:v>5.5</c:v>
                </c:pt>
                <c:pt idx="7">
                  <c:v>11.5</c:v>
                </c:pt>
                <c:pt idx="8">
                  <c:v>14.5</c:v>
                </c:pt>
                <c:pt idx="9">
                  <c:v>22.5</c:v>
                </c:pt>
                <c:pt idx="10">
                  <c:v>22.5</c:v>
                </c:pt>
                <c:pt idx="11">
                  <c:v>40</c:v>
                </c:pt>
                <c:pt idx="12">
                  <c:v>42</c:v>
                </c:pt>
                <c:pt idx="13">
                  <c:v>43</c:v>
                </c:pt>
                <c:pt idx="14">
                  <c:v>46</c:v>
                </c:pt>
                <c:pt idx="15">
                  <c:v>46</c:v>
                </c:pt>
                <c:pt idx="16">
                  <c:v>58</c:v>
                </c:pt>
              </c:numCache>
            </c:numRef>
          </c:val>
          <c:smooth val="0"/>
          <c:extLst>
            <c:ext xmlns:c16="http://schemas.microsoft.com/office/drawing/2014/chart" uri="{C3380CC4-5D6E-409C-BE32-E72D297353CC}">
              <c16:uniqueId val="{00000001-24CE-460E-BBBF-38C4B63BC5E1}"/>
            </c:ext>
          </c:extLst>
        </c:ser>
        <c:dLbls>
          <c:showLegendKey val="0"/>
          <c:showVal val="0"/>
          <c:showCatName val="0"/>
          <c:showSerName val="0"/>
          <c:showPercent val="0"/>
          <c:showBubbleSize val="0"/>
        </c:dLbls>
        <c:marker val="1"/>
        <c:smooth val="0"/>
        <c:axId val="159080888"/>
        <c:axId val="1"/>
      </c:lineChart>
      <c:dateAx>
        <c:axId val="159080888"/>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59080888"/>
        <c:crosses val="autoZero"/>
        <c:crossBetween val="between"/>
      </c:valAx>
    </c:plotArea>
    <c:legend>
      <c:legendPos val="r"/>
      <c:layout>
        <c:manualLayout>
          <c:xMode val="edge"/>
          <c:yMode val="edge"/>
          <c:wMode val="edge"/>
          <c:hMode val="edge"/>
          <c:x val="0.89771598808341613"/>
          <c:y val="0.42982578932019461"/>
          <c:w val="0.99205561072492554"/>
          <c:h val="0.57017697349234853"/>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409136047666339E-2"/>
          <c:y val="4.0935789404552163E-2"/>
          <c:w val="0.81330685203574971"/>
          <c:h val="0.71052834466472681"/>
        </c:manualLayout>
      </c:layout>
      <c:lineChart>
        <c:grouping val="standard"/>
        <c:varyColors val="0"/>
        <c:ser>
          <c:idx val="0"/>
          <c:order val="0"/>
          <c:cat>
            <c:numRef>
              <c:f>'Stats (i4)'!$I$2:$I$20</c:f>
              <c:numCache>
                <c:formatCode>m/d/yyyy</c:formatCode>
                <c:ptCount val="19"/>
                <c:pt idx="0">
                  <c:v>40266</c:v>
                </c:pt>
                <c:pt idx="1">
                  <c:v>40267</c:v>
                </c:pt>
                <c:pt idx="2">
                  <c:v>40268</c:v>
                </c:pt>
                <c:pt idx="3">
                  <c:v>40269</c:v>
                </c:pt>
                <c:pt idx="4">
                  <c:v>40270</c:v>
                </c:pt>
                <c:pt idx="5">
                  <c:v>40273</c:v>
                </c:pt>
                <c:pt idx="6">
                  <c:v>40274</c:v>
                </c:pt>
                <c:pt idx="7">
                  <c:v>40275</c:v>
                </c:pt>
                <c:pt idx="8">
                  <c:v>40276</c:v>
                </c:pt>
                <c:pt idx="9">
                  <c:v>40277</c:v>
                </c:pt>
                <c:pt idx="10">
                  <c:v>40280</c:v>
                </c:pt>
                <c:pt idx="11">
                  <c:v>40281</c:v>
                </c:pt>
                <c:pt idx="12">
                  <c:v>40282</c:v>
                </c:pt>
                <c:pt idx="13">
                  <c:v>40283</c:v>
                </c:pt>
                <c:pt idx="14">
                  <c:v>40284</c:v>
                </c:pt>
                <c:pt idx="15">
                  <c:v>40287</c:v>
                </c:pt>
                <c:pt idx="16">
                  <c:v>40288</c:v>
                </c:pt>
                <c:pt idx="17">
                  <c:v>40289</c:v>
                </c:pt>
                <c:pt idx="18">
                  <c:v>40290</c:v>
                </c:pt>
              </c:numCache>
            </c:numRef>
          </c:cat>
          <c:val>
            <c:numRef>
              <c:f>'Stats (i4)'!$L$2:$L$20</c:f>
              <c:numCache>
                <c:formatCode>0.00</c:formatCode>
                <c:ptCount val="19"/>
                <c:pt idx="0">
                  <c:v>0</c:v>
                </c:pt>
                <c:pt idx="1">
                  <c:v>2.0571428571428569</c:v>
                </c:pt>
                <c:pt idx="2">
                  <c:v>4.8</c:v>
                </c:pt>
                <c:pt idx="3">
                  <c:v>7.5428571428571427</c:v>
                </c:pt>
                <c:pt idx="4">
                  <c:v>7.5428571428571427</c:v>
                </c:pt>
                <c:pt idx="5">
                  <c:v>7.5428571428571427</c:v>
                </c:pt>
                <c:pt idx="6">
                  <c:v>10.971428571428572</c:v>
                </c:pt>
                <c:pt idx="7">
                  <c:v>14.4</c:v>
                </c:pt>
                <c:pt idx="8">
                  <c:v>17.828571428571429</c:v>
                </c:pt>
                <c:pt idx="9">
                  <c:v>22.62857142857143</c:v>
                </c:pt>
                <c:pt idx="10">
                  <c:v>26.057142857142857</c:v>
                </c:pt>
                <c:pt idx="11">
                  <c:v>29.485714285714288</c:v>
                </c:pt>
                <c:pt idx="12">
                  <c:v>32.914285714285711</c:v>
                </c:pt>
                <c:pt idx="13">
                  <c:v>36.342857142857142</c:v>
                </c:pt>
                <c:pt idx="14">
                  <c:v>41.142857142857146</c:v>
                </c:pt>
                <c:pt idx="15">
                  <c:v>44.571428571428569</c:v>
                </c:pt>
                <c:pt idx="16">
                  <c:v>46.628571428571426</c:v>
                </c:pt>
                <c:pt idx="17">
                  <c:v>47.657142857142858</c:v>
                </c:pt>
                <c:pt idx="18">
                  <c:v>48</c:v>
                </c:pt>
              </c:numCache>
            </c:numRef>
          </c:val>
          <c:smooth val="0"/>
          <c:extLst>
            <c:ext xmlns:c16="http://schemas.microsoft.com/office/drawing/2014/chart" uri="{C3380CC4-5D6E-409C-BE32-E72D297353CC}">
              <c16:uniqueId val="{00000000-2D62-4065-9C51-338417B61501}"/>
            </c:ext>
          </c:extLst>
        </c:ser>
        <c:ser>
          <c:idx val="1"/>
          <c:order val="1"/>
          <c:cat>
            <c:numRef>
              <c:f>'Stats (i4)'!$I$2:$I$20</c:f>
              <c:numCache>
                <c:formatCode>m/d/yyyy</c:formatCode>
                <c:ptCount val="19"/>
                <c:pt idx="0">
                  <c:v>40266</c:v>
                </c:pt>
                <c:pt idx="1">
                  <c:v>40267</c:v>
                </c:pt>
                <c:pt idx="2">
                  <c:v>40268</c:v>
                </c:pt>
                <c:pt idx="3">
                  <c:v>40269</c:v>
                </c:pt>
                <c:pt idx="4">
                  <c:v>40270</c:v>
                </c:pt>
                <c:pt idx="5">
                  <c:v>40273</c:v>
                </c:pt>
                <c:pt idx="6">
                  <c:v>40274</c:v>
                </c:pt>
                <c:pt idx="7">
                  <c:v>40275</c:v>
                </c:pt>
                <c:pt idx="8">
                  <c:v>40276</c:v>
                </c:pt>
                <c:pt idx="9">
                  <c:v>40277</c:v>
                </c:pt>
                <c:pt idx="10">
                  <c:v>40280</c:v>
                </c:pt>
                <c:pt idx="11">
                  <c:v>40281</c:v>
                </c:pt>
                <c:pt idx="12">
                  <c:v>40282</c:v>
                </c:pt>
                <c:pt idx="13">
                  <c:v>40283</c:v>
                </c:pt>
                <c:pt idx="14">
                  <c:v>40284</c:v>
                </c:pt>
                <c:pt idx="15">
                  <c:v>40287</c:v>
                </c:pt>
                <c:pt idx="16">
                  <c:v>40288</c:v>
                </c:pt>
                <c:pt idx="17">
                  <c:v>40289</c:v>
                </c:pt>
                <c:pt idx="18">
                  <c:v>40290</c:v>
                </c:pt>
              </c:numCache>
            </c:numRef>
          </c:cat>
          <c:val>
            <c:numRef>
              <c:f>'Stats (i4)'!$N$2:$N$20</c:f>
              <c:numCache>
                <c:formatCode>General</c:formatCode>
                <c:ptCount val="19"/>
                <c:pt idx="0">
                  <c:v>0</c:v>
                </c:pt>
                <c:pt idx="1">
                  <c:v>0.5</c:v>
                </c:pt>
                <c:pt idx="2">
                  <c:v>1.5</c:v>
                </c:pt>
                <c:pt idx="3">
                  <c:v>4.5</c:v>
                </c:pt>
                <c:pt idx="4">
                  <c:v>4.5</c:v>
                </c:pt>
                <c:pt idx="5">
                  <c:v>4.5</c:v>
                </c:pt>
                <c:pt idx="6">
                  <c:v>4.5</c:v>
                </c:pt>
                <c:pt idx="7">
                  <c:v>6.5</c:v>
                </c:pt>
                <c:pt idx="8">
                  <c:v>6.5</c:v>
                </c:pt>
                <c:pt idx="9">
                  <c:v>8</c:v>
                </c:pt>
                <c:pt idx="10">
                  <c:v>8</c:v>
                </c:pt>
                <c:pt idx="11">
                  <c:v>13</c:v>
                </c:pt>
                <c:pt idx="12">
                  <c:v>16</c:v>
                </c:pt>
                <c:pt idx="13">
                  <c:v>18</c:v>
                </c:pt>
                <c:pt idx="14">
                  <c:v>30</c:v>
                </c:pt>
                <c:pt idx="15">
                  <c:v>33</c:v>
                </c:pt>
                <c:pt idx="16">
                  <c:v>39</c:v>
                </c:pt>
                <c:pt idx="17">
                  <c:v>45</c:v>
                </c:pt>
                <c:pt idx="18">
                  <c:v>48</c:v>
                </c:pt>
              </c:numCache>
            </c:numRef>
          </c:val>
          <c:smooth val="0"/>
          <c:extLst>
            <c:ext xmlns:c16="http://schemas.microsoft.com/office/drawing/2014/chart" uri="{C3380CC4-5D6E-409C-BE32-E72D297353CC}">
              <c16:uniqueId val="{00000001-2D62-4065-9C51-338417B61501}"/>
            </c:ext>
          </c:extLst>
        </c:ser>
        <c:dLbls>
          <c:showLegendKey val="0"/>
          <c:showVal val="0"/>
          <c:showCatName val="0"/>
          <c:showSerName val="0"/>
          <c:showPercent val="0"/>
          <c:showBubbleSize val="0"/>
        </c:dLbls>
        <c:marker val="1"/>
        <c:smooth val="0"/>
        <c:axId val="159076624"/>
        <c:axId val="1"/>
      </c:lineChart>
      <c:dateAx>
        <c:axId val="159076624"/>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59076624"/>
        <c:crosses val="autoZero"/>
        <c:crossBetween val="between"/>
      </c:valAx>
    </c:plotArea>
    <c:legend>
      <c:legendPos val="r"/>
      <c:layout>
        <c:manualLayout>
          <c:xMode val="edge"/>
          <c:yMode val="edge"/>
          <c:wMode val="edge"/>
          <c:hMode val="edge"/>
          <c:x val="0.91261171797418073"/>
          <c:y val="0.42982578932019461"/>
          <c:w val="0.99106256206554122"/>
          <c:h val="0.57017697349234853"/>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409136047666339E-2"/>
          <c:y val="4.0935789404552163E-2"/>
          <c:w val="0.81330685203574971"/>
          <c:h val="0.68713646500498282"/>
        </c:manualLayout>
      </c:layout>
      <c:lineChart>
        <c:grouping val="standard"/>
        <c:varyColors val="0"/>
        <c:ser>
          <c:idx val="0"/>
          <c:order val="0"/>
          <c:cat>
            <c:numRef>
              <c:f>'Stats (i5)'!$I$2:$I$23</c:f>
              <c:numCache>
                <c:formatCode>m/d/yyyy</c:formatCode>
                <c:ptCount val="22"/>
                <c:pt idx="0">
                  <c:v>40287</c:v>
                </c:pt>
                <c:pt idx="1">
                  <c:v>40288</c:v>
                </c:pt>
                <c:pt idx="2">
                  <c:v>40289</c:v>
                </c:pt>
                <c:pt idx="3">
                  <c:v>40290</c:v>
                </c:pt>
                <c:pt idx="4">
                  <c:v>40291</c:v>
                </c:pt>
                <c:pt idx="5">
                  <c:v>40294</c:v>
                </c:pt>
                <c:pt idx="6">
                  <c:v>40295</c:v>
                </c:pt>
                <c:pt idx="7">
                  <c:v>40296</c:v>
                </c:pt>
                <c:pt idx="8">
                  <c:v>40297</c:v>
                </c:pt>
                <c:pt idx="9">
                  <c:v>40298</c:v>
                </c:pt>
                <c:pt idx="10">
                  <c:v>40301</c:v>
                </c:pt>
                <c:pt idx="11">
                  <c:v>40302</c:v>
                </c:pt>
                <c:pt idx="12">
                  <c:v>40303</c:v>
                </c:pt>
                <c:pt idx="13">
                  <c:v>40304</c:v>
                </c:pt>
                <c:pt idx="14">
                  <c:v>40305</c:v>
                </c:pt>
                <c:pt idx="15">
                  <c:v>40308</c:v>
                </c:pt>
                <c:pt idx="16">
                  <c:v>40309</c:v>
                </c:pt>
                <c:pt idx="17">
                  <c:v>40310</c:v>
                </c:pt>
                <c:pt idx="18">
                  <c:v>40311</c:v>
                </c:pt>
                <c:pt idx="19">
                  <c:v>40312</c:v>
                </c:pt>
                <c:pt idx="20">
                  <c:v>40315</c:v>
                </c:pt>
                <c:pt idx="21">
                  <c:v>40316</c:v>
                </c:pt>
              </c:numCache>
            </c:numRef>
          </c:cat>
          <c:val>
            <c:numRef>
              <c:f>'Stats (i5)'!$L$2:$L$23</c:f>
              <c:numCache>
                <c:formatCode>0.00</c:formatCode>
                <c:ptCount val="22"/>
                <c:pt idx="0">
                  <c:v>0</c:v>
                </c:pt>
                <c:pt idx="1">
                  <c:v>1.6974789915966386</c:v>
                </c:pt>
                <c:pt idx="2">
                  <c:v>4.6680672268907566</c:v>
                </c:pt>
                <c:pt idx="3">
                  <c:v>8.4873949579831933</c:v>
                </c:pt>
                <c:pt idx="4">
                  <c:v>12.306722689075629</c:v>
                </c:pt>
                <c:pt idx="5">
                  <c:v>14.852941176470589</c:v>
                </c:pt>
                <c:pt idx="6">
                  <c:v>16.974789915966387</c:v>
                </c:pt>
                <c:pt idx="7">
                  <c:v>19.945378151260503</c:v>
                </c:pt>
                <c:pt idx="8">
                  <c:v>23.340336134453782</c:v>
                </c:pt>
                <c:pt idx="9">
                  <c:v>27.584033613445378</c:v>
                </c:pt>
                <c:pt idx="10">
                  <c:v>27.584033613445378</c:v>
                </c:pt>
                <c:pt idx="11">
                  <c:v>29.281512605042018</c:v>
                </c:pt>
                <c:pt idx="12">
                  <c:v>31.403361344537814</c:v>
                </c:pt>
                <c:pt idx="13">
                  <c:v>33.949579831932773</c:v>
                </c:pt>
                <c:pt idx="14">
                  <c:v>37.344537815126053</c:v>
                </c:pt>
                <c:pt idx="15">
                  <c:v>39.890756302521005</c:v>
                </c:pt>
                <c:pt idx="16">
                  <c:v>42.436974789915965</c:v>
                </c:pt>
                <c:pt idx="17">
                  <c:v>44.983193277310924</c:v>
                </c:pt>
                <c:pt idx="18">
                  <c:v>47.529411764705884</c:v>
                </c:pt>
                <c:pt idx="19">
                  <c:v>49.65126050420168</c:v>
                </c:pt>
                <c:pt idx="20">
                  <c:v>49.65126050420168</c:v>
                </c:pt>
                <c:pt idx="21">
                  <c:v>50.5</c:v>
                </c:pt>
              </c:numCache>
            </c:numRef>
          </c:val>
          <c:smooth val="0"/>
          <c:extLst>
            <c:ext xmlns:c16="http://schemas.microsoft.com/office/drawing/2014/chart" uri="{C3380CC4-5D6E-409C-BE32-E72D297353CC}">
              <c16:uniqueId val="{00000000-D538-4B9F-936E-51D3AD5E3EEF}"/>
            </c:ext>
          </c:extLst>
        </c:ser>
        <c:ser>
          <c:idx val="1"/>
          <c:order val="1"/>
          <c:cat>
            <c:numRef>
              <c:f>'Stats (i5)'!$I$2:$I$23</c:f>
              <c:numCache>
                <c:formatCode>m/d/yyyy</c:formatCode>
                <c:ptCount val="22"/>
                <c:pt idx="0">
                  <c:v>40287</c:v>
                </c:pt>
                <c:pt idx="1">
                  <c:v>40288</c:v>
                </c:pt>
                <c:pt idx="2">
                  <c:v>40289</c:v>
                </c:pt>
                <c:pt idx="3">
                  <c:v>40290</c:v>
                </c:pt>
                <c:pt idx="4">
                  <c:v>40291</c:v>
                </c:pt>
                <c:pt idx="5">
                  <c:v>40294</c:v>
                </c:pt>
                <c:pt idx="6">
                  <c:v>40295</c:v>
                </c:pt>
                <c:pt idx="7">
                  <c:v>40296</c:v>
                </c:pt>
                <c:pt idx="8">
                  <c:v>40297</c:v>
                </c:pt>
                <c:pt idx="9">
                  <c:v>40298</c:v>
                </c:pt>
                <c:pt idx="10">
                  <c:v>40301</c:v>
                </c:pt>
                <c:pt idx="11">
                  <c:v>40302</c:v>
                </c:pt>
                <c:pt idx="12">
                  <c:v>40303</c:v>
                </c:pt>
                <c:pt idx="13">
                  <c:v>40304</c:v>
                </c:pt>
                <c:pt idx="14">
                  <c:v>40305</c:v>
                </c:pt>
                <c:pt idx="15">
                  <c:v>40308</c:v>
                </c:pt>
                <c:pt idx="16">
                  <c:v>40309</c:v>
                </c:pt>
                <c:pt idx="17">
                  <c:v>40310</c:v>
                </c:pt>
                <c:pt idx="18">
                  <c:v>40311</c:v>
                </c:pt>
                <c:pt idx="19">
                  <c:v>40312</c:v>
                </c:pt>
                <c:pt idx="20">
                  <c:v>40315</c:v>
                </c:pt>
                <c:pt idx="21">
                  <c:v>40316</c:v>
                </c:pt>
              </c:numCache>
            </c:numRef>
          </c:cat>
          <c:val>
            <c:numRef>
              <c:f>'Stats (i5)'!$N$2:$N$23</c:f>
              <c:numCache>
                <c:formatCode>General</c:formatCode>
                <c:ptCount val="22"/>
                <c:pt idx="0">
                  <c:v>0</c:v>
                </c:pt>
                <c:pt idx="1">
                  <c:v>0</c:v>
                </c:pt>
                <c:pt idx="2">
                  <c:v>0</c:v>
                </c:pt>
                <c:pt idx="3">
                  <c:v>1</c:v>
                </c:pt>
                <c:pt idx="4">
                  <c:v>5</c:v>
                </c:pt>
                <c:pt idx="5">
                  <c:v>6</c:v>
                </c:pt>
                <c:pt idx="6">
                  <c:v>11.5</c:v>
                </c:pt>
                <c:pt idx="7">
                  <c:v>12.5</c:v>
                </c:pt>
                <c:pt idx="8">
                  <c:v>16.5</c:v>
                </c:pt>
                <c:pt idx="9">
                  <c:v>21</c:v>
                </c:pt>
                <c:pt idx="10">
                  <c:v>21</c:v>
                </c:pt>
                <c:pt idx="11">
                  <c:v>21</c:v>
                </c:pt>
                <c:pt idx="12">
                  <c:v>25.5</c:v>
                </c:pt>
                <c:pt idx="13">
                  <c:v>25.5</c:v>
                </c:pt>
                <c:pt idx="14">
                  <c:v>27.5</c:v>
                </c:pt>
                <c:pt idx="15">
                  <c:v>32.5</c:v>
                </c:pt>
                <c:pt idx="16">
                  <c:v>32.5</c:v>
                </c:pt>
                <c:pt idx="17">
                  <c:v>35.5</c:v>
                </c:pt>
                <c:pt idx="18">
                  <c:v>40.5</c:v>
                </c:pt>
                <c:pt idx="19">
                  <c:v>49</c:v>
                </c:pt>
                <c:pt idx="20">
                  <c:v>49</c:v>
                </c:pt>
                <c:pt idx="21">
                  <c:v>50.5</c:v>
                </c:pt>
              </c:numCache>
            </c:numRef>
          </c:val>
          <c:smooth val="0"/>
          <c:extLst>
            <c:ext xmlns:c16="http://schemas.microsoft.com/office/drawing/2014/chart" uri="{C3380CC4-5D6E-409C-BE32-E72D297353CC}">
              <c16:uniqueId val="{00000001-D538-4B9F-936E-51D3AD5E3EEF}"/>
            </c:ext>
          </c:extLst>
        </c:ser>
        <c:dLbls>
          <c:showLegendKey val="0"/>
          <c:showVal val="0"/>
          <c:showCatName val="0"/>
          <c:showSerName val="0"/>
          <c:showPercent val="0"/>
          <c:showBubbleSize val="0"/>
        </c:dLbls>
        <c:marker val="1"/>
        <c:smooth val="0"/>
        <c:axId val="159079248"/>
        <c:axId val="1"/>
      </c:lineChart>
      <c:dateAx>
        <c:axId val="159079248"/>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59079248"/>
        <c:crosses val="autoZero"/>
        <c:crossBetween val="between"/>
      </c:valAx>
    </c:plotArea>
    <c:legend>
      <c:legendPos val="r"/>
      <c:layout>
        <c:manualLayout>
          <c:xMode val="edge"/>
          <c:yMode val="edge"/>
          <c:wMode val="edge"/>
          <c:hMode val="edge"/>
          <c:x val="0.91261171797418073"/>
          <c:y val="0.42982578932019461"/>
          <c:w val="0.99106256206554122"/>
          <c:h val="0.57017697349234853"/>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443892750744788E-2"/>
          <c:y val="4.0935789404552163E-2"/>
          <c:w val="0.81827209533267131"/>
          <c:h val="0.7251482694520669"/>
        </c:manualLayout>
      </c:layout>
      <c:lineChart>
        <c:grouping val="standard"/>
        <c:varyColors val="0"/>
        <c:ser>
          <c:idx val="0"/>
          <c:order val="0"/>
          <c:cat>
            <c:numRef>
              <c:f>'Stats (i6)'!$I$2:$I$16</c:f>
              <c:numCache>
                <c:formatCode>m/d/yyyy</c:formatCode>
                <c:ptCount val="15"/>
                <c:pt idx="0">
                  <c:v>40315</c:v>
                </c:pt>
                <c:pt idx="1">
                  <c:v>40316</c:v>
                </c:pt>
                <c:pt idx="2">
                  <c:v>40317</c:v>
                </c:pt>
                <c:pt idx="3">
                  <c:v>40318</c:v>
                </c:pt>
                <c:pt idx="4">
                  <c:v>40319</c:v>
                </c:pt>
                <c:pt idx="5">
                  <c:v>40322</c:v>
                </c:pt>
                <c:pt idx="6">
                  <c:v>40323</c:v>
                </c:pt>
                <c:pt idx="7">
                  <c:v>40324</c:v>
                </c:pt>
                <c:pt idx="8">
                  <c:v>40325</c:v>
                </c:pt>
                <c:pt idx="9">
                  <c:v>40326</c:v>
                </c:pt>
                <c:pt idx="10">
                  <c:v>40329</c:v>
                </c:pt>
                <c:pt idx="11">
                  <c:v>40330</c:v>
                </c:pt>
                <c:pt idx="12">
                  <c:v>40331</c:v>
                </c:pt>
                <c:pt idx="13">
                  <c:v>40332</c:v>
                </c:pt>
                <c:pt idx="14">
                  <c:v>40333</c:v>
                </c:pt>
              </c:numCache>
            </c:numRef>
          </c:cat>
          <c:val>
            <c:numRef>
              <c:f>'Stats (i6)'!$L$2:$L$16</c:f>
              <c:numCache>
                <c:formatCode>0.00</c:formatCode>
                <c:ptCount val="15"/>
                <c:pt idx="0">
                  <c:v>0</c:v>
                </c:pt>
                <c:pt idx="1">
                  <c:v>2</c:v>
                </c:pt>
                <c:pt idx="2">
                  <c:v>5</c:v>
                </c:pt>
                <c:pt idx="3">
                  <c:v>8</c:v>
                </c:pt>
                <c:pt idx="4">
                  <c:v>10</c:v>
                </c:pt>
                <c:pt idx="5">
                  <c:v>12</c:v>
                </c:pt>
                <c:pt idx="6">
                  <c:v>15</c:v>
                </c:pt>
                <c:pt idx="7">
                  <c:v>18</c:v>
                </c:pt>
                <c:pt idx="8">
                  <c:v>21</c:v>
                </c:pt>
                <c:pt idx="9">
                  <c:v>25</c:v>
                </c:pt>
                <c:pt idx="10">
                  <c:v>25</c:v>
                </c:pt>
                <c:pt idx="11">
                  <c:v>27</c:v>
                </c:pt>
                <c:pt idx="12">
                  <c:v>31</c:v>
                </c:pt>
                <c:pt idx="13">
                  <c:v>34</c:v>
                </c:pt>
                <c:pt idx="14">
                  <c:v>37</c:v>
                </c:pt>
              </c:numCache>
            </c:numRef>
          </c:val>
          <c:smooth val="0"/>
          <c:extLst>
            <c:ext xmlns:c16="http://schemas.microsoft.com/office/drawing/2014/chart" uri="{C3380CC4-5D6E-409C-BE32-E72D297353CC}">
              <c16:uniqueId val="{00000000-3B40-4FA4-B8B8-01775F94198D}"/>
            </c:ext>
          </c:extLst>
        </c:ser>
        <c:ser>
          <c:idx val="1"/>
          <c:order val="1"/>
          <c:cat>
            <c:numRef>
              <c:f>'Stats (i6)'!$I$2:$I$16</c:f>
              <c:numCache>
                <c:formatCode>m/d/yyyy</c:formatCode>
                <c:ptCount val="15"/>
                <c:pt idx="0">
                  <c:v>40315</c:v>
                </c:pt>
                <c:pt idx="1">
                  <c:v>40316</c:v>
                </c:pt>
                <c:pt idx="2">
                  <c:v>40317</c:v>
                </c:pt>
                <c:pt idx="3">
                  <c:v>40318</c:v>
                </c:pt>
                <c:pt idx="4">
                  <c:v>40319</c:v>
                </c:pt>
                <c:pt idx="5">
                  <c:v>40322</c:v>
                </c:pt>
                <c:pt idx="6">
                  <c:v>40323</c:v>
                </c:pt>
                <c:pt idx="7">
                  <c:v>40324</c:v>
                </c:pt>
                <c:pt idx="8">
                  <c:v>40325</c:v>
                </c:pt>
                <c:pt idx="9">
                  <c:v>40326</c:v>
                </c:pt>
                <c:pt idx="10">
                  <c:v>40329</c:v>
                </c:pt>
                <c:pt idx="11">
                  <c:v>40330</c:v>
                </c:pt>
                <c:pt idx="12">
                  <c:v>40331</c:v>
                </c:pt>
                <c:pt idx="13">
                  <c:v>40332</c:v>
                </c:pt>
                <c:pt idx="14">
                  <c:v>40333</c:v>
                </c:pt>
              </c:numCache>
            </c:numRef>
          </c:cat>
          <c:val>
            <c:numRef>
              <c:f>'Stats (i6)'!$N$2:$N$16</c:f>
              <c:numCache>
                <c:formatCode>General</c:formatCode>
                <c:ptCount val="15"/>
                <c:pt idx="0">
                  <c:v>0</c:v>
                </c:pt>
                <c:pt idx="1">
                  <c:v>0.5</c:v>
                </c:pt>
                <c:pt idx="2">
                  <c:v>1.5</c:v>
                </c:pt>
                <c:pt idx="3">
                  <c:v>1.5</c:v>
                </c:pt>
                <c:pt idx="4">
                  <c:v>3.5</c:v>
                </c:pt>
                <c:pt idx="5">
                  <c:v>3.5</c:v>
                </c:pt>
                <c:pt idx="6">
                  <c:v>5.5</c:v>
                </c:pt>
                <c:pt idx="7">
                  <c:v>7.5</c:v>
                </c:pt>
                <c:pt idx="8">
                  <c:v>14.5</c:v>
                </c:pt>
                <c:pt idx="9">
                  <c:v>19.5</c:v>
                </c:pt>
                <c:pt idx="10">
                  <c:v>19.5</c:v>
                </c:pt>
                <c:pt idx="11">
                  <c:v>24.5</c:v>
                </c:pt>
                <c:pt idx="12">
                  <c:v>29.5</c:v>
                </c:pt>
                <c:pt idx="13">
                  <c:v>29.5</c:v>
                </c:pt>
                <c:pt idx="14">
                  <c:v>37</c:v>
                </c:pt>
              </c:numCache>
            </c:numRef>
          </c:val>
          <c:smooth val="0"/>
          <c:extLst>
            <c:ext xmlns:c16="http://schemas.microsoft.com/office/drawing/2014/chart" uri="{C3380CC4-5D6E-409C-BE32-E72D297353CC}">
              <c16:uniqueId val="{00000001-3B40-4FA4-B8B8-01775F94198D}"/>
            </c:ext>
          </c:extLst>
        </c:ser>
        <c:dLbls>
          <c:showLegendKey val="0"/>
          <c:showVal val="0"/>
          <c:showCatName val="0"/>
          <c:showSerName val="0"/>
          <c:showPercent val="0"/>
          <c:showBubbleSize val="0"/>
        </c:dLbls>
        <c:marker val="1"/>
        <c:smooth val="0"/>
        <c:axId val="127915288"/>
        <c:axId val="1"/>
      </c:lineChart>
      <c:dateAx>
        <c:axId val="127915288"/>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27915288"/>
        <c:crosses val="autoZero"/>
        <c:crossBetween val="between"/>
      </c:valAx>
    </c:plotArea>
    <c:legend>
      <c:legendPos val="r"/>
      <c:layout>
        <c:manualLayout>
          <c:xMode val="edge"/>
          <c:yMode val="edge"/>
          <c:wMode val="edge"/>
          <c:hMode val="edge"/>
          <c:x val="0.91261171797418073"/>
          <c:y val="0.43859771914475604"/>
          <c:w val="0.99106256206554122"/>
          <c:h val="0.57894890331690996"/>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443892750744788E-2"/>
          <c:y val="4.0935789404552163E-2"/>
          <c:w val="0.81827209533267131"/>
          <c:h val="0.7251482694520669"/>
        </c:manualLayout>
      </c:layout>
      <c:lineChart>
        <c:grouping val="standard"/>
        <c:varyColors val="0"/>
        <c:ser>
          <c:idx val="0"/>
          <c:order val="0"/>
          <c:cat>
            <c:numRef>
              <c:f>'Stats (i7)'!$I$2:$I$16</c:f>
              <c:numCache>
                <c:formatCode>m/d/yyyy</c:formatCode>
                <c:ptCount val="15"/>
                <c:pt idx="0">
                  <c:v>40336</c:v>
                </c:pt>
                <c:pt idx="1">
                  <c:v>40337</c:v>
                </c:pt>
                <c:pt idx="2">
                  <c:v>40338</c:v>
                </c:pt>
                <c:pt idx="3">
                  <c:v>40339</c:v>
                </c:pt>
                <c:pt idx="4">
                  <c:v>40340</c:v>
                </c:pt>
                <c:pt idx="5">
                  <c:v>40343</c:v>
                </c:pt>
                <c:pt idx="6">
                  <c:v>40344</c:v>
                </c:pt>
                <c:pt idx="7">
                  <c:v>40345</c:v>
                </c:pt>
                <c:pt idx="8">
                  <c:v>40346</c:v>
                </c:pt>
                <c:pt idx="9">
                  <c:v>40347</c:v>
                </c:pt>
                <c:pt idx="10">
                  <c:v>40350</c:v>
                </c:pt>
                <c:pt idx="11">
                  <c:v>40351</c:v>
                </c:pt>
                <c:pt idx="12">
                  <c:v>40352</c:v>
                </c:pt>
                <c:pt idx="13">
                  <c:v>40353</c:v>
                </c:pt>
                <c:pt idx="14">
                  <c:v>40354</c:v>
                </c:pt>
              </c:numCache>
            </c:numRef>
          </c:cat>
          <c:val>
            <c:numRef>
              <c:f>'Stats (i7)'!$L$2:$L$16</c:f>
              <c:numCache>
                <c:formatCode>0.00</c:formatCode>
                <c:ptCount val="15"/>
                <c:pt idx="0">
                  <c:v>0.64748201438848918</c:v>
                </c:pt>
                <c:pt idx="1">
                  <c:v>1.4568345323741005</c:v>
                </c:pt>
                <c:pt idx="2">
                  <c:v>3.0755395683453237</c:v>
                </c:pt>
                <c:pt idx="3">
                  <c:v>4.6942446043165464</c:v>
                </c:pt>
                <c:pt idx="4">
                  <c:v>6.3129496402877692</c:v>
                </c:pt>
                <c:pt idx="5">
                  <c:v>7.9316546762589928</c:v>
                </c:pt>
                <c:pt idx="6">
                  <c:v>9.5503597122302146</c:v>
                </c:pt>
                <c:pt idx="7">
                  <c:v>11.169064748201439</c:v>
                </c:pt>
                <c:pt idx="8">
                  <c:v>12.787769784172662</c:v>
                </c:pt>
                <c:pt idx="9">
                  <c:v>14.406474820143885</c:v>
                </c:pt>
                <c:pt idx="10">
                  <c:v>16.025179856115106</c:v>
                </c:pt>
                <c:pt idx="11">
                  <c:v>17.64388489208633</c:v>
                </c:pt>
                <c:pt idx="12">
                  <c:v>19.262589928057555</c:v>
                </c:pt>
                <c:pt idx="13">
                  <c:v>20.881294964028775</c:v>
                </c:pt>
                <c:pt idx="14">
                  <c:v>22.5</c:v>
                </c:pt>
              </c:numCache>
            </c:numRef>
          </c:val>
          <c:smooth val="0"/>
          <c:extLst>
            <c:ext xmlns:c16="http://schemas.microsoft.com/office/drawing/2014/chart" uri="{C3380CC4-5D6E-409C-BE32-E72D297353CC}">
              <c16:uniqueId val="{00000000-7D25-4948-9053-319E1BACBDB9}"/>
            </c:ext>
          </c:extLst>
        </c:ser>
        <c:ser>
          <c:idx val="1"/>
          <c:order val="1"/>
          <c:cat>
            <c:numRef>
              <c:f>'Stats (i7)'!$I$2:$I$16</c:f>
              <c:numCache>
                <c:formatCode>m/d/yyyy</c:formatCode>
                <c:ptCount val="15"/>
                <c:pt idx="0">
                  <c:v>40336</c:v>
                </c:pt>
                <c:pt idx="1">
                  <c:v>40337</c:v>
                </c:pt>
                <c:pt idx="2">
                  <c:v>40338</c:v>
                </c:pt>
                <c:pt idx="3">
                  <c:v>40339</c:v>
                </c:pt>
                <c:pt idx="4">
                  <c:v>40340</c:v>
                </c:pt>
                <c:pt idx="5">
                  <c:v>40343</c:v>
                </c:pt>
                <c:pt idx="6">
                  <c:v>40344</c:v>
                </c:pt>
                <c:pt idx="7">
                  <c:v>40345</c:v>
                </c:pt>
                <c:pt idx="8">
                  <c:v>40346</c:v>
                </c:pt>
                <c:pt idx="9">
                  <c:v>40347</c:v>
                </c:pt>
                <c:pt idx="10">
                  <c:v>40350</c:v>
                </c:pt>
                <c:pt idx="11">
                  <c:v>40351</c:v>
                </c:pt>
                <c:pt idx="12">
                  <c:v>40352</c:v>
                </c:pt>
                <c:pt idx="13">
                  <c:v>40353</c:v>
                </c:pt>
                <c:pt idx="14">
                  <c:v>40354</c:v>
                </c:pt>
              </c:numCache>
            </c:numRef>
          </c:cat>
          <c:val>
            <c:numRef>
              <c:f>'Stats (i7)'!$N$2:$N$16</c:f>
              <c:numCache>
                <c:formatCode>General</c:formatCode>
                <c:ptCount val="15"/>
                <c:pt idx="0">
                  <c:v>0</c:v>
                </c:pt>
                <c:pt idx="1">
                  <c:v>0</c:v>
                </c:pt>
                <c:pt idx="2">
                  <c:v>0</c:v>
                </c:pt>
                <c:pt idx="3">
                  <c:v>2</c:v>
                </c:pt>
                <c:pt idx="4">
                  <c:v>3</c:v>
                </c:pt>
                <c:pt idx="5">
                  <c:v>3</c:v>
                </c:pt>
                <c:pt idx="6">
                  <c:v>4.5</c:v>
                </c:pt>
                <c:pt idx="7">
                  <c:v>4.5</c:v>
                </c:pt>
                <c:pt idx="8">
                  <c:v>6.5</c:v>
                </c:pt>
                <c:pt idx="9">
                  <c:v>8</c:v>
                </c:pt>
                <c:pt idx="10">
                  <c:v>8</c:v>
                </c:pt>
                <c:pt idx="11">
                  <c:v>9</c:v>
                </c:pt>
                <c:pt idx="12">
                  <c:v>17</c:v>
                </c:pt>
                <c:pt idx="13">
                  <c:v>17.5</c:v>
                </c:pt>
                <c:pt idx="14">
                  <c:v>22.5</c:v>
                </c:pt>
              </c:numCache>
            </c:numRef>
          </c:val>
          <c:smooth val="0"/>
          <c:extLst>
            <c:ext xmlns:c16="http://schemas.microsoft.com/office/drawing/2014/chart" uri="{C3380CC4-5D6E-409C-BE32-E72D297353CC}">
              <c16:uniqueId val="{00000001-7D25-4948-9053-319E1BACBDB9}"/>
            </c:ext>
          </c:extLst>
        </c:ser>
        <c:dLbls>
          <c:showLegendKey val="0"/>
          <c:showVal val="0"/>
          <c:showCatName val="0"/>
          <c:showSerName val="0"/>
          <c:showPercent val="0"/>
          <c:showBubbleSize val="0"/>
        </c:dLbls>
        <c:marker val="1"/>
        <c:smooth val="0"/>
        <c:axId val="127916600"/>
        <c:axId val="1"/>
      </c:lineChart>
      <c:dateAx>
        <c:axId val="127916600"/>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27916600"/>
        <c:crosses val="autoZero"/>
        <c:crossBetween val="between"/>
      </c:valAx>
    </c:plotArea>
    <c:legend>
      <c:legendPos val="r"/>
      <c:layout>
        <c:manualLayout>
          <c:xMode val="edge"/>
          <c:yMode val="edge"/>
          <c:wMode val="edge"/>
          <c:hMode val="edge"/>
          <c:x val="0.91261171797418073"/>
          <c:y val="0.43859771914475604"/>
          <c:w val="0.99106256206554122"/>
          <c:h val="0.57894890331690996"/>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409136047666339E-2"/>
          <c:y val="4.0935789404552163E-2"/>
          <c:w val="0.81330685203574971"/>
          <c:h val="0.71052834466472681"/>
        </c:manualLayout>
      </c:layout>
      <c:lineChart>
        <c:grouping val="standard"/>
        <c:varyColors val="0"/>
        <c:ser>
          <c:idx val="0"/>
          <c:order val="0"/>
          <c:cat>
            <c:numRef>
              <c:f>'Stats (i8)'!$I$2:$I$19</c:f>
              <c:numCache>
                <c:formatCode>m/d/yyyy</c:formatCode>
                <c:ptCount val="18"/>
                <c:pt idx="0">
                  <c:v>40357</c:v>
                </c:pt>
                <c:pt idx="1">
                  <c:v>40358</c:v>
                </c:pt>
                <c:pt idx="2">
                  <c:v>40359</c:v>
                </c:pt>
                <c:pt idx="3">
                  <c:v>40360</c:v>
                </c:pt>
                <c:pt idx="4">
                  <c:v>40361</c:v>
                </c:pt>
                <c:pt idx="5">
                  <c:v>40364</c:v>
                </c:pt>
                <c:pt idx="6">
                  <c:v>40365</c:v>
                </c:pt>
                <c:pt idx="7">
                  <c:v>40366</c:v>
                </c:pt>
                <c:pt idx="8">
                  <c:v>40367</c:v>
                </c:pt>
                <c:pt idx="9">
                  <c:v>40368</c:v>
                </c:pt>
                <c:pt idx="10">
                  <c:v>40371</c:v>
                </c:pt>
                <c:pt idx="11">
                  <c:v>40372</c:v>
                </c:pt>
                <c:pt idx="12">
                  <c:v>40373</c:v>
                </c:pt>
                <c:pt idx="13">
                  <c:v>40374</c:v>
                </c:pt>
                <c:pt idx="14">
                  <c:v>40375</c:v>
                </c:pt>
                <c:pt idx="15">
                  <c:v>40378</c:v>
                </c:pt>
                <c:pt idx="16">
                  <c:v>40379</c:v>
                </c:pt>
                <c:pt idx="17">
                  <c:v>40380</c:v>
                </c:pt>
              </c:numCache>
            </c:numRef>
          </c:cat>
          <c:val>
            <c:numRef>
              <c:f>'Stats (i8)'!$L$2:$L$19</c:f>
              <c:numCache>
                <c:formatCode>0.00</c:formatCode>
                <c:ptCount val="18"/>
                <c:pt idx="0">
                  <c:v>0.40540540540540543</c:v>
                </c:pt>
                <c:pt idx="1">
                  <c:v>2.0270270270270272</c:v>
                </c:pt>
                <c:pt idx="2">
                  <c:v>3.6486486486486487</c:v>
                </c:pt>
                <c:pt idx="3">
                  <c:v>4.8648648648648649</c:v>
                </c:pt>
                <c:pt idx="4">
                  <c:v>5.6756756756756763</c:v>
                </c:pt>
                <c:pt idx="5">
                  <c:v>6.4864864864864868</c:v>
                </c:pt>
                <c:pt idx="6">
                  <c:v>7.2972972972972974</c:v>
                </c:pt>
                <c:pt idx="7">
                  <c:v>8.1081081081081088</c:v>
                </c:pt>
                <c:pt idx="8">
                  <c:v>8.9189189189189193</c:v>
                </c:pt>
                <c:pt idx="9">
                  <c:v>8.9189189189189193</c:v>
                </c:pt>
                <c:pt idx="10">
                  <c:v>9.7297297297297298</c:v>
                </c:pt>
                <c:pt idx="11">
                  <c:v>10.54054054054054</c:v>
                </c:pt>
                <c:pt idx="12">
                  <c:v>11.351351351351353</c:v>
                </c:pt>
                <c:pt idx="13">
                  <c:v>12.162162162162163</c:v>
                </c:pt>
                <c:pt idx="14">
                  <c:v>12.972972972972974</c:v>
                </c:pt>
                <c:pt idx="15">
                  <c:v>13.378378378378379</c:v>
                </c:pt>
                <c:pt idx="16">
                  <c:v>14.189189189189189</c:v>
                </c:pt>
                <c:pt idx="17">
                  <c:v>15</c:v>
                </c:pt>
              </c:numCache>
            </c:numRef>
          </c:val>
          <c:smooth val="0"/>
          <c:extLst>
            <c:ext xmlns:c16="http://schemas.microsoft.com/office/drawing/2014/chart" uri="{C3380CC4-5D6E-409C-BE32-E72D297353CC}">
              <c16:uniqueId val="{00000000-9948-484F-8714-11F2E60EEF8B}"/>
            </c:ext>
          </c:extLst>
        </c:ser>
        <c:ser>
          <c:idx val="1"/>
          <c:order val="1"/>
          <c:cat>
            <c:numRef>
              <c:f>'Stats (i8)'!$I$2:$I$19</c:f>
              <c:numCache>
                <c:formatCode>m/d/yyyy</c:formatCode>
                <c:ptCount val="18"/>
                <c:pt idx="0">
                  <c:v>40357</c:v>
                </c:pt>
                <c:pt idx="1">
                  <c:v>40358</c:v>
                </c:pt>
                <c:pt idx="2">
                  <c:v>40359</c:v>
                </c:pt>
                <c:pt idx="3">
                  <c:v>40360</c:v>
                </c:pt>
                <c:pt idx="4">
                  <c:v>40361</c:v>
                </c:pt>
                <c:pt idx="5">
                  <c:v>40364</c:v>
                </c:pt>
                <c:pt idx="6">
                  <c:v>40365</c:v>
                </c:pt>
                <c:pt idx="7">
                  <c:v>40366</c:v>
                </c:pt>
                <c:pt idx="8">
                  <c:v>40367</c:v>
                </c:pt>
                <c:pt idx="9">
                  <c:v>40368</c:v>
                </c:pt>
                <c:pt idx="10">
                  <c:v>40371</c:v>
                </c:pt>
                <c:pt idx="11">
                  <c:v>40372</c:v>
                </c:pt>
                <c:pt idx="12">
                  <c:v>40373</c:v>
                </c:pt>
                <c:pt idx="13">
                  <c:v>40374</c:v>
                </c:pt>
                <c:pt idx="14">
                  <c:v>40375</c:v>
                </c:pt>
                <c:pt idx="15">
                  <c:v>40378</c:v>
                </c:pt>
                <c:pt idx="16">
                  <c:v>40379</c:v>
                </c:pt>
                <c:pt idx="17">
                  <c:v>40380</c:v>
                </c:pt>
              </c:numCache>
            </c:numRef>
          </c:cat>
          <c:val>
            <c:numRef>
              <c:f>'Stats (i8)'!$N$2:$N$19</c:f>
              <c:numCache>
                <c:formatCode>General</c:formatCode>
                <c:ptCount val="18"/>
                <c:pt idx="0">
                  <c:v>0</c:v>
                </c:pt>
                <c:pt idx="1">
                  <c:v>0</c:v>
                </c:pt>
                <c:pt idx="2">
                  <c:v>1</c:v>
                </c:pt>
                <c:pt idx="3">
                  <c:v>2</c:v>
                </c:pt>
                <c:pt idx="4">
                  <c:v>2</c:v>
                </c:pt>
                <c:pt idx="5">
                  <c:v>7</c:v>
                </c:pt>
                <c:pt idx="6">
                  <c:v>7</c:v>
                </c:pt>
                <c:pt idx="7">
                  <c:v>7</c:v>
                </c:pt>
                <c:pt idx="8">
                  <c:v>7</c:v>
                </c:pt>
                <c:pt idx="9">
                  <c:v>7</c:v>
                </c:pt>
                <c:pt idx="10">
                  <c:v>7</c:v>
                </c:pt>
                <c:pt idx="11">
                  <c:v>7</c:v>
                </c:pt>
                <c:pt idx="12">
                  <c:v>7</c:v>
                </c:pt>
                <c:pt idx="13">
                  <c:v>7</c:v>
                </c:pt>
                <c:pt idx="14">
                  <c:v>7</c:v>
                </c:pt>
                <c:pt idx="15">
                  <c:v>7</c:v>
                </c:pt>
                <c:pt idx="16">
                  <c:v>7</c:v>
                </c:pt>
                <c:pt idx="17">
                  <c:v>13</c:v>
                </c:pt>
              </c:numCache>
            </c:numRef>
          </c:val>
          <c:smooth val="0"/>
          <c:extLst>
            <c:ext xmlns:c16="http://schemas.microsoft.com/office/drawing/2014/chart" uri="{C3380CC4-5D6E-409C-BE32-E72D297353CC}">
              <c16:uniqueId val="{00000001-9948-484F-8714-11F2E60EEF8B}"/>
            </c:ext>
          </c:extLst>
        </c:ser>
        <c:dLbls>
          <c:showLegendKey val="0"/>
          <c:showVal val="0"/>
          <c:showCatName val="0"/>
          <c:showSerName val="0"/>
          <c:showPercent val="0"/>
          <c:showBubbleSize val="0"/>
        </c:dLbls>
        <c:marker val="1"/>
        <c:smooth val="0"/>
        <c:axId val="127917912"/>
        <c:axId val="1"/>
      </c:lineChart>
      <c:dateAx>
        <c:axId val="127917912"/>
        <c:scaling>
          <c:orientation val="minMax"/>
        </c:scaling>
        <c:delete val="0"/>
        <c:axPos val="b"/>
        <c:numFmt formatCode="m/d/yyyy" sourceLinked="0"/>
        <c:majorTickMark val="out"/>
        <c:minorTickMark val="none"/>
        <c:tickLblPos val="nextTo"/>
        <c:crossAx val="1"/>
        <c:crosses val="autoZero"/>
        <c:auto val="1"/>
        <c:lblOffset val="100"/>
        <c:baseTimeUnit val="days"/>
      </c:dateAx>
      <c:valAx>
        <c:axId val="1"/>
        <c:scaling>
          <c:orientation val="minMax"/>
        </c:scaling>
        <c:delete val="0"/>
        <c:axPos val="l"/>
        <c:majorGridlines/>
        <c:title>
          <c:tx>
            <c:rich>
              <a:bodyPr rot="-5400000" vert="horz"/>
              <a:lstStyle/>
              <a:p>
                <a:pPr>
                  <a:defRPr/>
                </a:pPr>
                <a:r>
                  <a:rPr lang="en-GB"/>
                  <a:t>Story</a:t>
                </a:r>
                <a:r>
                  <a:rPr lang="en-GB" baseline="0"/>
                  <a:t> Points</a:t>
                </a:r>
                <a:endParaRPr lang="en-GB"/>
              </a:p>
            </c:rich>
          </c:tx>
          <c:layout>
            <c:manualLayout>
              <c:xMode val="edge"/>
              <c:yMode val="edge"/>
              <c:x val="1.452144698397308E-2"/>
              <c:y val="0.31297600957775018"/>
            </c:manualLayout>
          </c:layout>
          <c:overlay val="0"/>
          <c:spPr>
            <a:noFill/>
            <a:ln w="25400">
              <a:noFill/>
            </a:ln>
          </c:spPr>
        </c:title>
        <c:numFmt formatCode="0.00" sourceLinked="1"/>
        <c:majorTickMark val="out"/>
        <c:minorTickMark val="none"/>
        <c:tickLblPos val="nextTo"/>
        <c:crossAx val="127917912"/>
        <c:crosses val="autoZero"/>
        <c:crossBetween val="between"/>
      </c:valAx>
    </c:plotArea>
    <c:legend>
      <c:legendPos val="r"/>
      <c:layout>
        <c:manualLayout>
          <c:xMode val="edge"/>
          <c:yMode val="edge"/>
          <c:wMode val="edge"/>
          <c:hMode val="edge"/>
          <c:x val="0.91261171797418073"/>
          <c:y val="0.42982578932019461"/>
          <c:w val="0.99106256206554122"/>
          <c:h val="0.57017697349234853"/>
        </c:manualLayout>
      </c:layout>
      <c:overlay val="0"/>
    </c:legend>
    <c:plotVisOnly val="1"/>
    <c:dispBlanksAs val="gap"/>
    <c:showDLblsOverMax val="0"/>
  </c:chart>
  <c:printSettings>
    <c:headerFooter/>
    <c:pageMargins b="0.75000000000001465" l="0.70000000000000062" r="0.70000000000000062" t="0.75000000000001465" header="0.30000000000000032" footer="0.3000000000000003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247650</xdr:colOff>
      <xdr:row>17</xdr:row>
      <xdr:rowOff>85725</xdr:rowOff>
    </xdr:from>
    <xdr:to>
      <xdr:col>13</xdr:col>
      <xdr:colOff>714375</xdr:colOff>
      <xdr:row>34</xdr:row>
      <xdr:rowOff>104775</xdr:rowOff>
    </xdr:to>
    <xdr:graphicFrame macro="">
      <xdr:nvGraphicFramePr>
        <xdr:cNvPr id="4102" name="Chart 2">
          <a:extLst>
            <a:ext uri="{FF2B5EF4-FFF2-40B4-BE49-F238E27FC236}">
              <a16:creationId xmlns:a16="http://schemas.microsoft.com/office/drawing/2014/main" id="{98F22B32-D8D3-4A46-9DCA-99CCA235B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247650</xdr:colOff>
      <xdr:row>18</xdr:row>
      <xdr:rowOff>85725</xdr:rowOff>
    </xdr:from>
    <xdr:to>
      <xdr:col>13</xdr:col>
      <xdr:colOff>714375</xdr:colOff>
      <xdr:row>35</xdr:row>
      <xdr:rowOff>104775</xdr:rowOff>
    </xdr:to>
    <xdr:graphicFrame macro="">
      <xdr:nvGraphicFramePr>
        <xdr:cNvPr id="5126" name="Chart 1">
          <a:extLst>
            <a:ext uri="{FF2B5EF4-FFF2-40B4-BE49-F238E27FC236}">
              <a16:creationId xmlns:a16="http://schemas.microsoft.com/office/drawing/2014/main" id="{29116CD1-82AE-42EC-B232-70161EECF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247650</xdr:colOff>
      <xdr:row>21</xdr:row>
      <xdr:rowOff>85725</xdr:rowOff>
    </xdr:from>
    <xdr:to>
      <xdr:col>13</xdr:col>
      <xdr:colOff>714375</xdr:colOff>
      <xdr:row>38</xdr:row>
      <xdr:rowOff>104775</xdr:rowOff>
    </xdr:to>
    <xdr:graphicFrame macro="">
      <xdr:nvGraphicFramePr>
        <xdr:cNvPr id="6150" name="Chart 1">
          <a:extLst>
            <a:ext uri="{FF2B5EF4-FFF2-40B4-BE49-F238E27FC236}">
              <a16:creationId xmlns:a16="http://schemas.microsoft.com/office/drawing/2014/main" id="{EBC92A0F-B6B9-414F-A1F0-632C9792A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247650</xdr:colOff>
      <xdr:row>21</xdr:row>
      <xdr:rowOff>85725</xdr:rowOff>
    </xdr:from>
    <xdr:to>
      <xdr:col>13</xdr:col>
      <xdr:colOff>714375</xdr:colOff>
      <xdr:row>38</xdr:row>
      <xdr:rowOff>104775</xdr:rowOff>
    </xdr:to>
    <xdr:graphicFrame macro="">
      <xdr:nvGraphicFramePr>
        <xdr:cNvPr id="7174" name="Chart 1">
          <a:extLst>
            <a:ext uri="{FF2B5EF4-FFF2-40B4-BE49-F238E27FC236}">
              <a16:creationId xmlns:a16="http://schemas.microsoft.com/office/drawing/2014/main" id="{D20FEC22-D7AE-44D3-A0F7-02B1EB819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247650</xdr:colOff>
      <xdr:row>24</xdr:row>
      <xdr:rowOff>85725</xdr:rowOff>
    </xdr:from>
    <xdr:to>
      <xdr:col>13</xdr:col>
      <xdr:colOff>714375</xdr:colOff>
      <xdr:row>41</xdr:row>
      <xdr:rowOff>104775</xdr:rowOff>
    </xdr:to>
    <xdr:graphicFrame macro="">
      <xdr:nvGraphicFramePr>
        <xdr:cNvPr id="11270" name="Chart 1">
          <a:extLst>
            <a:ext uri="{FF2B5EF4-FFF2-40B4-BE49-F238E27FC236}">
              <a16:creationId xmlns:a16="http://schemas.microsoft.com/office/drawing/2014/main" id="{318C2749-799F-499B-A020-987EFFC2C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247650</xdr:colOff>
      <xdr:row>17</xdr:row>
      <xdr:rowOff>85725</xdr:rowOff>
    </xdr:from>
    <xdr:to>
      <xdr:col>13</xdr:col>
      <xdr:colOff>714375</xdr:colOff>
      <xdr:row>34</xdr:row>
      <xdr:rowOff>104775</xdr:rowOff>
    </xdr:to>
    <xdr:graphicFrame macro="">
      <xdr:nvGraphicFramePr>
        <xdr:cNvPr id="16390" name="Chart 1">
          <a:extLst>
            <a:ext uri="{FF2B5EF4-FFF2-40B4-BE49-F238E27FC236}">
              <a16:creationId xmlns:a16="http://schemas.microsoft.com/office/drawing/2014/main" id="{6F7C721B-B7AA-4EE0-9D13-565BB584B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247650</xdr:colOff>
      <xdr:row>17</xdr:row>
      <xdr:rowOff>85725</xdr:rowOff>
    </xdr:from>
    <xdr:to>
      <xdr:col>13</xdr:col>
      <xdr:colOff>714375</xdr:colOff>
      <xdr:row>34</xdr:row>
      <xdr:rowOff>104775</xdr:rowOff>
    </xdr:to>
    <xdr:graphicFrame macro="">
      <xdr:nvGraphicFramePr>
        <xdr:cNvPr id="22534" name="Chart 1">
          <a:extLst>
            <a:ext uri="{FF2B5EF4-FFF2-40B4-BE49-F238E27FC236}">
              <a16:creationId xmlns:a16="http://schemas.microsoft.com/office/drawing/2014/main" id="{CD618BEC-D930-4909-B680-923024C78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247650</xdr:colOff>
      <xdr:row>20</xdr:row>
      <xdr:rowOff>85725</xdr:rowOff>
    </xdr:from>
    <xdr:to>
      <xdr:col>13</xdr:col>
      <xdr:colOff>714375</xdr:colOff>
      <xdr:row>37</xdr:row>
      <xdr:rowOff>104775</xdr:rowOff>
    </xdr:to>
    <xdr:graphicFrame macro="">
      <xdr:nvGraphicFramePr>
        <xdr:cNvPr id="29702" name="Chart 1">
          <a:extLst>
            <a:ext uri="{FF2B5EF4-FFF2-40B4-BE49-F238E27FC236}">
              <a16:creationId xmlns:a16="http://schemas.microsoft.com/office/drawing/2014/main" id="{FA5FC4DA-38EF-4605-AF7E-9327365F2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x14ac:dyDescent="0.25"/>
  <cols>
    <col min="1" max="1" width="10.42578125" style="14" customWidth="1"/>
    <col min="2" max="2" width="114.85546875" style="15" customWidth="1"/>
    <col min="3" max="16384" width="9.140625" style="15"/>
  </cols>
  <sheetData>
    <row r="1" spans="1:2" s="17" customFormat="1" x14ac:dyDescent="0.25">
      <c r="A1" s="16" t="s">
        <v>480</v>
      </c>
    </row>
    <row r="3" spans="1:2" x14ac:dyDescent="0.25">
      <c r="A3" s="14" t="s">
        <v>384</v>
      </c>
      <c r="B3" s="15" t="s">
        <v>385</v>
      </c>
    </row>
    <row r="5" spans="1:2" x14ac:dyDescent="0.25">
      <c r="A5" s="14" t="s">
        <v>383</v>
      </c>
      <c r="B5" s="15" t="s">
        <v>390</v>
      </c>
    </row>
    <row r="6" spans="1:2" ht="30" x14ac:dyDescent="0.25">
      <c r="B6" s="15" t="s">
        <v>397</v>
      </c>
    </row>
    <row r="8" spans="1:2" ht="30" x14ac:dyDescent="0.25">
      <c r="A8" s="14" t="s">
        <v>386</v>
      </c>
      <c r="B8" s="15" t="s">
        <v>3003</v>
      </c>
    </row>
    <row r="9" spans="1:2" x14ac:dyDescent="0.25">
      <c r="B9" s="15" t="s">
        <v>391</v>
      </c>
    </row>
    <row r="10" spans="1:2" x14ac:dyDescent="0.25">
      <c r="B10" s="15" t="s">
        <v>392</v>
      </c>
    </row>
    <row r="12" spans="1:2" x14ac:dyDescent="0.25">
      <c r="A12" s="14" t="s">
        <v>387</v>
      </c>
      <c r="B12" s="15" t="s">
        <v>393</v>
      </c>
    </row>
    <row r="13" spans="1:2" x14ac:dyDescent="0.25">
      <c r="B13" s="15" t="s">
        <v>394</v>
      </c>
    </row>
    <row r="14" spans="1:2" x14ac:dyDescent="0.25">
      <c r="B14" s="15" t="s">
        <v>388</v>
      </c>
    </row>
    <row r="15" spans="1:2" x14ac:dyDescent="0.25">
      <c r="B15" s="15" t="s">
        <v>389</v>
      </c>
    </row>
    <row r="16" spans="1:2" x14ac:dyDescent="0.25">
      <c r="B16" s="15" t="s">
        <v>608</v>
      </c>
    </row>
    <row r="17" spans="2:2" ht="30" x14ac:dyDescent="0.25">
      <c r="B17" s="15" t="s">
        <v>400</v>
      </c>
    </row>
    <row r="18" spans="2:2" x14ac:dyDescent="0.25">
      <c r="B18" s="15" t="s">
        <v>609</v>
      </c>
    </row>
    <row r="19" spans="2:2" x14ac:dyDescent="0.25">
      <c r="B19" s="15" t="s">
        <v>398</v>
      </c>
    </row>
    <row r="20" spans="2:2" ht="30" x14ac:dyDescent="0.25">
      <c r="B20" s="15" t="s">
        <v>399</v>
      </c>
    </row>
    <row r="21" spans="2:2" x14ac:dyDescent="0.25">
      <c r="B21" s="15" t="s">
        <v>3004</v>
      </c>
    </row>
    <row r="22" spans="2:2" x14ac:dyDescent="0.25">
      <c r="B22" s="15" t="s">
        <v>739</v>
      </c>
    </row>
  </sheetData>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15"/>
  <sheetViews>
    <sheetView zoomScale="85" zoomScaleNormal="85" workbookViewId="0">
      <pane ySplit="1" topLeftCell="A2" activePane="bottomLeft" state="frozen"/>
      <selection pane="bottomLeft"/>
    </sheetView>
  </sheetViews>
  <sheetFormatPr defaultColWidth="11.28515625" defaultRowHeight="15" x14ac:dyDescent="0.25"/>
  <cols>
    <col min="1" max="1" width="7.85546875" style="19" bestFit="1" customWidth="1"/>
    <col min="2" max="2" width="26.42578125" style="19" bestFit="1" customWidth="1"/>
    <col min="3" max="3" width="14" style="19" bestFit="1" customWidth="1"/>
    <col min="4" max="4" width="35.28515625" style="19" bestFit="1" customWidth="1"/>
    <col min="5" max="5" width="11.5703125" style="19" bestFit="1" customWidth="1"/>
    <col min="6" max="6" width="8.7109375" style="19" customWidth="1"/>
    <col min="7" max="7" width="12.5703125" style="19" bestFit="1" customWidth="1"/>
    <col min="8" max="8" width="11.5703125" style="19" bestFit="1" customWidth="1"/>
    <col min="9" max="9" width="10.140625" style="19" bestFit="1" customWidth="1"/>
    <col min="10" max="10" width="11" style="19" bestFit="1" customWidth="1"/>
    <col min="11" max="11" width="11.5703125" style="19" bestFit="1" customWidth="1"/>
    <col min="12" max="12" width="10.7109375" style="19" bestFit="1" customWidth="1"/>
    <col min="13" max="13" width="12.5703125" style="19" bestFit="1" customWidth="1"/>
    <col min="14" max="14" width="23.7109375" style="19" bestFit="1" customWidth="1"/>
    <col min="15" max="16384" width="11.28515625" style="19"/>
  </cols>
  <sheetData>
    <row r="1" spans="1:16" s="18" customFormat="1" ht="45" x14ac:dyDescent="0.25">
      <c r="A1" s="1" t="s">
        <v>34</v>
      </c>
      <c r="B1" s="1" t="s">
        <v>35</v>
      </c>
      <c r="C1" s="1" t="s">
        <v>395</v>
      </c>
      <c r="D1" s="1" t="s">
        <v>79</v>
      </c>
      <c r="E1" s="8" t="s">
        <v>327</v>
      </c>
      <c r="F1" s="8" t="s">
        <v>255</v>
      </c>
      <c r="G1" s="8" t="s">
        <v>343</v>
      </c>
      <c r="H1" s="8" t="s">
        <v>592</v>
      </c>
      <c r="I1" s="8" t="s">
        <v>1116</v>
      </c>
      <c r="J1" s="8" t="s">
        <v>503</v>
      </c>
      <c r="K1" s="8" t="s">
        <v>593</v>
      </c>
      <c r="L1" s="8" t="s">
        <v>559</v>
      </c>
      <c r="M1" s="8" t="s">
        <v>558</v>
      </c>
      <c r="N1" s="8" t="s">
        <v>26</v>
      </c>
      <c r="O1" s="18" t="s">
        <v>1590</v>
      </c>
      <c r="P1" s="18" t="s">
        <v>2711</v>
      </c>
    </row>
    <row r="3" spans="1:16" ht="30" x14ac:dyDescent="0.25">
      <c r="A3" s="2" t="s">
        <v>256</v>
      </c>
      <c r="B3" s="2" t="s">
        <v>257</v>
      </c>
      <c r="C3" s="2" t="s">
        <v>258</v>
      </c>
      <c r="D3" s="2" t="s">
        <v>259</v>
      </c>
      <c r="E3" s="21" t="s">
        <v>654</v>
      </c>
      <c r="I3" s="7" t="s">
        <v>279</v>
      </c>
    </row>
    <row r="4" spans="1:16" ht="30" x14ac:dyDescent="0.25">
      <c r="A4" s="2" t="s">
        <v>260</v>
      </c>
      <c r="B4" s="2" t="s">
        <v>261</v>
      </c>
      <c r="C4" s="2" t="s">
        <v>262</v>
      </c>
      <c r="D4" s="2" t="s">
        <v>263</v>
      </c>
      <c r="E4" s="21" t="s">
        <v>654</v>
      </c>
      <c r="I4" s="7" t="s">
        <v>279</v>
      </c>
    </row>
    <row r="5" spans="1:16" ht="30" x14ac:dyDescent="0.25">
      <c r="A5" s="2" t="s">
        <v>264</v>
      </c>
      <c r="B5" s="2" t="s">
        <v>265</v>
      </c>
      <c r="C5" s="2" t="s">
        <v>262</v>
      </c>
      <c r="D5" s="2" t="s">
        <v>266</v>
      </c>
      <c r="E5" s="21" t="s">
        <v>654</v>
      </c>
      <c r="I5" s="7" t="s">
        <v>279</v>
      </c>
    </row>
    <row r="6" spans="1:16" ht="30" x14ac:dyDescent="0.25">
      <c r="A6" s="2" t="s">
        <v>267</v>
      </c>
      <c r="B6" s="2" t="s">
        <v>268</v>
      </c>
      <c r="C6" s="2" t="s">
        <v>48</v>
      </c>
      <c r="D6" s="2" t="s">
        <v>269</v>
      </c>
      <c r="E6" s="21" t="s">
        <v>654</v>
      </c>
      <c r="I6" s="7" t="s">
        <v>279</v>
      </c>
    </row>
    <row r="7" spans="1:16" ht="30" x14ac:dyDescent="0.25">
      <c r="A7" s="2" t="s">
        <v>270</v>
      </c>
      <c r="B7" s="2" t="s">
        <v>3735</v>
      </c>
      <c r="C7" s="2" t="s">
        <v>3848</v>
      </c>
      <c r="D7" s="2" t="s">
        <v>3765</v>
      </c>
      <c r="E7" s="21" t="s">
        <v>654</v>
      </c>
      <c r="I7" s="7" t="s">
        <v>279</v>
      </c>
    </row>
    <row r="8" spans="1:16" ht="45" x14ac:dyDescent="0.25">
      <c r="A8" s="2" t="s">
        <v>271</v>
      </c>
      <c r="B8" s="2" t="s">
        <v>3736</v>
      </c>
      <c r="C8" s="2" t="s">
        <v>3737</v>
      </c>
      <c r="D8" s="2" t="s">
        <v>272</v>
      </c>
      <c r="E8" s="21" t="s">
        <v>654</v>
      </c>
      <c r="I8" s="7" t="s">
        <v>279</v>
      </c>
    </row>
    <row r="9" spans="1:16" ht="30" x14ac:dyDescent="0.25">
      <c r="A9" s="2" t="s">
        <v>273</v>
      </c>
      <c r="B9" s="2" t="s">
        <v>3738</v>
      </c>
      <c r="C9" s="2" t="s">
        <v>39</v>
      </c>
      <c r="D9" s="2" t="s">
        <v>3766</v>
      </c>
      <c r="E9" s="21" t="s">
        <v>654</v>
      </c>
      <c r="I9" s="7" t="s">
        <v>279</v>
      </c>
    </row>
    <row r="10" spans="1:16" ht="30" x14ac:dyDescent="0.25">
      <c r="A10" s="2" t="s">
        <v>274</v>
      </c>
      <c r="B10" s="2" t="s">
        <v>3739</v>
      </c>
      <c r="C10" s="2" t="s">
        <v>3740</v>
      </c>
      <c r="D10" s="2" t="s">
        <v>275</v>
      </c>
      <c r="E10" s="21" t="s">
        <v>654</v>
      </c>
      <c r="I10" s="7" t="s">
        <v>279</v>
      </c>
    </row>
    <row r="11" spans="1:16" ht="30" x14ac:dyDescent="0.25">
      <c r="A11" s="2" t="s">
        <v>276</v>
      </c>
      <c r="B11" s="2" t="s">
        <v>3741</v>
      </c>
      <c r="C11" s="2" t="s">
        <v>3740</v>
      </c>
      <c r="D11" s="2" t="s">
        <v>3742</v>
      </c>
      <c r="E11" s="21" t="s">
        <v>654</v>
      </c>
      <c r="I11" s="7" t="s">
        <v>279</v>
      </c>
    </row>
    <row r="12" spans="1:16" ht="30" x14ac:dyDescent="0.25">
      <c r="A12" s="2" t="s">
        <v>277</v>
      </c>
      <c r="B12" s="2" t="s">
        <v>3820</v>
      </c>
      <c r="C12" s="2" t="s">
        <v>43</v>
      </c>
      <c r="D12" s="2" t="s">
        <v>278</v>
      </c>
      <c r="E12" s="21" t="s">
        <v>654</v>
      </c>
      <c r="I12" s="7" t="s">
        <v>279</v>
      </c>
      <c r="K12" s="23"/>
      <c r="L12" s="23"/>
      <c r="M12" s="23"/>
    </row>
    <row r="13" spans="1:16" ht="30" x14ac:dyDescent="0.25">
      <c r="A13" s="2" t="s">
        <v>213</v>
      </c>
      <c r="B13" s="2" t="s">
        <v>3455</v>
      </c>
      <c r="C13" s="2" t="s">
        <v>39</v>
      </c>
      <c r="D13" s="2" t="s">
        <v>40</v>
      </c>
      <c r="E13" s="31" t="s">
        <v>518</v>
      </c>
      <c r="F13" s="19" t="s">
        <v>340</v>
      </c>
      <c r="H13" s="19">
        <v>2</v>
      </c>
      <c r="I13" s="7" t="s">
        <v>344</v>
      </c>
      <c r="J13" s="19" t="s">
        <v>504</v>
      </c>
      <c r="K13" s="20">
        <v>40213</v>
      </c>
      <c r="L13" s="20"/>
      <c r="M13" s="20"/>
      <c r="O13" s="35" t="s">
        <v>1117</v>
      </c>
    </row>
    <row r="14" spans="1:16" ht="30" x14ac:dyDescent="0.25">
      <c r="A14" s="2" t="s">
        <v>214</v>
      </c>
      <c r="B14" s="2" t="s">
        <v>3458</v>
      </c>
      <c r="C14" s="2" t="s">
        <v>39</v>
      </c>
      <c r="D14" s="2" t="s">
        <v>610</v>
      </c>
      <c r="E14" s="31" t="s">
        <v>518</v>
      </c>
      <c r="F14" s="19" t="s">
        <v>340</v>
      </c>
      <c r="H14" s="19">
        <v>2</v>
      </c>
      <c r="I14" s="7" t="s">
        <v>344</v>
      </c>
      <c r="J14" s="19" t="s">
        <v>504</v>
      </c>
      <c r="K14" s="20">
        <v>40204</v>
      </c>
      <c r="L14" s="20"/>
      <c r="M14" s="20"/>
      <c r="O14" s="35" t="s">
        <v>1117</v>
      </c>
    </row>
    <row r="15" spans="1:16" ht="30" x14ac:dyDescent="0.25">
      <c r="A15" s="2" t="s">
        <v>215</v>
      </c>
      <c r="B15" s="2" t="s">
        <v>3459</v>
      </c>
      <c r="C15" s="2" t="s">
        <v>39</v>
      </c>
      <c r="D15" s="2" t="s">
        <v>611</v>
      </c>
      <c r="E15" s="31" t="s">
        <v>518</v>
      </c>
      <c r="F15" s="19" t="s">
        <v>340</v>
      </c>
      <c r="H15" s="19">
        <v>0.5</v>
      </c>
      <c r="I15" s="7" t="s">
        <v>344</v>
      </c>
      <c r="J15" s="19" t="s">
        <v>504</v>
      </c>
      <c r="K15" s="20">
        <v>40205</v>
      </c>
      <c r="L15" s="20"/>
      <c r="M15" s="20"/>
      <c r="O15" s="35" t="s">
        <v>1117</v>
      </c>
    </row>
    <row r="16" spans="1:16" ht="30" x14ac:dyDescent="0.25">
      <c r="A16" s="2" t="s">
        <v>216</v>
      </c>
      <c r="B16" s="2" t="s">
        <v>3462</v>
      </c>
      <c r="C16" s="2" t="s">
        <v>39</v>
      </c>
      <c r="D16" s="2" t="s">
        <v>612</v>
      </c>
      <c r="E16" s="31" t="s">
        <v>518</v>
      </c>
      <c r="F16" s="19" t="s">
        <v>340</v>
      </c>
      <c r="H16" s="19">
        <v>0.25</v>
      </c>
      <c r="I16" s="7" t="s">
        <v>344</v>
      </c>
      <c r="J16" s="19" t="s">
        <v>504</v>
      </c>
      <c r="K16" s="20">
        <v>40205</v>
      </c>
      <c r="L16" s="20"/>
      <c r="M16" s="20"/>
      <c r="O16" s="35" t="s">
        <v>1117</v>
      </c>
    </row>
    <row r="17" spans="1:15" ht="45" x14ac:dyDescent="0.25">
      <c r="A17" s="2" t="s">
        <v>217</v>
      </c>
      <c r="B17" s="2" t="s">
        <v>613</v>
      </c>
      <c r="C17" s="2" t="s">
        <v>39</v>
      </c>
      <c r="D17" s="2" t="s">
        <v>614</v>
      </c>
      <c r="E17" s="31" t="s">
        <v>518</v>
      </c>
      <c r="F17" s="19" t="s">
        <v>340</v>
      </c>
      <c r="G17" s="7" t="s">
        <v>429</v>
      </c>
      <c r="H17" s="19">
        <v>2</v>
      </c>
      <c r="I17" s="7" t="s">
        <v>344</v>
      </c>
      <c r="J17" s="19" t="s">
        <v>504</v>
      </c>
      <c r="K17" s="20">
        <v>40207</v>
      </c>
      <c r="L17" s="20"/>
      <c r="M17" s="20"/>
      <c r="O17" s="35" t="s">
        <v>1117</v>
      </c>
    </row>
    <row r="18" spans="1:15" ht="30" x14ac:dyDescent="0.25">
      <c r="A18" s="2" t="s">
        <v>218</v>
      </c>
      <c r="B18" s="2" t="s">
        <v>3463</v>
      </c>
      <c r="C18" s="2" t="s">
        <v>39</v>
      </c>
      <c r="D18" s="2" t="s">
        <v>615</v>
      </c>
      <c r="E18" s="31" t="s">
        <v>518</v>
      </c>
      <c r="F18" s="19" t="s">
        <v>341</v>
      </c>
      <c r="H18" s="19">
        <v>0.5</v>
      </c>
      <c r="I18" s="7" t="s">
        <v>344</v>
      </c>
      <c r="J18" s="19" t="s">
        <v>504</v>
      </c>
      <c r="K18" s="20">
        <v>40205</v>
      </c>
      <c r="L18" s="20"/>
      <c r="M18" s="20"/>
      <c r="O18" s="35" t="s">
        <v>1117</v>
      </c>
    </row>
    <row r="19" spans="1:15" ht="45" x14ac:dyDescent="0.25">
      <c r="A19" s="2" t="s">
        <v>380</v>
      </c>
      <c r="B19" s="2" t="s">
        <v>3464</v>
      </c>
      <c r="C19" s="2" t="s">
        <v>39</v>
      </c>
      <c r="D19" s="2" t="s">
        <v>616</v>
      </c>
      <c r="E19" s="31" t="s">
        <v>518</v>
      </c>
      <c r="F19" s="19" t="s">
        <v>341</v>
      </c>
      <c r="H19" s="19">
        <v>0.5</v>
      </c>
      <c r="I19" s="7" t="s">
        <v>344</v>
      </c>
      <c r="J19" s="19" t="s">
        <v>504</v>
      </c>
      <c r="K19" s="20">
        <v>40205</v>
      </c>
      <c r="L19" s="20"/>
      <c r="M19" s="20"/>
      <c r="O19" s="35" t="s">
        <v>1117</v>
      </c>
    </row>
    <row r="20" spans="1:15" ht="30" x14ac:dyDescent="0.25">
      <c r="A20" s="2" t="s">
        <v>219</v>
      </c>
      <c r="B20" s="2" t="s">
        <v>617</v>
      </c>
      <c r="C20" s="2" t="s">
        <v>39</v>
      </c>
      <c r="D20" s="2" t="s">
        <v>618</v>
      </c>
      <c r="E20" s="31" t="s">
        <v>518</v>
      </c>
      <c r="F20" s="19" t="s">
        <v>341</v>
      </c>
      <c r="H20" s="19">
        <v>0.25</v>
      </c>
      <c r="I20" s="7" t="s">
        <v>344</v>
      </c>
      <c r="J20" s="19" t="s">
        <v>504</v>
      </c>
      <c r="K20" s="20">
        <v>40206</v>
      </c>
      <c r="L20" s="20"/>
      <c r="M20" s="20"/>
    </row>
    <row r="21" spans="1:15" ht="30" x14ac:dyDescent="0.25">
      <c r="A21" s="2" t="s">
        <v>220</v>
      </c>
      <c r="B21" s="2" t="s">
        <v>619</v>
      </c>
      <c r="C21" s="2" t="s">
        <v>39</v>
      </c>
      <c r="D21" s="2" t="s">
        <v>620</v>
      </c>
      <c r="E21" s="31" t="s">
        <v>518</v>
      </c>
      <c r="F21" s="19" t="s">
        <v>341</v>
      </c>
      <c r="H21" s="19">
        <v>0.25</v>
      </c>
      <c r="I21" s="7" t="s">
        <v>344</v>
      </c>
      <c r="J21" s="19" t="s">
        <v>504</v>
      </c>
      <c r="K21" s="20">
        <v>40206</v>
      </c>
      <c r="L21" s="20"/>
      <c r="M21" s="20"/>
    </row>
    <row r="22" spans="1:15" ht="45" x14ac:dyDescent="0.25">
      <c r="A22" s="2" t="s">
        <v>221</v>
      </c>
      <c r="B22" s="2" t="s">
        <v>621</v>
      </c>
      <c r="C22" s="2" t="s">
        <v>39</v>
      </c>
      <c r="D22" s="2" t="s">
        <v>622</v>
      </c>
      <c r="E22" s="31" t="s">
        <v>518</v>
      </c>
      <c r="F22" s="19" t="s">
        <v>340</v>
      </c>
      <c r="H22" s="19">
        <v>3</v>
      </c>
      <c r="I22" s="7" t="s">
        <v>925</v>
      </c>
      <c r="J22" s="19" t="s">
        <v>504</v>
      </c>
      <c r="K22" s="20">
        <v>40233</v>
      </c>
      <c r="L22" s="19">
        <v>3</v>
      </c>
      <c r="O22" s="35" t="s">
        <v>1117</v>
      </c>
    </row>
    <row r="23" spans="1:15" ht="30" x14ac:dyDescent="0.25">
      <c r="A23" s="2" t="s">
        <v>222</v>
      </c>
      <c r="B23" s="2" t="s">
        <v>36</v>
      </c>
      <c r="C23" s="2" t="s">
        <v>39</v>
      </c>
      <c r="D23" s="2" t="s">
        <v>42</v>
      </c>
      <c r="E23" s="31" t="s">
        <v>518</v>
      </c>
      <c r="F23" s="19" t="s">
        <v>340</v>
      </c>
      <c r="G23" s="7" t="s">
        <v>221</v>
      </c>
      <c r="H23" s="19">
        <v>5</v>
      </c>
      <c r="I23" s="7" t="s">
        <v>925</v>
      </c>
      <c r="J23" s="19" t="s">
        <v>14</v>
      </c>
      <c r="K23" s="20">
        <v>40232</v>
      </c>
      <c r="L23" s="19">
        <v>5.5</v>
      </c>
      <c r="O23" s="35" t="s">
        <v>1117</v>
      </c>
    </row>
    <row r="24" spans="1:15" ht="45" x14ac:dyDescent="0.25">
      <c r="A24" s="2" t="s">
        <v>250</v>
      </c>
      <c r="B24" s="2" t="s">
        <v>3467</v>
      </c>
      <c r="C24" s="2" t="s">
        <v>39</v>
      </c>
      <c r="D24" s="2" t="s">
        <v>623</v>
      </c>
      <c r="E24" s="31" t="s">
        <v>518</v>
      </c>
      <c r="F24" s="7" t="s">
        <v>340</v>
      </c>
      <c r="G24" s="7" t="s">
        <v>349</v>
      </c>
      <c r="H24" s="19">
        <v>2</v>
      </c>
      <c r="I24" s="7" t="s">
        <v>344</v>
      </c>
      <c r="J24" s="19" t="s">
        <v>504</v>
      </c>
      <c r="K24" s="20">
        <v>40205</v>
      </c>
      <c r="L24" s="20"/>
      <c r="M24" s="20"/>
      <c r="O24" s="35" t="s">
        <v>1117</v>
      </c>
    </row>
    <row r="25" spans="1:15" ht="30" x14ac:dyDescent="0.25">
      <c r="A25" s="2" t="s">
        <v>224</v>
      </c>
      <c r="B25" s="2" t="s">
        <v>3468</v>
      </c>
      <c r="C25" s="2" t="s">
        <v>460</v>
      </c>
      <c r="D25" s="2" t="s">
        <v>624</v>
      </c>
      <c r="E25" s="31" t="s">
        <v>518</v>
      </c>
      <c r="F25" s="19" t="s">
        <v>340</v>
      </c>
      <c r="H25" s="19">
        <v>1</v>
      </c>
      <c r="I25" s="7" t="s">
        <v>925</v>
      </c>
      <c r="J25" s="19" t="s">
        <v>504</v>
      </c>
      <c r="K25" s="20">
        <v>40234</v>
      </c>
      <c r="L25" s="19">
        <v>1</v>
      </c>
      <c r="O25" s="43" t="s">
        <v>2351</v>
      </c>
    </row>
    <row r="26" spans="1:15" ht="45" x14ac:dyDescent="0.25">
      <c r="A26" s="2" t="s">
        <v>225</v>
      </c>
      <c r="B26" s="2" t="s">
        <v>99</v>
      </c>
      <c r="C26" s="2" t="s">
        <v>460</v>
      </c>
      <c r="D26" s="2" t="s">
        <v>100</v>
      </c>
      <c r="E26" s="31" t="s">
        <v>518</v>
      </c>
      <c r="F26" s="19" t="s">
        <v>340</v>
      </c>
      <c r="H26" s="19">
        <v>1</v>
      </c>
      <c r="I26" s="7" t="s">
        <v>925</v>
      </c>
      <c r="J26" s="19" t="s">
        <v>504</v>
      </c>
      <c r="K26" s="20">
        <v>40242</v>
      </c>
      <c r="L26" s="19">
        <v>4</v>
      </c>
      <c r="N26" s="19" t="s">
        <v>1398</v>
      </c>
      <c r="O26" s="35" t="s">
        <v>1117</v>
      </c>
    </row>
    <row r="27" spans="1:15" ht="75" x14ac:dyDescent="0.25">
      <c r="A27" s="2" t="s">
        <v>226</v>
      </c>
      <c r="B27" s="2" t="s">
        <v>38</v>
      </c>
      <c r="C27" s="2" t="s">
        <v>460</v>
      </c>
      <c r="D27" s="2" t="s">
        <v>44</v>
      </c>
      <c r="E27" s="31" t="s">
        <v>518</v>
      </c>
      <c r="F27" s="19" t="s">
        <v>340</v>
      </c>
      <c r="H27" s="19">
        <v>4</v>
      </c>
      <c r="I27" s="7" t="s">
        <v>925</v>
      </c>
      <c r="J27" s="19" t="s">
        <v>14</v>
      </c>
      <c r="K27" s="20">
        <v>40245</v>
      </c>
      <c r="L27" s="19">
        <v>5</v>
      </c>
      <c r="N27" s="19" t="s">
        <v>1409</v>
      </c>
      <c r="O27" s="35" t="s">
        <v>1117</v>
      </c>
    </row>
    <row r="28" spans="1:15" ht="30" x14ac:dyDescent="0.25">
      <c r="A28" s="2" t="s">
        <v>227</v>
      </c>
      <c r="B28" s="2" t="s">
        <v>45</v>
      </c>
      <c r="C28" s="2" t="s">
        <v>460</v>
      </c>
      <c r="D28" s="2" t="s">
        <v>129</v>
      </c>
      <c r="E28" s="31" t="s">
        <v>518</v>
      </c>
      <c r="F28" s="19" t="s">
        <v>340</v>
      </c>
      <c r="H28" s="19">
        <v>2</v>
      </c>
      <c r="I28" s="7" t="s">
        <v>925</v>
      </c>
      <c r="J28" s="19" t="s">
        <v>14</v>
      </c>
      <c r="K28" s="20">
        <v>40238</v>
      </c>
      <c r="L28" s="19">
        <v>3</v>
      </c>
      <c r="O28" s="35" t="s">
        <v>1117</v>
      </c>
    </row>
    <row r="29" spans="1:15" ht="30" x14ac:dyDescent="0.25">
      <c r="A29" s="2" t="s">
        <v>228</v>
      </c>
      <c r="B29" s="2" t="s">
        <v>149</v>
      </c>
      <c r="C29" s="2" t="s">
        <v>460</v>
      </c>
      <c r="D29" s="2" t="s">
        <v>150</v>
      </c>
      <c r="E29" s="31" t="s">
        <v>518</v>
      </c>
      <c r="F29" s="19" t="s">
        <v>340</v>
      </c>
      <c r="H29" s="19">
        <v>2</v>
      </c>
      <c r="I29" s="7" t="s">
        <v>925</v>
      </c>
      <c r="J29" s="19" t="s">
        <v>14</v>
      </c>
      <c r="K29" s="20">
        <v>40239</v>
      </c>
      <c r="L29" s="19">
        <v>2</v>
      </c>
      <c r="O29" s="35" t="s">
        <v>1117</v>
      </c>
    </row>
    <row r="30" spans="1:15" ht="30" x14ac:dyDescent="0.25">
      <c r="A30" s="2" t="s">
        <v>229</v>
      </c>
      <c r="B30" s="2" t="s">
        <v>154</v>
      </c>
      <c r="C30" s="2" t="s">
        <v>460</v>
      </c>
      <c r="D30" s="2" t="s">
        <v>155</v>
      </c>
      <c r="E30" s="31" t="s">
        <v>518</v>
      </c>
      <c r="F30" s="7" t="s">
        <v>341</v>
      </c>
      <c r="G30" s="7"/>
      <c r="H30" s="19">
        <v>5</v>
      </c>
      <c r="I30" s="7" t="s">
        <v>1399</v>
      </c>
      <c r="J30" s="19" t="s">
        <v>14</v>
      </c>
      <c r="K30" s="20">
        <v>40256</v>
      </c>
      <c r="L30" s="19">
        <v>4</v>
      </c>
      <c r="O30" s="35" t="s">
        <v>1117</v>
      </c>
    </row>
    <row r="31" spans="1:15" ht="75" x14ac:dyDescent="0.25">
      <c r="A31" s="19" t="s">
        <v>1203</v>
      </c>
      <c r="B31" s="19" t="s">
        <v>1578</v>
      </c>
      <c r="C31" s="2" t="s">
        <v>460</v>
      </c>
      <c r="D31" s="2" t="s">
        <v>1579</v>
      </c>
      <c r="E31" s="31" t="s">
        <v>518</v>
      </c>
      <c r="F31" s="19" t="s">
        <v>340</v>
      </c>
      <c r="G31" s="19" t="s">
        <v>1397</v>
      </c>
      <c r="H31" s="19">
        <v>2</v>
      </c>
      <c r="I31" s="7" t="s">
        <v>1497</v>
      </c>
      <c r="J31" s="19" t="s">
        <v>14</v>
      </c>
      <c r="K31" s="20">
        <v>40275</v>
      </c>
      <c r="L31" s="19">
        <v>4</v>
      </c>
      <c r="N31" s="19" t="s">
        <v>1593</v>
      </c>
      <c r="O31" s="35" t="s">
        <v>1117</v>
      </c>
    </row>
    <row r="32" spans="1:15" ht="30" x14ac:dyDescent="0.25">
      <c r="A32" s="2" t="s">
        <v>231</v>
      </c>
      <c r="B32" s="2" t="s">
        <v>153</v>
      </c>
      <c r="C32" s="2" t="s">
        <v>460</v>
      </c>
      <c r="D32" s="2" t="s">
        <v>3905</v>
      </c>
      <c r="E32" s="31" t="s">
        <v>518</v>
      </c>
      <c r="F32" s="7" t="s">
        <v>341</v>
      </c>
      <c r="G32" s="7"/>
      <c r="H32" s="19">
        <v>3</v>
      </c>
      <c r="I32" s="7" t="s">
        <v>1497</v>
      </c>
      <c r="J32" s="19" t="s">
        <v>14</v>
      </c>
      <c r="K32" s="20">
        <v>40282</v>
      </c>
      <c r="L32" s="19">
        <v>4</v>
      </c>
      <c r="O32" s="43" t="s">
        <v>2351</v>
      </c>
    </row>
    <row r="33" spans="1:15" ht="45" x14ac:dyDescent="0.25">
      <c r="A33" s="2" t="s">
        <v>232</v>
      </c>
      <c r="B33" s="2" t="s">
        <v>160</v>
      </c>
      <c r="C33" s="2" t="s">
        <v>460</v>
      </c>
      <c r="D33" s="2" t="s">
        <v>144</v>
      </c>
      <c r="E33" s="31" t="s">
        <v>518</v>
      </c>
      <c r="F33" s="7" t="s">
        <v>341</v>
      </c>
      <c r="G33" s="7" t="s">
        <v>1397</v>
      </c>
      <c r="H33" s="19">
        <v>2</v>
      </c>
      <c r="I33" s="7" t="s">
        <v>1497</v>
      </c>
      <c r="J33" s="19" t="s">
        <v>14</v>
      </c>
      <c r="K33" s="20">
        <v>40284</v>
      </c>
      <c r="L33" s="19">
        <v>3</v>
      </c>
      <c r="O33" s="43" t="s">
        <v>2351</v>
      </c>
    </row>
    <row r="34" spans="1:15" ht="45" x14ac:dyDescent="0.25">
      <c r="A34" s="2" t="s">
        <v>230</v>
      </c>
      <c r="B34" s="2" t="s">
        <v>156</v>
      </c>
      <c r="C34" s="2" t="s">
        <v>460</v>
      </c>
      <c r="D34" s="2" t="s">
        <v>157</v>
      </c>
      <c r="E34" s="29" t="s">
        <v>986</v>
      </c>
      <c r="F34" s="7" t="s">
        <v>340</v>
      </c>
      <c r="G34" s="7" t="s">
        <v>230</v>
      </c>
      <c r="H34" s="19">
        <v>4</v>
      </c>
      <c r="I34" s="26" t="s">
        <v>33</v>
      </c>
      <c r="J34" s="19" t="s">
        <v>14</v>
      </c>
      <c r="O34" s="19" t="s">
        <v>33</v>
      </c>
    </row>
    <row r="35" spans="1:15" ht="45" x14ac:dyDescent="0.25">
      <c r="A35" s="19" t="s">
        <v>1212</v>
      </c>
      <c r="B35" s="19" t="s">
        <v>1982</v>
      </c>
      <c r="C35" s="7" t="s">
        <v>460</v>
      </c>
      <c r="D35" s="7" t="s">
        <v>1983</v>
      </c>
      <c r="E35" s="29" t="s">
        <v>986</v>
      </c>
      <c r="F35" s="19" t="s">
        <v>341</v>
      </c>
      <c r="H35" s="19">
        <v>1</v>
      </c>
      <c r="I35" s="19" t="s">
        <v>33</v>
      </c>
      <c r="J35" s="19" t="s">
        <v>14</v>
      </c>
      <c r="O35" s="19" t="s">
        <v>33</v>
      </c>
    </row>
    <row r="36" spans="1:15" ht="45" x14ac:dyDescent="0.25">
      <c r="A36" s="19" t="s">
        <v>1211</v>
      </c>
      <c r="B36" s="19" t="s">
        <v>1715</v>
      </c>
      <c r="C36" s="19" t="s">
        <v>460</v>
      </c>
      <c r="D36" s="19" t="s">
        <v>1716</v>
      </c>
      <c r="E36" s="29" t="s">
        <v>986</v>
      </c>
      <c r="F36" s="19" t="s">
        <v>340</v>
      </c>
      <c r="H36" s="19">
        <v>2</v>
      </c>
      <c r="I36" s="19" t="s">
        <v>33</v>
      </c>
      <c r="J36" s="19" t="s">
        <v>14</v>
      </c>
      <c r="O36" s="19" t="s">
        <v>33</v>
      </c>
    </row>
    <row r="37" spans="1:15" ht="45" x14ac:dyDescent="0.25">
      <c r="A37" s="19" t="s">
        <v>2039</v>
      </c>
      <c r="B37" s="19" t="s">
        <v>2089</v>
      </c>
      <c r="C37" s="19" t="s">
        <v>460</v>
      </c>
      <c r="D37" s="19" t="s">
        <v>2090</v>
      </c>
      <c r="E37" s="29" t="s">
        <v>986</v>
      </c>
      <c r="F37" s="19" t="s">
        <v>340</v>
      </c>
      <c r="H37" s="19">
        <v>4</v>
      </c>
      <c r="I37" s="7" t="s">
        <v>2007</v>
      </c>
      <c r="J37" s="19" t="s">
        <v>14</v>
      </c>
      <c r="K37" s="20">
        <v>40291</v>
      </c>
      <c r="L37" s="19">
        <v>4</v>
      </c>
      <c r="N37" s="19" t="s">
        <v>1768</v>
      </c>
      <c r="O37" s="19" t="s">
        <v>33</v>
      </c>
    </row>
    <row r="38" spans="1:15" ht="60" x14ac:dyDescent="0.25">
      <c r="A38" s="19" t="s">
        <v>2053</v>
      </c>
      <c r="B38" s="19" t="s">
        <v>1766</v>
      </c>
      <c r="C38" s="19" t="s">
        <v>460</v>
      </c>
      <c r="D38" s="19" t="s">
        <v>1767</v>
      </c>
      <c r="E38" s="31" t="s">
        <v>518</v>
      </c>
      <c r="F38" s="19" t="s">
        <v>340</v>
      </c>
      <c r="H38" s="19">
        <v>1</v>
      </c>
      <c r="I38" s="7" t="s">
        <v>2007</v>
      </c>
      <c r="J38" s="19" t="s">
        <v>14</v>
      </c>
      <c r="K38" s="20">
        <v>40298</v>
      </c>
      <c r="L38" s="19">
        <v>1</v>
      </c>
      <c r="O38" s="43" t="s">
        <v>2351</v>
      </c>
    </row>
    <row r="39" spans="1:15" ht="45" x14ac:dyDescent="0.25">
      <c r="A39" s="7" t="s">
        <v>233</v>
      </c>
      <c r="B39" s="2" t="s">
        <v>60</v>
      </c>
      <c r="C39" s="2" t="s">
        <v>46</v>
      </c>
      <c r="D39" s="2" t="s">
        <v>61</v>
      </c>
      <c r="E39" s="31" t="s">
        <v>518</v>
      </c>
      <c r="F39" s="7" t="s">
        <v>340</v>
      </c>
      <c r="G39" s="7"/>
      <c r="H39" s="19">
        <v>0.5</v>
      </c>
      <c r="I39" s="7" t="s">
        <v>1399</v>
      </c>
      <c r="J39" s="19" t="s">
        <v>506</v>
      </c>
      <c r="K39" s="20">
        <v>40255</v>
      </c>
      <c r="L39" s="19">
        <v>0.5</v>
      </c>
      <c r="O39" s="19" t="s">
        <v>33</v>
      </c>
    </row>
    <row r="40" spans="1:15" ht="45" x14ac:dyDescent="0.25">
      <c r="A40" s="2" t="s">
        <v>234</v>
      </c>
      <c r="B40" s="2" t="s">
        <v>185</v>
      </c>
      <c r="C40" s="2" t="s">
        <v>460</v>
      </c>
      <c r="D40" s="2" t="s">
        <v>186</v>
      </c>
      <c r="E40" s="31" t="s">
        <v>518</v>
      </c>
      <c r="F40" s="7" t="s">
        <v>340</v>
      </c>
      <c r="G40" s="7"/>
      <c r="H40" s="19">
        <v>6</v>
      </c>
      <c r="I40" s="7" t="s">
        <v>1399</v>
      </c>
      <c r="J40" s="19" t="s">
        <v>504</v>
      </c>
      <c r="K40" s="20">
        <v>40260</v>
      </c>
      <c r="L40" s="19">
        <v>5</v>
      </c>
      <c r="O40" s="35" t="s">
        <v>1117</v>
      </c>
    </row>
    <row r="41" spans="1:15" ht="30" x14ac:dyDescent="0.25">
      <c r="A41" s="2" t="s">
        <v>235</v>
      </c>
      <c r="B41" s="2" t="s">
        <v>627</v>
      </c>
      <c r="C41" s="2" t="s">
        <v>460</v>
      </c>
      <c r="D41" s="2" t="s">
        <v>73</v>
      </c>
      <c r="E41" s="31" t="s">
        <v>518</v>
      </c>
      <c r="F41" s="7" t="s">
        <v>340</v>
      </c>
      <c r="G41" s="7"/>
      <c r="H41" s="19">
        <v>1.5</v>
      </c>
      <c r="I41" s="7" t="s">
        <v>1399</v>
      </c>
      <c r="J41" s="19" t="s">
        <v>504</v>
      </c>
      <c r="K41" s="20">
        <v>40255</v>
      </c>
      <c r="L41" s="19">
        <v>1.5</v>
      </c>
      <c r="O41" s="35" t="s">
        <v>1117</v>
      </c>
    </row>
    <row r="42" spans="1:15" ht="45" x14ac:dyDescent="0.25">
      <c r="A42" s="2" t="s">
        <v>237</v>
      </c>
      <c r="B42" s="2" t="s">
        <v>628</v>
      </c>
      <c r="C42" s="2" t="s">
        <v>460</v>
      </c>
      <c r="D42" s="2" t="s">
        <v>47</v>
      </c>
      <c r="E42" s="31" t="s">
        <v>518</v>
      </c>
      <c r="F42" s="7" t="s">
        <v>340</v>
      </c>
      <c r="G42" s="7" t="s">
        <v>345</v>
      </c>
      <c r="H42" s="19">
        <v>5</v>
      </c>
      <c r="I42" s="7" t="s">
        <v>1399</v>
      </c>
      <c r="J42" s="19" t="s">
        <v>14</v>
      </c>
      <c r="K42" s="20">
        <v>40260</v>
      </c>
      <c r="L42" s="19">
        <v>4</v>
      </c>
      <c r="O42" s="35" t="s">
        <v>1117</v>
      </c>
    </row>
    <row r="43" spans="1:15" ht="30" x14ac:dyDescent="0.25">
      <c r="A43" s="2" t="s">
        <v>238</v>
      </c>
      <c r="B43" s="2" t="s">
        <v>3472</v>
      </c>
      <c r="C43" s="2" t="s">
        <v>460</v>
      </c>
      <c r="D43" s="2" t="s">
        <v>74</v>
      </c>
      <c r="E43" s="31" t="s">
        <v>518</v>
      </c>
      <c r="F43" s="7" t="s">
        <v>340</v>
      </c>
      <c r="G43" s="7"/>
      <c r="H43" s="19">
        <v>1</v>
      </c>
      <c r="I43" s="7" t="s">
        <v>1399</v>
      </c>
      <c r="J43" s="19" t="s">
        <v>506</v>
      </c>
      <c r="K43" s="20">
        <v>40255</v>
      </c>
      <c r="L43" s="19">
        <v>0.25</v>
      </c>
      <c r="O43" s="43" t="s">
        <v>2351</v>
      </c>
    </row>
    <row r="44" spans="1:15" ht="30" x14ac:dyDescent="0.25">
      <c r="A44" s="2" t="s">
        <v>239</v>
      </c>
      <c r="B44" s="2" t="s">
        <v>3473</v>
      </c>
      <c r="C44" s="2" t="s">
        <v>3848</v>
      </c>
      <c r="D44" s="2" t="s">
        <v>51</v>
      </c>
      <c r="E44" s="31" t="s">
        <v>518</v>
      </c>
      <c r="F44" s="7" t="s">
        <v>340</v>
      </c>
      <c r="G44" s="7"/>
      <c r="H44" s="19">
        <v>3</v>
      </c>
      <c r="I44" s="7" t="s">
        <v>1497</v>
      </c>
      <c r="J44" s="19" t="s">
        <v>14</v>
      </c>
      <c r="K44" s="20">
        <v>40287</v>
      </c>
      <c r="L44" s="19">
        <v>2</v>
      </c>
    </row>
    <row r="45" spans="1:15" ht="30" x14ac:dyDescent="0.25">
      <c r="A45" s="2" t="s">
        <v>240</v>
      </c>
      <c r="B45" s="2" t="s">
        <v>3474</v>
      </c>
      <c r="C45" s="2" t="s">
        <v>460</v>
      </c>
      <c r="D45" s="2" t="s">
        <v>68</v>
      </c>
      <c r="E45" s="31" t="s">
        <v>518</v>
      </c>
      <c r="F45" s="7" t="s">
        <v>340</v>
      </c>
      <c r="G45" s="7" t="s">
        <v>239</v>
      </c>
      <c r="H45" s="19">
        <v>1</v>
      </c>
      <c r="I45" s="7" t="s">
        <v>1497</v>
      </c>
      <c r="J45" s="19" t="s">
        <v>14</v>
      </c>
      <c r="K45" s="20">
        <v>40268</v>
      </c>
      <c r="L45" s="19">
        <v>1</v>
      </c>
    </row>
    <row r="46" spans="1:15" ht="45" x14ac:dyDescent="0.25">
      <c r="A46" s="2" t="s">
        <v>245</v>
      </c>
      <c r="B46" s="2" t="s">
        <v>55</v>
      </c>
      <c r="C46" s="2" t="s">
        <v>3848</v>
      </c>
      <c r="D46" s="2" t="s">
        <v>58</v>
      </c>
      <c r="E46" s="29" t="s">
        <v>986</v>
      </c>
      <c r="F46" s="7" t="s">
        <v>342</v>
      </c>
      <c r="I46" s="26" t="s">
        <v>33</v>
      </c>
      <c r="O46" s="26" t="s">
        <v>33</v>
      </c>
    </row>
    <row r="47" spans="1:15" ht="45" x14ac:dyDescent="0.25">
      <c r="A47" s="2" t="s">
        <v>246</v>
      </c>
      <c r="B47" s="2" t="s">
        <v>56</v>
      </c>
      <c r="C47" s="2" t="s">
        <v>3848</v>
      </c>
      <c r="D47" s="2" t="s">
        <v>57</v>
      </c>
      <c r="E47" s="29" t="s">
        <v>986</v>
      </c>
      <c r="F47" s="7" t="s">
        <v>342</v>
      </c>
      <c r="G47" s="7" t="s">
        <v>245</v>
      </c>
      <c r="I47" s="26" t="s">
        <v>33</v>
      </c>
      <c r="O47" s="26" t="s">
        <v>33</v>
      </c>
    </row>
    <row r="48" spans="1:15" ht="30" x14ac:dyDescent="0.25">
      <c r="A48" s="2" t="s">
        <v>247</v>
      </c>
      <c r="B48" s="2" t="s">
        <v>71</v>
      </c>
      <c r="C48" s="2" t="s">
        <v>460</v>
      </c>
      <c r="D48" s="2" t="s">
        <v>115</v>
      </c>
      <c r="E48" s="29" t="s">
        <v>986</v>
      </c>
      <c r="F48" s="7" t="s">
        <v>342</v>
      </c>
      <c r="G48" s="7" t="s">
        <v>245</v>
      </c>
      <c r="I48" s="26" t="s">
        <v>33</v>
      </c>
      <c r="O48" s="26" t="s">
        <v>33</v>
      </c>
    </row>
    <row r="49" spans="1:16" ht="60" x14ac:dyDescent="0.25">
      <c r="A49" s="2" t="s">
        <v>248</v>
      </c>
      <c r="B49" s="2" t="s">
        <v>3476</v>
      </c>
      <c r="C49" s="2" t="s">
        <v>460</v>
      </c>
      <c r="D49" s="2" t="s">
        <v>54</v>
      </c>
      <c r="E49" s="31" t="s">
        <v>518</v>
      </c>
      <c r="F49" s="7" t="s">
        <v>340</v>
      </c>
      <c r="H49" s="19">
        <v>0.5</v>
      </c>
      <c r="I49" s="7" t="s">
        <v>1399</v>
      </c>
      <c r="J49" s="19" t="s">
        <v>1198</v>
      </c>
      <c r="K49" s="20">
        <v>40262</v>
      </c>
      <c r="L49" s="19">
        <v>0.5</v>
      </c>
      <c r="N49" s="19" t="s">
        <v>1496</v>
      </c>
      <c r="O49" s="35" t="s">
        <v>1117</v>
      </c>
    </row>
    <row r="50" spans="1:16" ht="45" x14ac:dyDescent="0.25">
      <c r="A50" s="2" t="s">
        <v>223</v>
      </c>
      <c r="B50" s="2" t="s">
        <v>3478</v>
      </c>
      <c r="C50" s="2" t="s">
        <v>39</v>
      </c>
      <c r="D50" s="2" t="s">
        <v>420</v>
      </c>
      <c r="E50" s="31" t="s">
        <v>518</v>
      </c>
      <c r="F50" s="19" t="s">
        <v>340</v>
      </c>
      <c r="H50" s="19">
        <v>0.5</v>
      </c>
      <c r="I50" s="7" t="s">
        <v>925</v>
      </c>
      <c r="J50" s="19" t="s">
        <v>506</v>
      </c>
      <c r="K50" s="20">
        <v>40231</v>
      </c>
      <c r="L50" s="19">
        <v>1.5</v>
      </c>
      <c r="N50" s="19" t="s">
        <v>1278</v>
      </c>
      <c r="O50" s="35" t="s">
        <v>1117</v>
      </c>
    </row>
    <row r="51" spans="1:16" ht="45" x14ac:dyDescent="0.25">
      <c r="A51" s="2" t="s">
        <v>251</v>
      </c>
      <c r="B51" s="2" t="s">
        <v>3479</v>
      </c>
      <c r="C51" s="2" t="s">
        <v>258</v>
      </c>
      <c r="D51" s="2" t="s">
        <v>65</v>
      </c>
      <c r="E51" s="31" t="s">
        <v>518</v>
      </c>
      <c r="F51" s="7" t="s">
        <v>340</v>
      </c>
      <c r="H51" s="19">
        <v>2</v>
      </c>
      <c r="I51" s="7" t="s">
        <v>925</v>
      </c>
      <c r="J51" s="19" t="s">
        <v>506</v>
      </c>
      <c r="K51" s="20">
        <v>40241</v>
      </c>
      <c r="L51" s="19">
        <v>2</v>
      </c>
      <c r="O51" s="43" t="s">
        <v>2351</v>
      </c>
    </row>
    <row r="52" spans="1:16" ht="60" x14ac:dyDescent="0.25">
      <c r="A52" s="2" t="s">
        <v>430</v>
      </c>
      <c r="B52" s="2" t="s">
        <v>3482</v>
      </c>
      <c r="C52" s="2" t="s">
        <v>258</v>
      </c>
      <c r="D52" s="2" t="s">
        <v>637</v>
      </c>
      <c r="E52" s="31" t="s">
        <v>518</v>
      </c>
      <c r="F52" s="7" t="s">
        <v>341</v>
      </c>
      <c r="G52" s="19" t="s">
        <v>251</v>
      </c>
      <c r="H52" s="19">
        <v>1</v>
      </c>
      <c r="I52" s="7" t="s">
        <v>925</v>
      </c>
      <c r="J52" s="19" t="s">
        <v>506</v>
      </c>
      <c r="K52" s="20">
        <v>40241</v>
      </c>
      <c r="L52" s="19">
        <v>3</v>
      </c>
      <c r="O52" s="43" t="s">
        <v>2351</v>
      </c>
    </row>
    <row r="53" spans="1:16" ht="30" x14ac:dyDescent="0.25">
      <c r="A53" s="7" t="s">
        <v>379</v>
      </c>
      <c r="B53" s="7" t="s">
        <v>3485</v>
      </c>
      <c r="C53" s="2" t="s">
        <v>39</v>
      </c>
      <c r="D53" s="7" t="s">
        <v>403</v>
      </c>
      <c r="E53" s="31" t="s">
        <v>518</v>
      </c>
      <c r="F53" s="7" t="s">
        <v>340</v>
      </c>
      <c r="H53" s="19">
        <v>0</v>
      </c>
      <c r="I53" s="7" t="s">
        <v>1399</v>
      </c>
      <c r="J53" s="19" t="s">
        <v>506</v>
      </c>
      <c r="K53" s="20">
        <v>40245</v>
      </c>
      <c r="L53" s="19">
        <v>0</v>
      </c>
      <c r="O53" s="43" t="s">
        <v>2351</v>
      </c>
    </row>
    <row r="54" spans="1:16" x14ac:dyDescent="0.25">
      <c r="A54" s="2" t="s">
        <v>254</v>
      </c>
      <c r="B54" s="2" t="s">
        <v>655</v>
      </c>
      <c r="C54" s="2" t="s">
        <v>3848</v>
      </c>
      <c r="D54" s="2" t="s">
        <v>656</v>
      </c>
      <c r="E54" s="31" t="s">
        <v>518</v>
      </c>
      <c r="F54" s="7" t="s">
        <v>340</v>
      </c>
      <c r="H54" s="19">
        <v>5</v>
      </c>
      <c r="I54" s="7" t="s">
        <v>344</v>
      </c>
      <c r="J54" s="19" t="s">
        <v>1092</v>
      </c>
      <c r="K54" s="20">
        <v>40219</v>
      </c>
      <c r="L54" s="20"/>
      <c r="M54" s="20"/>
    </row>
    <row r="55" spans="1:16" x14ac:dyDescent="0.25">
      <c r="A55" s="2" t="s">
        <v>280</v>
      </c>
      <c r="B55" s="2" t="s">
        <v>657</v>
      </c>
      <c r="C55" s="2" t="s">
        <v>3848</v>
      </c>
      <c r="D55" s="2" t="s">
        <v>658</v>
      </c>
      <c r="E55" s="31" t="s">
        <v>518</v>
      </c>
      <c r="F55" s="7" t="s">
        <v>340</v>
      </c>
      <c r="G55" s="7" t="s">
        <v>254</v>
      </c>
      <c r="H55" s="19">
        <v>3</v>
      </c>
      <c r="I55" s="7" t="s">
        <v>925</v>
      </c>
      <c r="J55" s="19" t="s">
        <v>1092</v>
      </c>
      <c r="K55" s="20">
        <v>40242</v>
      </c>
    </row>
    <row r="56" spans="1:16" ht="30" x14ac:dyDescent="0.25">
      <c r="A56" s="2" t="s">
        <v>281</v>
      </c>
      <c r="B56" s="2" t="s">
        <v>659</v>
      </c>
      <c r="C56" s="2" t="s">
        <v>3848</v>
      </c>
      <c r="D56" s="2" t="s">
        <v>660</v>
      </c>
      <c r="E56" s="31" t="s">
        <v>518</v>
      </c>
      <c r="F56" s="7" t="s">
        <v>340</v>
      </c>
      <c r="G56" s="7" t="s">
        <v>254</v>
      </c>
      <c r="H56" s="19">
        <v>5</v>
      </c>
      <c r="I56" s="7" t="s">
        <v>2007</v>
      </c>
      <c r="J56" s="19" t="s">
        <v>1092</v>
      </c>
      <c r="K56" s="20">
        <v>40312</v>
      </c>
      <c r="L56" s="19">
        <v>4.5</v>
      </c>
      <c r="P56" s="19" t="s">
        <v>506</v>
      </c>
    </row>
    <row r="57" spans="1:16" ht="30" x14ac:dyDescent="0.25">
      <c r="A57" s="7" t="s">
        <v>282</v>
      </c>
      <c r="B57" s="7" t="s">
        <v>661</v>
      </c>
      <c r="C57" s="2" t="s">
        <v>3848</v>
      </c>
      <c r="D57" s="7" t="s">
        <v>662</v>
      </c>
      <c r="E57" s="31" t="s">
        <v>518</v>
      </c>
      <c r="F57" s="7" t="s">
        <v>340</v>
      </c>
      <c r="G57" s="7" t="s">
        <v>607</v>
      </c>
      <c r="H57" s="19">
        <v>1</v>
      </c>
      <c r="I57" s="7" t="s">
        <v>344</v>
      </c>
      <c r="J57" s="19" t="s">
        <v>1092</v>
      </c>
      <c r="K57" s="20">
        <v>40221</v>
      </c>
      <c r="L57" s="20"/>
      <c r="M57" s="20"/>
    </row>
    <row r="58" spans="1:16" x14ac:dyDescent="0.25">
      <c r="A58" s="7" t="s">
        <v>287</v>
      </c>
      <c r="B58" s="7" t="s">
        <v>663</v>
      </c>
      <c r="C58" s="2" t="s">
        <v>3848</v>
      </c>
      <c r="D58" s="7" t="s">
        <v>664</v>
      </c>
      <c r="E58" s="31" t="s">
        <v>518</v>
      </c>
      <c r="F58" s="7" t="s">
        <v>340</v>
      </c>
      <c r="G58" s="7" t="s">
        <v>282</v>
      </c>
      <c r="H58" s="7">
        <v>1.5</v>
      </c>
      <c r="I58" s="7" t="s">
        <v>344</v>
      </c>
      <c r="J58" s="7" t="s">
        <v>1092</v>
      </c>
      <c r="K58" s="20">
        <v>40221</v>
      </c>
      <c r="L58" s="20"/>
      <c r="M58" s="20"/>
    </row>
    <row r="59" spans="1:16" x14ac:dyDescent="0.25">
      <c r="A59" s="7" t="s">
        <v>288</v>
      </c>
      <c r="B59" s="7" t="s">
        <v>665</v>
      </c>
      <c r="C59" s="2" t="s">
        <v>3848</v>
      </c>
      <c r="D59" s="7" t="s">
        <v>666</v>
      </c>
      <c r="E59" s="31" t="s">
        <v>518</v>
      </c>
      <c r="F59" s="7" t="s">
        <v>340</v>
      </c>
      <c r="G59" s="7" t="s">
        <v>282</v>
      </c>
      <c r="H59" s="7">
        <v>0.5</v>
      </c>
      <c r="I59" s="7" t="s">
        <v>344</v>
      </c>
      <c r="J59" s="7" t="s">
        <v>1092</v>
      </c>
      <c r="K59" s="20">
        <v>40221</v>
      </c>
      <c r="L59" s="20"/>
      <c r="M59" s="20"/>
    </row>
    <row r="60" spans="1:16" x14ac:dyDescent="0.25">
      <c r="A60" s="2" t="s">
        <v>641</v>
      </c>
      <c r="B60" s="2" t="s">
        <v>667</v>
      </c>
      <c r="C60" s="2" t="s">
        <v>3848</v>
      </c>
      <c r="D60" s="2" t="s">
        <v>668</v>
      </c>
      <c r="E60" s="31" t="s">
        <v>518</v>
      </c>
      <c r="F60" s="7" t="s">
        <v>340</v>
      </c>
      <c r="G60" s="7" t="s">
        <v>282</v>
      </c>
      <c r="H60" s="19">
        <v>1</v>
      </c>
      <c r="I60" s="7" t="s">
        <v>344</v>
      </c>
      <c r="J60" s="19" t="s">
        <v>1092</v>
      </c>
      <c r="K60" s="20">
        <v>40221</v>
      </c>
      <c r="L60" s="20"/>
      <c r="M60" s="20"/>
    </row>
    <row r="61" spans="1:16" ht="45" x14ac:dyDescent="0.25">
      <c r="A61" s="2" t="s">
        <v>864</v>
      </c>
      <c r="B61" s="19" t="s">
        <v>1291</v>
      </c>
      <c r="C61" s="2" t="s">
        <v>3848</v>
      </c>
      <c r="D61" s="19" t="s">
        <v>1318</v>
      </c>
      <c r="E61" s="31" t="s">
        <v>518</v>
      </c>
      <c r="F61" s="19" t="s">
        <v>341</v>
      </c>
      <c r="G61" s="19" t="s">
        <v>1319</v>
      </c>
      <c r="H61" s="19">
        <v>1</v>
      </c>
      <c r="I61" s="7" t="s">
        <v>2007</v>
      </c>
      <c r="J61" s="19" t="s">
        <v>1092</v>
      </c>
      <c r="K61" s="20">
        <v>40312</v>
      </c>
    </row>
    <row r="62" spans="1:16" ht="30" x14ac:dyDescent="0.25">
      <c r="A62" s="2" t="s">
        <v>338</v>
      </c>
      <c r="B62" s="2" t="s">
        <v>324</v>
      </c>
      <c r="C62" s="2" t="s">
        <v>39</v>
      </c>
      <c r="D62" s="2" t="s">
        <v>325</v>
      </c>
      <c r="E62" s="31" t="s">
        <v>518</v>
      </c>
      <c r="F62" s="7" t="s">
        <v>340</v>
      </c>
      <c r="G62" s="7" t="s">
        <v>339</v>
      </c>
      <c r="H62" s="7">
        <v>3</v>
      </c>
      <c r="I62" s="7" t="s">
        <v>344</v>
      </c>
      <c r="J62" s="19" t="s">
        <v>14</v>
      </c>
      <c r="K62" s="3">
        <v>40213</v>
      </c>
      <c r="L62" s="3"/>
      <c r="M62" s="3"/>
      <c r="O62" s="35" t="s">
        <v>1117</v>
      </c>
    </row>
    <row r="63" spans="1:16" ht="30" x14ac:dyDescent="0.25">
      <c r="A63" s="2" t="s">
        <v>382</v>
      </c>
      <c r="B63" s="2" t="s">
        <v>412</v>
      </c>
      <c r="C63" s="2" t="s">
        <v>39</v>
      </c>
      <c r="D63" s="2" t="s">
        <v>418</v>
      </c>
      <c r="E63" s="31" t="s">
        <v>518</v>
      </c>
      <c r="F63" s="7" t="s">
        <v>340</v>
      </c>
      <c r="G63" s="7" t="s">
        <v>223</v>
      </c>
      <c r="H63" s="19">
        <v>0</v>
      </c>
      <c r="I63" s="7" t="s">
        <v>1497</v>
      </c>
      <c r="J63" s="19" t="s">
        <v>502</v>
      </c>
      <c r="K63" s="20">
        <v>40280</v>
      </c>
      <c r="L63" s="19">
        <v>0</v>
      </c>
      <c r="N63" s="7"/>
      <c r="O63" s="43" t="s">
        <v>2351</v>
      </c>
    </row>
    <row r="64" spans="1:16" x14ac:dyDescent="0.25">
      <c r="A64" s="2" t="s">
        <v>339</v>
      </c>
      <c r="B64" s="2" t="s">
        <v>323</v>
      </c>
      <c r="C64" s="2" t="s">
        <v>39</v>
      </c>
      <c r="D64" s="2" t="s">
        <v>326</v>
      </c>
      <c r="E64" s="31" t="s">
        <v>518</v>
      </c>
      <c r="F64" s="7" t="s">
        <v>340</v>
      </c>
      <c r="H64" s="19">
        <v>2</v>
      </c>
      <c r="I64" s="7" t="s">
        <v>344</v>
      </c>
      <c r="J64" s="19" t="s">
        <v>14</v>
      </c>
      <c r="K64" s="20">
        <v>40217</v>
      </c>
      <c r="L64" s="20"/>
      <c r="M64" s="20"/>
      <c r="O64" s="35" t="s">
        <v>1117</v>
      </c>
    </row>
    <row r="65" spans="1:15" ht="45" x14ac:dyDescent="0.25">
      <c r="A65" s="2" t="s">
        <v>401</v>
      </c>
      <c r="B65" s="2" t="s">
        <v>417</v>
      </c>
      <c r="C65" s="2" t="s">
        <v>39</v>
      </c>
      <c r="D65" s="2" t="s">
        <v>421</v>
      </c>
      <c r="E65" s="31" t="s">
        <v>518</v>
      </c>
      <c r="F65" s="7" t="s">
        <v>340</v>
      </c>
      <c r="H65" s="19">
        <v>0.5</v>
      </c>
      <c r="I65" s="7" t="s">
        <v>925</v>
      </c>
      <c r="J65" s="19" t="s">
        <v>14</v>
      </c>
      <c r="K65" s="20">
        <v>40226</v>
      </c>
      <c r="L65" s="19">
        <v>0.5</v>
      </c>
    </row>
    <row r="66" spans="1:15" ht="30" x14ac:dyDescent="0.25">
      <c r="A66" s="2" t="s">
        <v>643</v>
      </c>
      <c r="B66" s="2" t="s">
        <v>3489</v>
      </c>
      <c r="C66" s="2" t="s">
        <v>46</v>
      </c>
      <c r="D66" s="2" t="s">
        <v>1267</v>
      </c>
      <c r="E66" s="31" t="s">
        <v>518</v>
      </c>
      <c r="F66" s="19" t="s">
        <v>342</v>
      </c>
      <c r="G66" s="19" t="s">
        <v>346</v>
      </c>
      <c r="H66" s="19">
        <v>4</v>
      </c>
      <c r="I66" s="7" t="s">
        <v>1497</v>
      </c>
      <c r="J66" s="19" t="s">
        <v>502</v>
      </c>
      <c r="K66" s="20">
        <v>40284</v>
      </c>
      <c r="O66" s="43" t="s">
        <v>2351</v>
      </c>
    </row>
    <row r="67" spans="1:15" ht="30" x14ac:dyDescent="0.25">
      <c r="A67" s="7" t="s">
        <v>861</v>
      </c>
      <c r="B67" s="2" t="s">
        <v>3491</v>
      </c>
      <c r="C67" s="2" t="s">
        <v>46</v>
      </c>
      <c r="D67" s="2" t="s">
        <v>1268</v>
      </c>
      <c r="E67" s="31" t="s">
        <v>518</v>
      </c>
      <c r="F67" s="19" t="s">
        <v>342</v>
      </c>
      <c r="G67" s="19" t="s">
        <v>346</v>
      </c>
      <c r="H67" s="19">
        <v>3</v>
      </c>
      <c r="I67" s="7" t="s">
        <v>1497</v>
      </c>
      <c r="J67" s="19" t="s">
        <v>502</v>
      </c>
      <c r="K67" s="20">
        <v>40290</v>
      </c>
      <c r="O67" s="43" t="s">
        <v>2351</v>
      </c>
    </row>
    <row r="68" spans="1:15" ht="30" x14ac:dyDescent="0.25">
      <c r="A68" s="2" t="s">
        <v>862</v>
      </c>
      <c r="B68" s="2" t="s">
        <v>3492</v>
      </c>
      <c r="C68" s="2" t="s">
        <v>46</v>
      </c>
      <c r="D68" s="2" t="s">
        <v>1270</v>
      </c>
      <c r="E68" s="31" t="s">
        <v>518</v>
      </c>
      <c r="F68" s="19" t="s">
        <v>342</v>
      </c>
      <c r="G68" s="19" t="s">
        <v>346</v>
      </c>
      <c r="H68" s="19">
        <v>4</v>
      </c>
      <c r="I68" s="7" t="s">
        <v>1497</v>
      </c>
      <c r="J68" s="19" t="s">
        <v>502</v>
      </c>
      <c r="K68" s="20">
        <v>40284</v>
      </c>
      <c r="O68" s="43" t="s">
        <v>2351</v>
      </c>
    </row>
    <row r="69" spans="1:15" ht="45" x14ac:dyDescent="0.25">
      <c r="A69" s="7" t="s">
        <v>863</v>
      </c>
      <c r="B69" s="7" t="s">
        <v>3496</v>
      </c>
      <c r="C69" s="2" t="s">
        <v>46</v>
      </c>
      <c r="D69" s="2" t="s">
        <v>1274</v>
      </c>
      <c r="E69" s="31" t="s">
        <v>518</v>
      </c>
      <c r="F69" s="19" t="s">
        <v>342</v>
      </c>
      <c r="G69" s="19" t="s">
        <v>1275</v>
      </c>
      <c r="H69" s="19">
        <v>2</v>
      </c>
      <c r="I69" s="7" t="s">
        <v>1497</v>
      </c>
      <c r="J69" s="19" t="s">
        <v>502</v>
      </c>
      <c r="K69" s="20">
        <v>40284</v>
      </c>
      <c r="O69" s="43" t="s">
        <v>2351</v>
      </c>
    </row>
    <row r="70" spans="1:15" ht="60" x14ac:dyDescent="0.25">
      <c r="A70" s="19" t="s">
        <v>2041</v>
      </c>
      <c r="B70" s="19" t="s">
        <v>3498</v>
      </c>
      <c r="C70" s="2" t="s">
        <v>46</v>
      </c>
      <c r="D70" s="2" t="s">
        <v>2122</v>
      </c>
      <c r="E70" s="31" t="s">
        <v>518</v>
      </c>
      <c r="F70" s="19" t="s">
        <v>340</v>
      </c>
      <c r="G70" s="19" t="s">
        <v>346</v>
      </c>
      <c r="H70" s="19">
        <v>2</v>
      </c>
      <c r="I70" s="7" t="s">
        <v>2007</v>
      </c>
      <c r="J70" s="19" t="s">
        <v>502</v>
      </c>
      <c r="K70" s="20">
        <v>40297</v>
      </c>
      <c r="O70" s="43" t="s">
        <v>2351</v>
      </c>
    </row>
    <row r="71" spans="1:15" ht="60" x14ac:dyDescent="0.25">
      <c r="A71" s="2" t="s">
        <v>402</v>
      </c>
      <c r="B71" s="7" t="s">
        <v>3506</v>
      </c>
      <c r="C71" s="2" t="s">
        <v>46</v>
      </c>
      <c r="D71" s="2" t="s">
        <v>1273</v>
      </c>
      <c r="E71" s="29" t="s">
        <v>986</v>
      </c>
      <c r="F71" s="19" t="s">
        <v>342</v>
      </c>
      <c r="G71" s="19" t="s">
        <v>1276</v>
      </c>
      <c r="I71" s="19" t="s">
        <v>33</v>
      </c>
      <c r="N71" s="19" t="s">
        <v>1312</v>
      </c>
      <c r="O71" s="19" t="s">
        <v>33</v>
      </c>
    </row>
    <row r="72" spans="1:15" ht="30" x14ac:dyDescent="0.25">
      <c r="A72" s="2" t="s">
        <v>348</v>
      </c>
      <c r="B72" s="2" t="s">
        <v>740</v>
      </c>
      <c r="C72" s="2" t="s">
        <v>46</v>
      </c>
      <c r="D72" s="2" t="s">
        <v>741</v>
      </c>
      <c r="E72" s="31" t="s">
        <v>518</v>
      </c>
      <c r="F72" s="7" t="s">
        <v>340</v>
      </c>
      <c r="H72" s="19">
        <v>2.5</v>
      </c>
      <c r="I72" s="7" t="s">
        <v>344</v>
      </c>
      <c r="J72" s="19" t="s">
        <v>505</v>
      </c>
      <c r="K72" s="20">
        <v>40220</v>
      </c>
      <c r="L72" s="20"/>
      <c r="M72" s="20"/>
    </row>
    <row r="73" spans="1:15" ht="30" x14ac:dyDescent="0.25">
      <c r="A73" s="2" t="s">
        <v>427</v>
      </c>
      <c r="B73" s="7" t="s">
        <v>451</v>
      </c>
      <c r="C73" s="2" t="s">
        <v>460</v>
      </c>
      <c r="D73" s="7" t="s">
        <v>452</v>
      </c>
      <c r="E73" s="31" t="s">
        <v>518</v>
      </c>
      <c r="F73" s="7" t="s">
        <v>341</v>
      </c>
      <c r="H73" s="19">
        <v>6</v>
      </c>
      <c r="I73" s="7" t="s">
        <v>1497</v>
      </c>
      <c r="J73" s="19" t="s">
        <v>506</v>
      </c>
      <c r="K73" s="20">
        <v>40289</v>
      </c>
      <c r="L73" s="19">
        <v>7</v>
      </c>
      <c r="O73" s="43" t="s">
        <v>2351</v>
      </c>
    </row>
    <row r="74" spans="1:15" ht="30" x14ac:dyDescent="0.25">
      <c r="A74" s="19" t="s">
        <v>1208</v>
      </c>
      <c r="B74" s="19" t="s">
        <v>1701</v>
      </c>
      <c r="C74" s="2" t="s">
        <v>460</v>
      </c>
      <c r="D74" s="7" t="s">
        <v>1702</v>
      </c>
      <c r="E74" s="31" t="s">
        <v>518</v>
      </c>
      <c r="F74" s="19" t="s">
        <v>341</v>
      </c>
      <c r="H74" s="19">
        <v>1</v>
      </c>
      <c r="I74" s="7" t="s">
        <v>2007</v>
      </c>
      <c r="J74" s="19" t="s">
        <v>506</v>
      </c>
      <c r="K74" s="20">
        <v>40296</v>
      </c>
      <c r="L74" s="19">
        <v>1</v>
      </c>
      <c r="O74" s="43" t="s">
        <v>2351</v>
      </c>
    </row>
    <row r="75" spans="1:15" ht="30" x14ac:dyDescent="0.25">
      <c r="A75" s="2" t="s">
        <v>431</v>
      </c>
      <c r="B75" s="7" t="s">
        <v>638</v>
      </c>
      <c r="C75" s="7" t="s">
        <v>39</v>
      </c>
      <c r="D75" s="7" t="s">
        <v>639</v>
      </c>
      <c r="E75" s="31" t="s">
        <v>518</v>
      </c>
      <c r="F75" s="7" t="s">
        <v>340</v>
      </c>
      <c r="H75" s="26">
        <v>6</v>
      </c>
      <c r="I75" s="7" t="s">
        <v>925</v>
      </c>
      <c r="J75" s="26" t="s">
        <v>502</v>
      </c>
      <c r="K75" s="20">
        <v>40234</v>
      </c>
      <c r="L75" s="19">
        <v>4</v>
      </c>
      <c r="O75" s="35" t="s">
        <v>1117</v>
      </c>
    </row>
    <row r="76" spans="1:15" ht="45" x14ac:dyDescent="0.25">
      <c r="A76" s="19" t="s">
        <v>1292</v>
      </c>
      <c r="B76" s="19" t="s">
        <v>1300</v>
      </c>
      <c r="C76" s="7" t="s">
        <v>39</v>
      </c>
      <c r="D76" s="19" t="s">
        <v>1301</v>
      </c>
      <c r="E76" s="31" t="s">
        <v>518</v>
      </c>
      <c r="F76" s="7" t="s">
        <v>340</v>
      </c>
      <c r="G76" s="19" t="s">
        <v>431</v>
      </c>
      <c r="H76" s="19">
        <v>5</v>
      </c>
      <c r="I76" s="7" t="s">
        <v>925</v>
      </c>
      <c r="J76" s="19" t="s">
        <v>502</v>
      </c>
      <c r="K76" s="20">
        <v>40241</v>
      </c>
      <c r="L76" s="19">
        <v>4</v>
      </c>
      <c r="O76" s="35" t="s">
        <v>1117</v>
      </c>
    </row>
    <row r="77" spans="1:15" x14ac:dyDescent="0.25">
      <c r="A77" s="2" t="s">
        <v>640</v>
      </c>
      <c r="B77" s="7" t="s">
        <v>867</v>
      </c>
      <c r="C77" s="7" t="s">
        <v>39</v>
      </c>
      <c r="D77" s="7" t="s">
        <v>866</v>
      </c>
      <c r="E77" s="31" t="s">
        <v>518</v>
      </c>
      <c r="F77" s="7" t="s">
        <v>340</v>
      </c>
      <c r="H77" s="26">
        <v>2</v>
      </c>
      <c r="I77" s="7" t="s">
        <v>925</v>
      </c>
      <c r="J77" s="26" t="s">
        <v>1092</v>
      </c>
      <c r="K77" s="20">
        <v>40227</v>
      </c>
      <c r="L77" s="19">
        <v>2</v>
      </c>
      <c r="O77" s="35" t="s">
        <v>1117</v>
      </c>
    </row>
    <row r="78" spans="1:15" ht="30" x14ac:dyDescent="0.25">
      <c r="A78" s="2" t="s">
        <v>858</v>
      </c>
      <c r="B78" s="7" t="s">
        <v>1249</v>
      </c>
      <c r="C78" s="19" t="s">
        <v>1250</v>
      </c>
      <c r="D78" s="19" t="s">
        <v>1251</v>
      </c>
      <c r="E78" s="31" t="s">
        <v>518</v>
      </c>
      <c r="F78" s="19" t="s">
        <v>340</v>
      </c>
      <c r="G78" s="19" t="s">
        <v>640</v>
      </c>
      <c r="H78" s="19">
        <v>1</v>
      </c>
      <c r="I78" s="7" t="s">
        <v>1399</v>
      </c>
      <c r="J78" s="19" t="s">
        <v>506</v>
      </c>
      <c r="K78" s="20">
        <v>40256</v>
      </c>
      <c r="L78" s="19">
        <v>0.5</v>
      </c>
      <c r="O78" s="35" t="s">
        <v>1117</v>
      </c>
    </row>
    <row r="79" spans="1:15" ht="45" x14ac:dyDescent="0.25">
      <c r="A79" s="2" t="s">
        <v>428</v>
      </c>
      <c r="B79" s="19" t="s">
        <v>886</v>
      </c>
      <c r="C79" s="7" t="s">
        <v>3862</v>
      </c>
      <c r="D79" s="19" t="s">
        <v>887</v>
      </c>
      <c r="E79" s="29" t="s">
        <v>986</v>
      </c>
      <c r="F79" s="7" t="s">
        <v>341</v>
      </c>
      <c r="I79" s="19" t="s">
        <v>33</v>
      </c>
      <c r="N79" s="19" t="s">
        <v>888</v>
      </c>
      <c r="O79" s="19" t="s">
        <v>33</v>
      </c>
    </row>
    <row r="80" spans="1:15" x14ac:dyDescent="0.25">
      <c r="A80" s="7" t="s">
        <v>432</v>
      </c>
      <c r="B80" s="7" t="s">
        <v>648</v>
      </c>
      <c r="C80" s="7" t="s">
        <v>39</v>
      </c>
      <c r="D80" s="7" t="s">
        <v>649</v>
      </c>
      <c r="E80" s="31" t="s">
        <v>518</v>
      </c>
      <c r="F80" s="7" t="s">
        <v>340</v>
      </c>
      <c r="H80" s="26">
        <v>2</v>
      </c>
      <c r="I80" s="7" t="s">
        <v>925</v>
      </c>
      <c r="J80" s="26" t="s">
        <v>502</v>
      </c>
      <c r="K80" s="20">
        <v>40233</v>
      </c>
      <c r="L80" s="19">
        <v>2</v>
      </c>
      <c r="O80" s="35" t="s">
        <v>1117</v>
      </c>
    </row>
    <row r="81" spans="1:15" ht="30" x14ac:dyDescent="0.25">
      <c r="A81" s="7" t="s">
        <v>780</v>
      </c>
      <c r="B81" s="19" t="s">
        <v>889</v>
      </c>
      <c r="C81" s="19" t="s">
        <v>258</v>
      </c>
      <c r="D81" s="19" t="s">
        <v>890</v>
      </c>
      <c r="E81" s="31" t="s">
        <v>518</v>
      </c>
      <c r="F81" s="19" t="s">
        <v>341</v>
      </c>
      <c r="H81" s="26">
        <v>3</v>
      </c>
      <c r="I81" s="7" t="s">
        <v>1399</v>
      </c>
      <c r="J81" s="19" t="s">
        <v>506</v>
      </c>
      <c r="K81" s="20">
        <v>40263</v>
      </c>
      <c r="L81" s="19">
        <v>3</v>
      </c>
    </row>
    <row r="82" spans="1:15" ht="45" x14ac:dyDescent="0.25">
      <c r="A82" s="19" t="s">
        <v>1031</v>
      </c>
      <c r="B82" s="19" t="s">
        <v>1168</v>
      </c>
      <c r="C82" s="7" t="s">
        <v>1059</v>
      </c>
      <c r="D82" s="19" t="s">
        <v>1169</v>
      </c>
      <c r="E82" s="31" t="s">
        <v>518</v>
      </c>
      <c r="F82" s="19" t="s">
        <v>340</v>
      </c>
      <c r="H82" s="19">
        <v>0.5</v>
      </c>
      <c r="I82" s="7" t="s">
        <v>1399</v>
      </c>
      <c r="J82" s="19" t="s">
        <v>506</v>
      </c>
      <c r="K82" s="20">
        <v>40260</v>
      </c>
      <c r="L82" s="19">
        <v>0</v>
      </c>
    </row>
    <row r="83" spans="1:15" x14ac:dyDescent="0.25">
      <c r="A83" s="2" t="s">
        <v>781</v>
      </c>
      <c r="B83" s="19" t="s">
        <v>893</v>
      </c>
      <c r="C83" s="19" t="s">
        <v>39</v>
      </c>
      <c r="D83" s="19" t="s">
        <v>896</v>
      </c>
      <c r="E83" s="31" t="s">
        <v>518</v>
      </c>
      <c r="F83" s="7" t="s">
        <v>340</v>
      </c>
      <c r="G83" s="19" t="s">
        <v>432</v>
      </c>
      <c r="H83" s="26">
        <v>2</v>
      </c>
      <c r="I83" s="7" t="s">
        <v>925</v>
      </c>
      <c r="J83" s="26" t="s">
        <v>502</v>
      </c>
      <c r="K83" s="20">
        <v>40234</v>
      </c>
      <c r="L83" s="19">
        <v>1</v>
      </c>
      <c r="O83" s="35" t="s">
        <v>1117</v>
      </c>
    </row>
    <row r="84" spans="1:15" x14ac:dyDescent="0.25">
      <c r="A84" s="7" t="s">
        <v>855</v>
      </c>
      <c r="B84" s="19" t="s">
        <v>894</v>
      </c>
      <c r="C84" s="19" t="s">
        <v>258</v>
      </c>
      <c r="D84" s="19" t="s">
        <v>895</v>
      </c>
      <c r="E84" s="31" t="s">
        <v>518</v>
      </c>
      <c r="F84" s="7" t="s">
        <v>340</v>
      </c>
      <c r="G84" s="19" t="s">
        <v>926</v>
      </c>
      <c r="H84" s="26">
        <v>1</v>
      </c>
      <c r="I84" s="7" t="s">
        <v>925</v>
      </c>
      <c r="J84" s="26" t="s">
        <v>502</v>
      </c>
      <c r="K84" s="20">
        <v>40233</v>
      </c>
      <c r="L84" s="19">
        <v>0.5</v>
      </c>
    </row>
    <row r="85" spans="1:15" ht="30" x14ac:dyDescent="0.25">
      <c r="A85" s="2" t="s">
        <v>779</v>
      </c>
      <c r="B85" s="19" t="s">
        <v>804</v>
      </c>
      <c r="C85" s="19" t="s">
        <v>39</v>
      </c>
      <c r="D85" s="19" t="s">
        <v>3953</v>
      </c>
      <c r="E85" s="31" t="s">
        <v>518</v>
      </c>
      <c r="F85" s="19" t="s">
        <v>341</v>
      </c>
      <c r="H85" s="26">
        <v>2</v>
      </c>
      <c r="I85" s="7" t="s">
        <v>925</v>
      </c>
      <c r="J85" s="26" t="s">
        <v>1092</v>
      </c>
      <c r="K85" s="20">
        <v>40242</v>
      </c>
      <c r="L85" s="19">
        <v>3.5</v>
      </c>
      <c r="N85" s="19" t="s">
        <v>1314</v>
      </c>
      <c r="O85" s="35" t="s">
        <v>1117</v>
      </c>
    </row>
    <row r="86" spans="1:15" x14ac:dyDescent="0.25">
      <c r="A86" s="7" t="s">
        <v>778</v>
      </c>
      <c r="B86" s="19" t="s">
        <v>803</v>
      </c>
      <c r="C86" s="19" t="s">
        <v>39</v>
      </c>
      <c r="D86" s="19" t="s">
        <v>3955</v>
      </c>
      <c r="E86" s="31" t="s">
        <v>518</v>
      </c>
      <c r="F86" s="7" t="s">
        <v>340</v>
      </c>
      <c r="G86" s="19" t="s">
        <v>640</v>
      </c>
      <c r="H86" s="26">
        <v>2</v>
      </c>
      <c r="I86" s="7" t="s">
        <v>925</v>
      </c>
      <c r="J86" s="26" t="s">
        <v>1092</v>
      </c>
      <c r="K86" s="20">
        <v>40232</v>
      </c>
      <c r="L86" s="19">
        <v>2.5</v>
      </c>
      <c r="O86" s="35" t="s">
        <v>1117</v>
      </c>
    </row>
    <row r="87" spans="1:15" x14ac:dyDescent="0.25">
      <c r="A87" s="7" t="s">
        <v>644</v>
      </c>
      <c r="B87" s="7" t="s">
        <v>790</v>
      </c>
      <c r="C87" s="7" t="s">
        <v>39</v>
      </c>
      <c r="D87" s="7" t="s">
        <v>3956</v>
      </c>
      <c r="E87" s="31" t="s">
        <v>518</v>
      </c>
      <c r="F87" s="7" t="s">
        <v>340</v>
      </c>
      <c r="G87" s="19" t="s">
        <v>640</v>
      </c>
      <c r="H87" s="26">
        <v>0</v>
      </c>
      <c r="I87" s="7" t="s">
        <v>2007</v>
      </c>
      <c r="J87" s="26" t="s">
        <v>506</v>
      </c>
      <c r="K87" s="20">
        <v>40305</v>
      </c>
      <c r="L87" s="19">
        <v>0.25</v>
      </c>
    </row>
    <row r="88" spans="1:15" ht="30" x14ac:dyDescent="0.25">
      <c r="A88" s="7" t="s">
        <v>859</v>
      </c>
      <c r="B88" s="19" t="s">
        <v>3516</v>
      </c>
      <c r="C88" s="7" t="s">
        <v>39</v>
      </c>
      <c r="D88" s="26" t="s">
        <v>1107</v>
      </c>
      <c r="E88" s="31" t="s">
        <v>518</v>
      </c>
      <c r="F88" s="19" t="s">
        <v>341</v>
      </c>
      <c r="H88" s="26">
        <v>1</v>
      </c>
      <c r="I88" s="7" t="s">
        <v>1399</v>
      </c>
      <c r="J88" s="19" t="s">
        <v>506</v>
      </c>
      <c r="K88" s="20">
        <v>40260</v>
      </c>
      <c r="L88" s="19">
        <v>0.5</v>
      </c>
      <c r="O88" s="35" t="s">
        <v>1117</v>
      </c>
    </row>
    <row r="89" spans="1:15" ht="30" x14ac:dyDescent="0.25">
      <c r="A89" s="2" t="s">
        <v>860</v>
      </c>
      <c r="B89" s="19" t="s">
        <v>1261</v>
      </c>
      <c r="C89" s="19" t="s">
        <v>258</v>
      </c>
      <c r="D89" s="19" t="s">
        <v>1262</v>
      </c>
      <c r="E89" s="31" t="s">
        <v>518</v>
      </c>
      <c r="F89" s="7" t="s">
        <v>340</v>
      </c>
      <c r="H89" s="19">
        <v>2</v>
      </c>
      <c r="I89" s="7" t="s">
        <v>1399</v>
      </c>
      <c r="J89" s="19" t="s">
        <v>506</v>
      </c>
      <c r="K89" s="20">
        <v>40256</v>
      </c>
      <c r="L89" s="19">
        <v>0.75</v>
      </c>
      <c r="O89" s="35" t="s">
        <v>1117</v>
      </c>
    </row>
    <row r="90" spans="1:15" ht="30" x14ac:dyDescent="0.25">
      <c r="A90" s="2" t="s">
        <v>429</v>
      </c>
      <c r="B90" s="7" t="s">
        <v>633</v>
      </c>
      <c r="C90" s="7" t="s">
        <v>39</v>
      </c>
      <c r="D90" s="7" t="s">
        <v>634</v>
      </c>
      <c r="E90" s="31" t="s">
        <v>518</v>
      </c>
      <c r="F90" s="7" t="s">
        <v>340</v>
      </c>
      <c r="G90" s="7" t="s">
        <v>217</v>
      </c>
      <c r="H90" s="26">
        <v>5</v>
      </c>
      <c r="I90" s="7" t="s">
        <v>1399</v>
      </c>
      <c r="J90" s="19" t="s">
        <v>1092</v>
      </c>
      <c r="K90" s="20">
        <v>40260</v>
      </c>
      <c r="L90" s="19">
        <v>5</v>
      </c>
    </row>
    <row r="91" spans="1:15" ht="30" x14ac:dyDescent="0.25">
      <c r="A91" s="19" t="s">
        <v>1293</v>
      </c>
      <c r="B91" s="19" t="s">
        <v>1320</v>
      </c>
      <c r="C91" s="19" t="s">
        <v>1321</v>
      </c>
      <c r="D91" s="19" t="s">
        <v>1322</v>
      </c>
      <c r="E91" s="31" t="s">
        <v>518</v>
      </c>
      <c r="F91" s="19" t="s">
        <v>340</v>
      </c>
      <c r="H91" s="19">
        <v>2</v>
      </c>
      <c r="I91" s="7" t="s">
        <v>1399</v>
      </c>
      <c r="J91" s="19" t="s">
        <v>14</v>
      </c>
      <c r="K91" s="20">
        <v>40261</v>
      </c>
      <c r="L91" s="19">
        <v>1</v>
      </c>
      <c r="O91" s="35" t="s">
        <v>1117</v>
      </c>
    </row>
    <row r="92" spans="1:15" ht="30" x14ac:dyDescent="0.25">
      <c r="A92" s="19" t="s">
        <v>1296</v>
      </c>
      <c r="B92" s="19" t="s">
        <v>3526</v>
      </c>
      <c r="C92" s="19" t="s">
        <v>39</v>
      </c>
      <c r="D92" s="19" t="s">
        <v>1366</v>
      </c>
      <c r="E92" s="31" t="s">
        <v>518</v>
      </c>
      <c r="F92" s="19" t="s">
        <v>340</v>
      </c>
      <c r="H92" s="19">
        <v>5</v>
      </c>
      <c r="I92" s="7" t="s">
        <v>1399</v>
      </c>
      <c r="J92" s="19" t="s">
        <v>14</v>
      </c>
      <c r="K92" s="20">
        <v>40253</v>
      </c>
      <c r="L92" s="19">
        <v>6</v>
      </c>
      <c r="O92" s="35" t="s">
        <v>1117</v>
      </c>
    </row>
    <row r="93" spans="1:15" ht="30" x14ac:dyDescent="0.25">
      <c r="A93" s="19" t="s">
        <v>1298</v>
      </c>
      <c r="B93" s="19" t="s">
        <v>3530</v>
      </c>
      <c r="C93" s="2" t="s">
        <v>460</v>
      </c>
      <c r="D93" s="19" t="s">
        <v>1738</v>
      </c>
      <c r="E93" s="31" t="s">
        <v>518</v>
      </c>
      <c r="F93" s="19" t="s">
        <v>340</v>
      </c>
      <c r="H93" s="19">
        <v>0</v>
      </c>
      <c r="I93" s="7" t="s">
        <v>1497</v>
      </c>
      <c r="J93" s="19" t="s">
        <v>504</v>
      </c>
      <c r="K93" s="20">
        <v>40266</v>
      </c>
      <c r="L93" s="19">
        <v>0</v>
      </c>
      <c r="O93" s="35" t="s">
        <v>1117</v>
      </c>
    </row>
    <row r="94" spans="1:15" ht="45" x14ac:dyDescent="0.25">
      <c r="A94" s="19" t="s">
        <v>1299</v>
      </c>
      <c r="B94" s="19" t="s">
        <v>3962</v>
      </c>
      <c r="C94" s="19" t="s">
        <v>460</v>
      </c>
      <c r="D94" s="19" t="s">
        <v>3963</v>
      </c>
      <c r="E94" s="31" t="s">
        <v>518</v>
      </c>
      <c r="F94" s="19" t="s">
        <v>340</v>
      </c>
      <c r="H94" s="19">
        <v>0.25</v>
      </c>
      <c r="I94" s="7" t="s">
        <v>1399</v>
      </c>
      <c r="J94" s="19" t="s">
        <v>504</v>
      </c>
      <c r="K94" s="20">
        <v>40253</v>
      </c>
      <c r="L94" s="19">
        <v>0.25</v>
      </c>
      <c r="O94" s="19" t="s">
        <v>33</v>
      </c>
    </row>
    <row r="95" spans="1:15" ht="30" x14ac:dyDescent="0.25">
      <c r="A95" s="19" t="s">
        <v>1001</v>
      </c>
      <c r="B95" s="19" t="s">
        <v>1006</v>
      </c>
      <c r="C95" s="19" t="s">
        <v>460</v>
      </c>
      <c r="D95" s="2" t="s">
        <v>1007</v>
      </c>
      <c r="E95" s="31" t="s">
        <v>518</v>
      </c>
      <c r="F95" s="19" t="s">
        <v>340</v>
      </c>
      <c r="H95" s="19">
        <v>0.25</v>
      </c>
      <c r="I95" s="7" t="s">
        <v>1399</v>
      </c>
      <c r="J95" s="19" t="s">
        <v>504</v>
      </c>
      <c r="K95" s="20">
        <v>40253</v>
      </c>
      <c r="L95" s="19">
        <v>0.25</v>
      </c>
      <c r="O95" s="19" t="s">
        <v>33</v>
      </c>
    </row>
    <row r="96" spans="1:15" ht="30" x14ac:dyDescent="0.25">
      <c r="A96" s="19" t="s">
        <v>1023</v>
      </c>
      <c r="B96" s="7" t="s">
        <v>3531</v>
      </c>
      <c r="C96" s="7" t="s">
        <v>461</v>
      </c>
      <c r="D96" s="7" t="s">
        <v>1034</v>
      </c>
      <c r="E96" s="31" t="s">
        <v>518</v>
      </c>
      <c r="F96" s="19" t="s">
        <v>341</v>
      </c>
      <c r="H96" s="19">
        <v>3</v>
      </c>
      <c r="I96" s="7" t="s">
        <v>1497</v>
      </c>
      <c r="J96" s="19" t="s">
        <v>1092</v>
      </c>
      <c r="K96" s="20">
        <v>40269</v>
      </c>
      <c r="L96" s="19">
        <v>3.5</v>
      </c>
      <c r="O96" s="43" t="s">
        <v>2351</v>
      </c>
    </row>
    <row r="97" spans="1:16" ht="45" x14ac:dyDescent="0.25">
      <c r="A97" s="19" t="s">
        <v>1002</v>
      </c>
      <c r="B97" s="7" t="s">
        <v>1033</v>
      </c>
      <c r="C97" s="7" t="s">
        <v>460</v>
      </c>
      <c r="D97" s="7" t="s">
        <v>1037</v>
      </c>
      <c r="E97" s="31" t="s">
        <v>518</v>
      </c>
      <c r="F97" s="19" t="s">
        <v>341</v>
      </c>
      <c r="H97" s="19">
        <v>5</v>
      </c>
      <c r="I97" s="7" t="s">
        <v>1497</v>
      </c>
      <c r="J97" s="19" t="s">
        <v>1092</v>
      </c>
      <c r="K97" s="20">
        <v>40281</v>
      </c>
      <c r="L97" s="19">
        <v>6.5</v>
      </c>
      <c r="N97" s="19" t="s">
        <v>1667</v>
      </c>
      <c r="O97" s="43" t="s">
        <v>2351</v>
      </c>
    </row>
    <row r="98" spans="1:16" ht="30" x14ac:dyDescent="0.25">
      <c r="A98" s="19" t="s">
        <v>1210</v>
      </c>
      <c r="B98" s="19" t="s">
        <v>2127</v>
      </c>
      <c r="C98" s="19" t="s">
        <v>3848</v>
      </c>
      <c r="D98" s="19" t="s">
        <v>1709</v>
      </c>
      <c r="E98" s="29" t="s">
        <v>986</v>
      </c>
      <c r="F98" s="19" t="s">
        <v>340</v>
      </c>
      <c r="I98" s="19" t="s">
        <v>33</v>
      </c>
      <c r="O98" s="19" t="s">
        <v>33</v>
      </c>
    </row>
    <row r="99" spans="1:16" ht="30" x14ac:dyDescent="0.25">
      <c r="A99" s="19" t="s">
        <v>1003</v>
      </c>
      <c r="B99" s="7" t="s">
        <v>1057</v>
      </c>
      <c r="C99" s="7" t="s">
        <v>460</v>
      </c>
      <c r="D99" s="7" t="s">
        <v>1058</v>
      </c>
      <c r="E99" s="31" t="s">
        <v>518</v>
      </c>
      <c r="F99" s="19" t="s">
        <v>341</v>
      </c>
      <c r="H99" s="19">
        <v>6</v>
      </c>
      <c r="I99" s="7" t="s">
        <v>1497</v>
      </c>
      <c r="J99" s="19" t="s">
        <v>1092</v>
      </c>
      <c r="K99" s="20">
        <v>40288</v>
      </c>
      <c r="L99" s="19">
        <v>6</v>
      </c>
      <c r="O99" s="43" t="s">
        <v>2351</v>
      </c>
      <c r="P99" s="19" t="s">
        <v>2774</v>
      </c>
    </row>
    <row r="100" spans="1:16" ht="45" x14ac:dyDescent="0.25">
      <c r="A100" s="19" t="s">
        <v>1005</v>
      </c>
      <c r="B100" s="7" t="s">
        <v>1063</v>
      </c>
      <c r="C100" s="7" t="s">
        <v>1059</v>
      </c>
      <c r="D100" s="7" t="s">
        <v>1064</v>
      </c>
      <c r="E100" s="31" t="s">
        <v>518</v>
      </c>
      <c r="F100" s="19" t="s">
        <v>341</v>
      </c>
      <c r="H100" s="19">
        <v>4</v>
      </c>
      <c r="I100" s="7" t="s">
        <v>2007</v>
      </c>
      <c r="J100" s="19" t="s">
        <v>1092</v>
      </c>
      <c r="K100" s="20">
        <v>40303</v>
      </c>
      <c r="L100" s="19">
        <v>4</v>
      </c>
      <c r="O100" s="43" t="s">
        <v>2351</v>
      </c>
      <c r="P100" s="19" t="s">
        <v>2774</v>
      </c>
    </row>
    <row r="101" spans="1:16" ht="45" x14ac:dyDescent="0.25">
      <c r="A101" s="19" t="s">
        <v>1004</v>
      </c>
      <c r="B101" s="7" t="s">
        <v>1060</v>
      </c>
      <c r="C101" s="7" t="s">
        <v>1059</v>
      </c>
      <c r="D101" s="7" t="s">
        <v>1061</v>
      </c>
      <c r="E101" s="31" t="s">
        <v>518</v>
      </c>
      <c r="F101" s="19" t="s">
        <v>342</v>
      </c>
      <c r="H101" s="19">
        <v>4</v>
      </c>
      <c r="I101" s="7" t="s">
        <v>2007</v>
      </c>
      <c r="J101" s="19" t="s">
        <v>1092</v>
      </c>
      <c r="K101" s="20">
        <v>40308</v>
      </c>
      <c r="L101" s="19">
        <v>4.5</v>
      </c>
      <c r="O101" s="43" t="s">
        <v>2351</v>
      </c>
      <c r="P101" s="19" t="s">
        <v>2774</v>
      </c>
    </row>
    <row r="102" spans="1:16" ht="45" x14ac:dyDescent="0.25">
      <c r="A102" s="19" t="s">
        <v>1027</v>
      </c>
      <c r="B102" s="19" t="s">
        <v>1120</v>
      </c>
      <c r="C102" s="19" t="s">
        <v>460</v>
      </c>
      <c r="D102" s="19" t="s">
        <v>1157</v>
      </c>
      <c r="E102" s="31" t="s">
        <v>518</v>
      </c>
      <c r="F102" s="19" t="s">
        <v>340</v>
      </c>
      <c r="H102" s="19">
        <v>0.5</v>
      </c>
      <c r="I102" s="7" t="s">
        <v>1399</v>
      </c>
      <c r="J102" s="19" t="s">
        <v>14</v>
      </c>
      <c r="K102" s="20">
        <v>40262</v>
      </c>
      <c r="L102" s="19">
        <v>0.5</v>
      </c>
    </row>
    <row r="103" spans="1:16" ht="60" x14ac:dyDescent="0.25">
      <c r="A103" s="19" t="s">
        <v>1028</v>
      </c>
      <c r="B103" s="19" t="s">
        <v>1152</v>
      </c>
      <c r="C103" s="19" t="s">
        <v>460</v>
      </c>
      <c r="D103" s="19" t="s">
        <v>1158</v>
      </c>
      <c r="E103" s="31" t="s">
        <v>518</v>
      </c>
      <c r="F103" s="19" t="s">
        <v>340</v>
      </c>
      <c r="H103" s="19">
        <v>0.5</v>
      </c>
      <c r="I103" s="7" t="s">
        <v>1497</v>
      </c>
      <c r="J103" s="19" t="s">
        <v>14</v>
      </c>
      <c r="K103" s="20">
        <v>40267</v>
      </c>
      <c r="L103" s="19">
        <v>1</v>
      </c>
      <c r="N103" s="19" t="s">
        <v>1545</v>
      </c>
      <c r="O103" s="43" t="s">
        <v>2351</v>
      </c>
    </row>
    <row r="104" spans="1:16" ht="30" x14ac:dyDescent="0.25">
      <c r="A104" s="19" t="s">
        <v>1209</v>
      </c>
      <c r="B104" s="19" t="s">
        <v>1705</v>
      </c>
      <c r="C104" s="19" t="s">
        <v>460</v>
      </c>
      <c r="D104" s="19" t="s">
        <v>1706</v>
      </c>
      <c r="E104" s="31" t="s">
        <v>518</v>
      </c>
      <c r="F104" s="19" t="s">
        <v>340</v>
      </c>
      <c r="H104" s="19">
        <v>1</v>
      </c>
      <c r="I104" s="7" t="s">
        <v>2007</v>
      </c>
      <c r="J104" s="19" t="s">
        <v>14</v>
      </c>
      <c r="K104" s="20">
        <v>40294</v>
      </c>
      <c r="L104" s="19">
        <v>0.5</v>
      </c>
      <c r="O104" s="43" t="s">
        <v>2351</v>
      </c>
    </row>
    <row r="105" spans="1:16" ht="30" x14ac:dyDescent="0.25">
      <c r="A105" s="19" t="s">
        <v>1029</v>
      </c>
      <c r="B105" s="19" t="s">
        <v>3538</v>
      </c>
      <c r="C105" s="19" t="s">
        <v>460</v>
      </c>
      <c r="D105" s="19" t="s">
        <v>1159</v>
      </c>
      <c r="E105" s="31" t="s">
        <v>518</v>
      </c>
      <c r="F105" s="19" t="s">
        <v>340</v>
      </c>
      <c r="H105" s="19">
        <v>3</v>
      </c>
      <c r="I105" s="7" t="s">
        <v>2007</v>
      </c>
      <c r="J105" s="19" t="s">
        <v>14</v>
      </c>
      <c r="K105" s="20">
        <v>40295</v>
      </c>
      <c r="L105" s="19">
        <v>1</v>
      </c>
    </row>
    <row r="106" spans="1:16" ht="30" x14ac:dyDescent="0.25">
      <c r="A106" s="19" t="s">
        <v>1030</v>
      </c>
      <c r="B106" s="19" t="s">
        <v>3539</v>
      </c>
      <c r="C106" s="19" t="s">
        <v>854</v>
      </c>
      <c r="D106" s="19" t="s">
        <v>1160</v>
      </c>
      <c r="E106" s="31" t="s">
        <v>518</v>
      </c>
      <c r="F106" s="19" t="s">
        <v>340</v>
      </c>
      <c r="H106" s="19">
        <v>2</v>
      </c>
      <c r="I106" s="7" t="s">
        <v>2007</v>
      </c>
      <c r="J106" s="19" t="s">
        <v>14</v>
      </c>
      <c r="K106" s="20">
        <v>40295</v>
      </c>
      <c r="L106" s="19">
        <v>1</v>
      </c>
    </row>
    <row r="107" spans="1:16" ht="30" x14ac:dyDescent="0.25">
      <c r="A107" s="19" t="s">
        <v>1032</v>
      </c>
      <c r="B107" s="19" t="s">
        <v>1181</v>
      </c>
      <c r="C107" s="19" t="s">
        <v>39</v>
      </c>
      <c r="D107" s="19" t="s">
        <v>1182</v>
      </c>
      <c r="E107" s="31" t="s">
        <v>518</v>
      </c>
      <c r="F107" s="19" t="s">
        <v>342</v>
      </c>
      <c r="H107" s="19">
        <v>2</v>
      </c>
      <c r="I107" s="7" t="s">
        <v>1497</v>
      </c>
      <c r="J107" s="19" t="s">
        <v>504</v>
      </c>
      <c r="K107" s="20">
        <v>40283</v>
      </c>
      <c r="L107" s="19">
        <v>2</v>
      </c>
      <c r="O107" s="35" t="s">
        <v>1117</v>
      </c>
    </row>
    <row r="108" spans="1:16" ht="60" x14ac:dyDescent="0.25">
      <c r="A108" s="19" t="s">
        <v>1200</v>
      </c>
      <c r="B108" s="19" t="s">
        <v>1220</v>
      </c>
      <c r="C108" s="19" t="s">
        <v>3848</v>
      </c>
      <c r="D108" s="19" t="s">
        <v>1221</v>
      </c>
      <c r="E108" s="31" t="s">
        <v>518</v>
      </c>
      <c r="F108" s="19" t="s">
        <v>340</v>
      </c>
      <c r="H108" s="19">
        <v>0.5</v>
      </c>
      <c r="I108" s="7" t="s">
        <v>1497</v>
      </c>
      <c r="J108" s="19" t="s">
        <v>506</v>
      </c>
      <c r="K108" s="20">
        <v>40277</v>
      </c>
      <c r="L108" s="19">
        <v>0.5</v>
      </c>
    </row>
    <row r="109" spans="1:16" ht="45" x14ac:dyDescent="0.25">
      <c r="A109" s="19" t="s">
        <v>1201</v>
      </c>
      <c r="B109" s="19" t="s">
        <v>1231</v>
      </c>
      <c r="C109" s="7" t="s">
        <v>1059</v>
      </c>
      <c r="D109" s="19" t="s">
        <v>1232</v>
      </c>
      <c r="E109" s="31" t="s">
        <v>518</v>
      </c>
      <c r="F109" s="19" t="s">
        <v>340</v>
      </c>
      <c r="H109" s="19">
        <v>1</v>
      </c>
      <c r="I109" s="7" t="s">
        <v>1497</v>
      </c>
      <c r="J109" s="19" t="s">
        <v>506</v>
      </c>
      <c r="K109" s="20">
        <v>40277</v>
      </c>
      <c r="L109" s="19">
        <v>0.5</v>
      </c>
    </row>
    <row r="110" spans="1:16" ht="105" x14ac:dyDescent="0.25">
      <c r="A110" s="19" t="s">
        <v>1202</v>
      </c>
      <c r="B110" s="19" t="s">
        <v>3821</v>
      </c>
      <c r="C110" s="19" t="s">
        <v>3873</v>
      </c>
      <c r="D110" s="19" t="s">
        <v>1537</v>
      </c>
      <c r="E110" s="31" t="s">
        <v>518</v>
      </c>
      <c r="F110" s="19" t="s">
        <v>340</v>
      </c>
      <c r="H110" s="19">
        <v>0.5</v>
      </c>
      <c r="I110" s="7" t="s">
        <v>2007</v>
      </c>
      <c r="J110" s="19" t="s">
        <v>506</v>
      </c>
      <c r="K110" s="20">
        <v>40290</v>
      </c>
      <c r="L110" s="19">
        <v>0.5</v>
      </c>
      <c r="N110" s="19" t="s">
        <v>3822</v>
      </c>
    </row>
    <row r="111" spans="1:16" ht="30" x14ac:dyDescent="0.25">
      <c r="A111" s="19" t="s">
        <v>1204</v>
      </c>
      <c r="B111" s="19" t="s">
        <v>1645</v>
      </c>
      <c r="C111" s="19" t="s">
        <v>39</v>
      </c>
      <c r="D111" s="19" t="s">
        <v>1646</v>
      </c>
      <c r="E111" s="31" t="s">
        <v>518</v>
      </c>
      <c r="F111" s="19" t="s">
        <v>340</v>
      </c>
      <c r="I111" s="7" t="s">
        <v>2007</v>
      </c>
      <c r="J111" s="19" t="s">
        <v>504</v>
      </c>
      <c r="K111" s="20">
        <v>40294</v>
      </c>
      <c r="L111" s="19">
        <v>5</v>
      </c>
    </row>
    <row r="112" spans="1:16" ht="30" x14ac:dyDescent="0.25">
      <c r="A112" s="19" t="s">
        <v>1205</v>
      </c>
      <c r="B112" s="19" t="s">
        <v>1663</v>
      </c>
      <c r="C112" s="19" t="s">
        <v>39</v>
      </c>
      <c r="D112" s="19" t="s">
        <v>1182</v>
      </c>
      <c r="E112" s="31" t="s">
        <v>518</v>
      </c>
      <c r="F112" s="19" t="s">
        <v>341</v>
      </c>
      <c r="H112" s="19">
        <v>5</v>
      </c>
      <c r="I112" s="7" t="s">
        <v>2007</v>
      </c>
      <c r="J112" s="19" t="s">
        <v>504</v>
      </c>
      <c r="K112" s="20">
        <v>40311</v>
      </c>
    </row>
    <row r="113" spans="1:15" ht="45" x14ac:dyDescent="0.25">
      <c r="A113" s="19" t="s">
        <v>1207</v>
      </c>
      <c r="B113" s="19" t="s">
        <v>1680</v>
      </c>
      <c r="C113" s="19" t="s">
        <v>39</v>
      </c>
      <c r="D113" s="19" t="s">
        <v>1681</v>
      </c>
      <c r="E113" s="31" t="s">
        <v>518</v>
      </c>
      <c r="F113" s="19" t="s">
        <v>340</v>
      </c>
      <c r="H113" s="19">
        <v>0.5</v>
      </c>
      <c r="I113" s="7" t="s">
        <v>2007</v>
      </c>
      <c r="J113" s="19" t="s">
        <v>506</v>
      </c>
      <c r="K113" s="20">
        <v>40290</v>
      </c>
      <c r="L113" s="19">
        <v>0.5</v>
      </c>
      <c r="N113" s="19" t="s">
        <v>2117</v>
      </c>
    </row>
    <row r="114" spans="1:15" ht="45" x14ac:dyDescent="0.25">
      <c r="A114" s="19" t="s">
        <v>1213</v>
      </c>
      <c r="B114" s="19" t="s">
        <v>3974</v>
      </c>
      <c r="C114" s="19" t="s">
        <v>1059</v>
      </c>
      <c r="D114" s="19" t="s">
        <v>3975</v>
      </c>
      <c r="E114" s="31" t="s">
        <v>518</v>
      </c>
      <c r="F114" s="19" t="s">
        <v>340</v>
      </c>
      <c r="H114" s="19">
        <v>0</v>
      </c>
      <c r="I114" s="7" t="s">
        <v>2007</v>
      </c>
      <c r="J114" s="19" t="s">
        <v>506</v>
      </c>
      <c r="K114" s="20">
        <v>40290</v>
      </c>
      <c r="L114" s="19">
        <v>0</v>
      </c>
      <c r="N114" s="19" t="s">
        <v>2118</v>
      </c>
    </row>
    <row r="115" spans="1:15" ht="45" x14ac:dyDescent="0.25">
      <c r="A115" s="19" t="s">
        <v>2040</v>
      </c>
      <c r="B115" s="19" t="s">
        <v>3772</v>
      </c>
      <c r="C115" s="19" t="s">
        <v>460</v>
      </c>
      <c r="D115" s="19" t="s">
        <v>2108</v>
      </c>
      <c r="E115" s="31" t="s">
        <v>518</v>
      </c>
      <c r="F115" s="19" t="s">
        <v>340</v>
      </c>
      <c r="H115" s="19">
        <v>1</v>
      </c>
      <c r="I115" s="7" t="s">
        <v>2007</v>
      </c>
      <c r="J115" s="19" t="s">
        <v>506</v>
      </c>
      <c r="K115" s="20">
        <v>40308</v>
      </c>
      <c r="L115" s="19">
        <v>0.5</v>
      </c>
    </row>
    <row r="116" spans="1:15" ht="30" x14ac:dyDescent="0.25">
      <c r="A116" s="19" t="s">
        <v>2043</v>
      </c>
      <c r="B116" s="19" t="s">
        <v>3773</v>
      </c>
      <c r="C116" s="19" t="s">
        <v>39</v>
      </c>
      <c r="D116" s="19" t="s">
        <v>2131</v>
      </c>
      <c r="E116" s="31" t="s">
        <v>518</v>
      </c>
      <c r="F116" s="19" t="s">
        <v>340</v>
      </c>
      <c r="H116" s="19">
        <v>0</v>
      </c>
      <c r="I116" s="7" t="s">
        <v>2007</v>
      </c>
      <c r="J116" s="19" t="s">
        <v>502</v>
      </c>
      <c r="K116" s="20">
        <v>40303</v>
      </c>
    </row>
    <row r="117" spans="1:15" ht="30" x14ac:dyDescent="0.25">
      <c r="A117" s="19" t="s">
        <v>2044</v>
      </c>
      <c r="B117" s="19" t="s">
        <v>3774</v>
      </c>
      <c r="C117" s="19" t="s">
        <v>39</v>
      </c>
      <c r="D117" s="19" t="s">
        <v>2132</v>
      </c>
      <c r="E117" s="31" t="s">
        <v>518</v>
      </c>
      <c r="F117" s="19" t="s">
        <v>340</v>
      </c>
      <c r="H117" s="19">
        <v>0.5</v>
      </c>
      <c r="I117" s="7" t="s">
        <v>2007</v>
      </c>
      <c r="J117" s="19" t="s">
        <v>502</v>
      </c>
      <c r="K117" s="20">
        <v>40303</v>
      </c>
    </row>
    <row r="118" spans="1:15" ht="30" x14ac:dyDescent="0.25">
      <c r="A118" s="19" t="s">
        <v>2047</v>
      </c>
      <c r="B118" s="19" t="s">
        <v>3775</v>
      </c>
      <c r="C118" s="19" t="s">
        <v>39</v>
      </c>
      <c r="D118" s="19" t="s">
        <v>1436</v>
      </c>
      <c r="E118" s="31" t="s">
        <v>518</v>
      </c>
      <c r="F118" s="19" t="s">
        <v>340</v>
      </c>
      <c r="H118" s="19">
        <v>0</v>
      </c>
      <c r="I118" s="7" t="s">
        <v>2007</v>
      </c>
      <c r="J118" s="19" t="s">
        <v>502</v>
      </c>
      <c r="K118" s="20">
        <v>40303</v>
      </c>
    </row>
    <row r="119" spans="1:15" ht="45" x14ac:dyDescent="0.25">
      <c r="A119" s="19" t="s">
        <v>2045</v>
      </c>
      <c r="B119" s="19" t="s">
        <v>2135</v>
      </c>
      <c r="C119" s="19" t="s">
        <v>39</v>
      </c>
      <c r="D119" s="19" t="s">
        <v>2136</v>
      </c>
      <c r="E119" s="31" t="s">
        <v>518</v>
      </c>
      <c r="F119" s="19" t="s">
        <v>340</v>
      </c>
      <c r="H119" s="26">
        <v>2.5</v>
      </c>
      <c r="I119" s="7" t="s">
        <v>2007</v>
      </c>
      <c r="J119" s="19" t="s">
        <v>506</v>
      </c>
      <c r="K119" s="20">
        <v>40312</v>
      </c>
      <c r="L119" s="19">
        <v>1.5</v>
      </c>
      <c r="N119" s="19" t="s">
        <v>3005</v>
      </c>
    </row>
    <row r="120" spans="1:15" ht="45" x14ac:dyDescent="0.25">
      <c r="A120" s="19" t="s">
        <v>2046</v>
      </c>
      <c r="B120" s="19" t="s">
        <v>2140</v>
      </c>
      <c r="C120" s="19" t="s">
        <v>2141</v>
      </c>
      <c r="D120" s="19" t="s">
        <v>2142</v>
      </c>
      <c r="E120" s="31" t="s">
        <v>518</v>
      </c>
      <c r="F120" s="19" t="s">
        <v>340</v>
      </c>
      <c r="H120" s="26">
        <v>3</v>
      </c>
      <c r="I120" s="7" t="s">
        <v>2007</v>
      </c>
      <c r="J120" s="19" t="s">
        <v>506</v>
      </c>
      <c r="K120" s="20">
        <v>40310</v>
      </c>
      <c r="L120" s="19">
        <v>1</v>
      </c>
    </row>
    <row r="121" spans="1:15" ht="45" x14ac:dyDescent="0.25">
      <c r="A121" s="19" t="s">
        <v>2048</v>
      </c>
      <c r="B121" s="19" t="s">
        <v>3776</v>
      </c>
      <c r="C121" s="19" t="s">
        <v>2141</v>
      </c>
      <c r="D121" s="19" t="s">
        <v>1438</v>
      </c>
      <c r="E121" s="31" t="s">
        <v>518</v>
      </c>
      <c r="F121" s="19" t="s">
        <v>340</v>
      </c>
      <c r="H121" s="26">
        <v>1</v>
      </c>
      <c r="I121" s="7" t="s">
        <v>2007</v>
      </c>
      <c r="J121" s="19" t="s">
        <v>14</v>
      </c>
      <c r="K121" s="20">
        <v>40298</v>
      </c>
      <c r="L121" s="19">
        <v>0.5</v>
      </c>
    </row>
    <row r="122" spans="1:15" ht="45" x14ac:dyDescent="0.25">
      <c r="A122" s="19" t="s">
        <v>2049</v>
      </c>
      <c r="B122" s="19" t="s">
        <v>3880</v>
      </c>
      <c r="C122" s="19" t="s">
        <v>3848</v>
      </c>
      <c r="D122" s="19" t="s">
        <v>3881</v>
      </c>
      <c r="E122" s="31" t="s">
        <v>518</v>
      </c>
      <c r="F122" s="19" t="s">
        <v>340</v>
      </c>
      <c r="H122" s="19">
        <v>0.5</v>
      </c>
      <c r="I122" s="7" t="s">
        <v>2007</v>
      </c>
      <c r="J122" s="19" t="s">
        <v>14</v>
      </c>
      <c r="K122" s="20">
        <v>40295</v>
      </c>
      <c r="L122" s="19">
        <v>0.5</v>
      </c>
    </row>
    <row r="123" spans="1:15" ht="45" x14ac:dyDescent="0.25">
      <c r="A123" s="19" t="s">
        <v>2051</v>
      </c>
      <c r="B123" s="19" t="s">
        <v>3779</v>
      </c>
      <c r="C123" s="19" t="s">
        <v>2141</v>
      </c>
      <c r="D123" s="19" t="s">
        <v>3780</v>
      </c>
      <c r="E123" s="31" t="s">
        <v>518</v>
      </c>
      <c r="F123" s="19" t="s">
        <v>341</v>
      </c>
      <c r="H123" s="26">
        <v>2</v>
      </c>
      <c r="I123" s="7" t="s">
        <v>2007</v>
      </c>
      <c r="J123" s="19" t="s">
        <v>14</v>
      </c>
      <c r="K123" s="20">
        <v>40298</v>
      </c>
      <c r="L123" s="19">
        <v>0.5</v>
      </c>
    </row>
    <row r="124" spans="1:15" ht="30" x14ac:dyDescent="0.25">
      <c r="A124" s="7" t="s">
        <v>865</v>
      </c>
      <c r="B124" s="19" t="s">
        <v>2115</v>
      </c>
      <c r="C124" s="7" t="s">
        <v>39</v>
      </c>
      <c r="D124" s="19" t="s">
        <v>2116</v>
      </c>
      <c r="E124" s="31" t="s">
        <v>518</v>
      </c>
      <c r="F124" s="19" t="s">
        <v>341</v>
      </c>
      <c r="H124" s="26">
        <v>2</v>
      </c>
      <c r="I124" s="7" t="s">
        <v>2007</v>
      </c>
      <c r="J124" s="19" t="s">
        <v>506</v>
      </c>
      <c r="K124" s="20">
        <v>40305</v>
      </c>
      <c r="L124" s="19">
        <v>2</v>
      </c>
    </row>
    <row r="125" spans="1:15" ht="135" x14ac:dyDescent="0.25">
      <c r="A125" s="19" t="s">
        <v>1893</v>
      </c>
      <c r="B125" s="7" t="s">
        <v>1937</v>
      </c>
      <c r="C125" s="2" t="s">
        <v>460</v>
      </c>
      <c r="D125" s="19" t="s">
        <v>1798</v>
      </c>
      <c r="E125" s="31" t="s">
        <v>518</v>
      </c>
      <c r="F125" s="19" t="s">
        <v>340</v>
      </c>
      <c r="H125" s="19">
        <v>1.5</v>
      </c>
      <c r="I125" s="7" t="s">
        <v>2007</v>
      </c>
      <c r="J125" s="19" t="s">
        <v>504</v>
      </c>
      <c r="K125" s="20">
        <v>40316</v>
      </c>
      <c r="L125" s="19">
        <v>2</v>
      </c>
      <c r="N125" s="19" t="s">
        <v>2247</v>
      </c>
      <c r="O125" s="43" t="s">
        <v>2351</v>
      </c>
    </row>
    <row r="126" spans="1:15" ht="165" x14ac:dyDescent="0.25">
      <c r="A126" s="19" t="s">
        <v>1896</v>
      </c>
      <c r="B126" s="19" t="s">
        <v>1938</v>
      </c>
      <c r="C126" s="19" t="s">
        <v>460</v>
      </c>
      <c r="D126" s="19" t="s">
        <v>1939</v>
      </c>
      <c r="E126" s="31" t="s">
        <v>518</v>
      </c>
      <c r="F126" s="19" t="s">
        <v>340</v>
      </c>
      <c r="H126" s="19">
        <v>0</v>
      </c>
      <c r="I126" s="7" t="s">
        <v>2007</v>
      </c>
      <c r="J126" s="19" t="s">
        <v>504</v>
      </c>
      <c r="K126" s="20">
        <v>40311</v>
      </c>
      <c r="L126" s="19">
        <v>0.5</v>
      </c>
      <c r="N126" s="19" t="s">
        <v>2193</v>
      </c>
      <c r="O126" s="43" t="s">
        <v>2351</v>
      </c>
    </row>
    <row r="127" spans="1:15" ht="30" x14ac:dyDescent="0.25">
      <c r="A127" s="19" t="s">
        <v>2056</v>
      </c>
      <c r="B127" s="19" t="s">
        <v>3783</v>
      </c>
      <c r="C127" s="7" t="s">
        <v>39</v>
      </c>
      <c r="D127" s="19" t="s">
        <v>1798</v>
      </c>
      <c r="E127" s="31" t="s">
        <v>518</v>
      </c>
      <c r="F127" s="19" t="s">
        <v>341</v>
      </c>
      <c r="H127" s="19">
        <v>2</v>
      </c>
      <c r="I127" s="7" t="s">
        <v>2221</v>
      </c>
      <c r="J127" s="19" t="s">
        <v>14</v>
      </c>
      <c r="K127" s="20">
        <v>40319</v>
      </c>
      <c r="L127" s="19">
        <v>3</v>
      </c>
      <c r="O127" s="43" t="s">
        <v>2351</v>
      </c>
    </row>
    <row r="128" spans="1:15" ht="30" x14ac:dyDescent="0.25">
      <c r="A128" s="19" t="s">
        <v>1903</v>
      </c>
      <c r="B128" s="19" t="s">
        <v>3786</v>
      </c>
      <c r="C128" s="19" t="s">
        <v>460</v>
      </c>
      <c r="D128" s="19" t="s">
        <v>2225</v>
      </c>
      <c r="E128" s="31" t="s">
        <v>518</v>
      </c>
      <c r="F128" s="19" t="s">
        <v>341</v>
      </c>
      <c r="H128" s="19">
        <v>2</v>
      </c>
      <c r="I128" s="7" t="s">
        <v>2221</v>
      </c>
      <c r="J128" s="19" t="s">
        <v>14</v>
      </c>
      <c r="K128" s="20">
        <v>40333</v>
      </c>
      <c r="L128" s="19">
        <v>2</v>
      </c>
      <c r="O128" s="43" t="s">
        <v>2351</v>
      </c>
    </row>
    <row r="129" spans="1:16" ht="30" x14ac:dyDescent="0.25">
      <c r="A129" s="19" t="s">
        <v>2057</v>
      </c>
      <c r="B129" s="19" t="s">
        <v>3787</v>
      </c>
      <c r="C129" s="7" t="s">
        <v>39</v>
      </c>
      <c r="D129" s="19" t="s">
        <v>1798</v>
      </c>
      <c r="E129" s="31" t="s">
        <v>518</v>
      </c>
      <c r="F129" s="19" t="s">
        <v>341</v>
      </c>
      <c r="H129" s="19">
        <v>2</v>
      </c>
      <c r="I129" s="7" t="s">
        <v>2221</v>
      </c>
      <c r="J129" s="19" t="s">
        <v>504</v>
      </c>
      <c r="K129" s="20">
        <v>40324</v>
      </c>
      <c r="L129" s="19">
        <v>0</v>
      </c>
      <c r="O129" s="43" t="s">
        <v>2351</v>
      </c>
    </row>
    <row r="130" spans="1:16" ht="30" x14ac:dyDescent="0.25">
      <c r="A130" s="19" t="s">
        <v>2059</v>
      </c>
      <c r="B130" s="19" t="s">
        <v>1935</v>
      </c>
      <c r="C130" s="19" t="s">
        <v>39</v>
      </c>
      <c r="D130" s="19" t="s">
        <v>1798</v>
      </c>
      <c r="E130" s="31" t="s">
        <v>518</v>
      </c>
      <c r="F130" s="19" t="s">
        <v>341</v>
      </c>
      <c r="H130" s="19">
        <v>0.5</v>
      </c>
      <c r="I130" s="7" t="s">
        <v>2221</v>
      </c>
      <c r="J130" s="19" t="s">
        <v>1092</v>
      </c>
      <c r="K130" s="20">
        <v>40316</v>
      </c>
      <c r="L130" s="19">
        <v>0</v>
      </c>
    </row>
    <row r="131" spans="1:16" ht="60" x14ac:dyDescent="0.25">
      <c r="A131" s="19" t="s">
        <v>2060</v>
      </c>
      <c r="B131" s="19" t="s">
        <v>1936</v>
      </c>
      <c r="C131" s="19" t="s">
        <v>39</v>
      </c>
      <c r="D131" s="19" t="s">
        <v>1798</v>
      </c>
      <c r="E131" s="31" t="s">
        <v>518</v>
      </c>
      <c r="F131" s="19" t="s">
        <v>341</v>
      </c>
      <c r="H131" s="19">
        <v>1</v>
      </c>
      <c r="I131" s="7" t="s">
        <v>2221</v>
      </c>
      <c r="J131" s="19" t="s">
        <v>1092</v>
      </c>
      <c r="K131" s="20">
        <v>40317</v>
      </c>
      <c r="L131" s="19">
        <v>2</v>
      </c>
      <c r="N131" s="19" t="s">
        <v>2289</v>
      </c>
    </row>
    <row r="132" spans="1:16" ht="30" x14ac:dyDescent="0.25">
      <c r="A132" s="19" t="s">
        <v>1891</v>
      </c>
      <c r="B132" s="19" t="s">
        <v>1934</v>
      </c>
      <c r="C132" s="19" t="s">
        <v>39</v>
      </c>
      <c r="D132" s="19" t="s">
        <v>1798</v>
      </c>
      <c r="E132" s="31" t="s">
        <v>518</v>
      </c>
      <c r="F132" s="19" t="s">
        <v>341</v>
      </c>
      <c r="H132" s="19">
        <v>3</v>
      </c>
      <c r="I132" s="7" t="s">
        <v>2221</v>
      </c>
      <c r="J132" s="19" t="s">
        <v>2644</v>
      </c>
      <c r="K132" s="20">
        <v>40333</v>
      </c>
      <c r="L132" s="19">
        <v>3</v>
      </c>
      <c r="O132" s="43" t="s">
        <v>2351</v>
      </c>
    </row>
    <row r="133" spans="1:16" ht="60" x14ac:dyDescent="0.25">
      <c r="A133" s="19" t="s">
        <v>1894</v>
      </c>
      <c r="B133" s="19" t="s">
        <v>1918</v>
      </c>
      <c r="C133" s="19" t="s">
        <v>460</v>
      </c>
      <c r="D133" s="19" t="s">
        <v>1919</v>
      </c>
      <c r="E133" s="31" t="s">
        <v>518</v>
      </c>
      <c r="F133" s="19" t="s">
        <v>340</v>
      </c>
      <c r="H133" s="19">
        <v>0</v>
      </c>
      <c r="I133" s="7" t="s">
        <v>2221</v>
      </c>
      <c r="J133" s="19" t="s">
        <v>504</v>
      </c>
      <c r="K133" s="20">
        <v>40316</v>
      </c>
      <c r="L133" s="19">
        <v>0.5</v>
      </c>
      <c r="N133" s="19" t="s">
        <v>2246</v>
      </c>
      <c r="O133" s="43" t="s">
        <v>2351</v>
      </c>
    </row>
    <row r="134" spans="1:16" ht="30" x14ac:dyDescent="0.25">
      <c r="A134" s="19" t="s">
        <v>1895</v>
      </c>
      <c r="B134" s="19" t="s">
        <v>3792</v>
      </c>
      <c r="C134" s="2" t="s">
        <v>460</v>
      </c>
      <c r="D134" s="19" t="s">
        <v>1798</v>
      </c>
      <c r="E134" s="31" t="s">
        <v>518</v>
      </c>
      <c r="F134" s="19" t="s">
        <v>341</v>
      </c>
      <c r="H134" s="19">
        <v>2</v>
      </c>
      <c r="I134" s="7" t="s">
        <v>2221</v>
      </c>
      <c r="J134" s="19" t="s">
        <v>14</v>
      </c>
      <c r="K134" s="20">
        <v>40323</v>
      </c>
      <c r="L134" s="19">
        <v>2</v>
      </c>
      <c r="O134" s="43" t="s">
        <v>2351</v>
      </c>
    </row>
    <row r="135" spans="1:16" ht="30" x14ac:dyDescent="0.25">
      <c r="A135" s="7" t="s">
        <v>646</v>
      </c>
      <c r="B135" s="19" t="s">
        <v>792</v>
      </c>
      <c r="C135" s="7" t="s">
        <v>39</v>
      </c>
      <c r="D135" s="19" t="s">
        <v>3985</v>
      </c>
      <c r="E135" s="31" t="s">
        <v>518</v>
      </c>
      <c r="F135" s="7" t="s">
        <v>340</v>
      </c>
      <c r="G135" s="19" t="s">
        <v>640</v>
      </c>
      <c r="H135" s="19">
        <v>0.5</v>
      </c>
      <c r="I135" s="7" t="s">
        <v>2221</v>
      </c>
      <c r="J135" s="19" t="s">
        <v>14</v>
      </c>
      <c r="K135" s="20">
        <v>40333</v>
      </c>
      <c r="L135" s="19">
        <v>0.5</v>
      </c>
      <c r="O135" s="43" t="s">
        <v>2351</v>
      </c>
    </row>
    <row r="136" spans="1:16" ht="60" x14ac:dyDescent="0.25">
      <c r="A136" s="19" t="s">
        <v>1901</v>
      </c>
      <c r="B136" s="19" t="s">
        <v>2203</v>
      </c>
      <c r="C136" s="19" t="s">
        <v>39</v>
      </c>
      <c r="D136" s="19" t="s">
        <v>1182</v>
      </c>
      <c r="E136" s="31" t="s">
        <v>518</v>
      </c>
      <c r="F136" s="19" t="s">
        <v>340</v>
      </c>
      <c r="H136" s="19">
        <v>2</v>
      </c>
      <c r="I136" s="7" t="s">
        <v>2221</v>
      </c>
      <c r="K136" s="20">
        <v>40333</v>
      </c>
      <c r="O136" s="43" t="s">
        <v>2352</v>
      </c>
    </row>
    <row r="137" spans="1:16" ht="45" x14ac:dyDescent="0.25">
      <c r="A137" s="19" t="s">
        <v>1902</v>
      </c>
      <c r="B137" s="19" t="s">
        <v>2216</v>
      </c>
      <c r="C137" s="19" t="s">
        <v>460</v>
      </c>
      <c r="D137" s="19" t="s">
        <v>2217</v>
      </c>
      <c r="E137" s="31" t="s">
        <v>518</v>
      </c>
      <c r="F137" s="19" t="s">
        <v>341</v>
      </c>
      <c r="H137" s="19">
        <v>0.5</v>
      </c>
      <c r="I137" s="7" t="s">
        <v>2221</v>
      </c>
      <c r="J137" s="19" t="s">
        <v>474</v>
      </c>
      <c r="K137" s="20">
        <v>40325</v>
      </c>
      <c r="L137" s="19">
        <v>0</v>
      </c>
    </row>
    <row r="138" spans="1:16" ht="45" x14ac:dyDescent="0.25">
      <c r="A138" s="19" t="s">
        <v>1904</v>
      </c>
      <c r="B138" s="19" t="s">
        <v>2326</v>
      </c>
      <c r="C138" s="19" t="s">
        <v>460</v>
      </c>
      <c r="D138" s="19" t="s">
        <v>2327</v>
      </c>
      <c r="E138" s="31" t="s">
        <v>518</v>
      </c>
      <c r="F138" s="19" t="s">
        <v>342</v>
      </c>
      <c r="H138" s="26">
        <v>2</v>
      </c>
      <c r="I138" s="7" t="s">
        <v>2221</v>
      </c>
      <c r="J138" s="19" t="s">
        <v>14</v>
      </c>
      <c r="K138" s="20">
        <v>40326</v>
      </c>
      <c r="L138" s="19">
        <v>2</v>
      </c>
      <c r="O138" s="43" t="s">
        <v>2351</v>
      </c>
    </row>
    <row r="139" spans="1:16" ht="30" x14ac:dyDescent="0.25">
      <c r="A139" s="19" t="s">
        <v>1214</v>
      </c>
      <c r="B139" s="19" t="s">
        <v>1991</v>
      </c>
      <c r="C139" s="19" t="s">
        <v>39</v>
      </c>
      <c r="D139" s="19" t="s">
        <v>1992</v>
      </c>
      <c r="E139" s="31" t="s">
        <v>518</v>
      </c>
      <c r="F139" s="19" t="s">
        <v>340</v>
      </c>
      <c r="H139" s="19">
        <v>4</v>
      </c>
      <c r="I139" s="7" t="s">
        <v>2221</v>
      </c>
      <c r="J139" s="19" t="s">
        <v>504</v>
      </c>
      <c r="K139" s="20">
        <v>40325</v>
      </c>
      <c r="L139" s="19">
        <v>3.5</v>
      </c>
      <c r="O139" s="43" t="s">
        <v>2351</v>
      </c>
      <c r="P139" s="19" t="s">
        <v>506</v>
      </c>
    </row>
    <row r="140" spans="1:16" ht="30" x14ac:dyDescent="0.25">
      <c r="A140" s="19" t="s">
        <v>1215</v>
      </c>
      <c r="B140" s="19" t="s">
        <v>2030</v>
      </c>
      <c r="C140" s="19" t="s">
        <v>39</v>
      </c>
      <c r="D140" s="19" t="s">
        <v>1992</v>
      </c>
      <c r="E140" s="31" t="s">
        <v>518</v>
      </c>
      <c r="F140" s="19" t="s">
        <v>340</v>
      </c>
      <c r="G140" s="19" t="s">
        <v>1214</v>
      </c>
      <c r="H140" s="19">
        <v>2</v>
      </c>
      <c r="I140" s="7" t="s">
        <v>2221</v>
      </c>
      <c r="J140" s="19" t="s">
        <v>504</v>
      </c>
      <c r="K140" s="20">
        <v>40325</v>
      </c>
      <c r="L140" s="19">
        <v>0.5</v>
      </c>
      <c r="O140" s="43" t="s">
        <v>2351</v>
      </c>
      <c r="P140" s="19" t="s">
        <v>506</v>
      </c>
    </row>
    <row r="141" spans="1:16" ht="45" x14ac:dyDescent="0.25">
      <c r="A141" s="19" t="s">
        <v>1216</v>
      </c>
      <c r="B141" s="19" t="s">
        <v>2012</v>
      </c>
      <c r="C141" s="19" t="s">
        <v>39</v>
      </c>
      <c r="D141" s="19" t="s">
        <v>2014</v>
      </c>
      <c r="E141" s="31" t="s">
        <v>518</v>
      </c>
      <c r="F141" s="19" t="s">
        <v>340</v>
      </c>
      <c r="G141" s="19" t="s">
        <v>1214</v>
      </c>
      <c r="H141" s="19">
        <v>3</v>
      </c>
      <c r="I141" s="7" t="s">
        <v>2221</v>
      </c>
      <c r="J141" s="19" t="s">
        <v>504</v>
      </c>
      <c r="K141" s="20">
        <v>40326</v>
      </c>
      <c r="L141" s="19">
        <v>0.5</v>
      </c>
      <c r="O141" s="43" t="s">
        <v>2351</v>
      </c>
      <c r="P141" s="19" t="s">
        <v>506</v>
      </c>
    </row>
    <row r="142" spans="1:16" ht="60" x14ac:dyDescent="0.25">
      <c r="A142" s="19" t="s">
        <v>1217</v>
      </c>
      <c r="B142" s="19" t="s">
        <v>2119</v>
      </c>
      <c r="C142" s="19" t="s">
        <v>460</v>
      </c>
      <c r="D142" s="19" t="s">
        <v>2015</v>
      </c>
      <c r="E142" s="31" t="s">
        <v>518</v>
      </c>
      <c r="F142" s="19" t="s">
        <v>340</v>
      </c>
      <c r="G142" s="19" t="s">
        <v>1214</v>
      </c>
      <c r="H142" s="19">
        <v>2</v>
      </c>
      <c r="I142" s="7" t="s">
        <v>2221</v>
      </c>
      <c r="J142" s="19" t="s">
        <v>504</v>
      </c>
      <c r="K142" s="20">
        <v>40330</v>
      </c>
      <c r="L142" s="19">
        <v>1</v>
      </c>
      <c r="O142" s="43" t="s">
        <v>2351</v>
      </c>
      <c r="P142" s="19" t="s">
        <v>506</v>
      </c>
    </row>
    <row r="143" spans="1:16" ht="45" x14ac:dyDescent="0.25">
      <c r="A143" s="19" t="s">
        <v>1218</v>
      </c>
      <c r="B143" s="19" t="s">
        <v>2011</v>
      </c>
      <c r="C143" s="19" t="s">
        <v>39</v>
      </c>
      <c r="D143" s="19" t="s">
        <v>2013</v>
      </c>
      <c r="E143" s="31" t="s">
        <v>518</v>
      </c>
      <c r="F143" s="19" t="s">
        <v>340</v>
      </c>
      <c r="G143" s="19" t="s">
        <v>1214</v>
      </c>
      <c r="H143" s="19">
        <v>5</v>
      </c>
      <c r="I143" s="7" t="s">
        <v>2221</v>
      </c>
      <c r="J143" s="19" t="s">
        <v>504</v>
      </c>
      <c r="K143" s="20">
        <v>40331</v>
      </c>
      <c r="L143" s="19">
        <v>1</v>
      </c>
      <c r="O143" s="43" t="s">
        <v>2351</v>
      </c>
      <c r="P143" s="19" t="s">
        <v>506</v>
      </c>
    </row>
    <row r="144" spans="1:16" ht="45" x14ac:dyDescent="0.25">
      <c r="A144" s="19" t="s">
        <v>1897</v>
      </c>
      <c r="B144" s="19" t="s">
        <v>2194</v>
      </c>
      <c r="C144" s="19" t="s">
        <v>39</v>
      </c>
      <c r="D144" s="19" t="s">
        <v>2195</v>
      </c>
      <c r="E144" s="31" t="s">
        <v>518</v>
      </c>
      <c r="F144" s="19" t="s">
        <v>341</v>
      </c>
      <c r="H144" s="19">
        <v>0.5</v>
      </c>
      <c r="I144" s="7" t="s">
        <v>2221</v>
      </c>
      <c r="J144" s="19" t="s">
        <v>504</v>
      </c>
      <c r="K144" s="20">
        <v>40325</v>
      </c>
      <c r="L144" s="19">
        <v>0</v>
      </c>
      <c r="O144" s="43" t="s">
        <v>2351</v>
      </c>
    </row>
    <row r="145" spans="1:16" ht="30" x14ac:dyDescent="0.25">
      <c r="A145" s="2" t="s">
        <v>645</v>
      </c>
      <c r="B145" s="19" t="s">
        <v>791</v>
      </c>
      <c r="C145" s="7" t="s">
        <v>39</v>
      </c>
      <c r="D145" s="19" t="s">
        <v>3957</v>
      </c>
      <c r="E145" s="31" t="s">
        <v>518</v>
      </c>
      <c r="F145" s="7" t="s">
        <v>340</v>
      </c>
      <c r="G145" s="19" t="s">
        <v>640</v>
      </c>
      <c r="H145" s="19">
        <v>0</v>
      </c>
      <c r="I145" s="7" t="s">
        <v>2706</v>
      </c>
      <c r="J145" s="19" t="s">
        <v>14</v>
      </c>
      <c r="K145" s="20">
        <v>40346</v>
      </c>
      <c r="L145" s="19">
        <v>0</v>
      </c>
    </row>
    <row r="146" spans="1:16" ht="45" x14ac:dyDescent="0.25">
      <c r="A146" s="7" t="s">
        <v>776</v>
      </c>
      <c r="B146" s="19" t="s">
        <v>801</v>
      </c>
      <c r="C146" s="7" t="s">
        <v>39</v>
      </c>
      <c r="D146" s="19" t="s">
        <v>3901</v>
      </c>
      <c r="E146" s="31" t="s">
        <v>518</v>
      </c>
      <c r="F146" s="7" t="s">
        <v>340</v>
      </c>
      <c r="H146" s="19">
        <v>1.5</v>
      </c>
      <c r="I146" s="7" t="s">
        <v>2706</v>
      </c>
      <c r="J146" s="19" t="s">
        <v>14</v>
      </c>
      <c r="K146" s="20">
        <v>40344</v>
      </c>
      <c r="L146" s="19">
        <v>1.5</v>
      </c>
      <c r="N146" s="19" t="s">
        <v>2710</v>
      </c>
      <c r="P146" s="19" t="s">
        <v>2774</v>
      </c>
    </row>
    <row r="147" spans="1:16" x14ac:dyDescent="0.25">
      <c r="A147" s="2" t="s">
        <v>647</v>
      </c>
      <c r="B147" s="19" t="s">
        <v>795</v>
      </c>
      <c r="C147" s="7" t="s">
        <v>39</v>
      </c>
      <c r="D147" s="19" t="s">
        <v>3958</v>
      </c>
      <c r="E147" s="31" t="s">
        <v>518</v>
      </c>
      <c r="F147" s="7" t="s">
        <v>340</v>
      </c>
      <c r="H147" s="19">
        <v>0</v>
      </c>
      <c r="I147" s="7" t="s">
        <v>2706</v>
      </c>
      <c r="J147" s="19" t="s">
        <v>14</v>
      </c>
      <c r="K147" s="20">
        <v>40346</v>
      </c>
      <c r="L147" s="19">
        <v>0</v>
      </c>
    </row>
    <row r="148" spans="1:16" ht="30" x14ac:dyDescent="0.25">
      <c r="A148" s="2" t="s">
        <v>856</v>
      </c>
      <c r="B148" s="19" t="s">
        <v>922</v>
      </c>
      <c r="C148" s="19" t="s">
        <v>39</v>
      </c>
      <c r="D148" s="19" t="s">
        <v>3959</v>
      </c>
      <c r="E148" s="31" t="s">
        <v>518</v>
      </c>
      <c r="F148" s="19" t="s">
        <v>341</v>
      </c>
      <c r="H148" s="19">
        <v>0</v>
      </c>
      <c r="I148" s="7" t="s">
        <v>2706</v>
      </c>
      <c r="J148" s="19" t="s">
        <v>14</v>
      </c>
      <c r="K148" s="20">
        <v>40347</v>
      </c>
      <c r="L148" s="19">
        <v>0</v>
      </c>
    </row>
    <row r="149" spans="1:16" ht="45" x14ac:dyDescent="0.25">
      <c r="A149" s="19" t="s">
        <v>2670</v>
      </c>
      <c r="B149" s="19" t="s">
        <v>3808</v>
      </c>
      <c r="C149" s="19" t="s">
        <v>39</v>
      </c>
      <c r="D149" s="19" t="s">
        <v>2777</v>
      </c>
      <c r="E149" s="31" t="s">
        <v>518</v>
      </c>
      <c r="F149" s="19" t="s">
        <v>340</v>
      </c>
      <c r="H149" s="19">
        <v>0.5</v>
      </c>
      <c r="I149" s="7" t="s">
        <v>2706</v>
      </c>
      <c r="J149" s="19" t="s">
        <v>504</v>
      </c>
      <c r="K149" s="20">
        <v>40347</v>
      </c>
      <c r="L149" s="19">
        <v>0.5</v>
      </c>
    </row>
    <row r="150" spans="1:16" ht="30" x14ac:dyDescent="0.25">
      <c r="A150" s="19" t="s">
        <v>2671</v>
      </c>
      <c r="B150" s="19" t="s">
        <v>3055</v>
      </c>
      <c r="C150" s="19" t="s">
        <v>460</v>
      </c>
      <c r="D150" s="19" t="s">
        <v>3056</v>
      </c>
      <c r="E150" s="31" t="s">
        <v>518</v>
      </c>
      <c r="F150" s="19" t="s">
        <v>341</v>
      </c>
      <c r="H150" s="26">
        <v>1</v>
      </c>
      <c r="I150" s="7" t="s">
        <v>2706</v>
      </c>
      <c r="J150" s="19" t="s">
        <v>14</v>
      </c>
      <c r="K150" s="20">
        <v>40351</v>
      </c>
      <c r="L150" s="19">
        <v>1</v>
      </c>
      <c r="P150" s="19" t="s">
        <v>2774</v>
      </c>
    </row>
    <row r="151" spans="1:16" x14ac:dyDescent="0.25">
      <c r="A151" s="19" t="s">
        <v>2310</v>
      </c>
      <c r="B151" s="19" t="s">
        <v>2426</v>
      </c>
      <c r="C151" s="19" t="s">
        <v>1321</v>
      </c>
      <c r="D151" s="19" t="s">
        <v>2415</v>
      </c>
      <c r="E151" s="31" t="s">
        <v>518</v>
      </c>
      <c r="F151" s="19" t="s">
        <v>340</v>
      </c>
      <c r="I151" s="7" t="s">
        <v>2706</v>
      </c>
      <c r="K151" s="20">
        <v>40354</v>
      </c>
    </row>
    <row r="152" spans="1:16" ht="30" x14ac:dyDescent="0.25">
      <c r="A152" s="19" t="s">
        <v>2672</v>
      </c>
      <c r="B152" s="19" t="s">
        <v>3809</v>
      </c>
      <c r="C152" s="19" t="s">
        <v>460</v>
      </c>
      <c r="D152" s="19" t="s">
        <v>3810</v>
      </c>
      <c r="E152" s="31" t="s">
        <v>518</v>
      </c>
      <c r="F152" s="19" t="s">
        <v>342</v>
      </c>
      <c r="H152" s="26">
        <v>1</v>
      </c>
      <c r="I152" s="7" t="s">
        <v>2706</v>
      </c>
      <c r="J152" s="19" t="s">
        <v>14</v>
      </c>
      <c r="K152" s="20">
        <v>40352</v>
      </c>
      <c r="L152" s="19">
        <v>1</v>
      </c>
      <c r="P152" s="19" t="s">
        <v>2774</v>
      </c>
    </row>
    <row r="153" spans="1:16" ht="75" x14ac:dyDescent="0.25">
      <c r="A153" s="19" t="s">
        <v>1297</v>
      </c>
      <c r="B153" s="19" t="s">
        <v>560</v>
      </c>
      <c r="C153" s="19" t="s">
        <v>39</v>
      </c>
      <c r="D153" s="19" t="s">
        <v>561</v>
      </c>
      <c r="E153" s="31" t="s">
        <v>518</v>
      </c>
      <c r="F153" s="19" t="s">
        <v>340</v>
      </c>
      <c r="G153" s="19" t="s">
        <v>1293</v>
      </c>
      <c r="H153" s="19">
        <v>1</v>
      </c>
      <c r="I153" s="7" t="s">
        <v>2706</v>
      </c>
      <c r="J153" s="19" t="s">
        <v>14</v>
      </c>
      <c r="K153" s="20">
        <v>40340</v>
      </c>
      <c r="L153" s="19">
        <v>1</v>
      </c>
      <c r="N153" s="19" t="s">
        <v>1197</v>
      </c>
      <c r="O153" s="35" t="s">
        <v>1117</v>
      </c>
      <c r="P153" s="19" t="s">
        <v>2774</v>
      </c>
    </row>
    <row r="154" spans="1:16" ht="30" x14ac:dyDescent="0.25">
      <c r="A154" s="19" t="s">
        <v>2324</v>
      </c>
      <c r="B154" s="19" t="s">
        <v>2707</v>
      </c>
      <c r="C154" s="19" t="s">
        <v>39</v>
      </c>
      <c r="D154" s="19" t="s">
        <v>1182</v>
      </c>
      <c r="E154" s="31" t="s">
        <v>518</v>
      </c>
      <c r="F154" s="19" t="s">
        <v>340</v>
      </c>
      <c r="H154" s="19">
        <v>3</v>
      </c>
      <c r="I154" s="7" t="s">
        <v>2706</v>
      </c>
      <c r="K154" s="20">
        <v>40354</v>
      </c>
    </row>
    <row r="155" spans="1:16" ht="45" x14ac:dyDescent="0.25">
      <c r="A155" s="19" t="s">
        <v>2325</v>
      </c>
      <c r="B155" s="19" t="s">
        <v>3823</v>
      </c>
      <c r="C155" s="19" t="s">
        <v>46</v>
      </c>
      <c r="D155" s="19" t="s">
        <v>2708</v>
      </c>
      <c r="E155" s="31" t="s">
        <v>518</v>
      </c>
      <c r="F155" s="19" t="s">
        <v>341</v>
      </c>
      <c r="H155" s="19">
        <v>1</v>
      </c>
      <c r="I155" s="7" t="s">
        <v>2706</v>
      </c>
      <c r="J155" s="19" t="s">
        <v>502</v>
      </c>
      <c r="K155" s="20">
        <v>40347</v>
      </c>
    </row>
    <row r="156" spans="1:16" x14ac:dyDescent="0.25">
      <c r="A156" s="19" t="s">
        <v>2314</v>
      </c>
      <c r="B156" s="19" t="s">
        <v>2650</v>
      </c>
      <c r="C156" s="19" t="s">
        <v>39</v>
      </c>
      <c r="D156" s="19" t="s">
        <v>2651</v>
      </c>
      <c r="E156" s="31" t="s">
        <v>518</v>
      </c>
      <c r="F156" s="19" t="s">
        <v>340</v>
      </c>
      <c r="H156" s="19">
        <v>0.5</v>
      </c>
      <c r="I156" s="7" t="s">
        <v>2706</v>
      </c>
      <c r="J156" s="19" t="s">
        <v>506</v>
      </c>
      <c r="K156" s="20">
        <v>40353</v>
      </c>
      <c r="L156" s="19">
        <v>0.5</v>
      </c>
    </row>
    <row r="157" spans="1:16" ht="75" x14ac:dyDescent="0.25">
      <c r="A157" s="19" t="s">
        <v>2669</v>
      </c>
      <c r="B157" s="19" t="s">
        <v>2751</v>
      </c>
      <c r="C157" s="19" t="s">
        <v>460</v>
      </c>
      <c r="D157" s="19" t="s">
        <v>2753</v>
      </c>
      <c r="E157" s="29" t="s">
        <v>986</v>
      </c>
      <c r="F157" s="19" t="s">
        <v>341</v>
      </c>
      <c r="I157" s="19" t="s">
        <v>33</v>
      </c>
      <c r="N157" s="19" t="s">
        <v>2752</v>
      </c>
    </row>
    <row r="158" spans="1:16" ht="30" x14ac:dyDescent="0.25">
      <c r="A158" s="19" t="s">
        <v>1219</v>
      </c>
      <c r="B158" s="19" t="s">
        <v>1746</v>
      </c>
      <c r="C158" s="19" t="s">
        <v>39</v>
      </c>
      <c r="D158" s="19" t="s">
        <v>1747</v>
      </c>
      <c r="E158" s="31" t="s">
        <v>518</v>
      </c>
      <c r="F158" s="19" t="s">
        <v>341</v>
      </c>
      <c r="G158" s="19" t="s">
        <v>1756</v>
      </c>
      <c r="H158" s="19">
        <v>3</v>
      </c>
      <c r="I158" s="7" t="s">
        <v>2556</v>
      </c>
      <c r="J158" s="19" t="s">
        <v>504</v>
      </c>
      <c r="K158" s="20">
        <v>40380</v>
      </c>
      <c r="L158" s="19">
        <v>4</v>
      </c>
    </row>
    <row r="159" spans="1:16" ht="45" x14ac:dyDescent="0.25">
      <c r="A159" s="19" t="s">
        <v>2038</v>
      </c>
      <c r="B159" s="26" t="s">
        <v>3824</v>
      </c>
      <c r="C159" s="7" t="s">
        <v>46</v>
      </c>
      <c r="D159" s="7" t="s">
        <v>2092</v>
      </c>
      <c r="E159" s="31" t="s">
        <v>518</v>
      </c>
      <c r="F159" s="19" t="s">
        <v>342</v>
      </c>
      <c r="G159" s="19" t="s">
        <v>1295</v>
      </c>
      <c r="H159" s="19">
        <v>5</v>
      </c>
      <c r="I159" s="7" t="s">
        <v>2556</v>
      </c>
      <c r="J159" s="19" t="s">
        <v>502</v>
      </c>
      <c r="K159" s="20">
        <v>40364</v>
      </c>
      <c r="L159" s="19">
        <v>4.5</v>
      </c>
    </row>
    <row r="160" spans="1:16" ht="60" x14ac:dyDescent="0.25">
      <c r="A160" s="19" t="s">
        <v>2676</v>
      </c>
      <c r="B160" s="19" t="s">
        <v>2551</v>
      </c>
      <c r="C160" s="19" t="s">
        <v>39</v>
      </c>
      <c r="D160" s="19" t="s">
        <v>3898</v>
      </c>
      <c r="E160" s="31" t="s">
        <v>518</v>
      </c>
      <c r="F160" s="19" t="s">
        <v>341</v>
      </c>
      <c r="H160" s="19">
        <v>1</v>
      </c>
      <c r="I160" s="7" t="s">
        <v>2556</v>
      </c>
      <c r="J160" s="19" t="s">
        <v>14</v>
      </c>
      <c r="K160" s="20">
        <v>40360</v>
      </c>
      <c r="L160" s="19">
        <v>1</v>
      </c>
    </row>
    <row r="161" spans="1:16" ht="45" x14ac:dyDescent="0.25">
      <c r="A161" s="19" t="s">
        <v>2323</v>
      </c>
      <c r="B161" s="19" t="s">
        <v>2704</v>
      </c>
      <c r="C161" s="19" t="s">
        <v>46</v>
      </c>
      <c r="D161" s="19" t="s">
        <v>2705</v>
      </c>
      <c r="E161" s="31" t="s">
        <v>518</v>
      </c>
      <c r="F161" s="19" t="s">
        <v>341</v>
      </c>
      <c r="H161" s="19">
        <v>3</v>
      </c>
      <c r="I161" s="7" t="s">
        <v>2556</v>
      </c>
      <c r="J161" s="19" t="s">
        <v>502</v>
      </c>
      <c r="K161" s="20">
        <v>40380</v>
      </c>
    </row>
    <row r="162" spans="1:16" ht="30" x14ac:dyDescent="0.25">
      <c r="A162" s="19" t="s">
        <v>2673</v>
      </c>
      <c r="B162" s="19" t="s">
        <v>2518</v>
      </c>
      <c r="C162" s="19" t="s">
        <v>39</v>
      </c>
      <c r="D162" s="19" t="s">
        <v>1182</v>
      </c>
      <c r="E162" s="31" t="s">
        <v>518</v>
      </c>
      <c r="F162" s="19" t="s">
        <v>342</v>
      </c>
      <c r="H162" s="19">
        <v>2</v>
      </c>
      <c r="I162" s="7" t="s">
        <v>2556</v>
      </c>
    </row>
    <row r="163" spans="1:16" x14ac:dyDescent="0.25">
      <c r="A163" s="19" t="s">
        <v>2674</v>
      </c>
      <c r="B163" s="19" t="s">
        <v>2544</v>
      </c>
      <c r="C163" s="19" t="s">
        <v>1321</v>
      </c>
      <c r="D163" s="19" t="s">
        <v>2415</v>
      </c>
      <c r="E163" s="31" t="s">
        <v>518</v>
      </c>
      <c r="F163" s="19" t="s">
        <v>340</v>
      </c>
      <c r="I163" s="7" t="s">
        <v>2556</v>
      </c>
    </row>
    <row r="164" spans="1:16" ht="30" x14ac:dyDescent="0.25">
      <c r="A164" s="19" t="s">
        <v>2320</v>
      </c>
      <c r="B164" s="19" t="s">
        <v>2664</v>
      </c>
      <c r="C164" s="19" t="s">
        <v>2658</v>
      </c>
      <c r="D164" s="19" t="s">
        <v>2665</v>
      </c>
      <c r="E164" s="29" t="s">
        <v>986</v>
      </c>
      <c r="F164" s="19" t="s">
        <v>341</v>
      </c>
      <c r="H164" s="19">
        <v>2</v>
      </c>
      <c r="I164" s="19" t="s">
        <v>33</v>
      </c>
    </row>
    <row r="165" spans="1:16" ht="30" x14ac:dyDescent="0.25">
      <c r="A165" s="19" t="s">
        <v>2321</v>
      </c>
      <c r="B165" s="19" t="s">
        <v>3825</v>
      </c>
      <c r="C165" s="19" t="s">
        <v>2658</v>
      </c>
      <c r="D165" s="19" t="s">
        <v>2666</v>
      </c>
      <c r="E165" s="29" t="s">
        <v>986</v>
      </c>
      <c r="F165" s="19" t="s">
        <v>342</v>
      </c>
      <c r="H165" s="19">
        <v>3</v>
      </c>
      <c r="I165" s="19" t="s">
        <v>33</v>
      </c>
    </row>
    <row r="166" spans="1:16" ht="30" x14ac:dyDescent="0.25">
      <c r="A166" s="19" t="s">
        <v>2322</v>
      </c>
      <c r="B166" s="19" t="s">
        <v>3826</v>
      </c>
      <c r="C166" s="19" t="s">
        <v>2658</v>
      </c>
      <c r="D166" s="19" t="s">
        <v>2667</v>
      </c>
      <c r="E166" s="29" t="s">
        <v>986</v>
      </c>
      <c r="F166" s="19" t="s">
        <v>342</v>
      </c>
      <c r="H166" s="19">
        <v>1</v>
      </c>
      <c r="I166" s="19" t="s">
        <v>33</v>
      </c>
    </row>
    <row r="167" spans="1:16" ht="60" x14ac:dyDescent="0.25">
      <c r="A167" s="2" t="s">
        <v>347</v>
      </c>
      <c r="B167" s="2" t="s">
        <v>743</v>
      </c>
      <c r="C167" s="2" t="s">
        <v>46</v>
      </c>
      <c r="D167" s="2" t="s">
        <v>744</v>
      </c>
      <c r="E167" s="27" t="s">
        <v>2462</v>
      </c>
      <c r="F167" s="7" t="s">
        <v>340</v>
      </c>
      <c r="G167" s="19" t="s">
        <v>429</v>
      </c>
      <c r="H167" s="19">
        <v>6</v>
      </c>
      <c r="I167" s="7" t="s">
        <v>1399</v>
      </c>
      <c r="J167" s="19" t="s">
        <v>1092</v>
      </c>
      <c r="K167" s="20">
        <v>40254</v>
      </c>
      <c r="L167" s="19">
        <v>3.5</v>
      </c>
      <c r="N167" s="19" t="s">
        <v>1091</v>
      </c>
    </row>
    <row r="168" spans="1:16" ht="45" x14ac:dyDescent="0.25">
      <c r="A168" s="2" t="s">
        <v>346</v>
      </c>
      <c r="B168" s="2" t="s">
        <v>3486</v>
      </c>
      <c r="C168" s="2" t="s">
        <v>46</v>
      </c>
      <c r="D168" s="2" t="s">
        <v>742</v>
      </c>
      <c r="E168" s="27" t="s">
        <v>2462</v>
      </c>
      <c r="F168" s="7" t="s">
        <v>340</v>
      </c>
      <c r="G168" s="19" t="s">
        <v>1327</v>
      </c>
      <c r="H168" s="19">
        <v>12</v>
      </c>
      <c r="I168" s="7" t="s">
        <v>1399</v>
      </c>
      <c r="J168" s="19" t="s">
        <v>502</v>
      </c>
      <c r="K168" s="20">
        <v>40267</v>
      </c>
      <c r="O168" s="43" t="s">
        <v>2351</v>
      </c>
    </row>
    <row r="169" spans="1:16" ht="60" x14ac:dyDescent="0.25">
      <c r="A169" s="7" t="s">
        <v>642</v>
      </c>
      <c r="B169" s="2" t="s">
        <v>746</v>
      </c>
      <c r="C169" s="2" t="s">
        <v>46</v>
      </c>
      <c r="D169" s="2" t="s">
        <v>3941</v>
      </c>
      <c r="E169" s="30" t="s">
        <v>3103</v>
      </c>
      <c r="F169" s="7" t="s">
        <v>342</v>
      </c>
      <c r="G169" s="7" t="s">
        <v>782</v>
      </c>
      <c r="H169" s="19">
        <v>4</v>
      </c>
      <c r="I169" s="7" t="s">
        <v>344</v>
      </c>
      <c r="J169" s="19" t="s">
        <v>505</v>
      </c>
      <c r="K169" s="20">
        <v>40221</v>
      </c>
      <c r="L169" s="20"/>
      <c r="M169" s="20"/>
    </row>
    <row r="170" spans="1:16" ht="45" x14ac:dyDescent="0.25">
      <c r="A170" s="19" t="s">
        <v>2050</v>
      </c>
      <c r="B170" s="19" t="s">
        <v>1464</v>
      </c>
      <c r="C170" s="19" t="s">
        <v>39</v>
      </c>
      <c r="D170" s="19" t="s">
        <v>1465</v>
      </c>
      <c r="E170" s="30" t="s">
        <v>3103</v>
      </c>
      <c r="F170" s="19" t="s">
        <v>340</v>
      </c>
      <c r="H170" s="19">
        <v>2</v>
      </c>
      <c r="I170" s="7" t="s">
        <v>2007</v>
      </c>
      <c r="J170" s="19" t="s">
        <v>14</v>
      </c>
      <c r="K170" s="20">
        <v>40297</v>
      </c>
      <c r="L170" s="19">
        <v>1</v>
      </c>
    </row>
    <row r="171" spans="1:16" ht="45" x14ac:dyDescent="0.25">
      <c r="A171" s="19" t="s">
        <v>2055</v>
      </c>
      <c r="B171" s="19" t="s">
        <v>1793</v>
      </c>
      <c r="C171" s="19" t="s">
        <v>39</v>
      </c>
      <c r="D171" s="19" t="s">
        <v>1465</v>
      </c>
      <c r="E171" s="30" t="s">
        <v>3103</v>
      </c>
      <c r="F171" s="19" t="s">
        <v>341</v>
      </c>
      <c r="H171" s="26">
        <v>0.5</v>
      </c>
      <c r="I171" s="7" t="s">
        <v>2007</v>
      </c>
      <c r="J171" s="19" t="s">
        <v>14</v>
      </c>
      <c r="K171" s="20">
        <v>40298</v>
      </c>
      <c r="L171" s="19">
        <v>0</v>
      </c>
    </row>
    <row r="172" spans="1:16" ht="60" x14ac:dyDescent="0.25">
      <c r="A172" s="19" t="s">
        <v>2042</v>
      </c>
      <c r="B172" s="19" t="s">
        <v>3827</v>
      </c>
      <c r="C172" s="19" t="s">
        <v>39</v>
      </c>
      <c r="D172" s="19" t="s">
        <v>2129</v>
      </c>
      <c r="E172" s="30" t="s">
        <v>3103</v>
      </c>
      <c r="F172" s="19" t="s">
        <v>341</v>
      </c>
      <c r="G172" s="19" t="s">
        <v>1214</v>
      </c>
      <c r="H172" s="19">
        <v>3</v>
      </c>
      <c r="I172" s="7" t="s">
        <v>2221</v>
      </c>
      <c r="J172" s="19" t="s">
        <v>504</v>
      </c>
      <c r="K172" s="20">
        <v>40330</v>
      </c>
      <c r="L172" s="19">
        <v>0.5</v>
      </c>
      <c r="O172" s="43" t="s">
        <v>2351</v>
      </c>
      <c r="P172" s="19" t="s">
        <v>506</v>
      </c>
    </row>
    <row r="173" spans="1:16" ht="30" x14ac:dyDescent="0.25">
      <c r="A173" s="19" t="s">
        <v>2311</v>
      </c>
      <c r="B173" s="19" t="s">
        <v>2629</v>
      </c>
      <c r="C173" s="19" t="s">
        <v>39</v>
      </c>
      <c r="D173" s="19" t="s">
        <v>2630</v>
      </c>
      <c r="E173" s="30" t="s">
        <v>3103</v>
      </c>
      <c r="F173" s="19" t="s">
        <v>340</v>
      </c>
      <c r="H173" s="19">
        <v>2</v>
      </c>
      <c r="I173" s="7" t="s">
        <v>2706</v>
      </c>
      <c r="J173" s="19" t="s">
        <v>14</v>
      </c>
      <c r="K173" s="20">
        <v>40346</v>
      </c>
      <c r="L173" s="19">
        <v>1</v>
      </c>
      <c r="P173" s="19" t="s">
        <v>2774</v>
      </c>
    </row>
    <row r="174" spans="1:16" ht="60" x14ac:dyDescent="0.25">
      <c r="A174" s="19" t="s">
        <v>1294</v>
      </c>
      <c r="B174" s="19" t="s">
        <v>3500</v>
      </c>
      <c r="C174" s="2" t="s">
        <v>46</v>
      </c>
      <c r="D174" s="2" t="s">
        <v>2123</v>
      </c>
      <c r="E174" s="30" t="s">
        <v>3103</v>
      </c>
      <c r="F174" s="19" t="s">
        <v>340</v>
      </c>
      <c r="G174" s="19" t="s">
        <v>2041</v>
      </c>
      <c r="H174" s="19">
        <v>2</v>
      </c>
      <c r="I174" s="7" t="s">
        <v>2706</v>
      </c>
      <c r="J174" s="19" t="s">
        <v>502</v>
      </c>
      <c r="K174" s="20">
        <v>40339</v>
      </c>
      <c r="O174" s="43" t="s">
        <v>2351</v>
      </c>
    </row>
    <row r="175" spans="1:16" ht="60" x14ac:dyDescent="0.25">
      <c r="A175" s="19" t="s">
        <v>1295</v>
      </c>
      <c r="B175" s="19" t="s">
        <v>3503</v>
      </c>
      <c r="C175" s="2" t="s">
        <v>46</v>
      </c>
      <c r="D175" s="2" t="s">
        <v>2123</v>
      </c>
      <c r="E175" s="30" t="s">
        <v>3103</v>
      </c>
      <c r="F175" s="19" t="s">
        <v>340</v>
      </c>
      <c r="G175" s="19" t="s">
        <v>1294</v>
      </c>
      <c r="H175" s="19">
        <v>7</v>
      </c>
      <c r="I175" s="7" t="s">
        <v>2706</v>
      </c>
      <c r="J175" s="19" t="s">
        <v>502</v>
      </c>
      <c r="K175" s="20">
        <v>40352</v>
      </c>
      <c r="O175" s="43" t="s">
        <v>2351</v>
      </c>
    </row>
    <row r="176" spans="1:16" ht="30" x14ac:dyDescent="0.25">
      <c r="A176" s="19" t="s">
        <v>1892</v>
      </c>
      <c r="B176" s="19" t="s">
        <v>1905</v>
      </c>
      <c r="C176" s="19" t="s">
        <v>39</v>
      </c>
      <c r="D176" s="19" t="s">
        <v>1906</v>
      </c>
      <c r="E176" s="30" t="s">
        <v>3103</v>
      </c>
      <c r="F176" s="19" t="s">
        <v>341</v>
      </c>
      <c r="H176" s="19">
        <v>2</v>
      </c>
      <c r="I176" s="7" t="s">
        <v>2706</v>
      </c>
      <c r="J176" s="19" t="s">
        <v>1092</v>
      </c>
      <c r="K176" s="20">
        <v>40354</v>
      </c>
    </row>
    <row r="177" spans="1:16" ht="45" x14ac:dyDescent="0.25">
      <c r="A177" s="19" t="s">
        <v>2668</v>
      </c>
      <c r="B177" s="19" t="s">
        <v>3819</v>
      </c>
      <c r="C177" s="19" t="s">
        <v>460</v>
      </c>
      <c r="D177" s="19" t="s">
        <v>2742</v>
      </c>
      <c r="E177" s="30" t="s">
        <v>3103</v>
      </c>
      <c r="F177" s="19" t="s">
        <v>342</v>
      </c>
      <c r="H177" s="19">
        <v>1</v>
      </c>
      <c r="I177" s="7" t="s">
        <v>2556</v>
      </c>
      <c r="J177" s="19" t="s">
        <v>14</v>
      </c>
      <c r="K177" s="20">
        <v>40359</v>
      </c>
      <c r="L177" s="19">
        <v>1</v>
      </c>
    </row>
    <row r="178" spans="1:16" x14ac:dyDescent="0.25">
      <c r="A178" s="19" t="s">
        <v>2679</v>
      </c>
      <c r="B178" s="19" t="s">
        <v>2978</v>
      </c>
      <c r="C178" s="19" t="s">
        <v>1321</v>
      </c>
      <c r="D178" s="19" t="s">
        <v>2415</v>
      </c>
      <c r="E178" s="30" t="s">
        <v>2824</v>
      </c>
      <c r="I178" s="37"/>
    </row>
    <row r="179" spans="1:16" ht="30" x14ac:dyDescent="0.25">
      <c r="A179" s="19" t="s">
        <v>2678</v>
      </c>
      <c r="B179" s="19" t="s">
        <v>2974</v>
      </c>
      <c r="C179" s="19" t="s">
        <v>39</v>
      </c>
      <c r="D179" s="19" t="s">
        <v>1182</v>
      </c>
      <c r="E179" s="13" t="s">
        <v>328</v>
      </c>
      <c r="F179" s="19" t="s">
        <v>342</v>
      </c>
      <c r="I179" s="37"/>
    </row>
    <row r="180" spans="1:16" x14ac:dyDescent="0.25">
      <c r="A180" s="19" t="s">
        <v>1898</v>
      </c>
      <c r="B180" s="19" t="s">
        <v>3743</v>
      </c>
      <c r="C180" s="19" t="s">
        <v>3848</v>
      </c>
      <c r="D180" s="19" t="s">
        <v>3744</v>
      </c>
      <c r="E180" s="13" t="s">
        <v>328</v>
      </c>
      <c r="F180" s="19" t="s">
        <v>340</v>
      </c>
      <c r="H180" s="19">
        <v>1.5</v>
      </c>
      <c r="I180" s="37"/>
    </row>
    <row r="181" spans="1:16" ht="45" x14ac:dyDescent="0.25">
      <c r="A181" s="19" t="s">
        <v>1899</v>
      </c>
      <c r="B181" s="19" t="s">
        <v>3745</v>
      </c>
      <c r="C181" s="19" t="s">
        <v>46</v>
      </c>
      <c r="D181" s="19" t="s">
        <v>2196</v>
      </c>
      <c r="E181" s="13" t="s">
        <v>328</v>
      </c>
      <c r="F181" s="19" t="s">
        <v>340</v>
      </c>
      <c r="H181" s="19">
        <v>1</v>
      </c>
      <c r="I181" s="37"/>
    </row>
    <row r="182" spans="1:16" ht="45" x14ac:dyDescent="0.25">
      <c r="A182" s="19" t="s">
        <v>1900</v>
      </c>
      <c r="B182" s="19" t="s">
        <v>3746</v>
      </c>
      <c r="C182" s="19" t="s">
        <v>460</v>
      </c>
      <c r="D182" s="19" t="s">
        <v>3747</v>
      </c>
      <c r="E182" s="13" t="s">
        <v>328</v>
      </c>
      <c r="F182" s="19" t="s">
        <v>340</v>
      </c>
      <c r="H182" s="19">
        <v>2</v>
      </c>
      <c r="I182" s="37"/>
    </row>
    <row r="183" spans="1:16" ht="30" x14ac:dyDescent="0.25">
      <c r="A183" s="19" t="s">
        <v>2313</v>
      </c>
      <c r="B183" s="19" t="s">
        <v>2648</v>
      </c>
      <c r="C183" s="19" t="s">
        <v>39</v>
      </c>
      <c r="D183" s="19" t="s">
        <v>2649</v>
      </c>
      <c r="E183" s="13" t="s">
        <v>328</v>
      </c>
      <c r="F183" s="19" t="s">
        <v>341</v>
      </c>
      <c r="H183" s="19">
        <v>2</v>
      </c>
      <c r="I183" s="37"/>
      <c r="K183" s="20"/>
      <c r="P183" s="19" t="s">
        <v>2983</v>
      </c>
    </row>
    <row r="184" spans="1:16" ht="30" x14ac:dyDescent="0.25">
      <c r="A184" s="19" t="s">
        <v>2317</v>
      </c>
      <c r="B184" s="19" t="s">
        <v>2656</v>
      </c>
      <c r="C184" s="19" t="s">
        <v>1059</v>
      </c>
      <c r="D184" s="19" t="s">
        <v>2657</v>
      </c>
      <c r="E184" s="13" t="s">
        <v>328</v>
      </c>
      <c r="F184" s="19" t="s">
        <v>341</v>
      </c>
      <c r="H184" s="19">
        <v>0.5</v>
      </c>
      <c r="I184" s="37"/>
      <c r="K184" s="20"/>
      <c r="P184" s="19" t="s">
        <v>2983</v>
      </c>
    </row>
    <row r="185" spans="1:16" ht="30" x14ac:dyDescent="0.25">
      <c r="A185" s="19" t="s">
        <v>2318</v>
      </c>
      <c r="B185" s="19" t="s">
        <v>2660</v>
      </c>
      <c r="C185" s="19" t="s">
        <v>2658</v>
      </c>
      <c r="D185" s="19" t="s">
        <v>2662</v>
      </c>
      <c r="E185" s="13" t="s">
        <v>328</v>
      </c>
      <c r="F185" s="19" t="s">
        <v>341</v>
      </c>
      <c r="H185" s="19">
        <v>2</v>
      </c>
      <c r="I185" s="37"/>
      <c r="K185" s="20"/>
    </row>
    <row r="186" spans="1:16" ht="30" x14ac:dyDescent="0.25">
      <c r="A186" s="19" t="s">
        <v>2319</v>
      </c>
      <c r="B186" s="19" t="s">
        <v>2661</v>
      </c>
      <c r="C186" s="19" t="s">
        <v>2658</v>
      </c>
      <c r="D186" s="19" t="s">
        <v>2663</v>
      </c>
      <c r="E186" s="13" t="s">
        <v>328</v>
      </c>
      <c r="F186" s="19" t="s">
        <v>341</v>
      </c>
      <c r="H186" s="19">
        <v>1</v>
      </c>
      <c r="I186" s="37"/>
      <c r="K186" s="20"/>
    </row>
    <row r="187" spans="1:16" x14ac:dyDescent="0.25">
      <c r="A187" s="19" t="s">
        <v>2315</v>
      </c>
      <c r="B187" s="19" t="s">
        <v>2652</v>
      </c>
      <c r="C187" s="2" t="s">
        <v>3848</v>
      </c>
      <c r="D187" s="19" t="s">
        <v>2653</v>
      </c>
      <c r="E187" s="13" t="s">
        <v>328</v>
      </c>
      <c r="F187" s="19" t="s">
        <v>341</v>
      </c>
      <c r="H187" s="19">
        <v>2</v>
      </c>
      <c r="I187" s="37"/>
    </row>
    <row r="188" spans="1:16" ht="30" x14ac:dyDescent="0.25">
      <c r="A188" s="19" t="s">
        <v>2316</v>
      </c>
      <c r="B188" s="19" t="s">
        <v>2654</v>
      </c>
      <c r="C188" s="2" t="s">
        <v>3848</v>
      </c>
      <c r="D188" s="19" t="s">
        <v>2655</v>
      </c>
      <c r="E188" s="13" t="s">
        <v>328</v>
      </c>
      <c r="F188" s="19" t="s">
        <v>341</v>
      </c>
      <c r="H188" s="19">
        <v>1</v>
      </c>
      <c r="I188" s="37"/>
    </row>
    <row r="189" spans="1:16" ht="60" x14ac:dyDescent="0.25">
      <c r="A189" s="19" t="s">
        <v>2312</v>
      </c>
      <c r="B189" s="19" t="s">
        <v>2647</v>
      </c>
      <c r="C189" s="19" t="s">
        <v>39</v>
      </c>
      <c r="D189" s="19" t="s">
        <v>2805</v>
      </c>
      <c r="E189" s="13" t="s">
        <v>328</v>
      </c>
      <c r="F189" s="19" t="s">
        <v>341</v>
      </c>
      <c r="H189" s="19">
        <v>3</v>
      </c>
      <c r="I189" s="37"/>
    </row>
    <row r="190" spans="1:16" ht="45" x14ac:dyDescent="0.25">
      <c r="A190" s="19" t="s">
        <v>2677</v>
      </c>
      <c r="B190" s="19" t="s">
        <v>3390</v>
      </c>
      <c r="C190" s="19" t="s">
        <v>39</v>
      </c>
      <c r="D190" s="19" t="s">
        <v>3391</v>
      </c>
      <c r="E190" s="13" t="s">
        <v>328</v>
      </c>
      <c r="F190" s="19" t="s">
        <v>341</v>
      </c>
      <c r="H190" s="26">
        <v>3</v>
      </c>
      <c r="I190" s="37"/>
    </row>
    <row r="191" spans="1:16" ht="30" x14ac:dyDescent="0.25">
      <c r="A191" s="19" t="s">
        <v>2054</v>
      </c>
      <c r="B191" s="19" t="s">
        <v>1771</v>
      </c>
      <c r="C191" s="19" t="s">
        <v>39</v>
      </c>
      <c r="D191" s="19" t="s">
        <v>1772</v>
      </c>
      <c r="E191" s="12" t="s">
        <v>329</v>
      </c>
      <c r="F191" s="19" t="s">
        <v>342</v>
      </c>
      <c r="H191" s="26">
        <v>2</v>
      </c>
      <c r="I191" s="37"/>
    </row>
    <row r="192" spans="1:16" ht="30" x14ac:dyDescent="0.25">
      <c r="A192" s="19" t="s">
        <v>2675</v>
      </c>
      <c r="B192" s="19" t="s">
        <v>2549</v>
      </c>
      <c r="C192" s="19" t="s">
        <v>39</v>
      </c>
      <c r="D192" s="19" t="s">
        <v>2550</v>
      </c>
      <c r="E192" s="13" t="s">
        <v>328</v>
      </c>
      <c r="F192" s="19" t="s">
        <v>342</v>
      </c>
      <c r="H192" s="19">
        <v>1</v>
      </c>
      <c r="I192" s="37"/>
    </row>
    <row r="193" spans="1:15" ht="60" x14ac:dyDescent="0.25">
      <c r="A193" s="19" t="s">
        <v>2052</v>
      </c>
      <c r="B193" s="19" t="s">
        <v>1754</v>
      </c>
      <c r="C193" s="19" t="s">
        <v>39</v>
      </c>
      <c r="D193" s="19" t="s">
        <v>1755</v>
      </c>
      <c r="E193" s="13" t="s">
        <v>328</v>
      </c>
      <c r="F193" s="19" t="s">
        <v>342</v>
      </c>
      <c r="G193" s="19" t="s">
        <v>1219</v>
      </c>
      <c r="H193" s="26">
        <v>3</v>
      </c>
      <c r="I193" s="37"/>
      <c r="J193" s="19" t="s">
        <v>504</v>
      </c>
    </row>
    <row r="194" spans="1:15" ht="45" x14ac:dyDescent="0.25">
      <c r="A194" s="2" t="s">
        <v>241</v>
      </c>
      <c r="B194" s="2" t="s">
        <v>49</v>
      </c>
      <c r="C194" s="2" t="s">
        <v>3848</v>
      </c>
      <c r="D194" s="2" t="s">
        <v>52</v>
      </c>
      <c r="E194" s="13" t="s">
        <v>328</v>
      </c>
      <c r="F194" s="7" t="s">
        <v>341</v>
      </c>
      <c r="G194" s="7"/>
      <c r="I194" s="37"/>
    </row>
    <row r="195" spans="1:15" ht="45" x14ac:dyDescent="0.25">
      <c r="A195" s="2" t="s">
        <v>242</v>
      </c>
      <c r="B195" s="2" t="s">
        <v>50</v>
      </c>
      <c r="C195" s="2" t="s">
        <v>3848</v>
      </c>
      <c r="D195" s="2" t="s">
        <v>53</v>
      </c>
      <c r="E195" s="13" t="s">
        <v>328</v>
      </c>
      <c r="F195" s="7" t="s">
        <v>342</v>
      </c>
      <c r="G195" s="7"/>
      <c r="I195" s="37"/>
    </row>
    <row r="196" spans="1:15" ht="30" x14ac:dyDescent="0.25">
      <c r="A196" s="2" t="s">
        <v>243</v>
      </c>
      <c r="B196" s="2" t="s">
        <v>69</v>
      </c>
      <c r="C196" s="2" t="s">
        <v>460</v>
      </c>
      <c r="D196" s="2" t="s">
        <v>70</v>
      </c>
      <c r="E196" s="13" t="s">
        <v>328</v>
      </c>
      <c r="F196" s="7" t="s">
        <v>341</v>
      </c>
      <c r="G196" s="7" t="s">
        <v>450</v>
      </c>
      <c r="I196" s="37"/>
    </row>
    <row r="197" spans="1:15" ht="60" x14ac:dyDescent="0.25">
      <c r="A197" s="2" t="s">
        <v>244</v>
      </c>
      <c r="B197" s="2" t="s">
        <v>66</v>
      </c>
      <c r="C197" s="2" t="s">
        <v>43</v>
      </c>
      <c r="D197" s="2" t="s">
        <v>67</v>
      </c>
      <c r="E197" s="13" t="s">
        <v>328</v>
      </c>
      <c r="F197" s="7" t="s">
        <v>341</v>
      </c>
      <c r="G197" s="7" t="s">
        <v>450</v>
      </c>
      <c r="I197" s="37"/>
    </row>
    <row r="198" spans="1:15" ht="30" x14ac:dyDescent="0.25">
      <c r="A198" s="19" t="s">
        <v>2058</v>
      </c>
      <c r="B198" s="19" t="s">
        <v>3789</v>
      </c>
      <c r="C198" s="7" t="s">
        <v>39</v>
      </c>
      <c r="D198" s="19" t="s">
        <v>1818</v>
      </c>
      <c r="E198" s="13" t="s">
        <v>328</v>
      </c>
      <c r="F198" s="19" t="s">
        <v>342</v>
      </c>
      <c r="H198" s="19">
        <v>5</v>
      </c>
      <c r="I198" s="37"/>
    </row>
    <row r="199" spans="1:15" ht="45" x14ac:dyDescent="0.25">
      <c r="A199" s="2" t="s">
        <v>236</v>
      </c>
      <c r="B199" s="2" t="s">
        <v>62</v>
      </c>
      <c r="C199" s="2" t="s">
        <v>460</v>
      </c>
      <c r="D199" s="2" t="s">
        <v>63</v>
      </c>
      <c r="E199" s="13" t="s">
        <v>328</v>
      </c>
      <c r="F199" s="7" t="s">
        <v>341</v>
      </c>
      <c r="G199" s="7"/>
      <c r="I199" s="37"/>
    </row>
    <row r="200" spans="1:15" ht="30" x14ac:dyDescent="0.25">
      <c r="A200" s="2" t="s">
        <v>249</v>
      </c>
      <c r="B200" s="2" t="s">
        <v>3477</v>
      </c>
      <c r="C200" s="2" t="s">
        <v>460</v>
      </c>
      <c r="D200" s="2" t="s">
        <v>75</v>
      </c>
      <c r="E200" s="12" t="s">
        <v>329</v>
      </c>
      <c r="F200" s="7" t="s">
        <v>342</v>
      </c>
      <c r="I200" s="37"/>
    </row>
    <row r="201" spans="1:15" ht="30" x14ac:dyDescent="0.25">
      <c r="A201" s="2" t="s">
        <v>252</v>
      </c>
      <c r="B201" s="2" t="s">
        <v>124</v>
      </c>
      <c r="C201" s="2" t="s">
        <v>460</v>
      </c>
      <c r="D201" s="2" t="s">
        <v>630</v>
      </c>
      <c r="E201" s="12" t="s">
        <v>329</v>
      </c>
      <c r="F201" s="4" t="s">
        <v>31</v>
      </c>
      <c r="I201" s="37"/>
    </row>
    <row r="202" spans="1:15" ht="30" x14ac:dyDescent="0.25">
      <c r="A202" s="2" t="s">
        <v>253</v>
      </c>
      <c r="B202" s="2" t="s">
        <v>125</v>
      </c>
      <c r="C202" s="2" t="s">
        <v>3848</v>
      </c>
      <c r="D202" s="2" t="s">
        <v>631</v>
      </c>
      <c r="E202" s="12" t="s">
        <v>329</v>
      </c>
      <c r="F202" s="4" t="s">
        <v>31</v>
      </c>
      <c r="I202" s="37"/>
    </row>
    <row r="203" spans="1:15" ht="45" x14ac:dyDescent="0.25">
      <c r="A203" s="2" t="s">
        <v>337</v>
      </c>
      <c r="B203" s="2" t="s">
        <v>669</v>
      </c>
      <c r="C203" s="2" t="s">
        <v>3848</v>
      </c>
      <c r="D203" s="2" t="s">
        <v>670</v>
      </c>
      <c r="E203" s="12" t="s">
        <v>329</v>
      </c>
      <c r="F203" s="7" t="s">
        <v>342</v>
      </c>
      <c r="H203" s="7"/>
      <c r="I203" s="37"/>
      <c r="J203" s="7"/>
    </row>
    <row r="204" spans="1:15" ht="45" x14ac:dyDescent="0.25">
      <c r="A204" s="2" t="s">
        <v>777</v>
      </c>
      <c r="B204" s="19" t="s">
        <v>802</v>
      </c>
      <c r="C204" s="7" t="s">
        <v>39</v>
      </c>
      <c r="D204" s="19" t="s">
        <v>3702</v>
      </c>
      <c r="E204" s="12" t="s">
        <v>329</v>
      </c>
      <c r="F204" s="7" t="s">
        <v>342</v>
      </c>
      <c r="I204" s="37"/>
    </row>
    <row r="205" spans="1:15" ht="45" x14ac:dyDescent="0.25">
      <c r="A205" s="7" t="s">
        <v>857</v>
      </c>
      <c r="B205" s="19" t="s">
        <v>960</v>
      </c>
      <c r="C205" s="19" t="s">
        <v>39</v>
      </c>
      <c r="D205" s="19" t="s">
        <v>961</v>
      </c>
      <c r="E205" s="13" t="s">
        <v>328</v>
      </c>
      <c r="F205" s="19" t="s">
        <v>341</v>
      </c>
      <c r="H205" s="19">
        <v>1</v>
      </c>
      <c r="I205" s="37"/>
      <c r="O205" s="19" t="s">
        <v>33</v>
      </c>
    </row>
    <row r="206" spans="1:15" ht="45" x14ac:dyDescent="0.25">
      <c r="A206" s="7" t="s">
        <v>1024</v>
      </c>
      <c r="B206" s="7" t="s">
        <v>3535</v>
      </c>
      <c r="C206" s="7" t="s">
        <v>461</v>
      </c>
      <c r="D206" s="7" t="s">
        <v>1036</v>
      </c>
      <c r="E206" s="12" t="s">
        <v>329</v>
      </c>
      <c r="F206" s="19" t="s">
        <v>342</v>
      </c>
      <c r="G206" s="19" t="s">
        <v>1023</v>
      </c>
      <c r="I206" s="37"/>
    </row>
    <row r="207" spans="1:15" ht="45" x14ac:dyDescent="0.25">
      <c r="A207" s="19" t="s">
        <v>1025</v>
      </c>
      <c r="B207" s="19" t="s">
        <v>1041</v>
      </c>
      <c r="C207" s="19" t="s">
        <v>460</v>
      </c>
      <c r="D207" s="19" t="s">
        <v>1042</v>
      </c>
      <c r="E207" s="12" t="s">
        <v>329</v>
      </c>
      <c r="F207" s="19" t="s">
        <v>342</v>
      </c>
      <c r="I207" s="37"/>
    </row>
    <row r="208" spans="1:15" ht="45" x14ac:dyDescent="0.25">
      <c r="A208" s="19" t="s">
        <v>1026</v>
      </c>
      <c r="B208" s="19" t="s">
        <v>1055</v>
      </c>
      <c r="C208" s="19" t="s">
        <v>460</v>
      </c>
      <c r="D208" s="19" t="s">
        <v>1056</v>
      </c>
      <c r="E208" s="12" t="s">
        <v>329</v>
      </c>
      <c r="F208" s="19" t="s">
        <v>342</v>
      </c>
      <c r="I208" s="37"/>
    </row>
    <row r="209" spans="1:10" ht="30" x14ac:dyDescent="0.25">
      <c r="A209" s="19" t="s">
        <v>1206</v>
      </c>
      <c r="B209" s="19" t="s">
        <v>1664</v>
      </c>
      <c r="C209" s="19" t="s">
        <v>1321</v>
      </c>
      <c r="D209" s="19" t="s">
        <v>1665</v>
      </c>
      <c r="E209" s="13" t="s">
        <v>328</v>
      </c>
      <c r="F209" s="19" t="s">
        <v>342</v>
      </c>
      <c r="H209" s="19">
        <v>2</v>
      </c>
      <c r="I209" s="37"/>
      <c r="J209" s="19" t="s">
        <v>504</v>
      </c>
    </row>
    <row r="210" spans="1:10" x14ac:dyDescent="0.25">
      <c r="A210" s="19" t="s">
        <v>2680</v>
      </c>
    </row>
    <row r="211" spans="1:10" x14ac:dyDescent="0.25">
      <c r="A211" s="19" t="s">
        <v>2681</v>
      </c>
    </row>
    <row r="212" spans="1:10" x14ac:dyDescent="0.25">
      <c r="A212" s="19" t="s">
        <v>2682</v>
      </c>
    </row>
    <row r="213" spans="1:10" x14ac:dyDescent="0.25">
      <c r="A213" s="19" t="s">
        <v>2683</v>
      </c>
    </row>
    <row r="214" spans="1:10" x14ac:dyDescent="0.25">
      <c r="A214" s="19" t="s">
        <v>2684</v>
      </c>
    </row>
    <row r="215" spans="1:10" x14ac:dyDescent="0.25">
      <c r="A215" s="19" t="s">
        <v>2685</v>
      </c>
    </row>
  </sheetData>
  <phoneticPr fontId="7"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V2950"/>
  <sheetViews>
    <sheetView tabSelected="1" zoomScale="80" zoomScaleNormal="80" workbookViewId="0">
      <pane ySplit="1" topLeftCell="A2" activePane="bottomLeft" state="frozen"/>
      <selection pane="bottomLeft" activeCell="C10" sqref="C10"/>
    </sheetView>
  </sheetViews>
  <sheetFormatPr defaultRowHeight="15" x14ac:dyDescent="0.25"/>
  <cols>
    <col min="1" max="1" width="6.28515625" style="7" customWidth="1"/>
    <col min="2" max="2" width="22" style="7" customWidth="1"/>
    <col min="3" max="3" width="14.5703125" style="7" customWidth="1"/>
    <col min="4" max="4" width="21.85546875" style="7" customWidth="1"/>
    <col min="5" max="5" width="7.28515625" style="10" customWidth="1"/>
    <col min="6" max="6" width="5.28515625" style="10" bestFit="1" customWidth="1"/>
    <col min="7" max="7" width="33" style="2" customWidth="1"/>
    <col min="8" max="8" width="39.7109375" style="2" customWidth="1"/>
    <col min="9" max="9" width="11" style="2" bestFit="1" customWidth="1"/>
    <col min="10" max="10" width="12" style="2" bestFit="1" customWidth="1"/>
    <col min="11" max="11" width="12" style="7" bestFit="1" customWidth="1"/>
    <col min="12" max="12" width="11.5703125" style="7" customWidth="1"/>
    <col min="13" max="13" width="31.85546875" style="2" customWidth="1"/>
    <col min="14" max="14" width="10.7109375" style="2" customWidth="1"/>
    <col min="15" max="15" width="32.28515625" style="2" customWidth="1"/>
    <col min="16" max="16" width="9.5703125" style="2" customWidth="1"/>
    <col min="17" max="17" width="9.85546875" style="2" customWidth="1"/>
    <col min="18" max="18" width="35" style="2" customWidth="1"/>
    <col min="19" max="19" width="34.42578125" style="2" customWidth="1"/>
    <col min="20" max="16384" width="9.140625" style="2"/>
  </cols>
  <sheetData>
    <row r="1" spans="1:18" s="1" customFormat="1" ht="33.75" customHeight="1" x14ac:dyDescent="0.25">
      <c r="A1" s="8" t="s">
        <v>34</v>
      </c>
      <c r="B1" s="8" t="s">
        <v>35</v>
      </c>
      <c r="C1" s="8" t="s">
        <v>395</v>
      </c>
      <c r="D1" s="8" t="s">
        <v>79</v>
      </c>
      <c r="E1" s="9" t="s">
        <v>119</v>
      </c>
      <c r="F1" s="9" t="s">
        <v>120</v>
      </c>
      <c r="G1" s="1" t="s">
        <v>78</v>
      </c>
      <c r="H1" s="1" t="s">
        <v>80</v>
      </c>
      <c r="I1" s="1" t="s">
        <v>28</v>
      </c>
      <c r="J1" s="1" t="s">
        <v>32</v>
      </c>
      <c r="K1" s="8" t="s">
        <v>111</v>
      </c>
      <c r="L1" s="8" t="s">
        <v>396</v>
      </c>
      <c r="M1" s="1" t="s">
        <v>26</v>
      </c>
      <c r="N1" s="1" t="s">
        <v>972</v>
      </c>
      <c r="O1" s="1" t="s">
        <v>965</v>
      </c>
      <c r="P1" s="1" t="s">
        <v>976</v>
      </c>
      <c r="Q1" s="1" t="s">
        <v>975</v>
      </c>
      <c r="R1" s="1" t="s">
        <v>966</v>
      </c>
    </row>
    <row r="2" spans="1:18" s="51" customFormat="1" ht="69.75" customHeight="1" x14ac:dyDescent="0.25">
      <c r="A2" s="49" t="s">
        <v>4010</v>
      </c>
      <c r="B2" s="49" t="s">
        <v>4011</v>
      </c>
      <c r="C2" s="49" t="s">
        <v>4012</v>
      </c>
      <c r="D2" s="49" t="s">
        <v>4013</v>
      </c>
      <c r="E2" s="50" t="s">
        <v>121</v>
      </c>
      <c r="F2" s="50">
        <v>1</v>
      </c>
      <c r="G2" s="51" t="s">
        <v>4014</v>
      </c>
      <c r="H2" s="51" t="s">
        <v>4015</v>
      </c>
      <c r="I2" s="51" t="s">
        <v>29</v>
      </c>
      <c r="J2" s="51" t="s">
        <v>4016</v>
      </c>
      <c r="K2" s="49" t="s">
        <v>4016</v>
      </c>
      <c r="L2" s="49" t="s">
        <v>4016</v>
      </c>
      <c r="N2" s="51" t="s">
        <v>974</v>
      </c>
    </row>
    <row r="3" spans="1:18" s="51" customFormat="1" ht="51.75" customHeight="1" x14ac:dyDescent="0.25">
      <c r="A3" s="49" t="s">
        <v>4017</v>
      </c>
      <c r="B3" s="49" t="s">
        <v>4018</v>
      </c>
      <c r="C3" s="49" t="s">
        <v>4012</v>
      </c>
      <c r="D3" s="49" t="s">
        <v>4019</v>
      </c>
      <c r="E3" s="50" t="s">
        <v>121</v>
      </c>
      <c r="F3" s="50">
        <v>1</v>
      </c>
      <c r="G3" s="51" t="s">
        <v>4020</v>
      </c>
      <c r="H3" s="51" t="s">
        <v>4021</v>
      </c>
      <c r="I3" s="51" t="s">
        <v>29</v>
      </c>
      <c r="J3" s="51" t="s">
        <v>4016</v>
      </c>
      <c r="K3" s="51" t="s">
        <v>4016</v>
      </c>
      <c r="L3" s="51" t="s">
        <v>4016</v>
      </c>
      <c r="N3" s="51" t="s">
        <v>974</v>
      </c>
    </row>
    <row r="4" spans="1:18" s="51" customFormat="1" ht="38.25" customHeight="1" x14ac:dyDescent="0.25">
      <c r="A4" s="49" t="s">
        <v>4022</v>
      </c>
      <c r="B4" s="49" t="s">
        <v>4023</v>
      </c>
      <c r="C4" s="49" t="s">
        <v>4012</v>
      </c>
      <c r="D4" s="49" t="s">
        <v>4024</v>
      </c>
      <c r="E4" s="50" t="s">
        <v>121</v>
      </c>
      <c r="F4" s="50">
        <v>1</v>
      </c>
      <c r="G4" s="51" t="s">
        <v>4025</v>
      </c>
      <c r="H4" s="51" t="s">
        <v>4026</v>
      </c>
      <c r="I4" s="51" t="s">
        <v>29</v>
      </c>
      <c r="J4" s="51" t="s">
        <v>4016</v>
      </c>
      <c r="K4" s="51" t="s">
        <v>4016</v>
      </c>
      <c r="L4" s="51" t="s">
        <v>4016</v>
      </c>
      <c r="N4" s="51" t="s">
        <v>983</v>
      </c>
    </row>
    <row r="5" spans="1:18" s="52" customFormat="1" x14ac:dyDescent="0.25">
      <c r="E5" s="53"/>
      <c r="F5" s="53"/>
    </row>
    <row r="6" spans="1:18" s="52" customFormat="1" x14ac:dyDescent="0.25">
      <c r="E6" s="53"/>
      <c r="F6" s="53"/>
    </row>
    <row r="7" spans="1:18" s="52" customFormat="1" x14ac:dyDescent="0.25">
      <c r="E7" s="53"/>
      <c r="F7" s="53"/>
    </row>
    <row r="8" spans="1:18" s="51" customFormat="1" x14ac:dyDescent="0.25">
      <c r="A8" s="49"/>
      <c r="B8" s="49"/>
      <c r="C8" s="49"/>
      <c r="D8" s="49"/>
      <c r="E8" s="50"/>
      <c r="F8" s="50"/>
      <c r="K8" s="49"/>
      <c r="L8" s="49"/>
    </row>
    <row r="9" spans="1:18" s="1" customFormat="1" ht="30" x14ac:dyDescent="0.25">
      <c r="A9" s="7" t="s">
        <v>213</v>
      </c>
      <c r="B9" s="7" t="s">
        <v>3455</v>
      </c>
      <c r="C9" s="7" t="s">
        <v>39</v>
      </c>
      <c r="D9" s="7" t="s">
        <v>3006</v>
      </c>
      <c r="E9" s="10" t="s">
        <v>121</v>
      </c>
      <c r="F9" s="10">
        <v>1</v>
      </c>
      <c r="G9" s="2" t="s">
        <v>3007</v>
      </c>
      <c r="K9" s="8"/>
      <c r="L9" s="8"/>
    </row>
    <row r="10" spans="1:18" ht="45" x14ac:dyDescent="0.25">
      <c r="F10" s="10">
        <v>2</v>
      </c>
      <c r="H10" s="2" t="s">
        <v>76</v>
      </c>
      <c r="I10" s="2" t="s">
        <v>29</v>
      </c>
      <c r="J10" s="3">
        <v>40135</v>
      </c>
      <c r="K10" s="3">
        <v>40142</v>
      </c>
      <c r="L10" s="3" t="s">
        <v>474</v>
      </c>
      <c r="N10" s="2" t="s">
        <v>974</v>
      </c>
    </row>
    <row r="11" spans="1:18" ht="30" x14ac:dyDescent="0.25">
      <c r="F11" s="10">
        <v>3</v>
      </c>
      <c r="G11" s="6"/>
      <c r="H11" s="2" t="s">
        <v>77</v>
      </c>
      <c r="I11" s="2" t="s">
        <v>29</v>
      </c>
      <c r="J11" s="3">
        <v>40135</v>
      </c>
      <c r="K11" s="3">
        <v>40142</v>
      </c>
      <c r="L11" s="3" t="s">
        <v>474</v>
      </c>
      <c r="N11" s="2" t="s">
        <v>974</v>
      </c>
    </row>
    <row r="12" spans="1:18" ht="45" x14ac:dyDescent="0.25">
      <c r="F12" s="10">
        <v>4</v>
      </c>
      <c r="G12" s="6"/>
      <c r="H12" s="2" t="s">
        <v>3008</v>
      </c>
      <c r="I12" s="2" t="s">
        <v>29</v>
      </c>
      <c r="J12" s="3">
        <v>40140</v>
      </c>
      <c r="K12" s="3">
        <v>40142</v>
      </c>
      <c r="L12" s="3" t="s">
        <v>474</v>
      </c>
      <c r="N12" s="2" t="s">
        <v>974</v>
      </c>
    </row>
    <row r="13" spans="1:18" ht="45" x14ac:dyDescent="0.25">
      <c r="F13" s="10">
        <v>5</v>
      </c>
      <c r="G13" s="6"/>
      <c r="H13" s="2" t="s">
        <v>3009</v>
      </c>
      <c r="I13" s="2" t="s">
        <v>29</v>
      </c>
      <c r="J13" s="3">
        <v>40140</v>
      </c>
      <c r="K13" s="3">
        <v>40142</v>
      </c>
      <c r="L13" s="3" t="s">
        <v>474</v>
      </c>
      <c r="M13" s="2" t="s">
        <v>477</v>
      </c>
      <c r="N13" s="2" t="s">
        <v>974</v>
      </c>
    </row>
    <row r="14" spans="1:18" ht="90" x14ac:dyDescent="0.25">
      <c r="F14" s="10">
        <v>6</v>
      </c>
      <c r="G14" s="6"/>
      <c r="H14" s="2" t="s">
        <v>3010</v>
      </c>
      <c r="I14" s="2" t="s">
        <v>29</v>
      </c>
      <c r="J14" s="3">
        <v>40140</v>
      </c>
      <c r="K14" s="3">
        <v>40142</v>
      </c>
      <c r="L14" s="3" t="s">
        <v>474</v>
      </c>
      <c r="M14" s="2" t="s">
        <v>478</v>
      </c>
      <c r="N14" s="2" t="s">
        <v>974</v>
      </c>
      <c r="O14" s="2" t="s">
        <v>3456</v>
      </c>
      <c r="P14" s="2" t="s">
        <v>980</v>
      </c>
      <c r="Q14" s="2" t="s">
        <v>540</v>
      </c>
      <c r="R14" s="2" t="s">
        <v>3457</v>
      </c>
    </row>
    <row r="15" spans="1:18" ht="75" x14ac:dyDescent="0.25">
      <c r="G15" s="6"/>
      <c r="J15" s="3"/>
      <c r="K15" s="3"/>
      <c r="L15" s="3"/>
      <c r="N15" s="2" t="s">
        <v>974</v>
      </c>
      <c r="O15" s="2" t="s">
        <v>1131</v>
      </c>
      <c r="P15" s="2" t="s">
        <v>980</v>
      </c>
      <c r="Q15" s="2" t="s">
        <v>540</v>
      </c>
      <c r="R15" s="2" t="s">
        <v>996</v>
      </c>
    </row>
    <row r="17" spans="1:18" ht="30" x14ac:dyDescent="0.25">
      <c r="A17" s="7" t="s">
        <v>214</v>
      </c>
      <c r="B17" s="7" t="s">
        <v>3458</v>
      </c>
      <c r="C17" s="7" t="s">
        <v>39</v>
      </c>
      <c r="D17" s="7" t="s">
        <v>3011</v>
      </c>
      <c r="E17" s="10" t="s">
        <v>121</v>
      </c>
      <c r="F17" s="10">
        <v>1</v>
      </c>
      <c r="G17" s="2" t="s">
        <v>3012</v>
      </c>
    </row>
    <row r="18" spans="1:18" ht="60" x14ac:dyDescent="0.25">
      <c r="F18" s="10">
        <v>2</v>
      </c>
      <c r="H18" s="2" t="s">
        <v>3013</v>
      </c>
      <c r="I18" s="2" t="s">
        <v>29</v>
      </c>
      <c r="J18" s="5">
        <v>40133</v>
      </c>
      <c r="K18" s="3">
        <v>40142</v>
      </c>
      <c r="L18" s="3" t="s">
        <v>474</v>
      </c>
      <c r="N18" s="2" t="s">
        <v>974</v>
      </c>
    </row>
    <row r="19" spans="1:18" ht="60" x14ac:dyDescent="0.25">
      <c r="F19" s="10">
        <v>3</v>
      </c>
      <c r="H19" s="7" t="s">
        <v>3014</v>
      </c>
      <c r="I19" s="2" t="s">
        <v>29</v>
      </c>
      <c r="J19" s="3">
        <v>40147</v>
      </c>
      <c r="K19" s="3">
        <v>40254</v>
      </c>
      <c r="L19" s="3" t="s">
        <v>474</v>
      </c>
      <c r="M19" s="2" t="s">
        <v>475</v>
      </c>
      <c r="N19" s="2" t="s">
        <v>974</v>
      </c>
    </row>
    <row r="20" spans="1:18" ht="120" x14ac:dyDescent="0.25">
      <c r="F20" s="10">
        <v>4</v>
      </c>
      <c r="H20" s="2" t="s">
        <v>3015</v>
      </c>
      <c r="I20" s="2" t="s">
        <v>29</v>
      </c>
      <c r="J20" s="5">
        <v>40133</v>
      </c>
      <c r="K20" s="3">
        <v>40142</v>
      </c>
      <c r="L20" s="3" t="s">
        <v>474</v>
      </c>
      <c r="M20" s="7" t="s">
        <v>636</v>
      </c>
      <c r="N20" s="2" t="s">
        <v>974</v>
      </c>
    </row>
    <row r="21" spans="1:18" ht="45" x14ac:dyDescent="0.25">
      <c r="F21" s="10">
        <v>5</v>
      </c>
      <c r="H21" s="2" t="s">
        <v>3016</v>
      </c>
      <c r="I21" s="2" t="s">
        <v>29</v>
      </c>
      <c r="J21" s="5">
        <v>40133</v>
      </c>
      <c r="K21" s="3">
        <v>40142</v>
      </c>
      <c r="L21" s="3" t="s">
        <v>474</v>
      </c>
      <c r="N21" s="2" t="s">
        <v>974</v>
      </c>
    </row>
    <row r="22" spans="1:18" ht="45" x14ac:dyDescent="0.25">
      <c r="F22" s="10">
        <v>6</v>
      </c>
      <c r="H22" s="2" t="s">
        <v>3017</v>
      </c>
      <c r="I22" s="2" t="s">
        <v>29</v>
      </c>
      <c r="J22" s="5">
        <v>40133</v>
      </c>
      <c r="K22" s="3">
        <v>40142</v>
      </c>
      <c r="L22" s="3" t="s">
        <v>474</v>
      </c>
      <c r="N22" s="2" t="s">
        <v>974</v>
      </c>
    </row>
    <row r="23" spans="1:18" ht="45" x14ac:dyDescent="0.25">
      <c r="F23" s="10">
        <v>7</v>
      </c>
      <c r="H23" s="2" t="s">
        <v>3902</v>
      </c>
      <c r="I23" s="2" t="s">
        <v>29</v>
      </c>
      <c r="J23" s="5">
        <v>40133</v>
      </c>
      <c r="K23" s="3">
        <v>40142</v>
      </c>
      <c r="L23" s="3" t="s">
        <v>474</v>
      </c>
      <c r="N23" s="2" t="s">
        <v>974</v>
      </c>
    </row>
    <row r="24" spans="1:18" ht="45" x14ac:dyDescent="0.25">
      <c r="F24" s="10">
        <v>8</v>
      </c>
      <c r="H24" s="2" t="s">
        <v>3903</v>
      </c>
      <c r="I24" s="2" t="s">
        <v>29</v>
      </c>
      <c r="J24" s="5">
        <v>40133</v>
      </c>
      <c r="K24" s="3">
        <v>40142</v>
      </c>
      <c r="L24" s="3" t="s">
        <v>474</v>
      </c>
      <c r="N24" s="2" t="s">
        <v>974</v>
      </c>
    </row>
    <row r="26" spans="1:18" ht="45" x14ac:dyDescent="0.25">
      <c r="A26" s="7" t="s">
        <v>215</v>
      </c>
      <c r="B26" s="7" t="s">
        <v>3459</v>
      </c>
      <c r="C26" s="7" t="s">
        <v>39</v>
      </c>
      <c r="D26" s="7" t="s">
        <v>3018</v>
      </c>
      <c r="E26" s="10" t="s">
        <v>121</v>
      </c>
      <c r="F26" s="10">
        <v>1</v>
      </c>
      <c r="G26" s="2" t="s">
        <v>3012</v>
      </c>
      <c r="K26" s="2"/>
      <c r="L26" s="3"/>
    </row>
    <row r="27" spans="1:18" ht="60" x14ac:dyDescent="0.25">
      <c r="F27" s="10">
        <v>2</v>
      </c>
      <c r="G27" s="2" t="s">
        <v>3460</v>
      </c>
      <c r="J27" s="3"/>
      <c r="K27" s="3"/>
      <c r="L27" s="3"/>
    </row>
    <row r="28" spans="1:18" ht="90" x14ac:dyDescent="0.25">
      <c r="F28" s="10">
        <v>3</v>
      </c>
      <c r="H28" s="2" t="s">
        <v>3461</v>
      </c>
      <c r="I28" s="2" t="s">
        <v>29</v>
      </c>
      <c r="J28" s="3">
        <v>40135</v>
      </c>
      <c r="K28" s="3">
        <v>40142</v>
      </c>
      <c r="L28" s="3" t="s">
        <v>474</v>
      </c>
      <c r="N28" s="2" t="s">
        <v>974</v>
      </c>
    </row>
    <row r="30" spans="1:18" ht="30" x14ac:dyDescent="0.25">
      <c r="A30" s="7" t="s">
        <v>216</v>
      </c>
      <c r="B30" s="7" t="s">
        <v>3462</v>
      </c>
      <c r="C30" s="7" t="s">
        <v>39</v>
      </c>
      <c r="D30" s="7" t="s">
        <v>3019</v>
      </c>
      <c r="E30" s="10" t="s">
        <v>121</v>
      </c>
      <c r="F30" s="10">
        <v>1</v>
      </c>
      <c r="G30" s="2" t="s">
        <v>3012</v>
      </c>
    </row>
    <row r="31" spans="1:18" ht="60" x14ac:dyDescent="0.25">
      <c r="F31" s="10">
        <v>2</v>
      </c>
      <c r="G31" s="2" t="s">
        <v>3460</v>
      </c>
      <c r="J31" s="3"/>
      <c r="K31" s="3"/>
      <c r="L31" s="3"/>
    </row>
    <row r="32" spans="1:18" ht="360" x14ac:dyDescent="0.25">
      <c r="F32" s="10">
        <v>3</v>
      </c>
      <c r="H32" s="2" t="s">
        <v>81</v>
      </c>
      <c r="I32" s="2" t="s">
        <v>29</v>
      </c>
      <c r="J32" s="3">
        <v>40135</v>
      </c>
      <c r="K32" s="3">
        <v>40142</v>
      </c>
      <c r="L32" s="3" t="s">
        <v>474</v>
      </c>
      <c r="N32" s="2" t="s">
        <v>974</v>
      </c>
      <c r="O32" s="2" t="s">
        <v>513</v>
      </c>
      <c r="P32" s="2" t="s">
        <v>980</v>
      </c>
      <c r="Q32" s="2" t="s">
        <v>540</v>
      </c>
      <c r="R32" s="2" t="s">
        <v>3178</v>
      </c>
    </row>
    <row r="33" spans="1:18" ht="30" x14ac:dyDescent="0.25">
      <c r="F33" s="10">
        <v>4</v>
      </c>
      <c r="H33" s="2" t="s">
        <v>82</v>
      </c>
      <c r="I33" s="2" t="s">
        <v>29</v>
      </c>
      <c r="J33" s="5">
        <v>40133</v>
      </c>
      <c r="K33" s="3">
        <v>40142</v>
      </c>
      <c r="L33" s="3" t="s">
        <v>474</v>
      </c>
      <c r="N33" s="2" t="s">
        <v>974</v>
      </c>
    </row>
    <row r="34" spans="1:18" x14ac:dyDescent="0.25">
      <c r="J34" s="5"/>
      <c r="K34" s="3"/>
      <c r="L34" s="3"/>
    </row>
    <row r="35" spans="1:18" ht="75" x14ac:dyDescent="0.25">
      <c r="A35" s="7" t="s">
        <v>217</v>
      </c>
      <c r="B35" s="7" t="s">
        <v>613</v>
      </c>
      <c r="C35" s="7" t="s">
        <v>39</v>
      </c>
      <c r="D35" s="7" t="s">
        <v>3179</v>
      </c>
      <c r="E35" s="10" t="s">
        <v>121</v>
      </c>
      <c r="F35" s="10">
        <v>1</v>
      </c>
      <c r="G35" s="2" t="s">
        <v>3012</v>
      </c>
      <c r="J35" s="5"/>
      <c r="K35" s="3"/>
      <c r="L35" s="3"/>
    </row>
    <row r="36" spans="1:18" ht="30" x14ac:dyDescent="0.25">
      <c r="F36" s="10">
        <v>2</v>
      </c>
      <c r="H36" s="2" t="s">
        <v>3180</v>
      </c>
      <c r="I36" s="2" t="s">
        <v>29</v>
      </c>
      <c r="J36" s="3">
        <v>40135</v>
      </c>
      <c r="K36" s="3">
        <v>40142</v>
      </c>
      <c r="L36" s="3" t="s">
        <v>474</v>
      </c>
      <c r="N36" s="2" t="s">
        <v>974</v>
      </c>
    </row>
    <row r="37" spans="1:18" ht="30" x14ac:dyDescent="0.25">
      <c r="F37" s="10">
        <v>3</v>
      </c>
      <c r="H37" s="2" t="s">
        <v>83</v>
      </c>
      <c r="I37" s="2" t="s">
        <v>29</v>
      </c>
      <c r="J37" s="3">
        <v>40135</v>
      </c>
      <c r="K37" s="3">
        <v>40142</v>
      </c>
      <c r="L37" s="3" t="s">
        <v>474</v>
      </c>
      <c r="N37" s="2" t="s">
        <v>974</v>
      </c>
    </row>
    <row r="38" spans="1:18" ht="45" x14ac:dyDescent="0.25">
      <c r="F38" s="10">
        <v>4</v>
      </c>
      <c r="H38" s="2" t="s">
        <v>41</v>
      </c>
      <c r="I38" s="2" t="s">
        <v>29</v>
      </c>
      <c r="J38" s="3">
        <v>40135</v>
      </c>
      <c r="K38" s="3">
        <v>40142</v>
      </c>
      <c r="L38" s="3" t="s">
        <v>474</v>
      </c>
      <c r="N38" s="2" t="s">
        <v>974</v>
      </c>
      <c r="O38" s="2" t="s">
        <v>515</v>
      </c>
      <c r="P38" s="2" t="s">
        <v>980</v>
      </c>
      <c r="Q38" s="2" t="s">
        <v>540</v>
      </c>
      <c r="R38" s="2" t="s">
        <v>3181</v>
      </c>
    </row>
    <row r="39" spans="1:18" x14ac:dyDescent="0.25">
      <c r="F39" s="10">
        <v>5</v>
      </c>
      <c r="H39" s="2" t="s">
        <v>84</v>
      </c>
      <c r="I39" s="2" t="s">
        <v>29</v>
      </c>
      <c r="J39" s="3">
        <v>40135</v>
      </c>
      <c r="K39" s="3">
        <v>40142</v>
      </c>
      <c r="L39" s="3" t="s">
        <v>474</v>
      </c>
      <c r="N39" s="2" t="s">
        <v>974</v>
      </c>
    </row>
    <row r="40" spans="1:18" ht="75" x14ac:dyDescent="0.25">
      <c r="F40" s="10">
        <v>6</v>
      </c>
      <c r="H40" s="2" t="s">
        <v>350</v>
      </c>
      <c r="I40" s="2" t="s">
        <v>29</v>
      </c>
      <c r="J40" s="3">
        <v>40135</v>
      </c>
      <c r="K40" s="3">
        <v>40142</v>
      </c>
      <c r="L40" s="3" t="s">
        <v>474</v>
      </c>
      <c r="N40" s="2" t="s">
        <v>974</v>
      </c>
      <c r="O40" s="2" t="s">
        <v>514</v>
      </c>
      <c r="P40" s="2" t="s">
        <v>980</v>
      </c>
      <c r="Q40" s="2" t="s">
        <v>540</v>
      </c>
      <c r="R40" s="2" t="s">
        <v>3182</v>
      </c>
    </row>
    <row r="41" spans="1:18" ht="30" x14ac:dyDescent="0.25">
      <c r="F41" s="10">
        <v>7</v>
      </c>
      <c r="H41" s="2" t="s">
        <v>351</v>
      </c>
      <c r="I41" s="2" t="s">
        <v>29</v>
      </c>
      <c r="J41" s="3">
        <v>40189</v>
      </c>
      <c r="K41" s="3" t="s">
        <v>33</v>
      </c>
      <c r="L41" s="3" t="s">
        <v>474</v>
      </c>
      <c r="N41" s="2" t="s">
        <v>974</v>
      </c>
    </row>
    <row r="42" spans="1:18" ht="60" x14ac:dyDescent="0.25">
      <c r="F42" s="10">
        <v>8</v>
      </c>
      <c r="H42" s="2" t="s">
        <v>85</v>
      </c>
      <c r="I42" s="2" t="s">
        <v>29</v>
      </c>
      <c r="J42" s="5">
        <v>40133</v>
      </c>
      <c r="K42" s="3">
        <v>40142</v>
      </c>
      <c r="L42" s="3" t="s">
        <v>474</v>
      </c>
      <c r="N42" s="2" t="s">
        <v>974</v>
      </c>
    </row>
    <row r="43" spans="1:18" ht="120" x14ac:dyDescent="0.25">
      <c r="F43" s="10">
        <v>9</v>
      </c>
      <c r="H43" s="2" t="s">
        <v>3904</v>
      </c>
      <c r="I43" s="2" t="s">
        <v>29</v>
      </c>
      <c r="J43" s="3">
        <v>40147</v>
      </c>
      <c r="K43" s="3">
        <v>40142</v>
      </c>
      <c r="L43" s="3" t="s">
        <v>474</v>
      </c>
      <c r="N43" s="2" t="s">
        <v>974</v>
      </c>
      <c r="O43" s="2" t="s">
        <v>516</v>
      </c>
      <c r="P43" s="2" t="s">
        <v>977</v>
      </c>
      <c r="Q43" s="2" t="s">
        <v>540</v>
      </c>
      <c r="R43" s="2" t="s">
        <v>1130</v>
      </c>
    </row>
    <row r="44" spans="1:18" ht="90" x14ac:dyDescent="0.25">
      <c r="F44" s="10">
        <v>10</v>
      </c>
      <c r="H44" s="2" t="s">
        <v>117</v>
      </c>
      <c r="I44" s="2" t="s">
        <v>29</v>
      </c>
      <c r="J44" s="3">
        <v>40147</v>
      </c>
      <c r="K44" s="3">
        <v>40142</v>
      </c>
      <c r="L44" s="3" t="s">
        <v>474</v>
      </c>
      <c r="M44" s="2" t="s">
        <v>632</v>
      </c>
      <c r="N44" s="2" t="s">
        <v>974</v>
      </c>
      <c r="O44" s="2" t="s">
        <v>517</v>
      </c>
      <c r="P44" s="2" t="s">
        <v>977</v>
      </c>
      <c r="Q44" s="2" t="s">
        <v>540</v>
      </c>
      <c r="R44" s="2" t="s">
        <v>987</v>
      </c>
    </row>
    <row r="45" spans="1:18" x14ac:dyDescent="0.25">
      <c r="J45" s="5"/>
      <c r="K45" s="3"/>
      <c r="L45" s="3"/>
    </row>
    <row r="46" spans="1:18" ht="45" x14ac:dyDescent="0.25">
      <c r="A46" s="7" t="s">
        <v>218</v>
      </c>
      <c r="B46" s="7" t="s">
        <v>3463</v>
      </c>
      <c r="C46" s="7" t="s">
        <v>39</v>
      </c>
      <c r="D46" s="7" t="s">
        <v>3183</v>
      </c>
      <c r="E46" s="10" t="s">
        <v>121</v>
      </c>
      <c r="F46" s="10">
        <v>1</v>
      </c>
      <c r="G46" s="2" t="s">
        <v>3012</v>
      </c>
      <c r="J46" s="5"/>
      <c r="K46" s="3"/>
      <c r="L46" s="3"/>
    </row>
    <row r="47" spans="1:18" ht="60" x14ac:dyDescent="0.25">
      <c r="F47" s="10">
        <v>2</v>
      </c>
      <c r="G47" s="2" t="s">
        <v>3460</v>
      </c>
      <c r="J47" s="3"/>
      <c r="K47" s="3"/>
      <c r="L47" s="3"/>
    </row>
    <row r="48" spans="1:18" ht="45" x14ac:dyDescent="0.25">
      <c r="E48" s="2"/>
      <c r="F48" s="10">
        <v>3</v>
      </c>
      <c r="H48" s="2" t="s">
        <v>3184</v>
      </c>
      <c r="I48" s="2" t="s">
        <v>29</v>
      </c>
      <c r="J48" s="5">
        <v>40133</v>
      </c>
      <c r="K48" s="3">
        <v>40142</v>
      </c>
      <c r="L48" s="3" t="s">
        <v>474</v>
      </c>
      <c r="N48" s="2" t="s">
        <v>974</v>
      </c>
    </row>
    <row r="49" spans="1:18" ht="30" x14ac:dyDescent="0.25">
      <c r="F49" s="10">
        <v>4</v>
      </c>
      <c r="H49" s="2" t="s">
        <v>3185</v>
      </c>
      <c r="I49" s="2" t="s">
        <v>29</v>
      </c>
      <c r="J49" s="5">
        <v>40133</v>
      </c>
      <c r="K49" s="3">
        <v>40142</v>
      </c>
      <c r="L49" s="3" t="s">
        <v>474</v>
      </c>
      <c r="N49" s="2" t="s">
        <v>974</v>
      </c>
    </row>
    <row r="50" spans="1:18" ht="30" x14ac:dyDescent="0.25">
      <c r="E50" s="10" t="s">
        <v>123</v>
      </c>
      <c r="G50" s="2" t="s">
        <v>3186</v>
      </c>
      <c r="L50" s="3"/>
    </row>
    <row r="51" spans="1:18" ht="60" x14ac:dyDescent="0.25">
      <c r="H51" s="7" t="s">
        <v>3187</v>
      </c>
      <c r="I51" s="2" t="s">
        <v>30</v>
      </c>
      <c r="J51" s="3">
        <v>40190</v>
      </c>
      <c r="K51" s="3" t="s">
        <v>33</v>
      </c>
      <c r="L51" s="3" t="s">
        <v>474</v>
      </c>
      <c r="M51" s="2" t="s">
        <v>653</v>
      </c>
      <c r="N51" s="2" t="s">
        <v>974</v>
      </c>
    </row>
    <row r="53" spans="1:18" ht="75" x14ac:dyDescent="0.25">
      <c r="A53" s="7" t="s">
        <v>380</v>
      </c>
      <c r="B53" s="7" t="s">
        <v>3464</v>
      </c>
      <c r="C53" s="7" t="s">
        <v>39</v>
      </c>
      <c r="D53" s="7" t="s">
        <v>3188</v>
      </c>
      <c r="E53" s="10" t="s">
        <v>121</v>
      </c>
      <c r="F53" s="10">
        <v>1</v>
      </c>
      <c r="G53" s="2" t="s">
        <v>3012</v>
      </c>
      <c r="J53" s="5"/>
      <c r="K53" s="3"/>
      <c r="L53" s="3"/>
    </row>
    <row r="54" spans="1:18" ht="60" x14ac:dyDescent="0.25">
      <c r="F54" s="10">
        <v>2</v>
      </c>
      <c r="G54" s="2" t="s">
        <v>3460</v>
      </c>
      <c r="J54" s="3"/>
      <c r="K54" s="3"/>
      <c r="L54" s="3"/>
    </row>
    <row r="55" spans="1:18" ht="45" x14ac:dyDescent="0.25">
      <c r="E55" s="2"/>
      <c r="F55" s="10">
        <v>3</v>
      </c>
      <c r="H55" s="2" t="s">
        <v>3189</v>
      </c>
      <c r="I55" s="2" t="s">
        <v>29</v>
      </c>
      <c r="J55" s="5">
        <v>40154</v>
      </c>
      <c r="K55" s="3">
        <v>40254</v>
      </c>
      <c r="L55" s="3" t="s">
        <v>474</v>
      </c>
      <c r="N55" s="2" t="s">
        <v>974</v>
      </c>
      <c r="O55" s="2" t="s">
        <v>519</v>
      </c>
      <c r="P55" s="2" t="s">
        <v>977</v>
      </c>
      <c r="Q55" s="2" t="s">
        <v>540</v>
      </c>
    </row>
    <row r="56" spans="1:18" ht="30" x14ac:dyDescent="0.25">
      <c r="F56" s="10">
        <v>4</v>
      </c>
      <c r="H56" s="2" t="s">
        <v>381</v>
      </c>
      <c r="I56" s="2" t="s">
        <v>29</v>
      </c>
      <c r="J56" s="5">
        <v>40154</v>
      </c>
      <c r="K56" s="3">
        <v>40254</v>
      </c>
      <c r="L56" s="3" t="s">
        <v>474</v>
      </c>
      <c r="N56" s="2" t="s">
        <v>974</v>
      </c>
    </row>
    <row r="57" spans="1:18" ht="45" x14ac:dyDescent="0.25">
      <c r="E57" s="10" t="s">
        <v>123</v>
      </c>
      <c r="F57" s="10">
        <v>1</v>
      </c>
      <c r="G57" s="2" t="s">
        <v>3190</v>
      </c>
      <c r="J57" s="5"/>
      <c r="K57" s="5"/>
      <c r="L57" s="3"/>
    </row>
    <row r="58" spans="1:18" ht="75" x14ac:dyDescent="0.25">
      <c r="F58" s="10">
        <v>2</v>
      </c>
      <c r="H58" s="2" t="s">
        <v>3191</v>
      </c>
      <c r="I58" s="2" t="s">
        <v>30</v>
      </c>
      <c r="J58" s="5">
        <v>40154</v>
      </c>
      <c r="K58" s="3">
        <v>40254</v>
      </c>
      <c r="L58" s="3" t="s">
        <v>474</v>
      </c>
      <c r="N58" s="2" t="s">
        <v>974</v>
      </c>
      <c r="O58" s="2" t="s">
        <v>520</v>
      </c>
      <c r="P58" s="2" t="s">
        <v>980</v>
      </c>
      <c r="Q58" s="2" t="s">
        <v>540</v>
      </c>
    </row>
    <row r="60" spans="1:18" ht="45" x14ac:dyDescent="0.25">
      <c r="A60" s="7" t="s">
        <v>219</v>
      </c>
      <c r="B60" s="7" t="s">
        <v>617</v>
      </c>
      <c r="C60" s="7" t="s">
        <v>39</v>
      </c>
      <c r="D60" s="7" t="s">
        <v>3192</v>
      </c>
      <c r="E60" s="10" t="s">
        <v>121</v>
      </c>
      <c r="F60" s="10">
        <v>1</v>
      </c>
      <c r="G60" s="2" t="s">
        <v>3193</v>
      </c>
    </row>
    <row r="61" spans="1:18" ht="60" x14ac:dyDescent="0.25">
      <c r="E61" s="2"/>
      <c r="F61" s="10">
        <v>2</v>
      </c>
      <c r="H61" s="2" t="s">
        <v>118</v>
      </c>
      <c r="I61" s="2" t="s">
        <v>29</v>
      </c>
      <c r="J61" s="3">
        <v>40147</v>
      </c>
      <c r="K61" s="3">
        <v>40254</v>
      </c>
      <c r="L61" s="7" t="s">
        <v>474</v>
      </c>
      <c r="N61" s="2" t="s">
        <v>974</v>
      </c>
      <c r="O61" s="2" t="s">
        <v>521</v>
      </c>
      <c r="P61" s="2" t="s">
        <v>980</v>
      </c>
      <c r="Q61" s="2" t="s">
        <v>540</v>
      </c>
    </row>
    <row r="62" spans="1:18" ht="45" x14ac:dyDescent="0.25">
      <c r="E62" s="2" t="s">
        <v>123</v>
      </c>
      <c r="F62" s="10">
        <v>1</v>
      </c>
      <c r="G62" s="2" t="s">
        <v>3194</v>
      </c>
      <c r="J62" s="3"/>
    </row>
    <row r="63" spans="1:18" ht="150" x14ac:dyDescent="0.25">
      <c r="E63" s="2"/>
      <c r="H63" s="2" t="s">
        <v>522</v>
      </c>
      <c r="I63" s="2" t="s">
        <v>30</v>
      </c>
      <c r="J63" s="3">
        <v>40147</v>
      </c>
      <c r="K63" s="3">
        <v>40254</v>
      </c>
      <c r="L63" s="22"/>
      <c r="N63" s="2" t="s">
        <v>974</v>
      </c>
      <c r="O63" s="2" t="s">
        <v>3465</v>
      </c>
      <c r="P63" s="2" t="s">
        <v>982</v>
      </c>
      <c r="Q63" s="2" t="s">
        <v>540</v>
      </c>
      <c r="R63" s="2" t="s">
        <v>3195</v>
      </c>
    </row>
    <row r="64" spans="1:18" x14ac:dyDescent="0.25">
      <c r="J64" s="3"/>
      <c r="K64" s="3"/>
    </row>
    <row r="65" spans="1:18" ht="60" x14ac:dyDescent="0.25">
      <c r="A65" s="7" t="s">
        <v>220</v>
      </c>
      <c r="B65" s="7" t="s">
        <v>619</v>
      </c>
      <c r="C65" s="7" t="s">
        <v>39</v>
      </c>
      <c r="D65" s="7" t="s">
        <v>3196</v>
      </c>
      <c r="E65" s="10" t="s">
        <v>121</v>
      </c>
      <c r="F65" s="10">
        <v>1</v>
      </c>
      <c r="G65" s="2" t="s">
        <v>3197</v>
      </c>
      <c r="K65" s="2"/>
    </row>
    <row r="66" spans="1:18" ht="60" x14ac:dyDescent="0.25">
      <c r="F66" s="10">
        <v>2</v>
      </c>
      <c r="G66" s="2" t="s">
        <v>3460</v>
      </c>
      <c r="J66" s="3"/>
      <c r="K66" s="3"/>
      <c r="L66" s="3"/>
    </row>
    <row r="67" spans="1:18" ht="45" x14ac:dyDescent="0.25">
      <c r="F67" s="10">
        <v>3</v>
      </c>
      <c r="H67" s="2" t="s">
        <v>3198</v>
      </c>
      <c r="I67" s="2" t="s">
        <v>29</v>
      </c>
      <c r="J67" s="3">
        <v>40154</v>
      </c>
      <c r="K67" s="3">
        <v>40254</v>
      </c>
      <c r="L67" s="7" t="s">
        <v>474</v>
      </c>
      <c r="N67" s="2" t="s">
        <v>974</v>
      </c>
    </row>
    <row r="69" spans="1:18" ht="60" x14ac:dyDescent="0.25">
      <c r="A69" s="7" t="s">
        <v>221</v>
      </c>
      <c r="B69" s="7" t="s">
        <v>621</v>
      </c>
      <c r="C69" s="7" t="s">
        <v>39</v>
      </c>
      <c r="D69" s="7" t="s">
        <v>3199</v>
      </c>
      <c r="E69" s="10" t="s">
        <v>121</v>
      </c>
      <c r="F69" s="10">
        <v>1</v>
      </c>
      <c r="G69" s="2" t="s">
        <v>3466</v>
      </c>
      <c r="J69" s="3"/>
      <c r="K69" s="3"/>
      <c r="L69" s="3"/>
    </row>
    <row r="70" spans="1:18" ht="30" x14ac:dyDescent="0.25">
      <c r="E70" s="2"/>
      <c r="F70" s="10">
        <v>2</v>
      </c>
      <c r="G70" s="2" t="s">
        <v>3012</v>
      </c>
    </row>
    <row r="71" spans="1:18" ht="30" x14ac:dyDescent="0.25">
      <c r="F71" s="10">
        <v>3</v>
      </c>
      <c r="H71" s="2" t="s">
        <v>86</v>
      </c>
      <c r="I71" s="2" t="s">
        <v>29</v>
      </c>
      <c r="J71" s="3">
        <v>40135</v>
      </c>
      <c r="K71" s="3">
        <v>40142</v>
      </c>
      <c r="L71" s="3" t="s">
        <v>474</v>
      </c>
      <c r="N71" s="2" t="s">
        <v>974</v>
      </c>
    </row>
    <row r="72" spans="1:18" ht="45" x14ac:dyDescent="0.25">
      <c r="F72" s="10">
        <v>4</v>
      </c>
      <c r="H72" s="2" t="s">
        <v>87</v>
      </c>
      <c r="I72" s="2" t="s">
        <v>29</v>
      </c>
      <c r="J72" s="3">
        <v>40135</v>
      </c>
      <c r="K72" s="3">
        <v>40142</v>
      </c>
      <c r="L72" s="3" t="s">
        <v>474</v>
      </c>
      <c r="N72" s="2" t="s">
        <v>974</v>
      </c>
    </row>
    <row r="73" spans="1:18" ht="45" x14ac:dyDescent="0.25">
      <c r="F73" s="10">
        <v>5</v>
      </c>
      <c r="H73" s="2" t="s">
        <v>749</v>
      </c>
      <c r="I73" s="2" t="s">
        <v>29</v>
      </c>
      <c r="J73" s="5">
        <v>40214</v>
      </c>
      <c r="K73" s="3" t="s">
        <v>33</v>
      </c>
      <c r="L73" s="3" t="s">
        <v>474</v>
      </c>
      <c r="N73" s="2" t="s">
        <v>974</v>
      </c>
    </row>
    <row r="74" spans="1:18" ht="45" x14ac:dyDescent="0.25">
      <c r="F74" s="10">
        <v>6</v>
      </c>
      <c r="H74" s="2" t="s">
        <v>750</v>
      </c>
      <c r="J74" s="5">
        <v>40214</v>
      </c>
      <c r="K74" s="3" t="s">
        <v>33</v>
      </c>
      <c r="L74" s="3" t="s">
        <v>474</v>
      </c>
      <c r="N74" s="2" t="s">
        <v>974</v>
      </c>
    </row>
    <row r="75" spans="1:18" ht="120" x14ac:dyDescent="0.25">
      <c r="F75" s="10">
        <v>7</v>
      </c>
      <c r="H75" s="2" t="s">
        <v>88</v>
      </c>
      <c r="I75" s="2" t="s">
        <v>29</v>
      </c>
      <c r="J75" s="5">
        <v>40133</v>
      </c>
      <c r="K75" s="3">
        <v>40142</v>
      </c>
      <c r="L75" s="3" t="s">
        <v>474</v>
      </c>
      <c r="M75" s="2" t="s">
        <v>476</v>
      </c>
      <c r="N75" s="2" t="s">
        <v>974</v>
      </c>
    </row>
    <row r="76" spans="1:18" ht="30" x14ac:dyDescent="0.25">
      <c r="F76" s="10">
        <v>8</v>
      </c>
      <c r="H76" s="2" t="s">
        <v>27</v>
      </c>
      <c r="I76" s="2" t="s">
        <v>29</v>
      </c>
      <c r="J76" s="5">
        <v>40133</v>
      </c>
      <c r="K76" s="3">
        <v>40142</v>
      </c>
      <c r="L76" s="3" t="s">
        <v>474</v>
      </c>
      <c r="N76" s="2" t="s">
        <v>974</v>
      </c>
    </row>
    <row r="77" spans="1:18" ht="45" x14ac:dyDescent="0.25">
      <c r="F77" s="10">
        <v>9</v>
      </c>
      <c r="H77" s="2" t="s">
        <v>72</v>
      </c>
      <c r="I77" s="2" t="s">
        <v>29</v>
      </c>
      <c r="J77" s="3">
        <v>40135</v>
      </c>
      <c r="K77" s="3">
        <v>40142</v>
      </c>
      <c r="L77" s="3" t="s">
        <v>474</v>
      </c>
      <c r="N77" s="2" t="s">
        <v>974</v>
      </c>
      <c r="O77" s="2" t="s">
        <v>523</v>
      </c>
      <c r="P77" s="2" t="s">
        <v>977</v>
      </c>
      <c r="Q77" s="2" t="s">
        <v>540</v>
      </c>
      <c r="R77" s="2" t="s">
        <v>988</v>
      </c>
    </row>
    <row r="78" spans="1:18" ht="135" x14ac:dyDescent="0.25">
      <c r="F78" s="10">
        <v>10</v>
      </c>
      <c r="H78" s="2" t="s">
        <v>751</v>
      </c>
      <c r="I78" s="2" t="s">
        <v>29</v>
      </c>
      <c r="J78" s="3">
        <v>40135</v>
      </c>
      <c r="K78" s="3">
        <v>40142</v>
      </c>
      <c r="L78" s="3" t="s">
        <v>474</v>
      </c>
      <c r="M78" s="2" t="s">
        <v>635</v>
      </c>
      <c r="N78" s="2" t="s">
        <v>33</v>
      </c>
      <c r="O78" s="2" t="s">
        <v>524</v>
      </c>
    </row>
    <row r="79" spans="1:18" ht="45" x14ac:dyDescent="0.25">
      <c r="E79" s="10" t="s">
        <v>164</v>
      </c>
      <c r="F79" s="10">
        <v>1</v>
      </c>
      <c r="G79" s="2" t="s">
        <v>3200</v>
      </c>
      <c r="J79" s="3"/>
      <c r="K79" s="3"/>
      <c r="L79" s="3"/>
    </row>
    <row r="80" spans="1:18" ht="60" x14ac:dyDescent="0.25">
      <c r="E80" s="2"/>
      <c r="F80" s="10">
        <v>2</v>
      </c>
      <c r="H80" s="2" t="s">
        <v>773</v>
      </c>
      <c r="I80" s="2" t="s">
        <v>29</v>
      </c>
      <c r="J80" s="3">
        <v>40147</v>
      </c>
      <c r="K80" s="3">
        <v>40142</v>
      </c>
      <c r="L80" s="3" t="s">
        <v>474</v>
      </c>
      <c r="N80" s="2" t="s">
        <v>974</v>
      </c>
    </row>
    <row r="81" spans="1:17" ht="30" x14ac:dyDescent="0.25">
      <c r="F81" s="10">
        <v>3</v>
      </c>
      <c r="H81" s="7" t="s">
        <v>89</v>
      </c>
      <c r="I81" s="2" t="s">
        <v>29</v>
      </c>
      <c r="J81" s="3">
        <v>40147</v>
      </c>
      <c r="K81" s="3">
        <v>40142</v>
      </c>
      <c r="L81" s="3" t="s">
        <v>474</v>
      </c>
      <c r="N81" s="2" t="s">
        <v>974</v>
      </c>
    </row>
    <row r="82" spans="1:17" ht="30" x14ac:dyDescent="0.25">
      <c r="H82" s="7" t="s">
        <v>774</v>
      </c>
      <c r="I82" s="2" t="s">
        <v>29</v>
      </c>
      <c r="J82" s="3">
        <v>40217</v>
      </c>
      <c r="K82" s="3" t="s">
        <v>33</v>
      </c>
      <c r="L82" s="3" t="s">
        <v>474</v>
      </c>
      <c r="N82" s="2" t="s">
        <v>974</v>
      </c>
    </row>
    <row r="83" spans="1:17" ht="75" x14ac:dyDescent="0.25">
      <c r="H83" s="7" t="s">
        <v>775</v>
      </c>
      <c r="I83" s="2" t="s">
        <v>29</v>
      </c>
      <c r="J83" s="3">
        <v>40217</v>
      </c>
      <c r="K83" s="3" t="s">
        <v>33</v>
      </c>
      <c r="L83" s="3" t="s">
        <v>474</v>
      </c>
      <c r="N83" s="2" t="s">
        <v>974</v>
      </c>
    </row>
    <row r="84" spans="1:17" ht="45" x14ac:dyDescent="0.25">
      <c r="E84" s="10" t="s">
        <v>165</v>
      </c>
      <c r="F84" s="10">
        <v>1</v>
      </c>
      <c r="G84" s="2" t="s">
        <v>3201</v>
      </c>
      <c r="H84" s="7"/>
      <c r="J84" s="3"/>
      <c r="K84" s="3"/>
      <c r="L84" s="3"/>
    </row>
    <row r="85" spans="1:17" ht="30" x14ac:dyDescent="0.25">
      <c r="F85" s="10">
        <v>2</v>
      </c>
      <c r="H85" s="2" t="s">
        <v>90</v>
      </c>
      <c r="I85" s="2" t="s">
        <v>29</v>
      </c>
      <c r="J85" s="3">
        <v>40147</v>
      </c>
      <c r="K85" s="3">
        <v>40142</v>
      </c>
      <c r="L85" s="3" t="s">
        <v>474</v>
      </c>
      <c r="N85" s="2" t="s">
        <v>974</v>
      </c>
    </row>
    <row r="86" spans="1:17" ht="30" x14ac:dyDescent="0.25">
      <c r="F86" s="10">
        <v>3</v>
      </c>
      <c r="H86" s="2" t="s">
        <v>3202</v>
      </c>
      <c r="I86" s="2" t="s">
        <v>29</v>
      </c>
      <c r="J86" s="3">
        <v>40147</v>
      </c>
      <c r="K86" s="3">
        <v>40142</v>
      </c>
      <c r="L86" s="3" t="s">
        <v>474</v>
      </c>
      <c r="N86" s="2" t="s">
        <v>974</v>
      </c>
    </row>
    <row r="87" spans="1:17" ht="45" x14ac:dyDescent="0.25">
      <c r="E87" s="10" t="s">
        <v>167</v>
      </c>
      <c r="F87" s="10">
        <v>1</v>
      </c>
      <c r="G87" s="2" t="s">
        <v>3203</v>
      </c>
      <c r="J87" s="3"/>
      <c r="K87" s="3"/>
      <c r="L87" s="3"/>
    </row>
    <row r="88" spans="1:17" ht="30" x14ac:dyDescent="0.25">
      <c r="F88" s="10">
        <v>2</v>
      </c>
      <c r="H88" s="2" t="s">
        <v>91</v>
      </c>
      <c r="I88" s="2" t="s">
        <v>30</v>
      </c>
      <c r="J88" s="3">
        <v>40147</v>
      </c>
      <c r="K88" s="3">
        <v>40142</v>
      </c>
      <c r="L88" s="3" t="s">
        <v>474</v>
      </c>
      <c r="N88" s="2" t="s">
        <v>974</v>
      </c>
    </row>
    <row r="89" spans="1:17" x14ac:dyDescent="0.25">
      <c r="K89" s="2"/>
      <c r="L89" s="2"/>
    </row>
    <row r="90" spans="1:17" ht="60" x14ac:dyDescent="0.25">
      <c r="A90" s="7" t="s">
        <v>222</v>
      </c>
      <c r="B90" s="7" t="s">
        <v>36</v>
      </c>
      <c r="C90" s="7" t="s">
        <v>39</v>
      </c>
      <c r="D90" s="7" t="s">
        <v>42</v>
      </c>
      <c r="E90" s="10" t="s">
        <v>121</v>
      </c>
      <c r="F90" s="10">
        <v>1</v>
      </c>
      <c r="G90" s="2" t="s">
        <v>3012</v>
      </c>
      <c r="J90" s="5"/>
      <c r="K90" s="3"/>
      <c r="L90" s="3"/>
    </row>
    <row r="91" spans="1:17" ht="45" x14ac:dyDescent="0.25">
      <c r="F91" s="10">
        <v>2</v>
      </c>
      <c r="H91" s="2" t="s">
        <v>37</v>
      </c>
      <c r="I91" s="2" t="s">
        <v>29</v>
      </c>
      <c r="J91" s="5">
        <v>40133</v>
      </c>
      <c r="K91" s="3">
        <v>40142</v>
      </c>
      <c r="L91" s="3" t="s">
        <v>14</v>
      </c>
      <c r="N91" s="2" t="s">
        <v>974</v>
      </c>
    </row>
    <row r="92" spans="1:17" ht="60" x14ac:dyDescent="0.25">
      <c r="F92" s="10">
        <v>3</v>
      </c>
      <c r="H92" s="2" t="s">
        <v>752</v>
      </c>
      <c r="I92" s="2" t="s">
        <v>29</v>
      </c>
      <c r="J92" s="3">
        <v>40147</v>
      </c>
      <c r="K92" s="3">
        <v>40142</v>
      </c>
      <c r="L92" s="3" t="s">
        <v>14</v>
      </c>
      <c r="N92" s="2" t="s">
        <v>974</v>
      </c>
      <c r="O92" s="2" t="s">
        <v>525</v>
      </c>
      <c r="P92" s="2" t="s">
        <v>982</v>
      </c>
      <c r="Q92" s="2" t="s">
        <v>540</v>
      </c>
    </row>
    <row r="93" spans="1:17" x14ac:dyDescent="0.25">
      <c r="J93" s="5"/>
      <c r="K93" s="3"/>
      <c r="L93" s="3"/>
    </row>
    <row r="94" spans="1:17" ht="45" x14ac:dyDescent="0.25">
      <c r="A94" s="7" t="s">
        <v>250</v>
      </c>
      <c r="B94" s="7" t="s">
        <v>3467</v>
      </c>
      <c r="C94" s="7" t="s">
        <v>39</v>
      </c>
      <c r="D94" s="7" t="s">
        <v>3204</v>
      </c>
      <c r="E94" s="10" t="s">
        <v>121</v>
      </c>
      <c r="F94" s="10">
        <v>1</v>
      </c>
      <c r="G94" s="2" t="s">
        <v>3205</v>
      </c>
      <c r="H94" s="7"/>
      <c r="J94" s="7"/>
    </row>
    <row r="95" spans="1:17" ht="30" x14ac:dyDescent="0.25">
      <c r="F95" s="10">
        <v>2</v>
      </c>
      <c r="H95" s="7" t="s">
        <v>365</v>
      </c>
      <c r="I95" s="2" t="s">
        <v>29</v>
      </c>
      <c r="J95" s="3">
        <v>40135</v>
      </c>
      <c r="K95" s="3">
        <v>40142</v>
      </c>
      <c r="L95" s="7" t="s">
        <v>474</v>
      </c>
      <c r="N95" s="2" t="s">
        <v>974</v>
      </c>
    </row>
    <row r="96" spans="1:17" ht="30" x14ac:dyDescent="0.25">
      <c r="F96" s="10">
        <v>3</v>
      </c>
      <c r="H96" s="7" t="s">
        <v>362</v>
      </c>
      <c r="I96" s="2" t="s">
        <v>29</v>
      </c>
      <c r="J96" s="3">
        <v>40135</v>
      </c>
      <c r="K96" s="3">
        <v>40142</v>
      </c>
      <c r="L96" s="7" t="s">
        <v>474</v>
      </c>
      <c r="N96" s="2" t="s">
        <v>974</v>
      </c>
    </row>
    <row r="97" spans="5:18" ht="30" x14ac:dyDescent="0.25">
      <c r="F97" s="10">
        <v>4</v>
      </c>
      <c r="H97" s="7" t="s">
        <v>363</v>
      </c>
      <c r="I97" s="2" t="s">
        <v>29</v>
      </c>
      <c r="J97" s="3">
        <v>40147</v>
      </c>
      <c r="K97" s="3">
        <v>40142</v>
      </c>
      <c r="L97" s="7" t="s">
        <v>474</v>
      </c>
      <c r="N97" s="2" t="s">
        <v>974</v>
      </c>
    </row>
    <row r="98" spans="5:18" ht="30" x14ac:dyDescent="0.25">
      <c r="F98" s="10">
        <v>5</v>
      </c>
      <c r="H98" s="7" t="s">
        <v>364</v>
      </c>
      <c r="I98" s="2" t="s">
        <v>29</v>
      </c>
      <c r="J98" s="3">
        <v>40147</v>
      </c>
      <c r="K98" s="3">
        <v>40142</v>
      </c>
      <c r="L98" s="7" t="s">
        <v>474</v>
      </c>
      <c r="N98" s="2" t="s">
        <v>974</v>
      </c>
    </row>
    <row r="99" spans="5:18" ht="30" x14ac:dyDescent="0.25">
      <c r="H99" s="7" t="s">
        <v>366</v>
      </c>
      <c r="I99" s="2" t="s">
        <v>29</v>
      </c>
      <c r="J99" s="3">
        <v>40135</v>
      </c>
      <c r="K99" s="3">
        <v>40142</v>
      </c>
      <c r="L99" s="7" t="s">
        <v>474</v>
      </c>
      <c r="N99" s="2" t="s">
        <v>974</v>
      </c>
    </row>
    <row r="100" spans="5:18" ht="45" x14ac:dyDescent="0.25">
      <c r="F100" s="10">
        <v>6</v>
      </c>
      <c r="H100" s="7" t="s">
        <v>367</v>
      </c>
      <c r="I100" s="2" t="s">
        <v>29</v>
      </c>
      <c r="J100" s="3">
        <v>40135</v>
      </c>
      <c r="K100" s="3">
        <v>40142</v>
      </c>
      <c r="L100" s="7" t="s">
        <v>474</v>
      </c>
      <c r="N100" s="2" t="s">
        <v>974</v>
      </c>
    </row>
    <row r="101" spans="5:18" ht="45" x14ac:dyDescent="0.25">
      <c r="F101" s="10">
        <v>7</v>
      </c>
      <c r="H101" s="7" t="s">
        <v>368</v>
      </c>
      <c r="I101" s="2" t="s">
        <v>29</v>
      </c>
      <c r="J101" s="3">
        <v>40147</v>
      </c>
      <c r="K101" s="3" t="s">
        <v>33</v>
      </c>
      <c r="L101" s="7" t="s">
        <v>474</v>
      </c>
      <c r="N101" s="2" t="s">
        <v>974</v>
      </c>
    </row>
    <row r="102" spans="5:18" ht="30" x14ac:dyDescent="0.25">
      <c r="F102" s="10">
        <v>8</v>
      </c>
      <c r="G102" s="2" t="s">
        <v>369</v>
      </c>
      <c r="H102" s="7"/>
      <c r="J102" s="7"/>
    </row>
    <row r="103" spans="5:18" ht="30" x14ac:dyDescent="0.25">
      <c r="F103" s="10">
        <v>9</v>
      </c>
      <c r="H103" s="7" t="s">
        <v>355</v>
      </c>
      <c r="I103" s="2" t="s">
        <v>29</v>
      </c>
      <c r="J103" s="3">
        <v>40135</v>
      </c>
      <c r="K103" s="3">
        <v>40142</v>
      </c>
      <c r="L103" s="7" t="s">
        <v>474</v>
      </c>
      <c r="N103" s="2" t="s">
        <v>974</v>
      </c>
      <c r="O103" s="2" t="s">
        <v>526</v>
      </c>
      <c r="P103" s="2" t="s">
        <v>980</v>
      </c>
      <c r="Q103" s="2" t="s">
        <v>540</v>
      </c>
      <c r="R103" s="2" t="s">
        <v>989</v>
      </c>
    </row>
    <row r="104" spans="5:18" ht="45" x14ac:dyDescent="0.25">
      <c r="F104" s="10">
        <v>10</v>
      </c>
      <c r="H104" s="7" t="s">
        <v>356</v>
      </c>
      <c r="I104" s="2" t="s">
        <v>29</v>
      </c>
      <c r="J104" s="3">
        <v>40135</v>
      </c>
      <c r="K104" s="3">
        <v>40142</v>
      </c>
      <c r="L104" s="7" t="s">
        <v>474</v>
      </c>
      <c r="N104" s="2" t="s">
        <v>974</v>
      </c>
    </row>
    <row r="105" spans="5:18" ht="30" x14ac:dyDescent="0.25">
      <c r="F105" s="10">
        <v>11</v>
      </c>
      <c r="G105" s="2" t="s">
        <v>357</v>
      </c>
      <c r="H105" s="7"/>
      <c r="J105" s="7"/>
    </row>
    <row r="106" spans="5:18" ht="30" x14ac:dyDescent="0.25">
      <c r="F106" s="10">
        <v>12</v>
      </c>
      <c r="H106" s="7" t="s">
        <v>358</v>
      </c>
      <c r="I106" s="2" t="s">
        <v>29</v>
      </c>
      <c r="J106" s="3">
        <v>40135</v>
      </c>
      <c r="K106" s="3">
        <v>40142</v>
      </c>
      <c r="L106" s="7" t="s">
        <v>474</v>
      </c>
      <c r="N106" s="2" t="s">
        <v>974</v>
      </c>
      <c r="O106" s="2" t="s">
        <v>526</v>
      </c>
      <c r="P106" s="2" t="s">
        <v>980</v>
      </c>
      <c r="Q106" s="2" t="s">
        <v>540</v>
      </c>
      <c r="R106" s="2" t="s">
        <v>990</v>
      </c>
    </row>
    <row r="107" spans="5:18" ht="45" x14ac:dyDescent="0.25">
      <c r="F107" s="10">
        <v>13</v>
      </c>
      <c r="H107" s="7" t="s">
        <v>359</v>
      </c>
      <c r="I107" s="2" t="s">
        <v>29</v>
      </c>
      <c r="J107" s="3">
        <v>40135</v>
      </c>
      <c r="K107" s="3">
        <v>40142</v>
      </c>
      <c r="L107" s="7" t="s">
        <v>474</v>
      </c>
      <c r="N107" s="2" t="s">
        <v>974</v>
      </c>
    </row>
    <row r="108" spans="5:18" ht="30" x14ac:dyDescent="0.25">
      <c r="E108" s="10" t="s">
        <v>374</v>
      </c>
      <c r="F108" s="10">
        <v>1</v>
      </c>
      <c r="G108" s="2" t="s">
        <v>370</v>
      </c>
      <c r="H108" s="7"/>
      <c r="J108" s="7"/>
    </row>
    <row r="109" spans="5:18" x14ac:dyDescent="0.25">
      <c r="F109" s="10">
        <v>2</v>
      </c>
      <c r="H109" s="7" t="s">
        <v>371</v>
      </c>
      <c r="I109" s="2" t="s">
        <v>29</v>
      </c>
      <c r="J109" s="3">
        <v>40147</v>
      </c>
      <c r="K109" s="3">
        <v>40142</v>
      </c>
      <c r="L109" s="7" t="s">
        <v>474</v>
      </c>
      <c r="N109" s="2" t="s">
        <v>974</v>
      </c>
    </row>
    <row r="110" spans="5:18" ht="45" x14ac:dyDescent="0.25">
      <c r="F110" s="10">
        <v>3</v>
      </c>
      <c r="H110" s="7" t="s">
        <v>360</v>
      </c>
      <c r="I110" s="2" t="s">
        <v>29</v>
      </c>
      <c r="J110" s="3">
        <v>40147</v>
      </c>
      <c r="K110" s="3">
        <v>40142</v>
      </c>
      <c r="L110" s="7" t="s">
        <v>474</v>
      </c>
      <c r="N110" s="2" t="s">
        <v>974</v>
      </c>
    </row>
    <row r="111" spans="5:18" ht="30" x14ac:dyDescent="0.25">
      <c r="F111" s="10">
        <v>4</v>
      </c>
      <c r="G111" s="2" t="s">
        <v>372</v>
      </c>
      <c r="H111" s="7"/>
      <c r="J111" s="7"/>
    </row>
    <row r="112" spans="5:18" x14ac:dyDescent="0.25">
      <c r="F112" s="10">
        <v>5</v>
      </c>
      <c r="H112" s="7" t="s">
        <v>373</v>
      </c>
      <c r="I112" s="2" t="s">
        <v>29</v>
      </c>
      <c r="J112" s="3">
        <v>40147</v>
      </c>
      <c r="K112" s="3">
        <v>40142</v>
      </c>
      <c r="L112" s="7" t="s">
        <v>474</v>
      </c>
      <c r="N112" s="2" t="s">
        <v>974</v>
      </c>
    </row>
    <row r="113" spans="1:18" ht="45" x14ac:dyDescent="0.25">
      <c r="F113" s="10">
        <v>6</v>
      </c>
      <c r="H113" s="7" t="s">
        <v>361</v>
      </c>
      <c r="I113" s="2" t="s">
        <v>29</v>
      </c>
      <c r="J113" s="3">
        <v>40147</v>
      </c>
      <c r="K113" s="3">
        <v>40142</v>
      </c>
      <c r="L113" s="7" t="s">
        <v>474</v>
      </c>
      <c r="N113" s="2" t="s">
        <v>974</v>
      </c>
    </row>
    <row r="114" spans="1:18" ht="30" x14ac:dyDescent="0.25">
      <c r="E114" s="10" t="s">
        <v>375</v>
      </c>
      <c r="F114" s="10">
        <v>1</v>
      </c>
      <c r="G114" s="2" t="s">
        <v>377</v>
      </c>
      <c r="H114" s="7"/>
      <c r="J114" s="3"/>
      <c r="K114" s="3"/>
    </row>
    <row r="115" spans="1:18" ht="135" x14ac:dyDescent="0.25">
      <c r="F115" s="10">
        <v>2</v>
      </c>
      <c r="H115" s="7" t="s">
        <v>358</v>
      </c>
      <c r="I115" s="2" t="s">
        <v>29</v>
      </c>
      <c r="J115" s="3">
        <v>40135</v>
      </c>
      <c r="K115" s="3">
        <v>40142</v>
      </c>
      <c r="L115" s="7" t="s">
        <v>474</v>
      </c>
      <c r="N115" s="2" t="s">
        <v>974</v>
      </c>
      <c r="O115" s="2" t="s">
        <v>527</v>
      </c>
      <c r="P115" s="2" t="s">
        <v>982</v>
      </c>
      <c r="Q115" s="2" t="s">
        <v>540</v>
      </c>
      <c r="R115" s="2" t="s">
        <v>991</v>
      </c>
    </row>
    <row r="116" spans="1:18" ht="45" x14ac:dyDescent="0.25">
      <c r="F116" s="10">
        <v>3</v>
      </c>
      <c r="H116" s="7" t="s">
        <v>359</v>
      </c>
      <c r="I116" s="2" t="s">
        <v>29</v>
      </c>
      <c r="J116" s="3">
        <v>40135</v>
      </c>
      <c r="K116" s="3">
        <v>40142</v>
      </c>
      <c r="L116" s="7" t="s">
        <v>474</v>
      </c>
      <c r="N116" s="2" t="s">
        <v>974</v>
      </c>
      <c r="O116" s="2" t="s">
        <v>528</v>
      </c>
    </row>
    <row r="117" spans="1:18" ht="30" x14ac:dyDescent="0.25">
      <c r="F117" s="10">
        <v>4</v>
      </c>
      <c r="G117" s="2" t="s">
        <v>378</v>
      </c>
      <c r="H117" s="7"/>
      <c r="J117" s="3"/>
      <c r="K117" s="3"/>
    </row>
    <row r="118" spans="1:18" x14ac:dyDescent="0.25">
      <c r="F118" s="10">
        <v>5</v>
      </c>
      <c r="H118" s="7" t="s">
        <v>355</v>
      </c>
      <c r="I118" s="2" t="s">
        <v>29</v>
      </c>
      <c r="J118" s="3">
        <v>40135</v>
      </c>
      <c r="K118" s="3">
        <v>40142</v>
      </c>
      <c r="L118" s="7" t="s">
        <v>474</v>
      </c>
      <c r="N118" s="2" t="s">
        <v>974</v>
      </c>
    </row>
    <row r="119" spans="1:18" ht="45" x14ac:dyDescent="0.25">
      <c r="F119" s="10">
        <v>6</v>
      </c>
      <c r="H119" s="7" t="s">
        <v>356</v>
      </c>
      <c r="I119" s="2" t="s">
        <v>29</v>
      </c>
      <c r="J119" s="3">
        <v>40135</v>
      </c>
      <c r="K119" s="3">
        <v>40142</v>
      </c>
      <c r="L119" s="7" t="s">
        <v>474</v>
      </c>
      <c r="N119" s="2" t="s">
        <v>974</v>
      </c>
    </row>
    <row r="120" spans="1:18" ht="30" x14ac:dyDescent="0.25">
      <c r="E120" s="10" t="s">
        <v>376</v>
      </c>
      <c r="F120" s="10">
        <v>1</v>
      </c>
      <c r="G120" s="2" t="s">
        <v>369</v>
      </c>
      <c r="H120" s="7"/>
      <c r="J120" s="3"/>
      <c r="K120" s="3"/>
    </row>
    <row r="121" spans="1:18" ht="30" x14ac:dyDescent="0.25">
      <c r="F121" s="10">
        <v>2</v>
      </c>
      <c r="G121" s="2" t="s">
        <v>377</v>
      </c>
      <c r="H121" s="7"/>
      <c r="J121" s="3"/>
      <c r="K121" s="3"/>
    </row>
    <row r="122" spans="1:18" ht="60" x14ac:dyDescent="0.25">
      <c r="F122" s="10">
        <v>3</v>
      </c>
      <c r="G122" s="2" t="s">
        <v>3206</v>
      </c>
      <c r="H122" s="7"/>
      <c r="J122" s="7"/>
      <c r="M122" s="2" t="s">
        <v>3207</v>
      </c>
    </row>
    <row r="123" spans="1:18" ht="105" x14ac:dyDescent="0.25">
      <c r="F123" s="10">
        <v>4</v>
      </c>
      <c r="H123" s="7" t="s">
        <v>3208</v>
      </c>
      <c r="I123" s="2" t="s">
        <v>30</v>
      </c>
      <c r="J123" s="3">
        <v>40135</v>
      </c>
      <c r="K123" s="3">
        <v>40142</v>
      </c>
      <c r="L123" s="7" t="s">
        <v>474</v>
      </c>
      <c r="N123" s="2" t="s">
        <v>974</v>
      </c>
      <c r="O123" s="2" t="s">
        <v>3209</v>
      </c>
      <c r="P123" s="2" t="s">
        <v>980</v>
      </c>
      <c r="Q123" s="2" t="s">
        <v>986</v>
      </c>
      <c r="R123" s="2" t="s">
        <v>995</v>
      </c>
    </row>
    <row r="124" spans="1:18" ht="60" x14ac:dyDescent="0.25">
      <c r="F124" s="10">
        <v>5</v>
      </c>
      <c r="H124" s="7" t="s">
        <v>3210</v>
      </c>
      <c r="I124" s="2" t="s">
        <v>30</v>
      </c>
      <c r="J124" s="3">
        <v>40135</v>
      </c>
      <c r="K124" s="3">
        <v>40142</v>
      </c>
      <c r="L124" s="7" t="s">
        <v>474</v>
      </c>
      <c r="N124" s="2" t="s">
        <v>974</v>
      </c>
    </row>
    <row r="125" spans="1:18" x14ac:dyDescent="0.25">
      <c r="H125" s="7"/>
      <c r="J125" s="7"/>
    </row>
    <row r="126" spans="1:18" ht="45" x14ac:dyDescent="0.25">
      <c r="A126" s="7" t="s">
        <v>224</v>
      </c>
      <c r="B126" s="7" t="s">
        <v>3468</v>
      </c>
      <c r="C126" s="7" t="s">
        <v>460</v>
      </c>
      <c r="D126" s="7" t="s">
        <v>3211</v>
      </c>
      <c r="E126" s="10" t="s">
        <v>121</v>
      </c>
      <c r="F126" s="10">
        <v>1</v>
      </c>
      <c r="G126" s="2" t="s">
        <v>3212</v>
      </c>
      <c r="H126" s="7"/>
      <c r="J126" s="7"/>
    </row>
    <row r="127" spans="1:18" ht="30" x14ac:dyDescent="0.25">
      <c r="F127" s="10">
        <v>2</v>
      </c>
      <c r="H127" s="7" t="s">
        <v>1132</v>
      </c>
      <c r="I127" s="2" t="s">
        <v>30</v>
      </c>
      <c r="J127" s="5">
        <v>40140</v>
      </c>
      <c r="K127" s="3">
        <v>40142</v>
      </c>
      <c r="L127" s="22"/>
      <c r="N127" s="2" t="s">
        <v>974</v>
      </c>
    </row>
    <row r="128" spans="1:18" ht="30" x14ac:dyDescent="0.25">
      <c r="F128" s="10">
        <v>3</v>
      </c>
      <c r="H128" s="7" t="s">
        <v>3213</v>
      </c>
      <c r="I128" s="2" t="s">
        <v>29</v>
      </c>
      <c r="J128" s="5">
        <v>40140</v>
      </c>
      <c r="K128" s="3">
        <v>40142</v>
      </c>
      <c r="L128" s="22"/>
      <c r="N128" s="2" t="s">
        <v>974</v>
      </c>
    </row>
    <row r="129" spans="1:14" ht="45" x14ac:dyDescent="0.25">
      <c r="F129" s="10">
        <v>4</v>
      </c>
      <c r="G129" s="2" t="s">
        <v>3214</v>
      </c>
      <c r="H129" s="7"/>
      <c r="J129" s="7"/>
    </row>
    <row r="130" spans="1:14" x14ac:dyDescent="0.25">
      <c r="F130" s="10">
        <v>5</v>
      </c>
      <c r="G130" s="2" t="s">
        <v>92</v>
      </c>
      <c r="H130" s="7"/>
      <c r="J130" s="7"/>
    </row>
    <row r="131" spans="1:14" ht="30" x14ac:dyDescent="0.25">
      <c r="F131" s="10">
        <v>6</v>
      </c>
      <c r="H131" s="7" t="s">
        <v>3215</v>
      </c>
      <c r="I131" s="2" t="s">
        <v>29</v>
      </c>
      <c r="J131" s="5">
        <v>40140</v>
      </c>
      <c r="K131" s="3">
        <v>40142</v>
      </c>
      <c r="L131" s="7" t="s">
        <v>474</v>
      </c>
      <c r="N131" s="2" t="s">
        <v>974</v>
      </c>
    </row>
    <row r="132" spans="1:14" ht="75" x14ac:dyDescent="0.25">
      <c r="F132" s="10">
        <v>7</v>
      </c>
      <c r="H132" s="2" t="s">
        <v>3216</v>
      </c>
      <c r="I132" s="2" t="s">
        <v>29</v>
      </c>
      <c r="J132" s="3">
        <v>40168</v>
      </c>
      <c r="K132" s="3">
        <v>40254</v>
      </c>
      <c r="L132" s="7" t="s">
        <v>474</v>
      </c>
      <c r="N132" s="2" t="s">
        <v>974</v>
      </c>
    </row>
    <row r="133" spans="1:14" ht="30" x14ac:dyDescent="0.25">
      <c r="E133" s="10" t="s">
        <v>164</v>
      </c>
      <c r="F133" s="10">
        <v>1</v>
      </c>
      <c r="G133" s="2" t="s">
        <v>1128</v>
      </c>
      <c r="J133" s="3"/>
      <c r="K133" s="3"/>
    </row>
    <row r="134" spans="1:14" ht="45" x14ac:dyDescent="0.25">
      <c r="F134" s="10">
        <v>2</v>
      </c>
      <c r="H134" s="7" t="s">
        <v>3217</v>
      </c>
      <c r="I134" s="2" t="s">
        <v>29</v>
      </c>
      <c r="J134" s="5">
        <v>40140</v>
      </c>
      <c r="K134" s="3">
        <v>40142</v>
      </c>
      <c r="L134" s="22"/>
      <c r="N134" s="2" t="s">
        <v>974</v>
      </c>
    </row>
    <row r="135" spans="1:14" x14ac:dyDescent="0.25">
      <c r="J135" s="3"/>
      <c r="K135" s="3"/>
    </row>
    <row r="136" spans="1:14" x14ac:dyDescent="0.25">
      <c r="H136" s="7"/>
      <c r="J136" s="7"/>
    </row>
    <row r="137" spans="1:14" ht="30" x14ac:dyDescent="0.25">
      <c r="A137" s="7" t="s">
        <v>225</v>
      </c>
      <c r="B137" s="7" t="s">
        <v>99</v>
      </c>
      <c r="C137" s="7" t="s">
        <v>460</v>
      </c>
      <c r="D137" s="7" t="s">
        <v>100</v>
      </c>
      <c r="E137" s="10" t="s">
        <v>121</v>
      </c>
      <c r="F137" s="10">
        <v>1</v>
      </c>
      <c r="G137" s="2" t="s">
        <v>3012</v>
      </c>
      <c r="H137" s="7"/>
      <c r="J137" s="7"/>
    </row>
    <row r="138" spans="1:14" ht="45" x14ac:dyDescent="0.25">
      <c r="E138" s="2"/>
      <c r="F138" s="10">
        <v>2</v>
      </c>
      <c r="H138" s="2" t="s">
        <v>101</v>
      </c>
      <c r="I138" s="2" t="s">
        <v>29</v>
      </c>
      <c r="J138" s="5">
        <v>40133</v>
      </c>
      <c r="K138" s="3">
        <v>40142</v>
      </c>
      <c r="L138" s="22"/>
      <c r="M138" s="2" t="s">
        <v>927</v>
      </c>
      <c r="N138" s="2" t="s">
        <v>974</v>
      </c>
    </row>
    <row r="139" spans="1:14" ht="30" x14ac:dyDescent="0.25">
      <c r="F139" s="10">
        <v>3</v>
      </c>
      <c r="G139" s="2" t="s">
        <v>102</v>
      </c>
      <c r="J139" s="5"/>
      <c r="K139" s="3"/>
      <c r="L139" s="3"/>
    </row>
    <row r="140" spans="1:14" x14ac:dyDescent="0.25">
      <c r="F140" s="10">
        <v>4</v>
      </c>
      <c r="G140" s="2" t="s">
        <v>92</v>
      </c>
      <c r="K140" s="2"/>
      <c r="L140" s="3"/>
    </row>
    <row r="141" spans="1:14" ht="45" x14ac:dyDescent="0.25">
      <c r="F141" s="10">
        <v>5</v>
      </c>
      <c r="H141" s="2" t="s">
        <v>93</v>
      </c>
      <c r="I141" s="2" t="s">
        <v>29</v>
      </c>
      <c r="J141" s="5">
        <v>40133</v>
      </c>
      <c r="K141" s="3">
        <v>40142</v>
      </c>
      <c r="L141" s="22"/>
      <c r="N141" s="2" t="s">
        <v>974</v>
      </c>
    </row>
    <row r="142" spans="1:14" ht="45" x14ac:dyDescent="0.25">
      <c r="E142" s="10" t="s">
        <v>123</v>
      </c>
      <c r="F142" s="10">
        <v>1</v>
      </c>
      <c r="G142" s="2" t="s">
        <v>3218</v>
      </c>
      <c r="K142" s="2"/>
      <c r="L142" s="3"/>
    </row>
    <row r="143" spans="1:14" ht="30" x14ac:dyDescent="0.25">
      <c r="F143" s="10">
        <v>2</v>
      </c>
      <c r="H143" s="2" t="s">
        <v>103</v>
      </c>
      <c r="I143" s="2" t="s">
        <v>29</v>
      </c>
      <c r="J143" s="5">
        <v>40133</v>
      </c>
      <c r="K143" s="3">
        <v>40142</v>
      </c>
      <c r="L143" s="22"/>
      <c r="N143" s="2" t="s">
        <v>974</v>
      </c>
    </row>
    <row r="144" spans="1:14" x14ac:dyDescent="0.25">
      <c r="F144" s="10">
        <v>3</v>
      </c>
      <c r="G144" s="2" t="s">
        <v>104</v>
      </c>
      <c r="J144" s="5"/>
      <c r="K144" s="3"/>
      <c r="L144" s="3"/>
    </row>
    <row r="145" spans="1:18" x14ac:dyDescent="0.25">
      <c r="F145" s="10">
        <v>4</v>
      </c>
      <c r="G145" s="2" t="s">
        <v>92</v>
      </c>
      <c r="K145" s="2"/>
      <c r="L145" s="3"/>
    </row>
    <row r="146" spans="1:18" ht="45" x14ac:dyDescent="0.25">
      <c r="F146" s="10">
        <v>5</v>
      </c>
      <c r="H146" s="2" t="s">
        <v>105</v>
      </c>
      <c r="I146" s="2" t="s">
        <v>33</v>
      </c>
      <c r="J146" s="5">
        <v>40133</v>
      </c>
      <c r="K146" s="3">
        <v>40142</v>
      </c>
      <c r="L146" s="22"/>
      <c r="N146" s="2" t="s">
        <v>974</v>
      </c>
    </row>
    <row r="147" spans="1:18" x14ac:dyDescent="0.25">
      <c r="J147" s="5"/>
      <c r="K147" s="3"/>
      <c r="L147" s="3"/>
    </row>
    <row r="148" spans="1:18" ht="90" x14ac:dyDescent="0.25">
      <c r="A148" s="7" t="s">
        <v>226</v>
      </c>
      <c r="B148" s="7" t="s">
        <v>38</v>
      </c>
      <c r="C148" s="7" t="s">
        <v>460</v>
      </c>
      <c r="D148" s="7" t="s">
        <v>44</v>
      </c>
      <c r="E148" s="10" t="s">
        <v>121</v>
      </c>
      <c r="F148" s="10">
        <v>1</v>
      </c>
      <c r="G148" s="2" t="s">
        <v>3012</v>
      </c>
      <c r="J148" s="5"/>
      <c r="K148" s="3"/>
      <c r="L148" s="3"/>
    </row>
    <row r="149" spans="1:18" ht="45" x14ac:dyDescent="0.25">
      <c r="F149" s="10">
        <v>2</v>
      </c>
      <c r="H149" s="2" t="s">
        <v>94</v>
      </c>
      <c r="I149" s="2" t="s">
        <v>29</v>
      </c>
      <c r="J149" s="5">
        <v>40133</v>
      </c>
      <c r="K149" s="3">
        <v>40142</v>
      </c>
      <c r="L149" s="3" t="s">
        <v>14</v>
      </c>
      <c r="N149" s="2" t="s">
        <v>974</v>
      </c>
      <c r="O149" s="2" t="s">
        <v>1493</v>
      </c>
      <c r="P149" s="2" t="s">
        <v>977</v>
      </c>
      <c r="Q149" s="2" t="s">
        <v>540</v>
      </c>
    </row>
    <row r="150" spans="1:18" ht="45" x14ac:dyDescent="0.25">
      <c r="J150" s="5"/>
      <c r="K150" s="3"/>
      <c r="L150" s="3"/>
      <c r="N150" s="2" t="s">
        <v>974</v>
      </c>
      <c r="O150" s="2" t="s">
        <v>1617</v>
      </c>
      <c r="P150" s="2" t="s">
        <v>977</v>
      </c>
      <c r="Q150" s="2" t="s">
        <v>986</v>
      </c>
    </row>
    <row r="151" spans="1:18" ht="90" x14ac:dyDescent="0.25">
      <c r="J151" s="5"/>
      <c r="K151" s="3"/>
      <c r="L151" s="3"/>
      <c r="N151" s="2" t="s">
        <v>974</v>
      </c>
      <c r="O151" s="2" t="s">
        <v>1616</v>
      </c>
      <c r="P151" s="2" t="s">
        <v>977</v>
      </c>
      <c r="Q151" s="2" t="s">
        <v>986</v>
      </c>
      <c r="R151" s="2" t="s">
        <v>1447</v>
      </c>
    </row>
    <row r="152" spans="1:18" ht="60" x14ac:dyDescent="0.25">
      <c r="J152" s="5"/>
      <c r="K152" s="3"/>
      <c r="L152" s="3"/>
      <c r="N152" s="2" t="s">
        <v>974</v>
      </c>
      <c r="O152" s="2" t="s">
        <v>1618</v>
      </c>
      <c r="P152" s="2" t="s">
        <v>977</v>
      </c>
      <c r="Q152" s="2" t="s">
        <v>986</v>
      </c>
      <c r="R152" s="2" t="s">
        <v>1447</v>
      </c>
    </row>
    <row r="153" spans="1:18" ht="75" x14ac:dyDescent="0.25">
      <c r="J153" s="5"/>
      <c r="K153" s="3"/>
      <c r="L153" s="3"/>
      <c r="N153" s="2" t="s">
        <v>974</v>
      </c>
      <c r="O153" s="2" t="s">
        <v>1481</v>
      </c>
      <c r="P153" s="2" t="s">
        <v>980</v>
      </c>
      <c r="Q153" s="2" t="s">
        <v>540</v>
      </c>
      <c r="R153" s="2" t="s">
        <v>1872</v>
      </c>
    </row>
    <row r="154" spans="1:18" ht="105" x14ac:dyDescent="0.25">
      <c r="J154" s="5"/>
      <c r="K154" s="3"/>
      <c r="L154" s="3"/>
      <c r="N154" s="2" t="s">
        <v>974</v>
      </c>
      <c r="O154" s="2" t="s">
        <v>1482</v>
      </c>
      <c r="P154" s="2" t="s">
        <v>977</v>
      </c>
      <c r="Q154" s="2" t="s">
        <v>540</v>
      </c>
    </row>
    <row r="155" spans="1:18" ht="30" x14ac:dyDescent="0.25">
      <c r="F155" s="10">
        <v>3</v>
      </c>
      <c r="G155" s="2" t="s">
        <v>95</v>
      </c>
      <c r="J155" s="5"/>
      <c r="K155" s="3"/>
      <c r="L155" s="3"/>
    </row>
    <row r="156" spans="1:18" x14ac:dyDescent="0.25">
      <c r="F156" s="10">
        <v>4</v>
      </c>
      <c r="G156" s="2" t="s">
        <v>92</v>
      </c>
      <c r="K156" s="2"/>
      <c r="L156" s="3"/>
    </row>
    <row r="157" spans="1:18" ht="45" x14ac:dyDescent="0.25">
      <c r="F157" s="10">
        <v>5</v>
      </c>
      <c r="H157" s="2" t="s">
        <v>928</v>
      </c>
      <c r="I157" s="2" t="s">
        <v>29</v>
      </c>
      <c r="J157" s="5">
        <v>40133</v>
      </c>
      <c r="K157" s="3">
        <v>40142</v>
      </c>
      <c r="L157" s="3" t="s">
        <v>14</v>
      </c>
      <c r="N157" s="2" t="s">
        <v>974</v>
      </c>
    </row>
    <row r="158" spans="1:18" ht="60" x14ac:dyDescent="0.25">
      <c r="E158" s="10" t="s">
        <v>123</v>
      </c>
      <c r="F158" s="10">
        <v>1</v>
      </c>
      <c r="G158" s="2" t="s">
        <v>3219</v>
      </c>
      <c r="K158" s="2"/>
      <c r="L158" s="3"/>
    </row>
    <row r="159" spans="1:18" ht="45" x14ac:dyDescent="0.25">
      <c r="F159" s="10">
        <v>2</v>
      </c>
      <c r="H159" s="2" t="s">
        <v>753</v>
      </c>
      <c r="I159" s="2" t="s">
        <v>29</v>
      </c>
      <c r="J159" s="5">
        <v>40133</v>
      </c>
      <c r="K159" s="3">
        <v>40142</v>
      </c>
      <c r="L159" s="3" t="s">
        <v>14</v>
      </c>
      <c r="N159" s="2" t="s">
        <v>974</v>
      </c>
    </row>
    <row r="160" spans="1:18" ht="30" x14ac:dyDescent="0.25">
      <c r="F160" s="10">
        <v>3</v>
      </c>
      <c r="H160" s="2" t="s">
        <v>754</v>
      </c>
      <c r="I160" s="2" t="s">
        <v>29</v>
      </c>
      <c r="J160" s="5">
        <v>40214</v>
      </c>
      <c r="K160" s="3" t="s">
        <v>33</v>
      </c>
      <c r="L160" s="3" t="s">
        <v>14</v>
      </c>
      <c r="N160" s="2" t="s">
        <v>974</v>
      </c>
    </row>
    <row r="161" spans="5:17" ht="60" x14ac:dyDescent="0.25">
      <c r="F161" s="10">
        <v>4</v>
      </c>
      <c r="H161" s="2" t="s">
        <v>114</v>
      </c>
      <c r="I161" s="2" t="s">
        <v>30</v>
      </c>
      <c r="J161" s="5">
        <v>40133</v>
      </c>
      <c r="K161" s="3">
        <v>40142</v>
      </c>
      <c r="L161" s="3" t="s">
        <v>14</v>
      </c>
      <c r="N161" s="2" t="s">
        <v>974</v>
      </c>
    </row>
    <row r="162" spans="5:17" ht="45" x14ac:dyDescent="0.25">
      <c r="F162" s="10">
        <v>5</v>
      </c>
      <c r="G162" s="2" t="s">
        <v>113</v>
      </c>
      <c r="J162" s="5"/>
      <c r="K162" s="3"/>
      <c r="L162" s="3"/>
    </row>
    <row r="163" spans="5:17" x14ac:dyDescent="0.25">
      <c r="F163" s="10">
        <v>6</v>
      </c>
      <c r="G163" s="2" t="s">
        <v>92</v>
      </c>
      <c r="K163" s="2"/>
      <c r="L163" s="3"/>
    </row>
    <row r="164" spans="5:17" ht="45" x14ac:dyDescent="0.25">
      <c r="F164" s="10">
        <v>7</v>
      </c>
      <c r="H164" s="2" t="s">
        <v>112</v>
      </c>
      <c r="I164" s="2" t="s">
        <v>33</v>
      </c>
      <c r="J164" s="5">
        <v>40133</v>
      </c>
      <c r="K164" s="3">
        <v>40142</v>
      </c>
      <c r="L164" s="3" t="s">
        <v>14</v>
      </c>
      <c r="N164" s="2" t="s">
        <v>974</v>
      </c>
    </row>
    <row r="165" spans="5:17" ht="60" x14ac:dyDescent="0.25">
      <c r="E165" s="10" t="s">
        <v>126</v>
      </c>
      <c r="F165" s="10">
        <v>1</v>
      </c>
      <c r="G165" s="2" t="s">
        <v>3219</v>
      </c>
      <c r="K165" s="2"/>
      <c r="L165" s="3"/>
    </row>
    <row r="166" spans="5:17" ht="30" x14ac:dyDescent="0.25">
      <c r="F166" s="10">
        <v>2</v>
      </c>
      <c r="H166" s="2" t="s">
        <v>96</v>
      </c>
      <c r="I166" s="2" t="s">
        <v>29</v>
      </c>
      <c r="J166" s="5">
        <v>40133</v>
      </c>
      <c r="K166" s="3">
        <v>40142</v>
      </c>
      <c r="L166" s="3" t="s">
        <v>14</v>
      </c>
      <c r="N166" s="2" t="s">
        <v>974</v>
      </c>
      <c r="O166" s="2" t="s">
        <v>1876</v>
      </c>
      <c r="P166" s="2" t="s">
        <v>977</v>
      </c>
      <c r="Q166" s="2" t="s">
        <v>540</v>
      </c>
    </row>
    <row r="167" spans="5:17" ht="45" x14ac:dyDescent="0.25">
      <c r="J167" s="5"/>
      <c r="K167" s="3"/>
      <c r="L167" s="3"/>
      <c r="N167" s="2" t="s">
        <v>974</v>
      </c>
      <c r="O167" s="2" t="s">
        <v>1877</v>
      </c>
      <c r="P167" s="2" t="s">
        <v>977</v>
      </c>
      <c r="Q167" s="2" t="s">
        <v>540</v>
      </c>
    </row>
    <row r="168" spans="5:17" ht="30" x14ac:dyDescent="0.25">
      <c r="F168" s="10">
        <v>3</v>
      </c>
      <c r="G168" s="2" t="s">
        <v>97</v>
      </c>
    </row>
    <row r="169" spans="5:17" x14ac:dyDescent="0.25">
      <c r="F169" s="10">
        <v>4</v>
      </c>
      <c r="G169" s="2" t="s">
        <v>92</v>
      </c>
      <c r="K169" s="2"/>
      <c r="L169" s="3"/>
    </row>
    <row r="170" spans="5:17" ht="45" x14ac:dyDescent="0.25">
      <c r="F170" s="10">
        <v>5</v>
      </c>
      <c r="H170" s="2" t="s">
        <v>98</v>
      </c>
      <c r="I170" s="2" t="s">
        <v>29</v>
      </c>
      <c r="J170" s="5">
        <v>40133</v>
      </c>
      <c r="K170" s="3">
        <v>40142</v>
      </c>
      <c r="L170" s="3" t="s">
        <v>14</v>
      </c>
      <c r="N170" s="2" t="s">
        <v>974</v>
      </c>
    </row>
    <row r="171" spans="5:17" ht="60" x14ac:dyDescent="0.25">
      <c r="E171" s="10" t="s">
        <v>127</v>
      </c>
      <c r="F171" s="10">
        <v>1</v>
      </c>
      <c r="G171" s="2" t="s">
        <v>3219</v>
      </c>
      <c r="J171" s="5"/>
      <c r="K171" s="3"/>
      <c r="L171" s="3"/>
    </row>
    <row r="172" spans="5:17" ht="30" x14ac:dyDescent="0.25">
      <c r="F172" s="10">
        <v>2</v>
      </c>
      <c r="H172" s="2" t="s">
        <v>128</v>
      </c>
      <c r="I172" s="2" t="s">
        <v>29</v>
      </c>
      <c r="J172" s="5">
        <v>40140</v>
      </c>
      <c r="K172" s="3">
        <v>40142</v>
      </c>
      <c r="L172" s="3" t="s">
        <v>14</v>
      </c>
      <c r="N172" s="2" t="s">
        <v>974</v>
      </c>
    </row>
    <row r="173" spans="5:17" ht="30" x14ac:dyDescent="0.25">
      <c r="F173" s="10">
        <v>3</v>
      </c>
      <c r="G173" s="2" t="s">
        <v>106</v>
      </c>
      <c r="K173" s="2"/>
      <c r="L173" s="3"/>
    </row>
    <row r="174" spans="5:17" x14ac:dyDescent="0.25">
      <c r="F174" s="10">
        <v>4</v>
      </c>
      <c r="G174" s="2" t="s">
        <v>92</v>
      </c>
      <c r="K174" s="2"/>
      <c r="L174" s="3"/>
    </row>
    <row r="175" spans="5:17" ht="45" x14ac:dyDescent="0.25">
      <c r="F175" s="10">
        <v>5</v>
      </c>
      <c r="H175" s="7" t="s">
        <v>107</v>
      </c>
      <c r="I175" s="2" t="s">
        <v>29</v>
      </c>
      <c r="J175" s="5">
        <v>40140</v>
      </c>
      <c r="K175" s="3">
        <v>40142</v>
      </c>
      <c r="L175" s="3" t="s">
        <v>14</v>
      </c>
      <c r="N175" s="2" t="s">
        <v>974</v>
      </c>
    </row>
    <row r="176" spans="5:17" x14ac:dyDescent="0.25">
      <c r="J176" s="7"/>
    </row>
    <row r="177" spans="1:17" ht="45" x14ac:dyDescent="0.25">
      <c r="A177" s="7" t="s">
        <v>227</v>
      </c>
      <c r="B177" s="7" t="s">
        <v>45</v>
      </c>
      <c r="C177" s="7" t="s">
        <v>460</v>
      </c>
      <c r="D177" s="7" t="s">
        <v>129</v>
      </c>
      <c r="E177" s="10" t="s">
        <v>121</v>
      </c>
      <c r="F177" s="10">
        <v>1</v>
      </c>
      <c r="G177" s="2" t="s">
        <v>3012</v>
      </c>
      <c r="K177" s="2"/>
      <c r="L177" s="3"/>
    </row>
    <row r="178" spans="1:17" ht="30" x14ac:dyDescent="0.25">
      <c r="F178" s="10">
        <v>2</v>
      </c>
      <c r="H178" s="7" t="s">
        <v>108</v>
      </c>
      <c r="I178" s="2" t="s">
        <v>29</v>
      </c>
      <c r="J178" s="5">
        <v>40133</v>
      </c>
      <c r="K178" s="3">
        <v>40142</v>
      </c>
      <c r="L178" s="3" t="s">
        <v>14</v>
      </c>
      <c r="N178" s="2" t="s">
        <v>974</v>
      </c>
    </row>
    <row r="179" spans="1:17" ht="30" x14ac:dyDescent="0.25">
      <c r="F179" s="10">
        <v>3</v>
      </c>
      <c r="G179" s="2" t="s">
        <v>109</v>
      </c>
    </row>
    <row r="180" spans="1:17" x14ac:dyDescent="0.25">
      <c r="F180" s="10">
        <v>4</v>
      </c>
      <c r="G180" s="2" t="s">
        <v>92</v>
      </c>
      <c r="K180" s="2"/>
      <c r="L180" s="3"/>
    </row>
    <row r="181" spans="1:17" ht="30" x14ac:dyDescent="0.25">
      <c r="F181" s="10">
        <v>5</v>
      </c>
      <c r="H181" s="7" t="s">
        <v>110</v>
      </c>
      <c r="I181" s="2" t="s">
        <v>29</v>
      </c>
      <c r="J181" s="5">
        <v>40133</v>
      </c>
      <c r="K181" s="3">
        <v>40142</v>
      </c>
      <c r="L181" s="3" t="s">
        <v>14</v>
      </c>
      <c r="N181" s="2" t="s">
        <v>974</v>
      </c>
    </row>
    <row r="182" spans="1:17" x14ac:dyDescent="0.25">
      <c r="H182" s="7"/>
      <c r="J182" s="5"/>
      <c r="K182" s="3"/>
      <c r="L182" s="3"/>
    </row>
    <row r="183" spans="1:17" ht="45" x14ac:dyDescent="0.25">
      <c r="A183" s="7" t="s">
        <v>228</v>
      </c>
      <c r="B183" s="7" t="s">
        <v>149</v>
      </c>
      <c r="C183" s="7" t="s">
        <v>460</v>
      </c>
      <c r="D183" s="7" t="s">
        <v>150</v>
      </c>
      <c r="E183" s="10" t="s">
        <v>121</v>
      </c>
      <c r="F183" s="10">
        <v>1</v>
      </c>
      <c r="G183" s="2" t="s">
        <v>3012</v>
      </c>
      <c r="H183" s="7"/>
      <c r="J183" s="5"/>
      <c r="K183" s="3"/>
      <c r="L183" s="3"/>
    </row>
    <row r="184" spans="1:17" ht="90" x14ac:dyDescent="0.25">
      <c r="F184" s="10">
        <v>2</v>
      </c>
      <c r="H184" s="7" t="s">
        <v>1239</v>
      </c>
      <c r="I184" s="2" t="s">
        <v>30</v>
      </c>
      <c r="J184" s="5">
        <v>40133</v>
      </c>
      <c r="K184" s="3">
        <v>40142</v>
      </c>
      <c r="L184" s="3" t="s">
        <v>14</v>
      </c>
      <c r="N184" s="2" t="s">
        <v>974</v>
      </c>
      <c r="O184" s="2" t="s">
        <v>1619</v>
      </c>
      <c r="P184" s="2" t="s">
        <v>977</v>
      </c>
      <c r="Q184" s="2" t="s">
        <v>540</v>
      </c>
    </row>
    <row r="185" spans="1:17" x14ac:dyDescent="0.25">
      <c r="F185" s="10">
        <v>3</v>
      </c>
      <c r="G185" s="2" t="s">
        <v>151</v>
      </c>
      <c r="H185" s="7"/>
      <c r="J185" s="5"/>
      <c r="K185" s="3"/>
      <c r="L185" s="3"/>
    </row>
    <row r="186" spans="1:17" x14ac:dyDescent="0.25">
      <c r="F186" s="10">
        <v>4</v>
      </c>
      <c r="G186" s="2" t="s">
        <v>92</v>
      </c>
      <c r="H186" s="7"/>
      <c r="J186" s="5"/>
      <c r="K186" s="3"/>
      <c r="L186" s="3"/>
    </row>
    <row r="187" spans="1:17" ht="30" x14ac:dyDescent="0.25">
      <c r="F187" s="10">
        <v>5</v>
      </c>
      <c r="H187" s="7" t="s">
        <v>152</v>
      </c>
      <c r="I187" s="2" t="s">
        <v>30</v>
      </c>
      <c r="J187" s="5">
        <v>40133</v>
      </c>
      <c r="K187" s="3">
        <v>40142</v>
      </c>
      <c r="L187" s="3" t="s">
        <v>14</v>
      </c>
      <c r="N187" s="2" t="s">
        <v>974</v>
      </c>
    </row>
    <row r="188" spans="1:17" ht="45" x14ac:dyDescent="0.25">
      <c r="E188" s="10" t="s">
        <v>123</v>
      </c>
      <c r="F188" s="10">
        <v>1</v>
      </c>
      <c r="G188" s="2" t="s">
        <v>3220</v>
      </c>
      <c r="H188" s="7"/>
      <c r="J188" s="5"/>
      <c r="K188" s="3"/>
      <c r="L188" s="3"/>
    </row>
    <row r="189" spans="1:17" ht="30" x14ac:dyDescent="0.25">
      <c r="F189" s="10">
        <v>2</v>
      </c>
      <c r="H189" s="7" t="s">
        <v>1236</v>
      </c>
      <c r="I189" s="2" t="s">
        <v>30</v>
      </c>
      <c r="J189" s="5">
        <v>40133</v>
      </c>
      <c r="K189" s="3">
        <v>40142</v>
      </c>
      <c r="L189" s="3" t="s">
        <v>14</v>
      </c>
      <c r="N189" s="2" t="s">
        <v>974</v>
      </c>
    </row>
    <row r="190" spans="1:17" x14ac:dyDescent="0.25">
      <c r="F190" s="10">
        <v>3</v>
      </c>
      <c r="G190" s="2" t="s">
        <v>1237</v>
      </c>
      <c r="H190" s="7"/>
      <c r="J190" s="5"/>
      <c r="K190" s="3"/>
      <c r="L190" s="3"/>
    </row>
    <row r="191" spans="1:17" x14ac:dyDescent="0.25">
      <c r="F191" s="10">
        <v>4</v>
      </c>
      <c r="G191" s="2" t="s">
        <v>92</v>
      </c>
      <c r="H191" s="7"/>
      <c r="J191" s="5"/>
      <c r="K191" s="3"/>
      <c r="L191" s="3"/>
    </row>
    <row r="192" spans="1:17" ht="30" x14ac:dyDescent="0.25">
      <c r="F192" s="10">
        <v>5</v>
      </c>
      <c r="H192" s="7" t="s">
        <v>1238</v>
      </c>
      <c r="I192" s="2" t="s">
        <v>30</v>
      </c>
      <c r="J192" s="5">
        <v>40133</v>
      </c>
      <c r="K192" s="3">
        <v>40142</v>
      </c>
      <c r="L192" s="3" t="s">
        <v>14</v>
      </c>
      <c r="N192" s="2" t="s">
        <v>974</v>
      </c>
    </row>
    <row r="193" spans="1:17" x14ac:dyDescent="0.25">
      <c r="H193" s="7"/>
      <c r="J193" s="5"/>
      <c r="K193" s="3"/>
      <c r="L193" s="3"/>
    </row>
    <row r="194" spans="1:17" ht="60" x14ac:dyDescent="0.25">
      <c r="A194" s="7" t="s">
        <v>229</v>
      </c>
      <c r="B194" s="7" t="s">
        <v>154</v>
      </c>
      <c r="C194" s="7" t="s">
        <v>460</v>
      </c>
      <c r="D194" s="7" t="s">
        <v>155</v>
      </c>
      <c r="E194" s="10" t="s">
        <v>121</v>
      </c>
      <c r="F194" s="10">
        <v>1</v>
      </c>
      <c r="G194" s="2" t="s">
        <v>3221</v>
      </c>
      <c r="H194" s="7"/>
      <c r="J194" s="5"/>
      <c r="K194" s="3"/>
      <c r="L194" s="3"/>
    </row>
    <row r="195" spans="1:17" ht="180" x14ac:dyDescent="0.25">
      <c r="F195" s="10">
        <v>2</v>
      </c>
      <c r="H195" s="7" t="s">
        <v>1338</v>
      </c>
      <c r="I195" s="2" t="s">
        <v>29</v>
      </c>
      <c r="J195" s="3">
        <v>40135</v>
      </c>
      <c r="K195" s="3">
        <v>40142</v>
      </c>
      <c r="L195" s="3" t="s">
        <v>14</v>
      </c>
      <c r="M195" s="2" t="s">
        <v>580</v>
      </c>
      <c r="N195" s="2" t="s">
        <v>974</v>
      </c>
    </row>
    <row r="196" spans="1:17" ht="60" x14ac:dyDescent="0.25">
      <c r="F196" s="10">
        <v>3</v>
      </c>
      <c r="H196" s="7" t="s">
        <v>131</v>
      </c>
      <c r="I196" s="2" t="s">
        <v>29</v>
      </c>
      <c r="J196" s="3">
        <v>40147</v>
      </c>
      <c r="K196" s="3">
        <v>40142</v>
      </c>
      <c r="L196" s="3" t="s">
        <v>14</v>
      </c>
      <c r="M196" s="2" t="s">
        <v>580</v>
      </c>
      <c r="N196" s="2" t="s">
        <v>974</v>
      </c>
    </row>
    <row r="197" spans="1:17" ht="30" x14ac:dyDescent="0.25">
      <c r="F197" s="10">
        <v>4</v>
      </c>
      <c r="G197" s="2" t="s">
        <v>1339</v>
      </c>
      <c r="K197" s="2"/>
      <c r="L197" s="3"/>
    </row>
    <row r="198" spans="1:17" ht="60" x14ac:dyDescent="0.25">
      <c r="F198" s="10">
        <v>5</v>
      </c>
      <c r="H198" s="7" t="s">
        <v>132</v>
      </c>
      <c r="I198" s="2" t="s">
        <v>29</v>
      </c>
      <c r="J198" s="3">
        <v>40147</v>
      </c>
      <c r="K198" s="3">
        <v>40142</v>
      </c>
      <c r="L198" s="3" t="s">
        <v>14</v>
      </c>
      <c r="M198" s="2" t="s">
        <v>580</v>
      </c>
      <c r="N198" s="2" t="s">
        <v>974</v>
      </c>
    </row>
    <row r="199" spans="1:17" ht="45" x14ac:dyDescent="0.25">
      <c r="F199" s="10">
        <v>6</v>
      </c>
      <c r="H199" s="2" t="s">
        <v>1340</v>
      </c>
      <c r="I199" s="2" t="s">
        <v>29</v>
      </c>
      <c r="J199" s="3">
        <v>40147</v>
      </c>
      <c r="K199" s="3">
        <v>40142</v>
      </c>
      <c r="L199" s="3" t="s">
        <v>14</v>
      </c>
      <c r="M199" s="2" t="s">
        <v>580</v>
      </c>
      <c r="N199" s="2" t="s">
        <v>974</v>
      </c>
    </row>
    <row r="200" spans="1:17" ht="45" x14ac:dyDescent="0.25">
      <c r="F200" s="10">
        <v>7</v>
      </c>
      <c r="H200" s="2" t="s">
        <v>134</v>
      </c>
      <c r="I200" s="2" t="s">
        <v>29</v>
      </c>
      <c r="J200" s="3">
        <v>40135</v>
      </c>
      <c r="K200" s="3">
        <v>40142</v>
      </c>
      <c r="L200" s="3" t="s">
        <v>14</v>
      </c>
      <c r="M200" s="2" t="s">
        <v>580</v>
      </c>
      <c r="N200" s="2" t="s">
        <v>974</v>
      </c>
      <c r="O200" s="2" t="s">
        <v>1594</v>
      </c>
      <c r="P200" s="7" t="s">
        <v>980</v>
      </c>
      <c r="Q200" s="2" t="s">
        <v>540</v>
      </c>
    </row>
    <row r="201" spans="1:17" ht="30" x14ac:dyDescent="0.25">
      <c r="F201" s="10">
        <v>8</v>
      </c>
      <c r="G201" s="2" t="s">
        <v>135</v>
      </c>
      <c r="J201" s="3"/>
      <c r="K201" s="3"/>
      <c r="L201" s="3"/>
    </row>
    <row r="202" spans="1:17" ht="45" x14ac:dyDescent="0.25">
      <c r="F202" s="10">
        <v>9</v>
      </c>
      <c r="H202" s="2" t="s">
        <v>136</v>
      </c>
      <c r="I202" s="2" t="s">
        <v>29</v>
      </c>
      <c r="J202" s="3">
        <v>40135</v>
      </c>
      <c r="K202" s="3">
        <v>40142</v>
      </c>
      <c r="L202" s="3" t="s">
        <v>14</v>
      </c>
      <c r="M202" s="2" t="s">
        <v>580</v>
      </c>
      <c r="N202" s="2" t="s">
        <v>974</v>
      </c>
      <c r="O202" s="2" t="s">
        <v>1595</v>
      </c>
    </row>
    <row r="203" spans="1:17" x14ac:dyDescent="0.25">
      <c r="F203" s="10">
        <v>10</v>
      </c>
      <c r="G203" s="2" t="s">
        <v>92</v>
      </c>
      <c r="K203" s="2"/>
      <c r="L203" s="3"/>
    </row>
    <row r="204" spans="1:17" ht="30" x14ac:dyDescent="0.25">
      <c r="F204" s="10">
        <v>11</v>
      </c>
      <c r="H204" s="2" t="s">
        <v>143</v>
      </c>
      <c r="I204" s="2" t="s">
        <v>33</v>
      </c>
      <c r="J204" s="3">
        <v>40147</v>
      </c>
      <c r="K204" s="3">
        <v>40142</v>
      </c>
      <c r="L204" s="3" t="s">
        <v>14</v>
      </c>
      <c r="M204" s="2" t="s">
        <v>580</v>
      </c>
      <c r="N204" s="2" t="s">
        <v>974</v>
      </c>
    </row>
    <row r="205" spans="1:17" ht="60" x14ac:dyDescent="0.25">
      <c r="E205" s="10" t="s">
        <v>123</v>
      </c>
      <c r="F205" s="10">
        <v>1</v>
      </c>
      <c r="G205" s="2" t="s">
        <v>3222</v>
      </c>
      <c r="J205" s="3"/>
      <c r="K205" s="3"/>
      <c r="L205" s="3"/>
    </row>
    <row r="206" spans="1:17" ht="30" x14ac:dyDescent="0.25">
      <c r="F206" s="10">
        <v>2</v>
      </c>
      <c r="H206" s="2" t="s">
        <v>133</v>
      </c>
      <c r="I206" s="2" t="s">
        <v>29</v>
      </c>
      <c r="J206" s="3">
        <v>40288</v>
      </c>
      <c r="K206" s="3">
        <v>40142</v>
      </c>
      <c r="L206" s="3" t="s">
        <v>14</v>
      </c>
      <c r="M206" s="2" t="s">
        <v>580</v>
      </c>
      <c r="N206" s="2" t="s">
        <v>974</v>
      </c>
      <c r="O206" s="2" t="s">
        <v>1596</v>
      </c>
      <c r="P206" s="7" t="s">
        <v>980</v>
      </c>
      <c r="Q206" s="2" t="s">
        <v>540</v>
      </c>
    </row>
    <row r="207" spans="1:17" ht="30" x14ac:dyDescent="0.25">
      <c r="E207" s="10" t="s">
        <v>130</v>
      </c>
      <c r="F207" s="10">
        <v>1</v>
      </c>
      <c r="G207" s="2" t="s">
        <v>138</v>
      </c>
      <c r="J207" s="3"/>
      <c r="K207" s="3"/>
      <c r="L207" s="3"/>
      <c r="P207" s="7"/>
    </row>
    <row r="208" spans="1:17" ht="45" x14ac:dyDescent="0.25">
      <c r="F208" s="10">
        <v>2</v>
      </c>
      <c r="H208" s="2" t="s">
        <v>147</v>
      </c>
      <c r="I208" s="2" t="s">
        <v>29</v>
      </c>
      <c r="J208" s="3">
        <v>40241</v>
      </c>
      <c r="K208" s="3">
        <v>40142</v>
      </c>
      <c r="L208" s="3" t="s">
        <v>14</v>
      </c>
      <c r="M208" s="2" t="s">
        <v>580</v>
      </c>
      <c r="N208" s="2" t="s">
        <v>974</v>
      </c>
      <c r="O208" s="2" t="s">
        <v>1597</v>
      </c>
      <c r="P208" s="7" t="s">
        <v>980</v>
      </c>
      <c r="Q208" s="2" t="s">
        <v>540</v>
      </c>
    </row>
    <row r="209" spans="1:18" ht="30" x14ac:dyDescent="0.25">
      <c r="E209" s="10" t="s">
        <v>137</v>
      </c>
      <c r="F209" s="10">
        <v>1</v>
      </c>
      <c r="G209" s="2" t="s">
        <v>139</v>
      </c>
      <c r="J209" s="3"/>
      <c r="K209" s="3"/>
      <c r="L209" s="3"/>
      <c r="P209" s="7"/>
    </row>
    <row r="210" spans="1:18" ht="45" x14ac:dyDescent="0.25">
      <c r="F210" s="10">
        <v>2</v>
      </c>
      <c r="H210" s="2" t="s">
        <v>148</v>
      </c>
      <c r="I210" s="2" t="s">
        <v>29</v>
      </c>
      <c r="J210" s="3">
        <v>40241</v>
      </c>
      <c r="K210" s="3">
        <v>40142</v>
      </c>
      <c r="L210" s="3" t="s">
        <v>14</v>
      </c>
      <c r="M210" s="2" t="s">
        <v>580</v>
      </c>
      <c r="N210" s="2" t="s">
        <v>974</v>
      </c>
      <c r="O210" s="2" t="s">
        <v>1597</v>
      </c>
      <c r="P210" s="7" t="s">
        <v>980</v>
      </c>
      <c r="Q210" s="2" t="s">
        <v>540</v>
      </c>
    </row>
    <row r="211" spans="1:18" ht="30" x14ac:dyDescent="0.25">
      <c r="E211" s="10" t="s">
        <v>141</v>
      </c>
      <c r="F211" s="10">
        <v>1</v>
      </c>
      <c r="G211" s="2" t="s">
        <v>140</v>
      </c>
      <c r="J211" s="3"/>
      <c r="K211" s="3"/>
      <c r="L211" s="3"/>
      <c r="P211" s="7"/>
    </row>
    <row r="212" spans="1:18" ht="45" x14ac:dyDescent="0.25">
      <c r="F212" s="10">
        <v>2</v>
      </c>
      <c r="H212" s="2" t="s">
        <v>148</v>
      </c>
      <c r="I212" s="2" t="s">
        <v>29</v>
      </c>
      <c r="J212" s="3">
        <v>40241</v>
      </c>
      <c r="K212" s="3">
        <v>40142</v>
      </c>
      <c r="L212" s="3" t="s">
        <v>14</v>
      </c>
      <c r="M212" s="2" t="s">
        <v>580</v>
      </c>
      <c r="N212" s="2" t="s">
        <v>974</v>
      </c>
      <c r="O212" s="2" t="s">
        <v>1597</v>
      </c>
      <c r="P212" s="7" t="s">
        <v>980</v>
      </c>
      <c r="Q212" s="2" t="s">
        <v>540</v>
      </c>
    </row>
    <row r="213" spans="1:18" x14ac:dyDescent="0.25">
      <c r="I213" s="7"/>
      <c r="J213" s="7"/>
      <c r="K213" s="3"/>
      <c r="L213" s="3"/>
    </row>
    <row r="214" spans="1:18" ht="60" x14ac:dyDescent="0.25">
      <c r="A214" s="19" t="s">
        <v>1203</v>
      </c>
      <c r="B214" s="19" t="s">
        <v>1625</v>
      </c>
      <c r="C214" s="2" t="s">
        <v>460</v>
      </c>
      <c r="D214" s="2" t="s">
        <v>1579</v>
      </c>
      <c r="E214" s="10" t="s">
        <v>121</v>
      </c>
      <c r="F214" s="10">
        <v>1</v>
      </c>
      <c r="G214" s="2" t="s">
        <v>3012</v>
      </c>
      <c r="I214" s="7"/>
      <c r="J214" s="7"/>
      <c r="K214" s="3"/>
      <c r="L214" s="3"/>
    </row>
    <row r="215" spans="1:18" ht="45" x14ac:dyDescent="0.25">
      <c r="A215" s="19"/>
      <c r="B215" s="19"/>
      <c r="C215" s="2"/>
      <c r="D215" s="2"/>
      <c r="F215" s="10">
        <v>2</v>
      </c>
      <c r="H215" s="2" t="s">
        <v>1580</v>
      </c>
      <c r="I215" s="7" t="s">
        <v>29</v>
      </c>
      <c r="J215" s="7" t="s">
        <v>33</v>
      </c>
      <c r="K215" s="3" t="s">
        <v>33</v>
      </c>
      <c r="L215" s="3" t="s">
        <v>14</v>
      </c>
      <c r="N215" s="2" t="s">
        <v>974</v>
      </c>
      <c r="O215" s="2" t="s">
        <v>1598</v>
      </c>
      <c r="P215" s="7" t="s">
        <v>980</v>
      </c>
      <c r="Q215" s="2" t="s">
        <v>540</v>
      </c>
    </row>
    <row r="216" spans="1:18" ht="30" x14ac:dyDescent="0.25">
      <c r="A216" s="19"/>
      <c r="B216" s="19"/>
      <c r="C216" s="2"/>
      <c r="D216" s="2"/>
      <c r="I216" s="7"/>
      <c r="J216" s="7"/>
      <c r="K216" s="3"/>
      <c r="L216" s="3"/>
      <c r="N216" s="2" t="s">
        <v>974</v>
      </c>
      <c r="O216" s="2" t="s">
        <v>1623</v>
      </c>
      <c r="P216" s="7" t="s">
        <v>980</v>
      </c>
      <c r="Q216" s="2" t="s">
        <v>540</v>
      </c>
    </row>
    <row r="217" spans="1:18" ht="30" x14ac:dyDescent="0.25">
      <c r="A217" s="19"/>
      <c r="B217" s="19"/>
      <c r="C217" s="2"/>
      <c r="D217" s="2"/>
      <c r="F217" s="10">
        <v>3</v>
      </c>
      <c r="G217" s="2" t="s">
        <v>1581</v>
      </c>
      <c r="I217" s="7"/>
      <c r="J217" s="7"/>
      <c r="K217" s="3"/>
      <c r="L217" s="3"/>
    </row>
    <row r="218" spans="1:18" ht="30" x14ac:dyDescent="0.25">
      <c r="A218" s="19"/>
      <c r="B218" s="19"/>
      <c r="C218" s="2"/>
      <c r="D218" s="2"/>
      <c r="F218" s="10">
        <v>4</v>
      </c>
      <c r="H218" s="2" t="s">
        <v>1582</v>
      </c>
      <c r="I218" s="7" t="s">
        <v>29</v>
      </c>
      <c r="J218" s="7" t="s">
        <v>33</v>
      </c>
      <c r="K218" s="3" t="s">
        <v>33</v>
      </c>
      <c r="L218" s="3" t="s">
        <v>14</v>
      </c>
      <c r="N218" s="2" t="s">
        <v>974</v>
      </c>
    </row>
    <row r="219" spans="1:18" ht="30" x14ac:dyDescent="0.25">
      <c r="A219" s="19"/>
      <c r="B219" s="19"/>
      <c r="C219" s="2"/>
      <c r="D219" s="2"/>
      <c r="F219" s="10">
        <v>5</v>
      </c>
      <c r="H219" s="2" t="s">
        <v>1583</v>
      </c>
      <c r="I219" s="7" t="s">
        <v>29</v>
      </c>
      <c r="J219" s="7" t="s">
        <v>33</v>
      </c>
      <c r="K219" s="3" t="s">
        <v>33</v>
      </c>
      <c r="L219" s="3" t="s">
        <v>14</v>
      </c>
      <c r="N219" s="2" t="s">
        <v>974</v>
      </c>
    </row>
    <row r="220" spans="1:18" x14ac:dyDescent="0.25">
      <c r="A220" s="19"/>
      <c r="B220" s="19"/>
      <c r="C220" s="2"/>
      <c r="D220" s="2"/>
      <c r="F220" s="10">
        <v>6</v>
      </c>
      <c r="G220" s="2" t="s">
        <v>1584</v>
      </c>
      <c r="I220" s="7"/>
      <c r="J220" s="7"/>
      <c r="K220" s="3"/>
      <c r="L220" s="3"/>
    </row>
    <row r="221" spans="1:18" ht="60" x14ac:dyDescent="0.25">
      <c r="A221" s="19"/>
      <c r="B221" s="19"/>
      <c r="C221" s="2"/>
      <c r="D221" s="2"/>
      <c r="F221" s="10">
        <v>7</v>
      </c>
      <c r="H221" s="2" t="s">
        <v>1585</v>
      </c>
      <c r="I221" s="7" t="s">
        <v>29</v>
      </c>
      <c r="J221" s="7" t="s">
        <v>33</v>
      </c>
      <c r="K221" s="3" t="s">
        <v>33</v>
      </c>
      <c r="L221" s="3" t="s">
        <v>14</v>
      </c>
      <c r="N221" s="2" t="s">
        <v>974</v>
      </c>
    </row>
    <row r="222" spans="1:18" x14ac:dyDescent="0.25">
      <c r="F222" s="10">
        <v>8</v>
      </c>
      <c r="G222" s="2" t="s">
        <v>1586</v>
      </c>
      <c r="I222" s="7"/>
      <c r="J222" s="7"/>
      <c r="K222" s="3"/>
      <c r="L222" s="3"/>
    </row>
    <row r="223" spans="1:18" x14ac:dyDescent="0.25">
      <c r="F223" s="10">
        <v>9</v>
      </c>
      <c r="G223" s="2" t="s">
        <v>1587</v>
      </c>
      <c r="I223" s="7"/>
      <c r="J223" s="7"/>
      <c r="K223" s="3"/>
      <c r="L223" s="3"/>
    </row>
    <row r="224" spans="1:18" ht="150" x14ac:dyDescent="0.25">
      <c r="F224" s="10">
        <v>10</v>
      </c>
      <c r="H224" s="2" t="s">
        <v>1588</v>
      </c>
      <c r="I224" s="7" t="s">
        <v>30</v>
      </c>
      <c r="J224" s="7" t="s">
        <v>33</v>
      </c>
      <c r="K224" s="3" t="s">
        <v>33</v>
      </c>
      <c r="L224" s="3" t="s">
        <v>14</v>
      </c>
      <c r="N224" s="2" t="s">
        <v>974</v>
      </c>
      <c r="O224" s="2" t="s">
        <v>1626</v>
      </c>
      <c r="P224" s="2" t="s">
        <v>977</v>
      </c>
      <c r="Q224" s="2" t="s">
        <v>540</v>
      </c>
      <c r="R224" s="2" t="s">
        <v>3469</v>
      </c>
    </row>
    <row r="225" spans="1:14" x14ac:dyDescent="0.25">
      <c r="F225" s="10">
        <v>11</v>
      </c>
      <c r="G225" s="2" t="s">
        <v>3223</v>
      </c>
      <c r="I225" s="7"/>
      <c r="J225" s="7"/>
      <c r="K225" s="3"/>
      <c r="L225" s="3"/>
    </row>
    <row r="226" spans="1:14" ht="30" x14ac:dyDescent="0.25">
      <c r="F226" s="10">
        <v>12</v>
      </c>
      <c r="H226" s="2" t="s">
        <v>1589</v>
      </c>
      <c r="I226" s="7" t="s">
        <v>30</v>
      </c>
      <c r="J226" s="7" t="s">
        <v>33</v>
      </c>
      <c r="K226" s="3" t="s">
        <v>33</v>
      </c>
      <c r="L226" s="3" t="s">
        <v>14</v>
      </c>
      <c r="N226" s="2" t="s">
        <v>974</v>
      </c>
    </row>
    <row r="227" spans="1:14" x14ac:dyDescent="0.25">
      <c r="I227" s="7"/>
      <c r="J227" s="7"/>
      <c r="K227" s="3"/>
      <c r="L227" s="3"/>
    </row>
    <row r="228" spans="1:14" ht="45" x14ac:dyDescent="0.25">
      <c r="A228" s="7" t="s">
        <v>231</v>
      </c>
      <c r="B228" s="7" t="s">
        <v>153</v>
      </c>
      <c r="C228" s="7" t="s">
        <v>460</v>
      </c>
      <c r="D228" s="7" t="s">
        <v>3905</v>
      </c>
      <c r="E228" s="10" t="s">
        <v>121</v>
      </c>
      <c r="F228" s="10">
        <v>1</v>
      </c>
      <c r="G228" s="2" t="s">
        <v>161</v>
      </c>
      <c r="K228" s="2"/>
      <c r="L228" s="3"/>
    </row>
    <row r="229" spans="1:14" ht="30" x14ac:dyDescent="0.25">
      <c r="F229" s="10">
        <v>2</v>
      </c>
      <c r="H229" s="2" t="s">
        <v>1342</v>
      </c>
      <c r="I229" s="2" t="s">
        <v>29</v>
      </c>
      <c r="J229" s="3">
        <v>40241</v>
      </c>
      <c r="K229" s="3">
        <v>40254</v>
      </c>
      <c r="L229" s="3" t="s">
        <v>14</v>
      </c>
      <c r="N229" s="2" t="s">
        <v>974</v>
      </c>
    </row>
    <row r="230" spans="1:14" x14ac:dyDescent="0.25">
      <c r="F230" s="10">
        <v>3</v>
      </c>
      <c r="G230" s="2" t="s">
        <v>1760</v>
      </c>
      <c r="J230" s="3"/>
      <c r="K230" s="3"/>
      <c r="L230" s="3"/>
    </row>
    <row r="231" spans="1:14" ht="45" x14ac:dyDescent="0.25">
      <c r="F231" s="10">
        <v>4</v>
      </c>
      <c r="H231" s="2" t="s">
        <v>1346</v>
      </c>
      <c r="I231" s="2" t="s">
        <v>29</v>
      </c>
      <c r="J231" s="3">
        <v>40274</v>
      </c>
      <c r="K231" s="22"/>
      <c r="L231" s="3" t="s">
        <v>14</v>
      </c>
      <c r="N231" s="2" t="s">
        <v>974</v>
      </c>
    </row>
    <row r="232" spans="1:14" ht="45" x14ac:dyDescent="0.25">
      <c r="F232" s="10">
        <v>5</v>
      </c>
      <c r="H232" s="2" t="s">
        <v>1343</v>
      </c>
      <c r="I232" s="2" t="s">
        <v>29</v>
      </c>
      <c r="J232" s="3">
        <v>40241</v>
      </c>
      <c r="K232" s="22"/>
      <c r="L232" s="3" t="s">
        <v>14</v>
      </c>
    </row>
    <row r="233" spans="1:14" ht="45" x14ac:dyDescent="0.25">
      <c r="F233" s="10">
        <v>6</v>
      </c>
      <c r="G233" s="2" t="s">
        <v>1358</v>
      </c>
      <c r="K233" s="2"/>
      <c r="L233" s="3"/>
    </row>
    <row r="234" spans="1:14" x14ac:dyDescent="0.25">
      <c r="F234" s="10">
        <v>7</v>
      </c>
      <c r="H234" s="2" t="s">
        <v>1348</v>
      </c>
      <c r="I234" s="2" t="s">
        <v>30</v>
      </c>
      <c r="J234" s="3">
        <v>40241</v>
      </c>
      <c r="K234" s="3">
        <v>40254</v>
      </c>
      <c r="L234" s="3" t="s">
        <v>14</v>
      </c>
      <c r="N234" s="2" t="s">
        <v>974</v>
      </c>
    </row>
    <row r="235" spans="1:14" ht="45" x14ac:dyDescent="0.25">
      <c r="F235" s="10">
        <v>8</v>
      </c>
      <c r="H235" s="2" t="s">
        <v>1347</v>
      </c>
      <c r="I235" s="2" t="s">
        <v>30</v>
      </c>
      <c r="J235" s="3">
        <v>40241</v>
      </c>
      <c r="K235" s="22"/>
      <c r="L235" s="3" t="s">
        <v>14</v>
      </c>
      <c r="N235" s="2" t="s">
        <v>974</v>
      </c>
    </row>
    <row r="236" spans="1:14" ht="120" x14ac:dyDescent="0.25">
      <c r="F236" s="10">
        <v>9</v>
      </c>
      <c r="H236" s="2" t="s">
        <v>1363</v>
      </c>
      <c r="I236" s="2" t="s">
        <v>30</v>
      </c>
      <c r="J236" s="3">
        <v>40241</v>
      </c>
      <c r="K236" s="3">
        <v>40254</v>
      </c>
      <c r="L236" s="3" t="s">
        <v>14</v>
      </c>
      <c r="N236" s="2" t="s">
        <v>974</v>
      </c>
    </row>
    <row r="237" spans="1:14" ht="45" x14ac:dyDescent="0.25">
      <c r="F237" s="10">
        <v>10</v>
      </c>
      <c r="H237" s="2" t="s">
        <v>1406</v>
      </c>
      <c r="I237" s="2" t="s">
        <v>30</v>
      </c>
      <c r="J237" s="3">
        <v>40241</v>
      </c>
      <c r="K237" s="3">
        <v>40254</v>
      </c>
      <c r="L237" s="3" t="s">
        <v>14</v>
      </c>
      <c r="N237" s="2" t="s">
        <v>974</v>
      </c>
    </row>
    <row r="238" spans="1:14" ht="30" x14ac:dyDescent="0.25">
      <c r="F238" s="10">
        <v>11</v>
      </c>
      <c r="H238" s="2" t="s">
        <v>1345</v>
      </c>
      <c r="I238" s="2" t="s">
        <v>29</v>
      </c>
      <c r="J238" s="3">
        <v>40241</v>
      </c>
      <c r="K238" s="3">
        <v>40254</v>
      </c>
      <c r="L238" s="3" t="s">
        <v>14</v>
      </c>
      <c r="N238" s="2" t="s">
        <v>974</v>
      </c>
    </row>
    <row r="239" spans="1:14" ht="45" x14ac:dyDescent="0.25">
      <c r="F239" s="10">
        <v>12</v>
      </c>
      <c r="H239" s="2" t="s">
        <v>1407</v>
      </c>
      <c r="I239" s="2" t="s">
        <v>29</v>
      </c>
      <c r="J239" s="3">
        <v>40241</v>
      </c>
      <c r="K239" s="3">
        <v>40254</v>
      </c>
      <c r="L239" s="3" t="s">
        <v>14</v>
      </c>
      <c r="N239" s="2" t="s">
        <v>974</v>
      </c>
    </row>
    <row r="240" spans="1:14" ht="45" x14ac:dyDescent="0.25">
      <c r="F240" s="10">
        <v>13</v>
      </c>
      <c r="H240" s="2" t="s">
        <v>1344</v>
      </c>
      <c r="I240" s="2" t="s">
        <v>30</v>
      </c>
      <c r="J240" s="3">
        <v>40241</v>
      </c>
      <c r="K240" s="22"/>
      <c r="L240" s="3" t="s">
        <v>14</v>
      </c>
      <c r="N240" s="2" t="s">
        <v>974</v>
      </c>
    </row>
    <row r="241" spans="5:18" ht="30" x14ac:dyDescent="0.25">
      <c r="F241" s="10">
        <v>13</v>
      </c>
      <c r="G241" s="2" t="s">
        <v>3224</v>
      </c>
      <c r="K241" s="2"/>
      <c r="L241" s="3"/>
    </row>
    <row r="242" spans="5:18" ht="30" x14ac:dyDescent="0.25">
      <c r="F242" s="10">
        <v>14</v>
      </c>
      <c r="H242" s="2" t="s">
        <v>1352</v>
      </c>
      <c r="I242" s="2" t="s">
        <v>30</v>
      </c>
      <c r="J242" s="3">
        <v>40241</v>
      </c>
      <c r="K242" s="3">
        <v>40254</v>
      </c>
      <c r="L242" s="3" t="s">
        <v>14</v>
      </c>
      <c r="N242" s="2" t="s">
        <v>974</v>
      </c>
    </row>
    <row r="243" spans="5:18" ht="30" x14ac:dyDescent="0.25">
      <c r="E243" s="10" t="s">
        <v>1360</v>
      </c>
      <c r="F243" s="10">
        <v>1</v>
      </c>
      <c r="G243" s="2" t="s">
        <v>1349</v>
      </c>
      <c r="K243" s="2"/>
      <c r="L243" s="3"/>
    </row>
    <row r="244" spans="5:18" x14ac:dyDescent="0.25">
      <c r="F244" s="10">
        <v>2</v>
      </c>
      <c r="H244" s="2" t="s">
        <v>719</v>
      </c>
      <c r="I244" s="2" t="s">
        <v>30</v>
      </c>
      <c r="J244" s="3">
        <v>40241</v>
      </c>
      <c r="K244" s="3">
        <v>40254</v>
      </c>
      <c r="L244" s="3" t="s">
        <v>14</v>
      </c>
      <c r="N244" s="2" t="s">
        <v>33</v>
      </c>
      <c r="O244" s="2" t="s">
        <v>1768</v>
      </c>
    </row>
    <row r="245" spans="5:18" x14ac:dyDescent="0.25">
      <c r="F245" s="10">
        <v>3</v>
      </c>
      <c r="G245" s="2" t="s">
        <v>720</v>
      </c>
      <c r="K245" s="2"/>
      <c r="L245" s="3"/>
    </row>
    <row r="246" spans="5:18" ht="75" x14ac:dyDescent="0.25">
      <c r="F246" s="10">
        <v>4</v>
      </c>
      <c r="H246" s="2" t="s">
        <v>1351</v>
      </c>
      <c r="I246" s="2" t="s">
        <v>30</v>
      </c>
      <c r="J246" s="3">
        <v>40241</v>
      </c>
      <c r="K246" s="3">
        <v>40254</v>
      </c>
      <c r="L246" s="3" t="s">
        <v>14</v>
      </c>
      <c r="N246" s="2" t="s">
        <v>33</v>
      </c>
      <c r="O246" s="2" t="s">
        <v>1768</v>
      </c>
    </row>
    <row r="247" spans="5:18" ht="30" x14ac:dyDescent="0.25">
      <c r="F247" s="10">
        <v>5</v>
      </c>
      <c r="H247" s="2" t="s">
        <v>1350</v>
      </c>
      <c r="I247" s="2" t="s">
        <v>30</v>
      </c>
      <c r="J247" s="3">
        <v>40241</v>
      </c>
      <c r="K247" s="3">
        <v>40254</v>
      </c>
      <c r="L247" s="3" t="s">
        <v>14</v>
      </c>
      <c r="N247" s="2" t="s">
        <v>33</v>
      </c>
      <c r="O247" s="2" t="s">
        <v>1768</v>
      </c>
    </row>
    <row r="248" spans="5:18" x14ac:dyDescent="0.25">
      <c r="F248" s="10">
        <v>6</v>
      </c>
      <c r="G248" s="2" t="s">
        <v>92</v>
      </c>
      <c r="K248" s="2"/>
      <c r="L248" s="3"/>
    </row>
    <row r="249" spans="5:18" ht="90" x14ac:dyDescent="0.25">
      <c r="F249" s="10">
        <v>7</v>
      </c>
      <c r="H249" s="2" t="s">
        <v>1353</v>
      </c>
      <c r="I249" s="2" t="s">
        <v>30</v>
      </c>
      <c r="J249" s="3">
        <v>40241</v>
      </c>
      <c r="K249" s="3">
        <v>40254</v>
      </c>
      <c r="L249" s="3" t="s">
        <v>14</v>
      </c>
      <c r="N249" s="2" t="s">
        <v>33</v>
      </c>
      <c r="O249" s="2" t="s">
        <v>1768</v>
      </c>
    </row>
    <row r="250" spans="5:18" ht="45" x14ac:dyDescent="0.25">
      <c r="E250" s="10" t="s">
        <v>1361</v>
      </c>
      <c r="F250" s="10">
        <v>1</v>
      </c>
      <c r="G250" s="2" t="s">
        <v>1354</v>
      </c>
      <c r="K250" s="2"/>
      <c r="L250" s="3"/>
    </row>
    <row r="251" spans="5:18" ht="30" x14ac:dyDescent="0.25">
      <c r="F251" s="10">
        <v>2</v>
      </c>
      <c r="G251" s="2" t="s">
        <v>1355</v>
      </c>
      <c r="K251" s="2"/>
      <c r="L251" s="3"/>
    </row>
    <row r="252" spans="5:18" ht="30" x14ac:dyDescent="0.25">
      <c r="F252" s="10">
        <v>3</v>
      </c>
      <c r="H252" s="2" t="s">
        <v>1365</v>
      </c>
      <c r="I252" s="2" t="s">
        <v>30</v>
      </c>
      <c r="J252" s="3">
        <v>40241</v>
      </c>
      <c r="K252" s="22"/>
      <c r="L252" s="3" t="s">
        <v>14</v>
      </c>
      <c r="N252" s="2" t="s">
        <v>974</v>
      </c>
      <c r="O252" s="2" t="s">
        <v>1765</v>
      </c>
      <c r="P252" s="2" t="s">
        <v>977</v>
      </c>
      <c r="Q252" s="2" t="s">
        <v>540</v>
      </c>
      <c r="R252" s="2" t="s">
        <v>2235</v>
      </c>
    </row>
    <row r="253" spans="5:18" ht="45" x14ac:dyDescent="0.25">
      <c r="E253" s="10" t="s">
        <v>1362</v>
      </c>
      <c r="F253" s="10">
        <v>1</v>
      </c>
      <c r="G253" s="2" t="s">
        <v>1354</v>
      </c>
      <c r="K253" s="2"/>
      <c r="L253" s="3"/>
    </row>
    <row r="254" spans="5:18" x14ac:dyDescent="0.25">
      <c r="F254" s="10">
        <v>2</v>
      </c>
      <c r="G254" s="2" t="s">
        <v>92</v>
      </c>
      <c r="K254" s="2"/>
      <c r="L254" s="3"/>
    </row>
    <row r="255" spans="5:18" ht="90" x14ac:dyDescent="0.25">
      <c r="F255" s="10">
        <v>3</v>
      </c>
      <c r="H255" s="2" t="s">
        <v>1353</v>
      </c>
      <c r="I255" s="2" t="s">
        <v>30</v>
      </c>
      <c r="J255" s="3">
        <v>40241</v>
      </c>
      <c r="K255" s="22"/>
      <c r="L255" s="3" t="s">
        <v>14</v>
      </c>
      <c r="N255" s="2" t="s">
        <v>974</v>
      </c>
      <c r="O255" s="2" t="s">
        <v>1769</v>
      </c>
    </row>
    <row r="256" spans="5:18" x14ac:dyDescent="0.25">
      <c r="E256" s="10" t="s">
        <v>771</v>
      </c>
      <c r="F256" s="10">
        <v>1</v>
      </c>
      <c r="G256" s="2" t="s">
        <v>1356</v>
      </c>
      <c r="K256" s="2"/>
      <c r="L256" s="3"/>
    </row>
    <row r="257" spans="1:18" x14ac:dyDescent="0.25">
      <c r="F257" s="10">
        <v>2</v>
      </c>
      <c r="H257" s="2" t="s">
        <v>1357</v>
      </c>
      <c r="I257" s="2" t="s">
        <v>30</v>
      </c>
      <c r="J257" s="3">
        <v>40241</v>
      </c>
      <c r="K257" s="22"/>
      <c r="L257" s="3" t="s">
        <v>14</v>
      </c>
      <c r="N257" s="2" t="s">
        <v>974</v>
      </c>
    </row>
    <row r="258" spans="1:18" x14ac:dyDescent="0.25">
      <c r="E258" s="10" t="s">
        <v>590</v>
      </c>
      <c r="F258" s="10">
        <v>1</v>
      </c>
      <c r="G258" s="2" t="s">
        <v>1359</v>
      </c>
      <c r="K258" s="2"/>
      <c r="L258" s="3"/>
    </row>
    <row r="259" spans="1:18" ht="105" x14ac:dyDescent="0.25">
      <c r="F259" s="10">
        <v>2</v>
      </c>
      <c r="H259" s="2" t="s">
        <v>1357</v>
      </c>
      <c r="I259" s="2" t="s">
        <v>30</v>
      </c>
      <c r="J259" s="3">
        <v>40241</v>
      </c>
      <c r="K259" s="22"/>
      <c r="L259" s="3" t="s">
        <v>14</v>
      </c>
      <c r="N259" s="2" t="s">
        <v>974</v>
      </c>
      <c r="O259" s="2" t="s">
        <v>1770</v>
      </c>
      <c r="P259" s="2" t="s">
        <v>982</v>
      </c>
      <c r="Q259" s="2" t="s">
        <v>540</v>
      </c>
      <c r="R259" s="2" t="s">
        <v>1776</v>
      </c>
    </row>
    <row r="260" spans="1:18" x14ac:dyDescent="0.25">
      <c r="J260" s="7"/>
    </row>
    <row r="261" spans="1:18" ht="105" x14ac:dyDescent="0.25">
      <c r="A261" s="7" t="s">
        <v>232</v>
      </c>
      <c r="B261" s="7" t="s">
        <v>160</v>
      </c>
      <c r="C261" s="7" t="s">
        <v>460</v>
      </c>
      <c r="D261" s="7" t="s">
        <v>3225</v>
      </c>
      <c r="E261" s="10" t="s">
        <v>121</v>
      </c>
      <c r="F261" s="10">
        <v>1</v>
      </c>
      <c r="G261" s="2" t="s">
        <v>3226</v>
      </c>
      <c r="K261" s="2"/>
      <c r="L261" s="3"/>
    </row>
    <row r="262" spans="1:18" ht="30" x14ac:dyDescent="0.25">
      <c r="F262" s="10">
        <v>2</v>
      </c>
      <c r="H262" s="2" t="s">
        <v>145</v>
      </c>
      <c r="I262" s="7" t="s">
        <v>29</v>
      </c>
      <c r="J262" s="3">
        <v>40241</v>
      </c>
      <c r="K262" s="3">
        <v>40142</v>
      </c>
      <c r="L262" s="3" t="s">
        <v>14</v>
      </c>
      <c r="N262" s="2" t="s">
        <v>974</v>
      </c>
    </row>
    <row r="263" spans="1:18" x14ac:dyDescent="0.25">
      <c r="F263" s="10">
        <v>3</v>
      </c>
      <c r="G263" s="2" t="s">
        <v>146</v>
      </c>
      <c r="K263" s="2"/>
      <c r="L263" s="3"/>
    </row>
    <row r="264" spans="1:18" ht="135" x14ac:dyDescent="0.25">
      <c r="F264" s="10">
        <v>4</v>
      </c>
      <c r="H264" s="2" t="s">
        <v>1341</v>
      </c>
      <c r="I264" s="7" t="s">
        <v>30</v>
      </c>
      <c r="J264" s="3">
        <v>40241</v>
      </c>
      <c r="K264" s="3">
        <v>40142</v>
      </c>
      <c r="L264" s="3" t="s">
        <v>14</v>
      </c>
      <c r="M264" s="2" t="s">
        <v>1600</v>
      </c>
      <c r="N264" s="2" t="s">
        <v>974</v>
      </c>
      <c r="O264" s="2" t="s">
        <v>1599</v>
      </c>
      <c r="P264" s="2" t="s">
        <v>980</v>
      </c>
      <c r="Q264" s="2" t="s">
        <v>540</v>
      </c>
      <c r="R264" s="2" t="s">
        <v>1483</v>
      </c>
    </row>
    <row r="265" spans="1:18" s="7" customFormat="1" x14ac:dyDescent="0.25">
      <c r="E265" s="11"/>
      <c r="F265" s="11"/>
      <c r="L265" s="3"/>
    </row>
    <row r="266" spans="1:18" ht="90" x14ac:dyDescent="0.25">
      <c r="A266" s="7" t="s">
        <v>230</v>
      </c>
      <c r="B266" s="7" t="s">
        <v>156</v>
      </c>
      <c r="C266" s="7" t="s">
        <v>460</v>
      </c>
      <c r="D266" s="7" t="s">
        <v>157</v>
      </c>
      <c r="E266" s="10" t="s">
        <v>121</v>
      </c>
      <c r="F266" s="10">
        <v>1</v>
      </c>
      <c r="G266" s="2" t="s">
        <v>159</v>
      </c>
      <c r="H266" s="2" t="s">
        <v>158</v>
      </c>
      <c r="J266" s="3"/>
      <c r="K266" s="3"/>
      <c r="L266" s="3"/>
    </row>
    <row r="267" spans="1:18" ht="75" x14ac:dyDescent="0.25">
      <c r="F267" s="10">
        <v>2</v>
      </c>
      <c r="H267" s="2" t="s">
        <v>3227</v>
      </c>
      <c r="I267" s="2" t="s">
        <v>29</v>
      </c>
      <c r="J267" s="5">
        <v>40140</v>
      </c>
      <c r="K267" s="3">
        <v>40142</v>
      </c>
      <c r="L267" s="22"/>
    </row>
    <row r="268" spans="1:18" ht="225" x14ac:dyDescent="0.25">
      <c r="F268" s="10">
        <v>3</v>
      </c>
      <c r="H268" s="7" t="s">
        <v>3228</v>
      </c>
      <c r="I268" s="2" t="s">
        <v>29</v>
      </c>
      <c r="J268" s="22"/>
      <c r="K268" s="3">
        <v>40142</v>
      </c>
      <c r="L268" s="22"/>
    </row>
    <row r="269" spans="1:18" ht="45" x14ac:dyDescent="0.25">
      <c r="F269" s="10">
        <v>4</v>
      </c>
      <c r="H269" s="2" t="s">
        <v>134</v>
      </c>
      <c r="I269" s="2" t="s">
        <v>29</v>
      </c>
      <c r="J269" s="5">
        <v>40140</v>
      </c>
      <c r="K269" s="3">
        <v>40142</v>
      </c>
      <c r="L269" s="22"/>
    </row>
    <row r="270" spans="1:18" ht="30" x14ac:dyDescent="0.25">
      <c r="F270" s="10">
        <v>5</v>
      </c>
      <c r="G270" s="2" t="s">
        <v>142</v>
      </c>
      <c r="H270" s="7"/>
      <c r="J270" s="3"/>
      <c r="K270" s="3"/>
      <c r="L270" s="3"/>
    </row>
    <row r="271" spans="1:18" ht="75" x14ac:dyDescent="0.25">
      <c r="F271" s="10">
        <v>6</v>
      </c>
      <c r="H271" s="2" t="s">
        <v>1714</v>
      </c>
      <c r="I271" s="2" t="s">
        <v>30</v>
      </c>
      <c r="J271" s="5">
        <v>40140</v>
      </c>
      <c r="K271" s="3">
        <v>40142</v>
      </c>
      <c r="L271" s="22"/>
    </row>
    <row r="272" spans="1:18" x14ac:dyDescent="0.25">
      <c r="F272" s="10">
        <v>7</v>
      </c>
      <c r="G272" s="2" t="s">
        <v>92</v>
      </c>
      <c r="J272" s="3"/>
      <c r="K272" s="3"/>
      <c r="L272" s="3"/>
    </row>
    <row r="273" spans="1:12" ht="30" x14ac:dyDescent="0.25">
      <c r="F273" s="10">
        <v>8</v>
      </c>
      <c r="H273" s="2" t="s">
        <v>143</v>
      </c>
      <c r="I273" s="2" t="s">
        <v>29</v>
      </c>
      <c r="J273" s="5">
        <v>40140</v>
      </c>
      <c r="K273" s="3">
        <v>40142</v>
      </c>
      <c r="L273" s="22"/>
    </row>
    <row r="274" spans="1:12" x14ac:dyDescent="0.25">
      <c r="J274" s="5"/>
      <c r="K274" s="3"/>
      <c r="L274" s="3"/>
    </row>
    <row r="275" spans="1:12" ht="75" x14ac:dyDescent="0.25">
      <c r="A275" s="19" t="s">
        <v>1212</v>
      </c>
      <c r="B275" s="19" t="s">
        <v>1982</v>
      </c>
      <c r="C275" s="7" t="s">
        <v>460</v>
      </c>
      <c r="D275" s="7" t="s">
        <v>3229</v>
      </c>
      <c r="E275" s="10" t="s">
        <v>121</v>
      </c>
      <c r="F275" s="10">
        <v>1</v>
      </c>
      <c r="G275" s="2" t="s">
        <v>3230</v>
      </c>
      <c r="K275" s="2"/>
      <c r="L275" s="3"/>
    </row>
    <row r="276" spans="1:12" ht="30" x14ac:dyDescent="0.25">
      <c r="F276" s="10">
        <v>2</v>
      </c>
      <c r="H276" s="2" t="s">
        <v>1984</v>
      </c>
      <c r="I276" s="7" t="s">
        <v>29</v>
      </c>
      <c r="J276" s="3">
        <v>40241</v>
      </c>
      <c r="K276" s="3">
        <v>40142</v>
      </c>
      <c r="L276" s="3" t="s">
        <v>986</v>
      </c>
    </row>
    <row r="277" spans="1:12" x14ac:dyDescent="0.25">
      <c r="F277" s="10">
        <v>3</v>
      </c>
      <c r="G277" s="2" t="s">
        <v>146</v>
      </c>
      <c r="K277" s="2"/>
      <c r="L277" s="3"/>
    </row>
    <row r="278" spans="1:12" ht="120" x14ac:dyDescent="0.25">
      <c r="F278" s="10">
        <v>4</v>
      </c>
      <c r="H278" s="2" t="s">
        <v>1986</v>
      </c>
      <c r="I278" s="2" t="s">
        <v>30</v>
      </c>
      <c r="J278" s="3" t="s">
        <v>986</v>
      </c>
      <c r="K278" s="3" t="s">
        <v>986</v>
      </c>
      <c r="L278" s="3" t="s">
        <v>986</v>
      </c>
    </row>
    <row r="279" spans="1:12" ht="90" x14ac:dyDescent="0.25">
      <c r="F279" s="10">
        <v>5</v>
      </c>
      <c r="H279" s="2" t="s">
        <v>1341</v>
      </c>
      <c r="I279" s="7" t="s">
        <v>30</v>
      </c>
      <c r="J279" s="3">
        <v>40241</v>
      </c>
      <c r="K279" s="3">
        <v>40142</v>
      </c>
      <c r="L279" s="3" t="s">
        <v>986</v>
      </c>
    </row>
    <row r="280" spans="1:12" x14ac:dyDescent="0.25">
      <c r="E280" s="10" t="s">
        <v>130</v>
      </c>
      <c r="F280" s="10">
        <v>1</v>
      </c>
      <c r="G280" s="2" t="s">
        <v>1985</v>
      </c>
      <c r="I280" s="7"/>
      <c r="J280" s="3"/>
      <c r="K280" s="3"/>
      <c r="L280" s="3"/>
    </row>
    <row r="281" spans="1:12" ht="30" x14ac:dyDescent="0.25">
      <c r="H281" s="2" t="s">
        <v>1317</v>
      </c>
      <c r="I281" s="7"/>
      <c r="J281" s="3" t="s">
        <v>986</v>
      </c>
      <c r="K281" s="3" t="s">
        <v>986</v>
      </c>
      <c r="L281" s="3" t="s">
        <v>986</v>
      </c>
    </row>
    <row r="282" spans="1:12" x14ac:dyDescent="0.25">
      <c r="J282" s="5"/>
      <c r="K282" s="3"/>
      <c r="L282" s="3"/>
    </row>
    <row r="283" spans="1:12" ht="75" x14ac:dyDescent="0.25">
      <c r="A283" s="19" t="s">
        <v>1211</v>
      </c>
      <c r="B283" s="19" t="s">
        <v>1715</v>
      </c>
      <c r="C283" s="19" t="s">
        <v>460</v>
      </c>
      <c r="D283" s="19" t="s">
        <v>1716</v>
      </c>
      <c r="E283" s="10" t="s">
        <v>121</v>
      </c>
      <c r="F283" s="10">
        <v>1</v>
      </c>
      <c r="G283" s="2" t="s">
        <v>3219</v>
      </c>
      <c r="J283" s="5"/>
      <c r="K283" s="3"/>
      <c r="L283" s="3"/>
    </row>
    <row r="284" spans="1:12" ht="30" x14ac:dyDescent="0.25">
      <c r="F284" s="10">
        <v>2</v>
      </c>
      <c r="H284" s="2" t="s">
        <v>128</v>
      </c>
      <c r="I284" s="2" t="s">
        <v>29</v>
      </c>
      <c r="J284" s="3" t="s">
        <v>986</v>
      </c>
      <c r="K284" s="3" t="s">
        <v>986</v>
      </c>
      <c r="L284" s="3" t="s">
        <v>986</v>
      </c>
    </row>
    <row r="285" spans="1:12" ht="30" x14ac:dyDescent="0.25">
      <c r="F285" s="10">
        <v>3</v>
      </c>
      <c r="G285" s="2" t="s">
        <v>106</v>
      </c>
      <c r="J285" s="5"/>
      <c r="K285" s="3"/>
      <c r="L285" s="3"/>
    </row>
    <row r="286" spans="1:12" ht="75" x14ac:dyDescent="0.25">
      <c r="F286" s="10">
        <v>4</v>
      </c>
      <c r="H286" s="2" t="s">
        <v>1717</v>
      </c>
      <c r="I286" s="2" t="s">
        <v>30</v>
      </c>
      <c r="J286" s="3" t="s">
        <v>986</v>
      </c>
      <c r="K286" s="3" t="s">
        <v>986</v>
      </c>
      <c r="L286" s="3" t="s">
        <v>986</v>
      </c>
    </row>
    <row r="287" spans="1:12" ht="45" x14ac:dyDescent="0.25">
      <c r="F287" s="10">
        <v>5</v>
      </c>
      <c r="H287" s="2" t="s">
        <v>1718</v>
      </c>
      <c r="I287" s="2" t="s">
        <v>30</v>
      </c>
      <c r="J287" s="3" t="s">
        <v>986</v>
      </c>
      <c r="K287" s="3" t="s">
        <v>986</v>
      </c>
      <c r="L287" s="3" t="s">
        <v>986</v>
      </c>
    </row>
    <row r="288" spans="1:12" ht="60" x14ac:dyDescent="0.25">
      <c r="F288" s="10">
        <v>6</v>
      </c>
      <c r="H288" s="2" t="s">
        <v>1981</v>
      </c>
      <c r="I288" s="2" t="s">
        <v>30</v>
      </c>
      <c r="J288" s="3" t="s">
        <v>986</v>
      </c>
      <c r="K288" s="3" t="s">
        <v>986</v>
      </c>
      <c r="L288" s="3" t="s">
        <v>986</v>
      </c>
    </row>
    <row r="289" spans="1:18" x14ac:dyDescent="0.25">
      <c r="K289" s="2"/>
      <c r="L289" s="3"/>
    </row>
    <row r="290" spans="1:18" ht="90" x14ac:dyDescent="0.25">
      <c r="A290" s="19" t="s">
        <v>2053</v>
      </c>
      <c r="B290" s="19" t="s">
        <v>1766</v>
      </c>
      <c r="C290" s="19" t="s">
        <v>460</v>
      </c>
      <c r="D290" s="19" t="s">
        <v>1767</v>
      </c>
      <c r="E290" s="10" t="s">
        <v>121</v>
      </c>
      <c r="F290" s="10">
        <v>1</v>
      </c>
      <c r="G290" s="2" t="s">
        <v>161</v>
      </c>
      <c r="K290" s="2"/>
      <c r="L290" s="3"/>
    </row>
    <row r="291" spans="1:18" ht="30" x14ac:dyDescent="0.25">
      <c r="F291" s="10">
        <v>2</v>
      </c>
      <c r="H291" s="2" t="s">
        <v>1762</v>
      </c>
      <c r="I291" s="2" t="s">
        <v>30</v>
      </c>
      <c r="J291" s="3">
        <v>40290</v>
      </c>
      <c r="K291" s="22"/>
      <c r="L291" s="3" t="s">
        <v>14</v>
      </c>
      <c r="N291" s="2" t="s">
        <v>974</v>
      </c>
    </row>
    <row r="292" spans="1:18" ht="120" x14ac:dyDescent="0.25">
      <c r="J292" s="3"/>
      <c r="K292" s="3"/>
      <c r="L292" s="3"/>
      <c r="N292" s="2" t="s">
        <v>974</v>
      </c>
      <c r="O292" s="2" t="s">
        <v>2270</v>
      </c>
      <c r="P292" s="2" t="s">
        <v>980</v>
      </c>
      <c r="Q292" s="2" t="s">
        <v>986</v>
      </c>
      <c r="R292" s="2" t="s">
        <v>2275</v>
      </c>
    </row>
    <row r="293" spans="1:18" ht="105" x14ac:dyDescent="0.25">
      <c r="J293" s="3"/>
      <c r="K293" s="3"/>
      <c r="L293" s="3"/>
      <c r="N293" s="2" t="s">
        <v>974</v>
      </c>
      <c r="O293" s="2" t="s">
        <v>2271</v>
      </c>
      <c r="P293" s="2" t="s">
        <v>977</v>
      </c>
      <c r="Q293" s="2" t="s">
        <v>540</v>
      </c>
      <c r="R293" s="2" t="s">
        <v>3231</v>
      </c>
    </row>
    <row r="294" spans="1:18" ht="30" x14ac:dyDescent="0.25">
      <c r="J294" s="3"/>
      <c r="K294" s="3"/>
      <c r="L294" s="3"/>
      <c r="N294" s="2" t="s">
        <v>974</v>
      </c>
      <c r="O294" s="2" t="s">
        <v>2272</v>
      </c>
      <c r="P294" s="2" t="s">
        <v>977</v>
      </c>
      <c r="Q294" s="2" t="s">
        <v>540</v>
      </c>
      <c r="R294" s="2" t="s">
        <v>2274</v>
      </c>
    </row>
    <row r="295" spans="1:18" ht="150" x14ac:dyDescent="0.25">
      <c r="F295" s="10">
        <v>3</v>
      </c>
      <c r="H295" s="2" t="s">
        <v>1763</v>
      </c>
      <c r="I295" s="2" t="s">
        <v>30</v>
      </c>
      <c r="J295" s="3">
        <v>40290</v>
      </c>
      <c r="K295" s="22"/>
      <c r="L295" s="3" t="s">
        <v>14</v>
      </c>
      <c r="N295" s="2" t="s">
        <v>974</v>
      </c>
      <c r="O295" s="2" t="s">
        <v>3232</v>
      </c>
      <c r="P295" s="2" t="s">
        <v>980</v>
      </c>
      <c r="Q295" s="2" t="s">
        <v>540</v>
      </c>
    </row>
    <row r="296" spans="1:18" x14ac:dyDescent="0.25">
      <c r="F296" s="10">
        <v>4</v>
      </c>
      <c r="H296" s="2" t="s">
        <v>2093</v>
      </c>
      <c r="I296" s="2" t="s">
        <v>30</v>
      </c>
      <c r="J296" s="3">
        <v>40290</v>
      </c>
      <c r="K296" s="22"/>
      <c r="L296" s="3" t="s">
        <v>14</v>
      </c>
      <c r="N296" s="2" t="s">
        <v>974</v>
      </c>
    </row>
    <row r="297" spans="1:18" ht="30" x14ac:dyDescent="0.25">
      <c r="F297" s="10">
        <v>5</v>
      </c>
      <c r="H297" s="2" t="s">
        <v>2102</v>
      </c>
      <c r="I297" s="2" t="s">
        <v>30</v>
      </c>
      <c r="J297" s="3">
        <v>40290</v>
      </c>
      <c r="K297" s="22"/>
      <c r="L297" s="3" t="s">
        <v>14</v>
      </c>
      <c r="N297" s="2" t="s">
        <v>974</v>
      </c>
      <c r="O297" s="2" t="s">
        <v>1879</v>
      </c>
      <c r="P297" s="2" t="s">
        <v>977</v>
      </c>
      <c r="Q297" s="2" t="s">
        <v>540</v>
      </c>
    </row>
    <row r="298" spans="1:18" ht="90" x14ac:dyDescent="0.25">
      <c r="F298" s="10">
        <v>6</v>
      </c>
      <c r="H298" s="2" t="s">
        <v>1761</v>
      </c>
      <c r="I298" s="2" t="s">
        <v>30</v>
      </c>
      <c r="J298" s="22"/>
      <c r="K298" s="22"/>
      <c r="L298" s="3" t="s">
        <v>14</v>
      </c>
      <c r="N298" s="2" t="s">
        <v>974</v>
      </c>
      <c r="O298" s="2" t="s">
        <v>3470</v>
      </c>
      <c r="P298" s="2" t="s">
        <v>982</v>
      </c>
      <c r="Q298" s="2" t="s">
        <v>540</v>
      </c>
      <c r="R298" s="2" t="s">
        <v>2236</v>
      </c>
    </row>
    <row r="299" spans="1:18" x14ac:dyDescent="0.25">
      <c r="F299" s="10">
        <v>8</v>
      </c>
      <c r="G299" s="2" t="s">
        <v>2094</v>
      </c>
      <c r="K299" s="2"/>
      <c r="L299" s="3"/>
    </row>
    <row r="300" spans="1:18" ht="45" x14ac:dyDescent="0.25">
      <c r="F300" s="10">
        <v>9</v>
      </c>
      <c r="H300" s="2" t="s">
        <v>2095</v>
      </c>
      <c r="I300" s="2" t="s">
        <v>30</v>
      </c>
      <c r="J300" s="3">
        <v>40290</v>
      </c>
      <c r="K300" s="22"/>
      <c r="L300" s="3" t="s">
        <v>14</v>
      </c>
      <c r="N300" s="2" t="s">
        <v>974</v>
      </c>
    </row>
    <row r="301" spans="1:18" ht="135" x14ac:dyDescent="0.25">
      <c r="F301" s="10">
        <v>10</v>
      </c>
      <c r="H301" s="2" t="s">
        <v>3233</v>
      </c>
      <c r="I301" s="2" t="s">
        <v>30</v>
      </c>
      <c r="J301" s="3">
        <v>40290</v>
      </c>
      <c r="K301" s="22"/>
      <c r="L301" s="3" t="s">
        <v>14</v>
      </c>
      <c r="N301" s="2" t="s">
        <v>974</v>
      </c>
      <c r="O301" s="2" t="s">
        <v>1878</v>
      </c>
      <c r="P301" s="2" t="s">
        <v>980</v>
      </c>
      <c r="Q301" s="2" t="s">
        <v>540</v>
      </c>
      <c r="R301" s="2" t="s">
        <v>2248</v>
      </c>
    </row>
    <row r="302" spans="1:18" ht="45" x14ac:dyDescent="0.25">
      <c r="F302" s="10">
        <v>11</v>
      </c>
      <c r="H302" s="2" t="s">
        <v>1764</v>
      </c>
      <c r="J302" s="22"/>
      <c r="K302" s="22"/>
      <c r="L302" s="3" t="s">
        <v>14</v>
      </c>
      <c r="N302" s="2" t="s">
        <v>974</v>
      </c>
    </row>
    <row r="303" spans="1:18" ht="30" x14ac:dyDescent="0.25">
      <c r="F303" s="10">
        <v>12</v>
      </c>
      <c r="H303" s="2" t="s">
        <v>2098</v>
      </c>
      <c r="I303" s="2" t="s">
        <v>30</v>
      </c>
      <c r="J303" s="3">
        <v>40290</v>
      </c>
      <c r="K303" s="22"/>
      <c r="L303" s="3" t="s">
        <v>14</v>
      </c>
      <c r="N303" s="2" t="s">
        <v>974</v>
      </c>
    </row>
    <row r="304" spans="1:18" x14ac:dyDescent="0.25">
      <c r="F304" s="10">
        <v>13</v>
      </c>
      <c r="G304" s="2" t="s">
        <v>2096</v>
      </c>
      <c r="K304" s="2"/>
      <c r="L304" s="3"/>
    </row>
    <row r="305" spans="1:18" ht="30" x14ac:dyDescent="0.25">
      <c r="F305" s="10">
        <v>14</v>
      </c>
      <c r="H305" s="2" t="s">
        <v>2097</v>
      </c>
      <c r="I305" s="2" t="s">
        <v>30</v>
      </c>
      <c r="J305" s="3">
        <v>40290</v>
      </c>
      <c r="K305" s="22"/>
      <c r="L305" s="3" t="s">
        <v>14</v>
      </c>
      <c r="N305" s="2" t="s">
        <v>974</v>
      </c>
    </row>
    <row r="306" spans="1:18" ht="30" x14ac:dyDescent="0.25">
      <c r="F306" s="10">
        <v>15</v>
      </c>
      <c r="G306" s="2" t="s">
        <v>2099</v>
      </c>
      <c r="K306" s="2"/>
      <c r="L306" s="3"/>
    </row>
    <row r="307" spans="1:18" ht="120" x14ac:dyDescent="0.25">
      <c r="F307" s="10">
        <v>16</v>
      </c>
      <c r="H307" s="2" t="s">
        <v>3234</v>
      </c>
      <c r="I307" s="2" t="s">
        <v>30</v>
      </c>
      <c r="J307" s="3">
        <v>40290</v>
      </c>
      <c r="K307" s="22"/>
      <c r="L307" s="3" t="s">
        <v>14</v>
      </c>
      <c r="N307" s="2" t="s">
        <v>974</v>
      </c>
      <c r="O307" s="2" t="s">
        <v>1873</v>
      </c>
      <c r="P307" s="2" t="s">
        <v>977</v>
      </c>
      <c r="Q307" s="2" t="s">
        <v>540</v>
      </c>
    </row>
    <row r="308" spans="1:18" ht="150" x14ac:dyDescent="0.25">
      <c r="J308" s="3"/>
      <c r="K308" s="3"/>
      <c r="L308" s="3"/>
      <c r="N308" s="2" t="s">
        <v>974</v>
      </c>
      <c r="O308" s="2" t="s">
        <v>3235</v>
      </c>
      <c r="P308" s="2" t="s">
        <v>980</v>
      </c>
      <c r="Q308" s="2" t="s">
        <v>540</v>
      </c>
      <c r="R308" s="2" t="s">
        <v>3236</v>
      </c>
    </row>
    <row r="309" spans="1:18" ht="90" x14ac:dyDescent="0.25">
      <c r="J309" s="3"/>
      <c r="K309" s="3"/>
      <c r="L309" s="3"/>
      <c r="N309" s="2" t="s">
        <v>974</v>
      </c>
      <c r="O309" s="2" t="s">
        <v>3237</v>
      </c>
      <c r="P309" s="2" t="s">
        <v>980</v>
      </c>
      <c r="Q309" s="2" t="s">
        <v>540</v>
      </c>
    </row>
    <row r="310" spans="1:18" ht="165" x14ac:dyDescent="0.25">
      <c r="J310" s="3"/>
      <c r="K310" s="3"/>
      <c r="L310" s="3"/>
      <c r="N310" s="2" t="s">
        <v>974</v>
      </c>
      <c r="O310" s="2" t="s">
        <v>3471</v>
      </c>
      <c r="P310" s="2" t="s">
        <v>980</v>
      </c>
      <c r="Q310" s="2" t="s">
        <v>540</v>
      </c>
      <c r="R310" s="2" t="s">
        <v>2250</v>
      </c>
    </row>
    <row r="311" spans="1:18" ht="90" x14ac:dyDescent="0.25">
      <c r="J311" s="3"/>
      <c r="K311" s="3"/>
      <c r="L311" s="3"/>
      <c r="N311" s="2" t="s">
        <v>974</v>
      </c>
      <c r="O311" s="2" t="s">
        <v>1874</v>
      </c>
      <c r="P311" s="2" t="s">
        <v>980</v>
      </c>
      <c r="Q311" s="2" t="s">
        <v>540</v>
      </c>
      <c r="R311" s="2" t="s">
        <v>2232</v>
      </c>
    </row>
    <row r="312" spans="1:18" ht="30" x14ac:dyDescent="0.25">
      <c r="F312" s="10">
        <v>17</v>
      </c>
      <c r="G312" s="2" t="s">
        <v>2100</v>
      </c>
      <c r="K312" s="2"/>
      <c r="L312" s="3"/>
    </row>
    <row r="313" spans="1:18" ht="30" x14ac:dyDescent="0.25">
      <c r="F313" s="10">
        <v>18</v>
      </c>
      <c r="H313" s="2" t="s">
        <v>2101</v>
      </c>
      <c r="I313" s="2" t="s">
        <v>30</v>
      </c>
      <c r="J313" s="3">
        <v>40290</v>
      </c>
      <c r="K313" s="22"/>
      <c r="L313" s="3" t="s">
        <v>14</v>
      </c>
      <c r="N313" s="2" t="s">
        <v>974</v>
      </c>
    </row>
    <row r="314" spans="1:18" ht="45" x14ac:dyDescent="0.25">
      <c r="E314" s="10" t="s">
        <v>374</v>
      </c>
      <c r="F314" s="10">
        <v>1</v>
      </c>
      <c r="G314" s="2" t="s">
        <v>2103</v>
      </c>
      <c r="K314" s="2"/>
    </row>
    <row r="315" spans="1:18" ht="135" x14ac:dyDescent="0.25">
      <c r="F315" s="10">
        <v>2</v>
      </c>
      <c r="H315" s="2" t="s">
        <v>2104</v>
      </c>
      <c r="I315" s="2" t="s">
        <v>30</v>
      </c>
      <c r="J315" s="3">
        <v>40290</v>
      </c>
      <c r="K315" s="22"/>
      <c r="L315" s="3" t="s">
        <v>14</v>
      </c>
      <c r="N315" s="2" t="s">
        <v>974</v>
      </c>
      <c r="O315" s="2" t="s">
        <v>2234</v>
      </c>
      <c r="P315" s="2" t="s">
        <v>980</v>
      </c>
      <c r="Q315" s="2" t="s">
        <v>540</v>
      </c>
      <c r="R315" s="2" t="s">
        <v>2249</v>
      </c>
    </row>
    <row r="316" spans="1:18" ht="45" x14ac:dyDescent="0.25">
      <c r="F316" s="10">
        <v>3</v>
      </c>
      <c r="H316" s="2" t="s">
        <v>2105</v>
      </c>
      <c r="I316" s="2" t="s">
        <v>30</v>
      </c>
      <c r="J316" s="3">
        <v>40290</v>
      </c>
      <c r="K316" s="22"/>
      <c r="L316" s="3" t="s">
        <v>14</v>
      </c>
      <c r="N316" s="2" t="s">
        <v>974</v>
      </c>
    </row>
    <row r="317" spans="1:18" ht="240" x14ac:dyDescent="0.25">
      <c r="F317" s="10">
        <v>4</v>
      </c>
      <c r="H317" s="2" t="s">
        <v>2106</v>
      </c>
      <c r="I317" s="2" t="s">
        <v>30</v>
      </c>
      <c r="J317" s="3">
        <v>40290</v>
      </c>
      <c r="K317" s="22"/>
      <c r="L317" s="3" t="s">
        <v>14</v>
      </c>
      <c r="N317" s="2" t="s">
        <v>974</v>
      </c>
      <c r="O317" s="2" t="s">
        <v>1875</v>
      </c>
      <c r="P317" s="2" t="s">
        <v>980</v>
      </c>
      <c r="Q317" s="2" t="s">
        <v>540</v>
      </c>
      <c r="R317" s="2" t="s">
        <v>2231</v>
      </c>
    </row>
    <row r="318" spans="1:18" x14ac:dyDescent="0.25">
      <c r="K318" s="2"/>
      <c r="L318" s="3"/>
    </row>
    <row r="319" spans="1:18" s="7" customFormat="1" ht="165" x14ac:dyDescent="0.25">
      <c r="A319" s="7" t="s">
        <v>233</v>
      </c>
      <c r="B319" s="7" t="s">
        <v>60</v>
      </c>
      <c r="C319" s="7" t="s">
        <v>46</v>
      </c>
      <c r="D319" s="7" t="s">
        <v>290</v>
      </c>
      <c r="E319" s="11" t="s">
        <v>121</v>
      </c>
      <c r="F319" s="11">
        <v>1</v>
      </c>
      <c r="G319" s="7" t="s">
        <v>210</v>
      </c>
      <c r="L319" s="3" t="s">
        <v>1288</v>
      </c>
      <c r="M319" s="7" t="s">
        <v>1093</v>
      </c>
      <c r="N319" s="2" t="s">
        <v>974</v>
      </c>
    </row>
    <row r="320" spans="1:18" s="7" customFormat="1" x14ac:dyDescent="0.25">
      <c r="E320" s="11"/>
      <c r="F320" s="11">
        <v>2</v>
      </c>
      <c r="G320" s="7" t="s">
        <v>92</v>
      </c>
      <c r="L320" s="3"/>
    </row>
    <row r="321" spans="1:17" s="7" customFormat="1" x14ac:dyDescent="0.25">
      <c r="E321" s="11"/>
      <c r="F321" s="11">
        <v>3</v>
      </c>
      <c r="G321" s="7" t="s">
        <v>209</v>
      </c>
      <c r="L321" s="3"/>
    </row>
    <row r="322" spans="1:17" s="7" customFormat="1" x14ac:dyDescent="0.25">
      <c r="E322" s="11"/>
      <c r="F322" s="11">
        <v>4</v>
      </c>
      <c r="H322" s="7" t="s">
        <v>289</v>
      </c>
      <c r="I322" s="2" t="s">
        <v>33</v>
      </c>
      <c r="J322" s="5">
        <v>40140</v>
      </c>
      <c r="K322" s="3">
        <v>40142</v>
      </c>
      <c r="L322" s="22" t="s">
        <v>1288</v>
      </c>
      <c r="N322" s="2" t="s">
        <v>974</v>
      </c>
    </row>
    <row r="323" spans="1:17" ht="60" x14ac:dyDescent="0.25">
      <c r="F323" s="10">
        <v>5</v>
      </c>
      <c r="H323" s="7" t="s">
        <v>3727</v>
      </c>
      <c r="I323" s="2" t="s">
        <v>33</v>
      </c>
      <c r="J323" s="3">
        <v>40135</v>
      </c>
      <c r="K323" s="3">
        <v>40142</v>
      </c>
      <c r="L323" s="22" t="s">
        <v>1288</v>
      </c>
      <c r="N323" s="2" t="s">
        <v>974</v>
      </c>
    </row>
    <row r="324" spans="1:17" x14ac:dyDescent="0.25">
      <c r="H324" s="7"/>
      <c r="J324" s="7"/>
    </row>
    <row r="325" spans="1:17" ht="60" x14ac:dyDescent="0.25">
      <c r="A325" s="7" t="s">
        <v>234</v>
      </c>
      <c r="B325" s="7" t="s">
        <v>185</v>
      </c>
      <c r="C325" s="7" t="s">
        <v>460</v>
      </c>
      <c r="D325" s="7" t="s">
        <v>186</v>
      </c>
      <c r="E325" s="10" t="s">
        <v>121</v>
      </c>
      <c r="F325" s="10">
        <v>1</v>
      </c>
      <c r="G325" s="2" t="s">
        <v>625</v>
      </c>
      <c r="H325" s="7"/>
      <c r="J325" s="7"/>
    </row>
    <row r="326" spans="1:17" ht="30" x14ac:dyDescent="0.25">
      <c r="F326" s="10">
        <v>2</v>
      </c>
      <c r="H326" s="7" t="s">
        <v>187</v>
      </c>
      <c r="I326" s="2" t="s">
        <v>30</v>
      </c>
      <c r="J326" s="3">
        <v>40135</v>
      </c>
      <c r="K326" s="3">
        <v>40142</v>
      </c>
      <c r="L326" s="22"/>
      <c r="N326" s="2" t="s">
        <v>974</v>
      </c>
    </row>
    <row r="327" spans="1:17" ht="30" x14ac:dyDescent="0.25">
      <c r="F327" s="10">
        <v>3</v>
      </c>
      <c r="G327" s="2" t="s">
        <v>194</v>
      </c>
      <c r="H327" s="7"/>
      <c r="J327" s="7"/>
    </row>
    <row r="328" spans="1:17" ht="30" x14ac:dyDescent="0.25">
      <c r="F328" s="10">
        <v>4</v>
      </c>
      <c r="H328" s="7" t="s">
        <v>191</v>
      </c>
      <c r="I328" s="2" t="s">
        <v>30</v>
      </c>
      <c r="J328" s="3">
        <v>40135</v>
      </c>
      <c r="K328" s="3">
        <v>40142</v>
      </c>
      <c r="L328" s="22"/>
      <c r="N328" s="2" t="s">
        <v>974</v>
      </c>
    </row>
    <row r="329" spans="1:17" ht="45" x14ac:dyDescent="0.25">
      <c r="F329" s="10">
        <v>5</v>
      </c>
      <c r="H329" s="7" t="s">
        <v>184</v>
      </c>
      <c r="I329" s="2" t="s">
        <v>30</v>
      </c>
      <c r="J329" s="3">
        <v>40135</v>
      </c>
      <c r="K329" s="3">
        <v>40142</v>
      </c>
      <c r="L329" s="22"/>
      <c r="N329" s="2" t="s">
        <v>974</v>
      </c>
    </row>
    <row r="330" spans="1:17" ht="60" x14ac:dyDescent="0.25">
      <c r="E330" s="10" t="s">
        <v>123</v>
      </c>
      <c r="F330" s="10">
        <v>1</v>
      </c>
      <c r="G330" s="2" t="s">
        <v>625</v>
      </c>
      <c r="H330" s="7"/>
      <c r="J330" s="7"/>
    </row>
    <row r="331" spans="1:17" ht="60" x14ac:dyDescent="0.25">
      <c r="F331" s="10">
        <v>2</v>
      </c>
      <c r="G331" s="2" t="s">
        <v>197</v>
      </c>
      <c r="H331" s="7"/>
      <c r="J331" s="7"/>
    </row>
    <row r="332" spans="1:17" ht="105" x14ac:dyDescent="0.25">
      <c r="F332" s="10">
        <v>3</v>
      </c>
      <c r="G332" s="7" t="s">
        <v>1408</v>
      </c>
      <c r="H332" s="7"/>
      <c r="I332" s="7"/>
      <c r="J332" s="7"/>
    </row>
    <row r="333" spans="1:17" ht="75" x14ac:dyDescent="0.25">
      <c r="F333" s="10">
        <v>4</v>
      </c>
      <c r="H333" s="7" t="s">
        <v>192</v>
      </c>
      <c r="I333" s="2" t="s">
        <v>30</v>
      </c>
      <c r="J333" s="3">
        <v>40135</v>
      </c>
      <c r="K333" s="3">
        <v>40142</v>
      </c>
      <c r="L333" s="22"/>
      <c r="N333" s="2" t="s">
        <v>974</v>
      </c>
      <c r="O333" s="2" t="s">
        <v>1601</v>
      </c>
      <c r="P333" s="2" t="s">
        <v>982</v>
      </c>
      <c r="Q333" s="2" t="s">
        <v>540</v>
      </c>
    </row>
    <row r="334" spans="1:17" x14ac:dyDescent="0.25">
      <c r="F334" s="10">
        <v>5</v>
      </c>
      <c r="G334" s="2" t="s">
        <v>92</v>
      </c>
      <c r="H334" s="7"/>
      <c r="J334" s="7"/>
    </row>
    <row r="335" spans="1:17" ht="30" x14ac:dyDescent="0.25">
      <c r="F335" s="10">
        <v>6</v>
      </c>
      <c r="H335" s="7" t="s">
        <v>190</v>
      </c>
      <c r="I335" s="2" t="s">
        <v>30</v>
      </c>
      <c r="J335" s="3">
        <v>40135</v>
      </c>
      <c r="K335" s="3">
        <v>40142</v>
      </c>
      <c r="L335" s="22"/>
      <c r="N335" s="2" t="s">
        <v>974</v>
      </c>
    </row>
    <row r="336" spans="1:17" ht="45" x14ac:dyDescent="0.25">
      <c r="F336" s="10">
        <v>7</v>
      </c>
      <c r="G336" s="2" t="s">
        <v>195</v>
      </c>
      <c r="H336" s="7"/>
      <c r="J336" s="7"/>
    </row>
    <row r="337" spans="1:14" ht="30" x14ac:dyDescent="0.25">
      <c r="F337" s="10">
        <v>8</v>
      </c>
      <c r="H337" s="7" t="s">
        <v>196</v>
      </c>
      <c r="I337" s="2" t="s">
        <v>30</v>
      </c>
      <c r="J337" s="3">
        <v>40135</v>
      </c>
      <c r="K337" s="3">
        <v>40142</v>
      </c>
      <c r="L337" s="22"/>
      <c r="N337" s="2" t="s">
        <v>974</v>
      </c>
    </row>
    <row r="338" spans="1:14" x14ac:dyDescent="0.25">
      <c r="F338" s="10">
        <v>9</v>
      </c>
      <c r="G338" s="2" t="s">
        <v>92</v>
      </c>
      <c r="H338" s="7"/>
      <c r="J338" s="7"/>
    </row>
    <row r="339" spans="1:14" ht="30" x14ac:dyDescent="0.25">
      <c r="F339" s="10">
        <v>10</v>
      </c>
      <c r="H339" s="7" t="s">
        <v>1635</v>
      </c>
      <c r="I339" s="2" t="s">
        <v>30</v>
      </c>
      <c r="J339" s="3">
        <v>40135</v>
      </c>
      <c r="K339" s="3">
        <v>40142</v>
      </c>
      <c r="L339" s="22"/>
      <c r="N339" s="2" t="s">
        <v>974</v>
      </c>
    </row>
    <row r="340" spans="1:14" ht="45" x14ac:dyDescent="0.25">
      <c r="E340" s="10" t="s">
        <v>352</v>
      </c>
      <c r="F340" s="10">
        <v>3</v>
      </c>
      <c r="G340" s="2" t="s">
        <v>198</v>
      </c>
      <c r="H340" s="7"/>
      <c r="J340" s="7"/>
    </row>
    <row r="341" spans="1:14" ht="30" x14ac:dyDescent="0.25">
      <c r="F341" s="10">
        <v>4</v>
      </c>
      <c r="H341" s="7" t="s">
        <v>199</v>
      </c>
      <c r="I341" s="2" t="s">
        <v>30</v>
      </c>
      <c r="J341" s="3">
        <v>40135</v>
      </c>
      <c r="K341" s="3">
        <v>40142</v>
      </c>
      <c r="L341" s="22"/>
      <c r="N341" s="2" t="s">
        <v>974</v>
      </c>
    </row>
    <row r="342" spans="1:14" ht="60" x14ac:dyDescent="0.25">
      <c r="E342" s="10" t="s">
        <v>126</v>
      </c>
      <c r="F342" s="10">
        <v>1</v>
      </c>
      <c r="G342" s="2" t="s">
        <v>626</v>
      </c>
      <c r="H342" s="7"/>
      <c r="J342" s="7"/>
    </row>
    <row r="343" spans="1:14" ht="45" x14ac:dyDescent="0.25">
      <c r="F343" s="10">
        <v>2</v>
      </c>
      <c r="H343" s="7" t="s">
        <v>193</v>
      </c>
      <c r="I343" s="2" t="s">
        <v>29</v>
      </c>
      <c r="J343" s="3">
        <v>40147</v>
      </c>
      <c r="K343" s="3">
        <v>40142</v>
      </c>
      <c r="L343" s="22"/>
      <c r="N343" s="2" t="s">
        <v>974</v>
      </c>
    </row>
    <row r="344" spans="1:14" ht="30" x14ac:dyDescent="0.25">
      <c r="F344" s="10">
        <v>3</v>
      </c>
      <c r="G344" s="2" t="s">
        <v>188</v>
      </c>
      <c r="H344" s="7"/>
      <c r="J344" s="7"/>
    </row>
    <row r="345" spans="1:14" ht="30" x14ac:dyDescent="0.25">
      <c r="F345" s="10">
        <v>4</v>
      </c>
      <c r="H345" s="7" t="s">
        <v>189</v>
      </c>
      <c r="I345" s="2" t="s">
        <v>29</v>
      </c>
      <c r="J345" s="3">
        <v>40147</v>
      </c>
      <c r="K345" s="3">
        <v>40142</v>
      </c>
      <c r="L345" s="22"/>
      <c r="N345" s="2" t="s">
        <v>974</v>
      </c>
    </row>
    <row r="346" spans="1:14" ht="45" x14ac:dyDescent="0.25">
      <c r="F346" s="10">
        <v>5</v>
      </c>
      <c r="H346" s="7" t="s">
        <v>353</v>
      </c>
      <c r="I346" s="2" t="s">
        <v>29</v>
      </c>
      <c r="J346" s="3">
        <v>40190</v>
      </c>
      <c r="K346" s="3">
        <v>40254</v>
      </c>
      <c r="L346" s="22"/>
      <c r="N346" s="2" t="s">
        <v>974</v>
      </c>
    </row>
    <row r="347" spans="1:14" ht="45" x14ac:dyDescent="0.25">
      <c r="H347" s="7" t="s">
        <v>354</v>
      </c>
      <c r="I347" s="2" t="s">
        <v>29</v>
      </c>
      <c r="J347" s="3">
        <v>40190</v>
      </c>
      <c r="K347" s="3">
        <v>40254</v>
      </c>
      <c r="L347" s="22"/>
      <c r="N347" s="2" t="s">
        <v>974</v>
      </c>
    </row>
    <row r="348" spans="1:14" x14ac:dyDescent="0.25">
      <c r="F348" s="10">
        <v>6</v>
      </c>
      <c r="G348" s="2" t="s">
        <v>92</v>
      </c>
      <c r="H348" s="7"/>
      <c r="J348" s="7"/>
    </row>
    <row r="349" spans="1:14" ht="30" x14ac:dyDescent="0.25">
      <c r="F349" s="10">
        <v>7</v>
      </c>
      <c r="H349" s="7" t="s">
        <v>190</v>
      </c>
      <c r="I349" s="2" t="s">
        <v>29</v>
      </c>
      <c r="J349" s="3">
        <v>40147</v>
      </c>
      <c r="K349" s="3">
        <v>40142</v>
      </c>
      <c r="L349" s="22"/>
      <c r="N349" s="2" t="s">
        <v>974</v>
      </c>
    </row>
    <row r="350" spans="1:14" x14ac:dyDescent="0.25">
      <c r="H350" s="7"/>
      <c r="J350" s="5"/>
      <c r="K350" s="3"/>
      <c r="L350" s="3"/>
    </row>
    <row r="351" spans="1:14" ht="45" x14ac:dyDescent="0.25">
      <c r="A351" s="7" t="s">
        <v>235</v>
      </c>
      <c r="B351" s="7" t="s">
        <v>627</v>
      </c>
      <c r="C351" s="7" t="s">
        <v>460</v>
      </c>
      <c r="D351" s="7" t="s">
        <v>73</v>
      </c>
      <c r="E351" s="10" t="s">
        <v>121</v>
      </c>
      <c r="F351" s="10">
        <v>1</v>
      </c>
      <c r="G351" s="2" t="s">
        <v>3012</v>
      </c>
      <c r="H351" s="7"/>
      <c r="J351" s="5"/>
      <c r="K351" s="3"/>
      <c r="L351" s="3"/>
    </row>
    <row r="352" spans="1:14" ht="60" x14ac:dyDescent="0.25">
      <c r="F352" s="10">
        <v>2</v>
      </c>
      <c r="H352" s="7" t="s">
        <v>3238</v>
      </c>
      <c r="I352" s="2" t="s">
        <v>29</v>
      </c>
      <c r="J352" s="3">
        <v>40147</v>
      </c>
      <c r="K352" s="3">
        <v>40142</v>
      </c>
      <c r="L352" s="22" t="s">
        <v>474</v>
      </c>
      <c r="N352" s="2" t="s">
        <v>974</v>
      </c>
    </row>
    <row r="353" spans="1:14" ht="30" x14ac:dyDescent="0.25">
      <c r="F353" s="10">
        <v>3</v>
      </c>
      <c r="G353" s="2" t="s">
        <v>200</v>
      </c>
      <c r="H353" s="7"/>
      <c r="J353" s="5"/>
      <c r="K353" s="3"/>
      <c r="L353" s="3"/>
    </row>
    <row r="354" spans="1:14" x14ac:dyDescent="0.25">
      <c r="F354" s="10">
        <v>4</v>
      </c>
      <c r="G354" s="2" t="s">
        <v>92</v>
      </c>
      <c r="H354" s="7"/>
      <c r="J354" s="5"/>
      <c r="K354" s="3"/>
      <c r="L354" s="3"/>
    </row>
    <row r="355" spans="1:14" ht="30" x14ac:dyDescent="0.25">
      <c r="F355" s="10">
        <v>5</v>
      </c>
      <c r="H355" s="7" t="s">
        <v>201</v>
      </c>
      <c r="I355" s="2" t="s">
        <v>29</v>
      </c>
      <c r="J355" s="3">
        <v>40147</v>
      </c>
      <c r="K355" s="3">
        <v>40142</v>
      </c>
      <c r="L355" s="22" t="s">
        <v>474</v>
      </c>
      <c r="N355" s="2" t="s">
        <v>974</v>
      </c>
    </row>
    <row r="356" spans="1:14" ht="60" x14ac:dyDescent="0.25">
      <c r="F356" s="10">
        <v>6</v>
      </c>
      <c r="H356" s="7" t="s">
        <v>202</v>
      </c>
      <c r="I356" s="2" t="s">
        <v>29</v>
      </c>
      <c r="J356" s="3">
        <v>40147</v>
      </c>
      <c r="K356" s="3">
        <v>40142</v>
      </c>
      <c r="L356" s="22" t="s">
        <v>474</v>
      </c>
      <c r="N356" s="2" t="s">
        <v>974</v>
      </c>
    </row>
    <row r="357" spans="1:14" x14ac:dyDescent="0.25">
      <c r="H357" s="7"/>
      <c r="J357" s="5"/>
      <c r="K357" s="3"/>
      <c r="L357" s="3"/>
    </row>
    <row r="358" spans="1:14" ht="90" x14ac:dyDescent="0.25">
      <c r="A358" s="7" t="s">
        <v>236</v>
      </c>
      <c r="B358" s="7" t="s">
        <v>62</v>
      </c>
      <c r="C358" s="7" t="s">
        <v>460</v>
      </c>
      <c r="D358" s="7" t="s">
        <v>63</v>
      </c>
      <c r="E358" s="10" t="s">
        <v>121</v>
      </c>
      <c r="F358" s="10">
        <v>1</v>
      </c>
      <c r="G358" s="2" t="s">
        <v>3239</v>
      </c>
      <c r="H358" s="7"/>
      <c r="J358" s="5"/>
      <c r="K358" s="3"/>
      <c r="L358" s="3"/>
    </row>
    <row r="359" spans="1:14" ht="30" x14ac:dyDescent="0.25">
      <c r="F359" s="10">
        <v>2</v>
      </c>
      <c r="H359" s="7" t="s">
        <v>203</v>
      </c>
      <c r="I359" s="2" t="s">
        <v>29</v>
      </c>
      <c r="J359" s="5">
        <v>40140</v>
      </c>
      <c r="K359" s="3">
        <v>40142</v>
      </c>
      <c r="L359" s="22"/>
    </row>
    <row r="360" spans="1:14" ht="30" x14ac:dyDescent="0.25">
      <c r="F360" s="10">
        <v>3</v>
      </c>
      <c r="H360" s="7" t="s">
        <v>208</v>
      </c>
      <c r="I360" s="2" t="s">
        <v>29</v>
      </c>
      <c r="J360" s="3">
        <v>40135</v>
      </c>
      <c r="K360" s="3">
        <v>40142</v>
      </c>
      <c r="L360" s="22"/>
    </row>
    <row r="361" spans="1:14" ht="30" x14ac:dyDescent="0.25">
      <c r="F361" s="10">
        <v>4</v>
      </c>
      <c r="G361" s="2" t="s">
        <v>204</v>
      </c>
      <c r="H361" s="7"/>
      <c r="J361" s="5"/>
      <c r="K361" s="3"/>
      <c r="L361" s="3"/>
    </row>
    <row r="362" spans="1:14" x14ac:dyDescent="0.25">
      <c r="F362" s="10">
        <v>5</v>
      </c>
      <c r="G362" s="2" t="s">
        <v>92</v>
      </c>
      <c r="H362" s="7"/>
      <c r="J362" s="5"/>
      <c r="K362" s="3"/>
      <c r="L362" s="3"/>
    </row>
    <row r="363" spans="1:14" ht="60" x14ac:dyDescent="0.25">
      <c r="F363" s="10">
        <v>6</v>
      </c>
      <c r="H363" s="7" t="s">
        <v>205</v>
      </c>
      <c r="I363" s="2" t="s">
        <v>29</v>
      </c>
      <c r="J363" s="5">
        <v>40140</v>
      </c>
      <c r="K363" s="3">
        <v>40142</v>
      </c>
      <c r="L363" s="22"/>
    </row>
    <row r="364" spans="1:14" ht="30" x14ac:dyDescent="0.25">
      <c r="F364" s="10">
        <v>7</v>
      </c>
      <c r="G364" s="2" t="s">
        <v>206</v>
      </c>
      <c r="H364" s="7"/>
      <c r="J364" s="5"/>
      <c r="K364" s="3"/>
      <c r="L364" s="3"/>
    </row>
    <row r="365" spans="1:14" x14ac:dyDescent="0.25">
      <c r="F365" s="10">
        <v>8</v>
      </c>
      <c r="G365" s="2" t="s">
        <v>92</v>
      </c>
      <c r="H365" s="7"/>
      <c r="J365" s="5"/>
      <c r="K365" s="3"/>
      <c r="L365" s="3"/>
    </row>
    <row r="366" spans="1:14" ht="30" x14ac:dyDescent="0.25">
      <c r="F366" s="10">
        <v>9</v>
      </c>
      <c r="H366" s="7" t="s">
        <v>207</v>
      </c>
      <c r="I366" s="2" t="s">
        <v>29</v>
      </c>
      <c r="J366" s="5">
        <v>40140</v>
      </c>
      <c r="K366" s="3">
        <v>40142</v>
      </c>
      <c r="L366" s="22"/>
    </row>
    <row r="367" spans="1:14" x14ac:dyDescent="0.25">
      <c r="H367" s="7"/>
      <c r="J367" s="5"/>
      <c r="K367" s="3"/>
      <c r="L367" s="3"/>
    </row>
    <row r="368" spans="1:14" ht="60" x14ac:dyDescent="0.25">
      <c r="A368" s="7" t="s">
        <v>237</v>
      </c>
      <c r="B368" s="7" t="s">
        <v>628</v>
      </c>
      <c r="C368" s="7" t="s">
        <v>460</v>
      </c>
      <c r="D368" s="7" t="s">
        <v>3240</v>
      </c>
      <c r="E368" s="10" t="s">
        <v>121</v>
      </c>
      <c r="F368" s="10">
        <v>1</v>
      </c>
      <c r="G368" s="2" t="s">
        <v>3012</v>
      </c>
      <c r="H368" s="7"/>
      <c r="J368" s="5"/>
      <c r="K368" s="3"/>
      <c r="L368" s="3"/>
    </row>
    <row r="369" spans="5:18" ht="30" x14ac:dyDescent="0.25">
      <c r="F369" s="10">
        <v>2</v>
      </c>
      <c r="G369" s="2" t="s">
        <v>3241</v>
      </c>
      <c r="H369" s="7"/>
      <c r="J369" s="5"/>
      <c r="K369" s="3"/>
      <c r="L369" s="3"/>
    </row>
    <row r="370" spans="5:18" ht="30" x14ac:dyDescent="0.25">
      <c r="F370" s="10">
        <v>3</v>
      </c>
      <c r="H370" s="7" t="s">
        <v>162</v>
      </c>
      <c r="I370" s="2" t="s">
        <v>29</v>
      </c>
      <c r="J370" s="5">
        <v>40140</v>
      </c>
      <c r="K370" s="3">
        <v>40142</v>
      </c>
      <c r="L370" s="3" t="s">
        <v>14</v>
      </c>
      <c r="N370" s="2" t="s">
        <v>974</v>
      </c>
    </row>
    <row r="371" spans="5:18" ht="90" x14ac:dyDescent="0.25">
      <c r="F371" s="10">
        <v>4</v>
      </c>
      <c r="H371" s="7" t="s">
        <v>182</v>
      </c>
      <c r="I371" s="7" t="s">
        <v>29</v>
      </c>
      <c r="J371" s="3">
        <v>40157</v>
      </c>
      <c r="K371" s="3"/>
      <c r="L371" s="3" t="s">
        <v>14</v>
      </c>
      <c r="N371" s="2" t="s">
        <v>974</v>
      </c>
    </row>
    <row r="372" spans="5:18" ht="75" x14ac:dyDescent="0.25">
      <c r="E372" s="10" t="s">
        <v>164</v>
      </c>
      <c r="F372" s="10">
        <v>1</v>
      </c>
      <c r="G372" s="2" t="s">
        <v>180</v>
      </c>
      <c r="H372" s="7"/>
      <c r="J372" s="5"/>
      <c r="K372" s="3"/>
      <c r="L372" s="3"/>
    </row>
    <row r="373" spans="5:18" ht="165" x14ac:dyDescent="0.25">
      <c r="F373" s="10">
        <v>2</v>
      </c>
      <c r="H373" s="7" t="s">
        <v>166</v>
      </c>
      <c r="I373" s="2" t="s">
        <v>29</v>
      </c>
      <c r="J373" s="3">
        <v>40135</v>
      </c>
      <c r="K373" s="3">
        <v>40142</v>
      </c>
      <c r="L373" s="3" t="s">
        <v>14</v>
      </c>
      <c r="N373" s="2" t="s">
        <v>974</v>
      </c>
      <c r="O373" s="2" t="s">
        <v>2285</v>
      </c>
      <c r="P373" s="2" t="s">
        <v>982</v>
      </c>
      <c r="Q373" s="2" t="s">
        <v>540</v>
      </c>
      <c r="R373" s="2" t="s">
        <v>2308</v>
      </c>
    </row>
    <row r="374" spans="5:18" ht="90" x14ac:dyDescent="0.25">
      <c r="H374" s="7"/>
      <c r="J374" s="3"/>
      <c r="K374" s="3"/>
      <c r="L374" s="3"/>
      <c r="N374" s="2" t="s">
        <v>974</v>
      </c>
      <c r="O374" s="2" t="s">
        <v>2286</v>
      </c>
      <c r="P374" s="2" t="s">
        <v>982</v>
      </c>
      <c r="Q374" s="2" t="s">
        <v>540</v>
      </c>
      <c r="R374" s="2" t="s">
        <v>1457</v>
      </c>
    </row>
    <row r="375" spans="5:18" ht="75" x14ac:dyDescent="0.25">
      <c r="E375" s="10" t="s">
        <v>165</v>
      </c>
      <c r="F375" s="10">
        <v>1</v>
      </c>
      <c r="G375" s="2" t="s">
        <v>181</v>
      </c>
      <c r="H375" s="7"/>
      <c r="J375" s="3"/>
      <c r="K375" s="3"/>
      <c r="L375" s="3"/>
    </row>
    <row r="376" spans="5:18" ht="45" x14ac:dyDescent="0.25">
      <c r="F376" s="10">
        <v>2</v>
      </c>
      <c r="H376" s="7" t="s">
        <v>166</v>
      </c>
      <c r="I376" s="2" t="s">
        <v>30</v>
      </c>
      <c r="J376" s="3">
        <v>40147</v>
      </c>
      <c r="K376" s="3">
        <v>40142</v>
      </c>
      <c r="L376" s="3" t="s">
        <v>14</v>
      </c>
      <c r="N376" s="2" t="s">
        <v>974</v>
      </c>
      <c r="O376" s="2" t="s">
        <v>1637</v>
      </c>
      <c r="P376" s="7" t="s">
        <v>982</v>
      </c>
      <c r="Q376" s="2" t="s">
        <v>540</v>
      </c>
    </row>
    <row r="377" spans="5:18" ht="105" x14ac:dyDescent="0.25">
      <c r="H377" s="7"/>
      <c r="J377" s="3"/>
      <c r="K377" s="3"/>
      <c r="L377" s="3"/>
      <c r="N377" s="2" t="s">
        <v>974</v>
      </c>
      <c r="O377" s="2" t="s">
        <v>2345</v>
      </c>
      <c r="P377" s="7" t="s">
        <v>982</v>
      </c>
      <c r="Q377" s="2" t="s">
        <v>540</v>
      </c>
    </row>
    <row r="378" spans="5:18" ht="30" x14ac:dyDescent="0.25">
      <c r="E378" s="10" t="s">
        <v>167</v>
      </c>
      <c r="F378" s="10">
        <v>1</v>
      </c>
      <c r="G378" s="2" t="s">
        <v>168</v>
      </c>
      <c r="H378" s="7"/>
      <c r="J378" s="5"/>
      <c r="K378" s="3"/>
      <c r="L378" s="3"/>
    </row>
    <row r="379" spans="5:18" ht="30" x14ac:dyDescent="0.25">
      <c r="F379" s="10">
        <v>2</v>
      </c>
      <c r="H379" s="7" t="s">
        <v>169</v>
      </c>
      <c r="I379" s="2" t="s">
        <v>29</v>
      </c>
      <c r="J379" s="3">
        <v>40135</v>
      </c>
      <c r="K379" s="3">
        <v>40142</v>
      </c>
      <c r="L379" s="3" t="s">
        <v>14</v>
      </c>
      <c r="N379" s="2" t="s">
        <v>974</v>
      </c>
    </row>
    <row r="380" spans="5:18" ht="30" x14ac:dyDescent="0.25">
      <c r="E380" s="10" t="s">
        <v>170</v>
      </c>
      <c r="F380" s="10">
        <v>1</v>
      </c>
      <c r="G380" s="2" t="s">
        <v>171</v>
      </c>
      <c r="H380" s="7"/>
      <c r="J380" s="5"/>
      <c r="K380" s="3"/>
      <c r="L380" s="3"/>
    </row>
    <row r="381" spans="5:18" ht="105" x14ac:dyDescent="0.25">
      <c r="F381" s="10">
        <v>2</v>
      </c>
      <c r="H381" s="7" t="s">
        <v>172</v>
      </c>
      <c r="I381" s="2" t="s">
        <v>29</v>
      </c>
      <c r="J381" s="3">
        <v>40135</v>
      </c>
      <c r="K381" s="3">
        <v>40142</v>
      </c>
      <c r="L381" s="3" t="s">
        <v>14</v>
      </c>
      <c r="N381" s="2" t="s">
        <v>974</v>
      </c>
      <c r="O381" s="2" t="s">
        <v>1621</v>
      </c>
      <c r="P381" s="2" t="s">
        <v>980</v>
      </c>
      <c r="Q381" s="2" t="s">
        <v>540</v>
      </c>
      <c r="R381" s="2" t="s">
        <v>1636</v>
      </c>
    </row>
    <row r="382" spans="5:18" ht="30" x14ac:dyDescent="0.25">
      <c r="E382" s="10" t="s">
        <v>173</v>
      </c>
      <c r="F382" s="10">
        <v>1</v>
      </c>
      <c r="G382" s="2" t="s">
        <v>174</v>
      </c>
      <c r="H382" s="7"/>
      <c r="J382" s="5"/>
      <c r="K382" s="3"/>
      <c r="L382" s="3"/>
    </row>
    <row r="383" spans="5:18" ht="30" x14ac:dyDescent="0.25">
      <c r="F383" s="10">
        <v>2</v>
      </c>
      <c r="H383" s="7" t="s">
        <v>175</v>
      </c>
      <c r="I383" s="2" t="s">
        <v>29</v>
      </c>
      <c r="J383" s="3">
        <v>40147</v>
      </c>
      <c r="K383" s="3">
        <v>40142</v>
      </c>
      <c r="L383" s="3" t="s">
        <v>14</v>
      </c>
      <c r="N383" s="2" t="s">
        <v>974</v>
      </c>
    </row>
    <row r="384" spans="5:18" ht="30" x14ac:dyDescent="0.25">
      <c r="E384" s="10" t="s">
        <v>176</v>
      </c>
      <c r="F384" s="10">
        <v>1</v>
      </c>
      <c r="G384" s="2" t="s">
        <v>3242</v>
      </c>
      <c r="H384" s="7"/>
      <c r="J384" s="5"/>
      <c r="K384" s="3"/>
      <c r="L384" s="3"/>
    </row>
    <row r="385" spans="1:18" ht="120" x14ac:dyDescent="0.25">
      <c r="F385" s="10">
        <v>2</v>
      </c>
      <c r="H385" s="7" t="s">
        <v>3243</v>
      </c>
      <c r="I385" s="2" t="s">
        <v>29</v>
      </c>
      <c r="J385" s="3">
        <v>40147</v>
      </c>
      <c r="K385" s="3">
        <v>40142</v>
      </c>
      <c r="L385" s="3" t="s">
        <v>14</v>
      </c>
      <c r="N385" s="2" t="s">
        <v>974</v>
      </c>
    </row>
    <row r="386" spans="1:18" x14ac:dyDescent="0.25">
      <c r="E386" s="10" t="s">
        <v>177</v>
      </c>
      <c r="F386" s="10">
        <v>1</v>
      </c>
      <c r="G386" s="2" t="s">
        <v>178</v>
      </c>
      <c r="H386" s="7"/>
      <c r="J386" s="5"/>
      <c r="K386" s="3"/>
      <c r="L386" s="3"/>
    </row>
    <row r="387" spans="1:18" ht="45" x14ac:dyDescent="0.25">
      <c r="F387" s="10">
        <v>2</v>
      </c>
      <c r="H387" s="7" t="s">
        <v>179</v>
      </c>
      <c r="I387" s="2" t="s">
        <v>30</v>
      </c>
      <c r="J387" s="3">
        <v>40147</v>
      </c>
      <c r="K387" s="3">
        <v>40142</v>
      </c>
      <c r="L387" s="3" t="s">
        <v>14</v>
      </c>
      <c r="N387" s="2" t="s">
        <v>974</v>
      </c>
      <c r="O387" s="2" t="s">
        <v>1627</v>
      </c>
      <c r="P387" s="7" t="s">
        <v>982</v>
      </c>
      <c r="Q387" s="2" t="s">
        <v>540</v>
      </c>
      <c r="R387" s="2" t="s">
        <v>1484</v>
      </c>
    </row>
    <row r="388" spans="1:18" ht="75" x14ac:dyDescent="0.25">
      <c r="H388" s="7"/>
      <c r="J388" s="3"/>
      <c r="K388" s="3"/>
      <c r="L388" s="3"/>
      <c r="N388" s="2" t="s">
        <v>974</v>
      </c>
      <c r="O388" s="2" t="s">
        <v>1638</v>
      </c>
      <c r="P388" s="7" t="s">
        <v>977</v>
      </c>
      <c r="Q388" s="2" t="s">
        <v>540</v>
      </c>
    </row>
    <row r="389" spans="1:18" x14ac:dyDescent="0.25">
      <c r="H389" s="7"/>
      <c r="J389" s="3"/>
      <c r="K389" s="3"/>
      <c r="L389" s="3"/>
    </row>
    <row r="390" spans="1:18" ht="60" x14ac:dyDescent="0.25">
      <c r="A390" s="7" t="s">
        <v>238</v>
      </c>
      <c r="B390" s="7" t="s">
        <v>3472</v>
      </c>
      <c r="C390" s="7" t="s">
        <v>460</v>
      </c>
      <c r="D390" s="7" t="s">
        <v>3244</v>
      </c>
      <c r="E390" s="10" t="s">
        <v>121</v>
      </c>
      <c r="F390" s="10">
        <v>1</v>
      </c>
      <c r="G390" s="2" t="s">
        <v>3245</v>
      </c>
      <c r="H390" s="7"/>
      <c r="J390" s="3"/>
      <c r="K390" s="3"/>
      <c r="L390" s="3"/>
    </row>
    <row r="391" spans="1:18" ht="45" x14ac:dyDescent="0.25">
      <c r="F391" s="10">
        <v>2</v>
      </c>
      <c r="H391" s="7" t="s">
        <v>3246</v>
      </c>
      <c r="I391" s="2" t="s">
        <v>29</v>
      </c>
      <c r="J391" s="3">
        <v>40147</v>
      </c>
      <c r="K391" s="3">
        <v>40142</v>
      </c>
      <c r="L391" s="22"/>
      <c r="N391" s="2" t="s">
        <v>974</v>
      </c>
    </row>
    <row r="392" spans="1:18" ht="30" x14ac:dyDescent="0.25">
      <c r="F392" s="10">
        <v>3</v>
      </c>
      <c r="G392" s="2" t="s">
        <v>3247</v>
      </c>
      <c r="H392" s="7"/>
      <c r="J392" s="3"/>
      <c r="K392" s="3"/>
      <c r="L392" s="3"/>
    </row>
    <row r="393" spans="1:18" x14ac:dyDescent="0.25">
      <c r="F393" s="10">
        <v>4</v>
      </c>
      <c r="G393" s="2" t="s">
        <v>3248</v>
      </c>
      <c r="H393" s="7"/>
      <c r="J393" s="3"/>
      <c r="K393" s="3"/>
      <c r="L393" s="3"/>
    </row>
    <row r="394" spans="1:18" ht="30" x14ac:dyDescent="0.25">
      <c r="F394" s="10">
        <v>5</v>
      </c>
      <c r="H394" s="7" t="s">
        <v>3249</v>
      </c>
      <c r="I394" s="2" t="s">
        <v>29</v>
      </c>
      <c r="J394" s="3">
        <v>40147</v>
      </c>
      <c r="K394" s="3">
        <v>40142</v>
      </c>
      <c r="L394" s="22"/>
      <c r="N394" s="2" t="s">
        <v>974</v>
      </c>
    </row>
    <row r="395" spans="1:18" ht="30" x14ac:dyDescent="0.25">
      <c r="F395" s="10">
        <v>6</v>
      </c>
      <c r="H395" s="7" t="s">
        <v>183</v>
      </c>
      <c r="I395" s="2" t="s">
        <v>29</v>
      </c>
      <c r="J395" s="3">
        <v>40147</v>
      </c>
      <c r="K395" s="3">
        <v>40142</v>
      </c>
      <c r="L395" s="22"/>
      <c r="N395" s="2" t="s">
        <v>974</v>
      </c>
    </row>
    <row r="396" spans="1:18" x14ac:dyDescent="0.25">
      <c r="H396" s="7"/>
      <c r="J396" s="3"/>
      <c r="K396" s="3"/>
      <c r="L396" s="3"/>
    </row>
    <row r="397" spans="1:18" ht="45" x14ac:dyDescent="0.25">
      <c r="A397" s="7" t="s">
        <v>239</v>
      </c>
      <c r="B397" s="7" t="s">
        <v>3473</v>
      </c>
      <c r="C397" s="7" t="s">
        <v>3848</v>
      </c>
      <c r="D397" s="7" t="s">
        <v>3250</v>
      </c>
      <c r="E397" s="10" t="s">
        <v>121</v>
      </c>
      <c r="F397" s="10">
        <v>1</v>
      </c>
      <c r="G397" s="2" t="s">
        <v>629</v>
      </c>
      <c r="H397" s="7"/>
      <c r="J397" s="3"/>
      <c r="K397" s="3"/>
      <c r="L397" s="3"/>
    </row>
    <row r="398" spans="1:18" ht="45" x14ac:dyDescent="0.25">
      <c r="F398" s="10">
        <v>2</v>
      </c>
      <c r="G398" s="2" t="s">
        <v>3251</v>
      </c>
      <c r="H398" s="7"/>
      <c r="J398" s="3"/>
      <c r="K398" s="3"/>
      <c r="L398" s="3"/>
    </row>
    <row r="399" spans="1:18" ht="90" x14ac:dyDescent="0.25">
      <c r="F399" s="10">
        <v>3</v>
      </c>
      <c r="H399" s="7" t="s">
        <v>3252</v>
      </c>
      <c r="I399" s="2" t="s">
        <v>29</v>
      </c>
      <c r="J399" s="5">
        <v>40140</v>
      </c>
      <c r="K399" s="3">
        <v>40142</v>
      </c>
      <c r="L399" s="22"/>
      <c r="N399" s="2" t="s">
        <v>974</v>
      </c>
      <c r="O399" s="2" t="s">
        <v>3253</v>
      </c>
      <c r="Q399" s="2" t="s">
        <v>540</v>
      </c>
    </row>
    <row r="400" spans="1:18" ht="45" x14ac:dyDescent="0.25">
      <c r="F400" s="10">
        <v>4</v>
      </c>
      <c r="H400" s="7" t="s">
        <v>293</v>
      </c>
      <c r="I400" s="2" t="s">
        <v>33</v>
      </c>
      <c r="J400" s="3">
        <v>40135</v>
      </c>
      <c r="K400" s="3">
        <v>40254</v>
      </c>
      <c r="L400" s="22"/>
      <c r="N400" s="2" t="s">
        <v>974</v>
      </c>
      <c r="O400" s="2" t="s">
        <v>1439</v>
      </c>
      <c r="Q400" s="2" t="s">
        <v>540</v>
      </c>
    </row>
    <row r="401" spans="5:17" ht="30" x14ac:dyDescent="0.25">
      <c r="F401" s="10">
        <v>5</v>
      </c>
      <c r="G401" s="2" t="s">
        <v>3254</v>
      </c>
      <c r="H401" s="7"/>
      <c r="J401" s="3"/>
      <c r="K401" s="3"/>
      <c r="L401" s="3"/>
    </row>
    <row r="402" spans="5:17" x14ac:dyDescent="0.25">
      <c r="F402" s="10">
        <v>6</v>
      </c>
      <c r="H402" s="7" t="s">
        <v>1525</v>
      </c>
      <c r="I402" s="2" t="s">
        <v>29</v>
      </c>
      <c r="J402" s="5">
        <v>40140</v>
      </c>
      <c r="K402" s="3">
        <v>40142</v>
      </c>
      <c r="L402" s="22"/>
      <c r="N402" s="2" t="s">
        <v>974</v>
      </c>
    </row>
    <row r="403" spans="5:17" ht="45" x14ac:dyDescent="0.25">
      <c r="F403" s="10">
        <v>7</v>
      </c>
      <c r="H403" s="7" t="s">
        <v>1550</v>
      </c>
      <c r="I403" s="2" t="s">
        <v>29</v>
      </c>
      <c r="J403" s="5">
        <v>40140</v>
      </c>
      <c r="K403" s="3">
        <v>40142</v>
      </c>
      <c r="L403" s="22"/>
      <c r="N403" s="2" t="s">
        <v>974</v>
      </c>
      <c r="O403" s="2" t="s">
        <v>1441</v>
      </c>
      <c r="Q403" s="2" t="s">
        <v>540</v>
      </c>
    </row>
    <row r="404" spans="5:17" x14ac:dyDescent="0.25">
      <c r="F404" s="10">
        <v>8</v>
      </c>
      <c r="G404" s="2" t="s">
        <v>299</v>
      </c>
      <c r="H404" s="7"/>
      <c r="J404" s="5"/>
      <c r="K404" s="3"/>
      <c r="L404" s="3"/>
    </row>
    <row r="405" spans="5:17" x14ac:dyDescent="0.25">
      <c r="F405" s="10">
        <v>9</v>
      </c>
      <c r="G405" s="2" t="s">
        <v>92</v>
      </c>
      <c r="H405" s="7"/>
      <c r="J405" s="3"/>
      <c r="K405" s="3"/>
      <c r="L405" s="3"/>
    </row>
    <row r="406" spans="5:17" ht="30" x14ac:dyDescent="0.25">
      <c r="F406" s="10">
        <v>10</v>
      </c>
      <c r="H406" s="7" t="s">
        <v>1526</v>
      </c>
      <c r="I406" s="2" t="s">
        <v>29</v>
      </c>
      <c r="J406" s="5">
        <v>40140</v>
      </c>
      <c r="K406" s="3">
        <v>40142</v>
      </c>
      <c r="L406" s="22"/>
      <c r="N406" s="2" t="s">
        <v>974</v>
      </c>
    </row>
    <row r="407" spans="5:17" ht="30" x14ac:dyDescent="0.25">
      <c r="F407" s="10">
        <v>11</v>
      </c>
      <c r="H407" s="7" t="s">
        <v>300</v>
      </c>
      <c r="I407" s="2" t="s">
        <v>29</v>
      </c>
      <c r="J407" s="5">
        <v>40140</v>
      </c>
      <c r="K407" s="3">
        <v>40142</v>
      </c>
      <c r="L407" s="22"/>
      <c r="N407" s="2" t="s">
        <v>974</v>
      </c>
    </row>
    <row r="408" spans="5:17" ht="30" x14ac:dyDescent="0.25">
      <c r="E408" s="10" t="s">
        <v>164</v>
      </c>
      <c r="F408" s="10">
        <v>1</v>
      </c>
      <c r="G408" s="2" t="s">
        <v>3255</v>
      </c>
      <c r="H408" s="7"/>
      <c r="J408" s="5"/>
      <c r="K408" s="3"/>
      <c r="L408" s="3"/>
    </row>
    <row r="409" spans="5:17" ht="45" x14ac:dyDescent="0.25">
      <c r="F409" s="10">
        <v>2</v>
      </c>
      <c r="H409" s="7" t="s">
        <v>3256</v>
      </c>
      <c r="I409" s="2" t="s">
        <v>29</v>
      </c>
      <c r="J409" s="3" t="s">
        <v>33</v>
      </c>
      <c r="K409" s="3" t="s">
        <v>33</v>
      </c>
      <c r="L409" s="22"/>
      <c r="N409" s="2" t="s">
        <v>974</v>
      </c>
    </row>
    <row r="410" spans="5:17" x14ac:dyDescent="0.25">
      <c r="F410" s="10">
        <v>3</v>
      </c>
      <c r="H410" s="7" t="s">
        <v>3257</v>
      </c>
      <c r="I410" s="2" t="s">
        <v>29</v>
      </c>
      <c r="J410" s="3" t="s">
        <v>33</v>
      </c>
      <c r="K410" s="3" t="s">
        <v>33</v>
      </c>
      <c r="L410" s="22"/>
      <c r="N410" s="2" t="s">
        <v>974</v>
      </c>
    </row>
    <row r="411" spans="5:17" x14ac:dyDescent="0.25">
      <c r="F411" s="10">
        <v>4</v>
      </c>
      <c r="H411" s="7" t="s">
        <v>1546</v>
      </c>
      <c r="I411" s="2" t="s">
        <v>29</v>
      </c>
      <c r="J411" s="3" t="s">
        <v>33</v>
      </c>
      <c r="K411" s="3" t="s">
        <v>33</v>
      </c>
      <c r="L411" s="22"/>
      <c r="N411" s="2" t="s">
        <v>974</v>
      </c>
    </row>
    <row r="412" spans="5:17" x14ac:dyDescent="0.25">
      <c r="F412" s="10">
        <v>5</v>
      </c>
      <c r="G412" s="2" t="s">
        <v>1547</v>
      </c>
      <c r="H412" s="7"/>
      <c r="J412" s="5"/>
      <c r="K412" s="3"/>
      <c r="L412" s="3"/>
    </row>
    <row r="413" spans="5:17" x14ac:dyDescent="0.25">
      <c r="F413" s="10">
        <v>6</v>
      </c>
      <c r="G413" s="2" t="s">
        <v>92</v>
      </c>
      <c r="H413" s="7"/>
      <c r="J413" s="5"/>
      <c r="K413" s="3"/>
      <c r="L413" s="3"/>
    </row>
    <row r="414" spans="5:17" ht="45" x14ac:dyDescent="0.25">
      <c r="F414" s="10">
        <v>7</v>
      </c>
      <c r="H414" s="7" t="s">
        <v>1548</v>
      </c>
      <c r="I414" s="2" t="s">
        <v>30</v>
      </c>
      <c r="J414" s="3" t="s">
        <v>33</v>
      </c>
      <c r="K414" s="3" t="s">
        <v>33</v>
      </c>
      <c r="L414" s="22"/>
      <c r="N414" s="2" t="s">
        <v>974</v>
      </c>
    </row>
    <row r="415" spans="5:17" x14ac:dyDescent="0.25">
      <c r="F415" s="10">
        <v>8</v>
      </c>
      <c r="G415" s="2" t="s">
        <v>3258</v>
      </c>
      <c r="H415" s="7"/>
      <c r="J415" s="5"/>
      <c r="K415" s="3"/>
      <c r="L415" s="3"/>
    </row>
    <row r="416" spans="5:17" x14ac:dyDescent="0.25">
      <c r="F416" s="10">
        <v>9</v>
      </c>
      <c r="G416" s="2" t="s">
        <v>92</v>
      </c>
      <c r="H416" s="7"/>
      <c r="J416" s="5"/>
      <c r="K416" s="3"/>
      <c r="L416" s="3"/>
    </row>
    <row r="417" spans="1:18" ht="120" x14ac:dyDescent="0.25">
      <c r="F417" s="10">
        <v>10</v>
      </c>
      <c r="H417" s="7" t="s">
        <v>1549</v>
      </c>
      <c r="I417" s="2" t="s">
        <v>30</v>
      </c>
      <c r="J417" s="3" t="s">
        <v>33</v>
      </c>
      <c r="K417" s="3" t="s">
        <v>33</v>
      </c>
      <c r="L417" s="22"/>
      <c r="N417" s="2" t="s">
        <v>974</v>
      </c>
      <c r="O417" s="2" t="s">
        <v>3849</v>
      </c>
      <c r="Q417" s="2" t="s">
        <v>540</v>
      </c>
      <c r="R417" s="2" t="s">
        <v>3259</v>
      </c>
    </row>
    <row r="418" spans="1:18" ht="30" x14ac:dyDescent="0.25">
      <c r="F418" s="10">
        <v>11</v>
      </c>
      <c r="G418" s="2" t="s">
        <v>3260</v>
      </c>
      <c r="H418" s="7"/>
      <c r="J418" s="5"/>
      <c r="K418" s="3"/>
      <c r="L418" s="3"/>
    </row>
    <row r="419" spans="1:18" x14ac:dyDescent="0.25">
      <c r="F419" s="10">
        <v>12</v>
      </c>
      <c r="G419" s="2" t="s">
        <v>92</v>
      </c>
      <c r="H419" s="7"/>
      <c r="J419" s="5"/>
      <c r="K419" s="3"/>
      <c r="L419" s="3"/>
    </row>
    <row r="420" spans="1:18" ht="30" x14ac:dyDescent="0.25">
      <c r="F420" s="10">
        <v>13</v>
      </c>
      <c r="H420" s="7" t="s">
        <v>1551</v>
      </c>
      <c r="I420" s="2" t="s">
        <v>30</v>
      </c>
      <c r="J420" s="3" t="s">
        <v>33</v>
      </c>
      <c r="K420" s="3" t="s">
        <v>33</v>
      </c>
      <c r="L420" s="22"/>
      <c r="N420" s="2" t="s">
        <v>974</v>
      </c>
    </row>
    <row r="421" spans="1:18" ht="45" x14ac:dyDescent="0.25">
      <c r="E421" s="10" t="s">
        <v>164</v>
      </c>
      <c r="F421" s="10">
        <v>1</v>
      </c>
      <c r="G421" s="2" t="s">
        <v>3261</v>
      </c>
      <c r="H421" s="7"/>
      <c r="J421" s="3"/>
      <c r="K421" s="3"/>
      <c r="L421" s="3"/>
    </row>
    <row r="422" spans="1:18" ht="45" x14ac:dyDescent="0.25">
      <c r="F422" s="10">
        <v>2</v>
      </c>
      <c r="H422" s="7" t="s">
        <v>3262</v>
      </c>
      <c r="I422" s="2" t="s">
        <v>30</v>
      </c>
      <c r="J422" s="3">
        <v>40147</v>
      </c>
      <c r="K422" s="3">
        <v>40142</v>
      </c>
      <c r="L422" s="22"/>
      <c r="N422" s="2" t="s">
        <v>974</v>
      </c>
    </row>
    <row r="423" spans="1:18" x14ac:dyDescent="0.25">
      <c r="H423" s="7"/>
      <c r="J423" s="3"/>
      <c r="K423" s="3"/>
      <c r="L423" s="3"/>
    </row>
    <row r="424" spans="1:18" ht="60" x14ac:dyDescent="0.25">
      <c r="A424" s="7" t="s">
        <v>240</v>
      </c>
      <c r="B424" s="7" t="s">
        <v>3474</v>
      </c>
      <c r="C424" s="7" t="s">
        <v>460</v>
      </c>
      <c r="D424" s="7" t="s">
        <v>3263</v>
      </c>
      <c r="E424" s="10" t="s">
        <v>121</v>
      </c>
      <c r="F424" s="10">
        <v>1</v>
      </c>
      <c r="G424" s="2" t="s">
        <v>3264</v>
      </c>
      <c r="H424" s="7"/>
      <c r="J424" s="3"/>
      <c r="K424" s="3"/>
      <c r="L424" s="3"/>
    </row>
    <row r="425" spans="1:18" ht="45" x14ac:dyDescent="0.25">
      <c r="F425" s="10">
        <v>2</v>
      </c>
      <c r="H425" s="7" t="s">
        <v>3265</v>
      </c>
      <c r="I425" s="2" t="s">
        <v>29</v>
      </c>
      <c r="J425" s="3">
        <v>40147</v>
      </c>
      <c r="K425" s="3">
        <v>40142</v>
      </c>
      <c r="L425" s="3" t="s">
        <v>14</v>
      </c>
      <c r="N425" s="2" t="s">
        <v>974</v>
      </c>
    </row>
    <row r="426" spans="1:18" x14ac:dyDescent="0.25">
      <c r="F426" s="10">
        <v>3</v>
      </c>
      <c r="H426" s="7" t="s">
        <v>294</v>
      </c>
      <c r="I426" s="2" t="s">
        <v>29</v>
      </c>
      <c r="J426" s="3">
        <v>40147</v>
      </c>
      <c r="K426" s="3">
        <v>40142</v>
      </c>
      <c r="L426" s="3" t="s">
        <v>14</v>
      </c>
      <c r="N426" s="2" t="s">
        <v>974</v>
      </c>
    </row>
    <row r="427" spans="1:18" ht="30" x14ac:dyDescent="0.25">
      <c r="F427" s="10">
        <v>4</v>
      </c>
      <c r="H427" s="7" t="s">
        <v>295</v>
      </c>
      <c r="I427" s="2" t="s">
        <v>29</v>
      </c>
      <c r="J427" s="3">
        <v>40147</v>
      </c>
      <c r="K427" s="3">
        <v>40142</v>
      </c>
      <c r="L427" s="3" t="s">
        <v>14</v>
      </c>
      <c r="N427" s="2" t="s">
        <v>974</v>
      </c>
      <c r="O427" s="2" t="s">
        <v>1441</v>
      </c>
      <c r="Q427" s="2" t="s">
        <v>540</v>
      </c>
    </row>
    <row r="428" spans="1:18" ht="45" x14ac:dyDescent="0.25">
      <c r="F428" s="10">
        <v>5</v>
      </c>
      <c r="H428" s="7" t="s">
        <v>296</v>
      </c>
      <c r="I428" s="2" t="s">
        <v>29</v>
      </c>
      <c r="J428" s="3">
        <v>40147</v>
      </c>
      <c r="K428" s="3">
        <v>40254</v>
      </c>
      <c r="L428" s="3" t="s">
        <v>14</v>
      </c>
      <c r="N428" s="2" t="s">
        <v>974</v>
      </c>
      <c r="O428" s="2" t="s">
        <v>1440</v>
      </c>
      <c r="Q428" s="2" t="s">
        <v>540</v>
      </c>
    </row>
    <row r="429" spans="1:18" x14ac:dyDescent="0.25">
      <c r="F429" s="10">
        <v>6</v>
      </c>
      <c r="H429" s="7" t="s">
        <v>1524</v>
      </c>
      <c r="I429" s="2" t="s">
        <v>30</v>
      </c>
      <c r="J429" s="3">
        <v>40147</v>
      </c>
      <c r="K429" s="3">
        <v>40254</v>
      </c>
      <c r="L429" s="3" t="s">
        <v>14</v>
      </c>
      <c r="N429" s="2" t="s">
        <v>974</v>
      </c>
    </row>
    <row r="430" spans="1:18" x14ac:dyDescent="0.25">
      <c r="H430" s="7"/>
      <c r="J430" s="3"/>
      <c r="K430" s="3"/>
      <c r="L430" s="3"/>
    </row>
    <row r="431" spans="1:18" ht="60" x14ac:dyDescent="0.25">
      <c r="A431" s="7" t="s">
        <v>241</v>
      </c>
      <c r="B431" s="7" t="s">
        <v>49</v>
      </c>
      <c r="C431" s="7" t="s">
        <v>3848</v>
      </c>
      <c r="D431" s="7" t="s">
        <v>302</v>
      </c>
      <c r="E431" s="10" t="s">
        <v>121</v>
      </c>
      <c r="F431" s="10">
        <v>1</v>
      </c>
      <c r="G431" s="2" t="s">
        <v>629</v>
      </c>
      <c r="H431" s="7"/>
      <c r="J431" s="3"/>
      <c r="K431" s="3"/>
      <c r="L431" s="3"/>
    </row>
    <row r="432" spans="1:18" ht="30" x14ac:dyDescent="0.25">
      <c r="F432" s="10">
        <v>2</v>
      </c>
      <c r="G432" s="2" t="s">
        <v>3266</v>
      </c>
      <c r="H432" s="7"/>
      <c r="J432" s="3"/>
      <c r="K432" s="3"/>
      <c r="L432" s="3"/>
    </row>
    <row r="433" spans="1:12" ht="45" x14ac:dyDescent="0.25">
      <c r="F433" s="10">
        <v>3</v>
      </c>
      <c r="H433" s="7" t="s">
        <v>297</v>
      </c>
      <c r="I433" s="2" t="s">
        <v>29</v>
      </c>
      <c r="J433" s="5">
        <v>40140</v>
      </c>
      <c r="K433" s="3">
        <v>40142</v>
      </c>
      <c r="L433" s="22"/>
    </row>
    <row r="434" spans="1:12" ht="45" x14ac:dyDescent="0.25">
      <c r="F434" s="10">
        <v>4</v>
      </c>
      <c r="H434" s="7" t="s">
        <v>293</v>
      </c>
      <c r="I434" s="2" t="s">
        <v>33</v>
      </c>
      <c r="J434" s="3">
        <v>40135</v>
      </c>
      <c r="K434" s="3">
        <v>40254</v>
      </c>
      <c r="L434" s="22"/>
    </row>
    <row r="435" spans="1:12" ht="30" x14ac:dyDescent="0.25">
      <c r="F435" s="10">
        <v>5</v>
      </c>
      <c r="G435" s="2" t="s">
        <v>298</v>
      </c>
      <c r="H435" s="7"/>
      <c r="J435" s="3"/>
      <c r="K435" s="3"/>
      <c r="L435" s="3"/>
    </row>
    <row r="436" spans="1:12" ht="30" x14ac:dyDescent="0.25">
      <c r="F436" s="10">
        <v>6</v>
      </c>
      <c r="H436" s="7" t="s">
        <v>291</v>
      </c>
      <c r="I436" s="2" t="s">
        <v>29</v>
      </c>
      <c r="J436" s="5">
        <v>40140</v>
      </c>
      <c r="K436" s="3">
        <v>40142</v>
      </c>
      <c r="L436" s="22"/>
    </row>
    <row r="437" spans="1:12" x14ac:dyDescent="0.25">
      <c r="F437" s="10">
        <v>7</v>
      </c>
      <c r="G437" s="2" t="s">
        <v>299</v>
      </c>
      <c r="H437" s="7"/>
      <c r="J437" s="5"/>
      <c r="K437" s="3"/>
      <c r="L437" s="3"/>
    </row>
    <row r="438" spans="1:12" x14ac:dyDescent="0.25">
      <c r="F438" s="10">
        <v>8</v>
      </c>
      <c r="G438" s="2" t="s">
        <v>92</v>
      </c>
      <c r="H438" s="7"/>
      <c r="J438" s="3"/>
      <c r="K438" s="3"/>
      <c r="L438" s="3"/>
    </row>
    <row r="439" spans="1:12" x14ac:dyDescent="0.25">
      <c r="F439" s="10">
        <v>9</v>
      </c>
      <c r="H439" s="7" t="s">
        <v>292</v>
      </c>
      <c r="I439" s="2" t="s">
        <v>29</v>
      </c>
      <c r="J439" s="5">
        <v>40140</v>
      </c>
      <c r="K439" s="3">
        <v>40142</v>
      </c>
      <c r="L439" s="22"/>
    </row>
    <row r="440" spans="1:12" ht="30" x14ac:dyDescent="0.25">
      <c r="F440" s="10">
        <v>10</v>
      </c>
      <c r="H440" s="7" t="s">
        <v>300</v>
      </c>
      <c r="I440" s="2" t="s">
        <v>29</v>
      </c>
      <c r="J440" s="5">
        <v>40140</v>
      </c>
      <c r="K440" s="3">
        <v>40142</v>
      </c>
      <c r="L440" s="22"/>
    </row>
    <row r="441" spans="1:12" x14ac:dyDescent="0.25">
      <c r="H441" s="7"/>
      <c r="J441" s="3"/>
      <c r="K441" s="3"/>
      <c r="L441" s="3"/>
    </row>
    <row r="442" spans="1:12" ht="75" x14ac:dyDescent="0.25">
      <c r="A442" s="7" t="s">
        <v>242</v>
      </c>
      <c r="B442" s="7" t="s">
        <v>50</v>
      </c>
      <c r="C442" s="7" t="s">
        <v>3848</v>
      </c>
      <c r="D442" s="7" t="s">
        <v>53</v>
      </c>
      <c r="E442" s="10" t="s">
        <v>121</v>
      </c>
      <c r="F442" s="10">
        <v>1</v>
      </c>
      <c r="G442" s="2" t="s">
        <v>629</v>
      </c>
      <c r="H442" s="7"/>
      <c r="J442" s="3"/>
      <c r="K442" s="3"/>
      <c r="L442" s="3"/>
    </row>
    <row r="443" spans="1:12" ht="30" x14ac:dyDescent="0.25">
      <c r="F443" s="10">
        <v>2</v>
      </c>
      <c r="G443" s="2" t="s">
        <v>3266</v>
      </c>
      <c r="H443" s="7"/>
      <c r="J443" s="3"/>
      <c r="K443" s="3"/>
      <c r="L443" s="3"/>
    </row>
    <row r="444" spans="1:12" ht="45" x14ac:dyDescent="0.25">
      <c r="F444" s="10">
        <v>3</v>
      </c>
      <c r="H444" s="7" t="s">
        <v>303</v>
      </c>
      <c r="I444" s="2" t="s">
        <v>29</v>
      </c>
      <c r="J444" s="5">
        <v>40140</v>
      </c>
      <c r="K444" s="3">
        <v>40142</v>
      </c>
      <c r="L444" s="22"/>
    </row>
    <row r="445" spans="1:12" ht="45" x14ac:dyDescent="0.25">
      <c r="F445" s="10">
        <v>4</v>
      </c>
      <c r="H445" s="7" t="s">
        <v>3267</v>
      </c>
      <c r="I445" s="2" t="s">
        <v>33</v>
      </c>
      <c r="J445" s="3">
        <v>40135</v>
      </c>
      <c r="K445" s="3">
        <v>40254</v>
      </c>
      <c r="L445" s="22"/>
    </row>
    <row r="446" spans="1:12" ht="45" x14ac:dyDescent="0.25">
      <c r="F446" s="10">
        <v>5</v>
      </c>
      <c r="G446" s="2" t="s">
        <v>304</v>
      </c>
      <c r="H446" s="7"/>
      <c r="J446" s="3"/>
      <c r="K446" s="3"/>
      <c r="L446" s="3"/>
    </row>
    <row r="447" spans="1:12" ht="60" x14ac:dyDescent="0.25">
      <c r="F447" s="10">
        <v>6</v>
      </c>
      <c r="H447" s="7" t="s">
        <v>332</v>
      </c>
      <c r="I447" s="2" t="s">
        <v>29</v>
      </c>
      <c r="J447" s="5">
        <v>40140</v>
      </c>
      <c r="K447" s="3">
        <v>40142</v>
      </c>
      <c r="L447" s="22"/>
    </row>
    <row r="448" spans="1:12" x14ac:dyDescent="0.25">
      <c r="F448" s="10">
        <v>7</v>
      </c>
      <c r="G448" s="2" t="s">
        <v>299</v>
      </c>
      <c r="H448" s="7"/>
      <c r="J448" s="5"/>
      <c r="K448" s="3"/>
      <c r="L448" s="3"/>
    </row>
    <row r="449" spans="1:12" x14ac:dyDescent="0.25">
      <c r="F449" s="10">
        <v>8</v>
      </c>
      <c r="G449" s="2" t="s">
        <v>92</v>
      </c>
      <c r="H449" s="7"/>
      <c r="J449" s="3"/>
      <c r="K449" s="3"/>
      <c r="L449" s="3"/>
    </row>
    <row r="450" spans="1:12" x14ac:dyDescent="0.25">
      <c r="F450" s="10">
        <v>9</v>
      </c>
      <c r="H450" s="7" t="s">
        <v>292</v>
      </c>
      <c r="I450" s="2" t="s">
        <v>29</v>
      </c>
      <c r="J450" s="5">
        <v>40140</v>
      </c>
      <c r="K450" s="3">
        <v>40142</v>
      </c>
      <c r="L450" s="22"/>
    </row>
    <row r="451" spans="1:12" ht="60" x14ac:dyDescent="0.25">
      <c r="F451" s="10">
        <v>10</v>
      </c>
      <c r="H451" s="7" t="s">
        <v>333</v>
      </c>
      <c r="I451" s="2" t="s">
        <v>29</v>
      </c>
      <c r="J451" s="5">
        <v>40140</v>
      </c>
      <c r="K451" s="3">
        <v>40142</v>
      </c>
      <c r="L451" s="22"/>
    </row>
    <row r="452" spans="1:12" ht="60" x14ac:dyDescent="0.25">
      <c r="E452" s="10" t="s">
        <v>123</v>
      </c>
      <c r="F452" s="10">
        <v>1</v>
      </c>
      <c r="G452" s="2" t="s">
        <v>3268</v>
      </c>
      <c r="H452" s="7"/>
      <c r="J452" s="3"/>
      <c r="K452" s="3"/>
      <c r="L452" s="3"/>
    </row>
    <row r="453" spans="1:12" ht="45" x14ac:dyDescent="0.25">
      <c r="F453" s="10">
        <v>2</v>
      </c>
      <c r="H453" s="7" t="s">
        <v>305</v>
      </c>
      <c r="I453" s="2" t="s">
        <v>30</v>
      </c>
      <c r="J453" s="3">
        <v>40168</v>
      </c>
      <c r="K453" s="3" t="s">
        <v>33</v>
      </c>
      <c r="L453" s="22"/>
    </row>
    <row r="454" spans="1:12" x14ac:dyDescent="0.25">
      <c r="H454" s="7"/>
      <c r="J454" s="3"/>
      <c r="K454" s="3"/>
      <c r="L454" s="3"/>
    </row>
    <row r="455" spans="1:12" ht="75" x14ac:dyDescent="0.25">
      <c r="A455" s="7" t="s">
        <v>243</v>
      </c>
      <c r="B455" s="7" t="s">
        <v>69</v>
      </c>
      <c r="C455" s="7" t="s">
        <v>460</v>
      </c>
      <c r="D455" s="7" t="s">
        <v>70</v>
      </c>
      <c r="E455" s="10" t="s">
        <v>121</v>
      </c>
      <c r="F455" s="10">
        <v>1</v>
      </c>
      <c r="G455" s="2" t="s">
        <v>3269</v>
      </c>
      <c r="H455" s="7"/>
      <c r="J455" s="3"/>
      <c r="K455" s="3"/>
      <c r="L455" s="3"/>
    </row>
    <row r="456" spans="1:12" ht="45" x14ac:dyDescent="0.25">
      <c r="F456" s="10">
        <v>2</v>
      </c>
      <c r="H456" s="7" t="s">
        <v>301</v>
      </c>
      <c r="I456" s="2" t="s">
        <v>29</v>
      </c>
      <c r="J456" s="5">
        <v>40140</v>
      </c>
      <c r="K456" s="3">
        <v>40142</v>
      </c>
      <c r="L456" s="22"/>
    </row>
    <row r="457" spans="1:12" x14ac:dyDescent="0.25">
      <c r="F457" s="10">
        <v>3</v>
      </c>
      <c r="H457" s="7" t="s">
        <v>294</v>
      </c>
      <c r="I457" s="2" t="s">
        <v>29</v>
      </c>
      <c r="J457" s="5">
        <v>40140</v>
      </c>
      <c r="K457" s="3">
        <v>40142</v>
      </c>
      <c r="L457" s="22"/>
    </row>
    <row r="458" spans="1:12" ht="30" x14ac:dyDescent="0.25">
      <c r="F458" s="10">
        <v>4</v>
      </c>
      <c r="H458" s="7" t="s">
        <v>295</v>
      </c>
      <c r="I458" s="2" t="s">
        <v>29</v>
      </c>
      <c r="J458" s="3">
        <v>40147</v>
      </c>
      <c r="K458" s="3">
        <v>40142</v>
      </c>
      <c r="L458" s="22"/>
    </row>
    <row r="459" spans="1:12" ht="45" x14ac:dyDescent="0.25">
      <c r="F459" s="10">
        <v>5</v>
      </c>
      <c r="H459" s="7" t="s">
        <v>296</v>
      </c>
      <c r="I459" s="2" t="s">
        <v>29</v>
      </c>
      <c r="J459" s="3">
        <v>40147</v>
      </c>
      <c r="K459" s="3">
        <v>40254</v>
      </c>
      <c r="L459" s="22"/>
    </row>
    <row r="460" spans="1:12" ht="75" x14ac:dyDescent="0.25">
      <c r="E460" s="10" t="s">
        <v>123</v>
      </c>
      <c r="F460" s="10">
        <v>1</v>
      </c>
      <c r="G460" s="2" t="s">
        <v>3270</v>
      </c>
      <c r="H460" s="7"/>
      <c r="J460" s="3"/>
      <c r="K460" s="3"/>
      <c r="L460" s="3"/>
    </row>
    <row r="461" spans="1:12" ht="45" x14ac:dyDescent="0.25">
      <c r="F461" s="10">
        <v>2</v>
      </c>
      <c r="H461" s="7" t="s">
        <v>301</v>
      </c>
      <c r="I461" s="2" t="s">
        <v>29</v>
      </c>
      <c r="J461" s="5">
        <v>40140</v>
      </c>
      <c r="K461" s="3">
        <v>40142</v>
      </c>
      <c r="L461" s="22"/>
    </row>
    <row r="462" spans="1:12" x14ac:dyDescent="0.25">
      <c r="F462" s="10">
        <v>3</v>
      </c>
      <c r="H462" s="7" t="s">
        <v>294</v>
      </c>
      <c r="I462" s="2" t="s">
        <v>29</v>
      </c>
      <c r="J462" s="5">
        <v>40140</v>
      </c>
      <c r="K462" s="3">
        <v>40142</v>
      </c>
      <c r="L462" s="22"/>
    </row>
    <row r="463" spans="1:12" ht="30" x14ac:dyDescent="0.25">
      <c r="F463" s="10">
        <v>4</v>
      </c>
      <c r="H463" s="7" t="s">
        <v>295</v>
      </c>
      <c r="I463" s="2" t="s">
        <v>29</v>
      </c>
      <c r="J463" s="3">
        <v>40147</v>
      </c>
      <c r="K463" s="3">
        <v>40142</v>
      </c>
      <c r="L463" s="22"/>
    </row>
    <row r="464" spans="1:12" ht="45" x14ac:dyDescent="0.25">
      <c r="F464" s="10">
        <v>5</v>
      </c>
      <c r="H464" s="7" t="s">
        <v>296</v>
      </c>
      <c r="I464" s="2" t="s">
        <v>29</v>
      </c>
      <c r="J464" s="3">
        <v>40147</v>
      </c>
      <c r="K464" s="3">
        <v>40254</v>
      </c>
      <c r="L464" s="22"/>
    </row>
    <row r="465" spans="1:12" ht="90" x14ac:dyDescent="0.25">
      <c r="E465" s="10" t="s">
        <v>126</v>
      </c>
      <c r="F465" s="10">
        <v>1</v>
      </c>
      <c r="G465" s="2" t="s">
        <v>3271</v>
      </c>
      <c r="H465" s="7"/>
      <c r="J465" s="3"/>
      <c r="K465" s="3"/>
      <c r="L465" s="3"/>
    </row>
    <row r="466" spans="1:12" ht="45" x14ac:dyDescent="0.25">
      <c r="F466" s="10">
        <v>2</v>
      </c>
      <c r="H466" s="7" t="s">
        <v>330</v>
      </c>
      <c r="I466" s="2" t="s">
        <v>29</v>
      </c>
      <c r="J466" s="5">
        <v>40190</v>
      </c>
      <c r="K466" s="22"/>
      <c r="L466" s="22"/>
    </row>
    <row r="467" spans="1:12" ht="45" x14ac:dyDescent="0.25">
      <c r="F467" s="10">
        <v>3</v>
      </c>
      <c r="H467" s="7" t="s">
        <v>331</v>
      </c>
      <c r="I467" s="2" t="s">
        <v>29</v>
      </c>
      <c r="J467" s="5">
        <v>40190</v>
      </c>
      <c r="K467" s="3" t="s">
        <v>33</v>
      </c>
      <c r="L467" s="22"/>
    </row>
    <row r="468" spans="1:12" x14ac:dyDescent="0.25">
      <c r="H468" s="7"/>
      <c r="J468" s="3"/>
      <c r="K468" s="3"/>
      <c r="L468" s="3"/>
    </row>
    <row r="469" spans="1:12" ht="90" x14ac:dyDescent="0.25">
      <c r="A469" s="7" t="s">
        <v>244</v>
      </c>
      <c r="B469" s="7" t="s">
        <v>66</v>
      </c>
      <c r="C469" s="7" t="s">
        <v>460</v>
      </c>
      <c r="D469" s="7" t="s">
        <v>3272</v>
      </c>
      <c r="E469" s="10" t="s">
        <v>121</v>
      </c>
      <c r="F469" s="10">
        <v>1</v>
      </c>
      <c r="G469" s="2" t="s">
        <v>3012</v>
      </c>
      <c r="H469" s="7"/>
      <c r="J469" s="5"/>
      <c r="K469" s="3"/>
      <c r="L469" s="3"/>
    </row>
    <row r="470" spans="1:12" ht="45" x14ac:dyDescent="0.25">
      <c r="F470" s="10">
        <v>2</v>
      </c>
      <c r="G470" s="2" t="s">
        <v>3475</v>
      </c>
      <c r="H470" s="7"/>
      <c r="J470" s="5"/>
      <c r="K470" s="3"/>
      <c r="L470" s="3"/>
    </row>
    <row r="471" spans="1:12" ht="30" x14ac:dyDescent="0.25">
      <c r="F471" s="10">
        <v>3</v>
      </c>
      <c r="H471" s="7" t="s">
        <v>163</v>
      </c>
      <c r="I471" s="2" t="s">
        <v>29</v>
      </c>
      <c r="J471" s="3">
        <v>40147</v>
      </c>
      <c r="K471" s="3">
        <v>40142</v>
      </c>
      <c r="L471" s="22"/>
    </row>
    <row r="472" spans="1:12" x14ac:dyDescent="0.25">
      <c r="H472" s="7"/>
      <c r="J472" s="3"/>
      <c r="K472" s="3"/>
      <c r="L472" s="3"/>
    </row>
    <row r="473" spans="1:12" ht="75" x14ac:dyDescent="0.25">
      <c r="A473" s="7" t="s">
        <v>245</v>
      </c>
      <c r="B473" s="7" t="s">
        <v>55</v>
      </c>
      <c r="C473" s="7" t="s">
        <v>3848</v>
      </c>
      <c r="D473" s="7" t="s">
        <v>58</v>
      </c>
      <c r="H473" s="4" t="s">
        <v>3850</v>
      </c>
      <c r="I473" s="4" t="s">
        <v>31</v>
      </c>
      <c r="J473" s="3" t="s">
        <v>986</v>
      </c>
      <c r="K473" s="3">
        <v>40142</v>
      </c>
      <c r="L473" s="22"/>
    </row>
    <row r="474" spans="1:12" x14ac:dyDescent="0.25">
      <c r="H474" s="7"/>
      <c r="J474" s="3"/>
      <c r="K474" s="3"/>
      <c r="L474" s="3"/>
    </row>
    <row r="475" spans="1:12" ht="75" x14ac:dyDescent="0.25">
      <c r="A475" s="7" t="s">
        <v>246</v>
      </c>
      <c r="B475" s="7" t="s">
        <v>56</v>
      </c>
      <c r="C475" s="7" t="s">
        <v>3848</v>
      </c>
      <c r="D475" s="7" t="s">
        <v>57</v>
      </c>
      <c r="H475" s="4" t="s">
        <v>59</v>
      </c>
      <c r="I475" s="4" t="s">
        <v>31</v>
      </c>
      <c r="J475" s="3" t="s">
        <v>986</v>
      </c>
      <c r="K475" s="3">
        <v>40142</v>
      </c>
      <c r="L475" s="22"/>
    </row>
    <row r="476" spans="1:12" x14ac:dyDescent="0.25">
      <c r="H476" s="7"/>
      <c r="J476" s="3"/>
      <c r="K476" s="3"/>
      <c r="L476" s="3"/>
    </row>
    <row r="477" spans="1:12" ht="45" x14ac:dyDescent="0.25">
      <c r="A477" s="7" t="s">
        <v>247</v>
      </c>
      <c r="B477" s="7" t="s">
        <v>71</v>
      </c>
      <c r="C477" s="7" t="s">
        <v>460</v>
      </c>
      <c r="D477" s="7" t="s">
        <v>115</v>
      </c>
      <c r="H477" s="4" t="s">
        <v>31</v>
      </c>
      <c r="I477" s="4" t="s">
        <v>31</v>
      </c>
      <c r="J477" s="3" t="s">
        <v>986</v>
      </c>
      <c r="K477" s="3">
        <v>40142</v>
      </c>
      <c r="L477" s="22"/>
    </row>
    <row r="478" spans="1:12" x14ac:dyDescent="0.25">
      <c r="H478" s="7"/>
      <c r="J478" s="3"/>
      <c r="K478" s="3"/>
      <c r="L478" s="3"/>
    </row>
    <row r="479" spans="1:12" ht="90" x14ac:dyDescent="0.25">
      <c r="A479" s="7" t="s">
        <v>248</v>
      </c>
      <c r="B479" s="7" t="s">
        <v>3476</v>
      </c>
      <c r="C479" s="7" t="s">
        <v>460</v>
      </c>
      <c r="D479" s="7" t="s">
        <v>3273</v>
      </c>
      <c r="E479" s="10" t="s">
        <v>121</v>
      </c>
      <c r="F479" s="10">
        <v>1</v>
      </c>
      <c r="G479" s="2" t="s">
        <v>3274</v>
      </c>
      <c r="H479" s="7"/>
      <c r="J479" s="3"/>
      <c r="K479" s="3"/>
      <c r="L479" s="3"/>
    </row>
    <row r="480" spans="1:12" x14ac:dyDescent="0.25">
      <c r="F480" s="10">
        <v>2</v>
      </c>
      <c r="G480" s="2" t="s">
        <v>306</v>
      </c>
      <c r="H480" s="7"/>
      <c r="J480" s="3"/>
      <c r="K480" s="3"/>
      <c r="L480" s="3"/>
    </row>
    <row r="481" spans="1:14" x14ac:dyDescent="0.25">
      <c r="F481" s="10">
        <v>3</v>
      </c>
      <c r="G481" s="2" t="s">
        <v>3223</v>
      </c>
      <c r="H481" s="7"/>
      <c r="J481" s="3"/>
      <c r="K481" s="3"/>
      <c r="L481" s="3"/>
    </row>
    <row r="482" spans="1:14" x14ac:dyDescent="0.25">
      <c r="F482" s="10">
        <v>4</v>
      </c>
      <c r="H482" s="7" t="s">
        <v>307</v>
      </c>
      <c r="I482" s="2" t="s">
        <v>29</v>
      </c>
      <c r="J482" s="5">
        <v>40140</v>
      </c>
      <c r="K482" s="3">
        <v>40142</v>
      </c>
      <c r="L482" s="3" t="s">
        <v>14</v>
      </c>
      <c r="N482" s="2" t="s">
        <v>974</v>
      </c>
    </row>
    <row r="483" spans="1:14" ht="30" x14ac:dyDescent="0.25">
      <c r="E483" s="10" t="s">
        <v>308</v>
      </c>
      <c r="F483" s="10">
        <v>1</v>
      </c>
      <c r="G483" s="2" t="s">
        <v>3275</v>
      </c>
      <c r="H483" s="7"/>
      <c r="J483" s="3"/>
      <c r="K483" s="3"/>
      <c r="L483" s="3"/>
    </row>
    <row r="484" spans="1:14" x14ac:dyDescent="0.25">
      <c r="F484" s="10">
        <v>2</v>
      </c>
      <c r="H484" s="7" t="s">
        <v>307</v>
      </c>
      <c r="I484" s="2" t="s">
        <v>29</v>
      </c>
      <c r="J484" s="3">
        <v>40147</v>
      </c>
      <c r="K484" s="3">
        <v>40142</v>
      </c>
      <c r="L484" s="3" t="s">
        <v>14</v>
      </c>
      <c r="N484" s="2" t="s">
        <v>974</v>
      </c>
    </row>
    <row r="485" spans="1:14" ht="30" x14ac:dyDescent="0.25">
      <c r="E485" s="10" t="s">
        <v>309</v>
      </c>
      <c r="F485" s="10">
        <v>1</v>
      </c>
      <c r="G485" s="2" t="s">
        <v>3276</v>
      </c>
      <c r="H485" s="7"/>
      <c r="J485" s="3"/>
      <c r="K485" s="3"/>
      <c r="L485" s="3"/>
    </row>
    <row r="486" spans="1:14" x14ac:dyDescent="0.25">
      <c r="F486" s="10">
        <v>2</v>
      </c>
      <c r="H486" s="7" t="s">
        <v>307</v>
      </c>
      <c r="I486" s="2" t="s">
        <v>29</v>
      </c>
      <c r="J486" s="3">
        <v>40147</v>
      </c>
      <c r="K486" s="3">
        <v>40142</v>
      </c>
      <c r="L486" s="3" t="s">
        <v>14</v>
      </c>
      <c r="N486" s="2" t="s">
        <v>974</v>
      </c>
    </row>
    <row r="487" spans="1:14" ht="30" x14ac:dyDescent="0.25">
      <c r="E487" s="10" t="s">
        <v>310</v>
      </c>
      <c r="F487" s="10">
        <v>1</v>
      </c>
      <c r="G487" s="2" t="s">
        <v>3277</v>
      </c>
      <c r="H487" s="7"/>
      <c r="J487" s="3"/>
      <c r="K487" s="3"/>
      <c r="L487" s="3"/>
    </row>
    <row r="488" spans="1:14" x14ac:dyDescent="0.25">
      <c r="F488" s="10">
        <v>2</v>
      </c>
      <c r="H488" s="7" t="s">
        <v>307</v>
      </c>
      <c r="I488" s="2" t="s">
        <v>29</v>
      </c>
      <c r="J488" s="3">
        <v>40147</v>
      </c>
      <c r="K488" s="3">
        <v>40142</v>
      </c>
      <c r="L488" s="3" t="s">
        <v>14</v>
      </c>
      <c r="N488" s="2" t="s">
        <v>974</v>
      </c>
    </row>
    <row r="489" spans="1:14" x14ac:dyDescent="0.25">
      <c r="F489" s="10">
        <v>3</v>
      </c>
      <c r="H489" s="7" t="s">
        <v>3278</v>
      </c>
      <c r="I489" s="2" t="s">
        <v>29</v>
      </c>
      <c r="J489" s="3">
        <v>40147</v>
      </c>
      <c r="K489" s="3">
        <v>40142</v>
      </c>
      <c r="L489" s="3" t="s">
        <v>14</v>
      </c>
      <c r="N489" s="2" t="s">
        <v>974</v>
      </c>
    </row>
    <row r="490" spans="1:14" x14ac:dyDescent="0.25">
      <c r="E490" s="10" t="s">
        <v>311</v>
      </c>
      <c r="F490" s="10">
        <v>1</v>
      </c>
      <c r="G490" s="2" t="s">
        <v>312</v>
      </c>
      <c r="H490" s="7"/>
      <c r="J490" s="3"/>
      <c r="K490" s="3"/>
      <c r="L490" s="3"/>
    </row>
    <row r="491" spans="1:14" x14ac:dyDescent="0.25">
      <c r="F491" s="10">
        <v>2</v>
      </c>
      <c r="H491" s="7" t="s">
        <v>313</v>
      </c>
      <c r="I491" s="2" t="s">
        <v>29</v>
      </c>
      <c r="J491" s="3">
        <v>40168</v>
      </c>
      <c r="K491" s="3">
        <v>40254</v>
      </c>
      <c r="L491" s="3" t="s">
        <v>14</v>
      </c>
      <c r="N491" s="2" t="s">
        <v>974</v>
      </c>
    </row>
    <row r="492" spans="1:14" x14ac:dyDescent="0.25">
      <c r="F492" s="10">
        <v>3</v>
      </c>
      <c r="H492" s="7" t="s">
        <v>3278</v>
      </c>
      <c r="I492" s="2" t="s">
        <v>29</v>
      </c>
      <c r="J492" s="3">
        <v>40168</v>
      </c>
      <c r="K492" s="3">
        <v>40254</v>
      </c>
      <c r="L492" s="3" t="s">
        <v>14</v>
      </c>
      <c r="N492" s="2" t="s">
        <v>974</v>
      </c>
    </row>
    <row r="493" spans="1:14" x14ac:dyDescent="0.25">
      <c r="H493" s="7"/>
      <c r="J493" s="3"/>
      <c r="K493" s="3"/>
      <c r="L493" s="3"/>
    </row>
    <row r="494" spans="1:14" ht="30" x14ac:dyDescent="0.25">
      <c r="A494" s="7" t="s">
        <v>249</v>
      </c>
      <c r="B494" s="7" t="s">
        <v>3477</v>
      </c>
      <c r="C494" s="7" t="s">
        <v>460</v>
      </c>
      <c r="D494" s="7" t="s">
        <v>3279</v>
      </c>
      <c r="E494" s="10" t="s">
        <v>121</v>
      </c>
      <c r="F494" s="10">
        <v>1</v>
      </c>
      <c r="G494" s="2" t="s">
        <v>3274</v>
      </c>
      <c r="H494" s="7"/>
      <c r="J494" s="3"/>
      <c r="K494" s="3"/>
      <c r="L494" s="3"/>
    </row>
    <row r="495" spans="1:14" ht="30" x14ac:dyDescent="0.25">
      <c r="F495" s="10">
        <v>2</v>
      </c>
      <c r="H495" s="7" t="s">
        <v>3280</v>
      </c>
      <c r="I495" s="4" t="s">
        <v>31</v>
      </c>
      <c r="J495" s="22"/>
      <c r="K495" s="3">
        <v>40142</v>
      </c>
      <c r="L495" s="22"/>
    </row>
    <row r="496" spans="1:14" x14ac:dyDescent="0.25">
      <c r="F496" s="10">
        <v>3</v>
      </c>
      <c r="G496" s="2" t="s">
        <v>306</v>
      </c>
      <c r="H496" s="7"/>
      <c r="J496" s="3"/>
      <c r="K496" s="3"/>
      <c r="L496" s="3"/>
    </row>
    <row r="497" spans="1:18" ht="30" x14ac:dyDescent="0.25">
      <c r="F497" s="10">
        <v>4</v>
      </c>
      <c r="G497" s="2" t="s">
        <v>3281</v>
      </c>
      <c r="H497" s="7"/>
      <c r="J497" s="3"/>
      <c r="K497" s="3"/>
      <c r="L497" s="3"/>
    </row>
    <row r="498" spans="1:18" x14ac:dyDescent="0.25">
      <c r="F498" s="10">
        <v>5</v>
      </c>
      <c r="H498" s="7" t="s">
        <v>307</v>
      </c>
      <c r="I498" s="4" t="s">
        <v>31</v>
      </c>
      <c r="J498" s="22"/>
      <c r="K498" s="3">
        <v>40142</v>
      </c>
      <c r="L498" s="22"/>
    </row>
    <row r="499" spans="1:18" x14ac:dyDescent="0.25">
      <c r="F499" s="10">
        <v>6</v>
      </c>
      <c r="H499" s="7" t="s">
        <v>3282</v>
      </c>
      <c r="I499" s="4" t="s">
        <v>31</v>
      </c>
      <c r="J499" s="22"/>
      <c r="K499" s="3">
        <v>40142</v>
      </c>
      <c r="L499" s="22"/>
    </row>
    <row r="500" spans="1:18" x14ac:dyDescent="0.25">
      <c r="H500" s="7"/>
      <c r="J500" s="7"/>
    </row>
    <row r="501" spans="1:18" ht="45" x14ac:dyDescent="0.25">
      <c r="A501" s="7" t="s">
        <v>223</v>
      </c>
      <c r="B501" s="7" t="s">
        <v>3478</v>
      </c>
      <c r="C501" s="7" t="s">
        <v>39</v>
      </c>
      <c r="D501" s="7" t="s">
        <v>3283</v>
      </c>
      <c r="E501" s="10" t="s">
        <v>121</v>
      </c>
      <c r="F501" s="10">
        <v>1</v>
      </c>
      <c r="G501" s="2" t="s">
        <v>3012</v>
      </c>
      <c r="J501" s="5"/>
      <c r="K501" s="3"/>
      <c r="L501" s="3" t="s">
        <v>1288</v>
      </c>
    </row>
    <row r="502" spans="1:18" ht="30" x14ac:dyDescent="0.25">
      <c r="F502" s="10">
        <v>2</v>
      </c>
      <c r="H502" s="2" t="s">
        <v>3284</v>
      </c>
      <c r="I502" s="2" t="s">
        <v>29</v>
      </c>
      <c r="J502" s="3">
        <v>40135</v>
      </c>
      <c r="K502" s="3">
        <v>40142</v>
      </c>
      <c r="L502" s="3" t="s">
        <v>1288</v>
      </c>
      <c r="N502" s="2" t="s">
        <v>974</v>
      </c>
    </row>
    <row r="503" spans="1:18" ht="30" x14ac:dyDescent="0.25">
      <c r="F503" s="10">
        <v>3</v>
      </c>
      <c r="G503" s="2" t="s">
        <v>3285</v>
      </c>
      <c r="J503" s="5"/>
      <c r="K503" s="3"/>
      <c r="L503" s="3"/>
    </row>
    <row r="504" spans="1:18" ht="45" x14ac:dyDescent="0.25">
      <c r="F504" s="10">
        <v>4</v>
      </c>
      <c r="H504" s="2" t="s">
        <v>3286</v>
      </c>
      <c r="I504" s="2" t="s">
        <v>29</v>
      </c>
      <c r="J504" s="3">
        <v>40135</v>
      </c>
      <c r="K504" s="3">
        <v>40142</v>
      </c>
      <c r="L504" s="3" t="s">
        <v>1288</v>
      </c>
      <c r="N504" s="2" t="s">
        <v>974</v>
      </c>
      <c r="O504" s="2" t="s">
        <v>543</v>
      </c>
      <c r="P504" s="2" t="s">
        <v>982</v>
      </c>
      <c r="Q504" s="2" t="s">
        <v>540</v>
      </c>
      <c r="R504" s="2" t="s">
        <v>3287</v>
      </c>
    </row>
    <row r="505" spans="1:18" ht="45" x14ac:dyDescent="0.25">
      <c r="F505" s="10">
        <v>5</v>
      </c>
      <c r="H505" s="7" t="s">
        <v>64</v>
      </c>
      <c r="I505" s="2" t="s">
        <v>29</v>
      </c>
      <c r="J505" s="3">
        <v>40135</v>
      </c>
      <c r="K505" s="3">
        <v>40142</v>
      </c>
      <c r="L505" s="3" t="s">
        <v>1288</v>
      </c>
      <c r="N505" s="2" t="s">
        <v>974</v>
      </c>
      <c r="O505" s="2" t="s">
        <v>544</v>
      </c>
    </row>
    <row r="506" spans="1:18" ht="45" x14ac:dyDescent="0.25">
      <c r="F506" s="10">
        <v>6</v>
      </c>
      <c r="H506" s="7" t="s">
        <v>3288</v>
      </c>
      <c r="I506" s="2" t="s">
        <v>29</v>
      </c>
      <c r="J506" s="3">
        <v>40168</v>
      </c>
      <c r="K506" s="22"/>
      <c r="L506" s="3" t="s">
        <v>1288</v>
      </c>
      <c r="N506" s="2" t="s">
        <v>974</v>
      </c>
    </row>
    <row r="507" spans="1:18" ht="45" x14ac:dyDescent="0.25">
      <c r="F507" s="10">
        <v>7</v>
      </c>
      <c r="H507" s="7" t="s">
        <v>1289</v>
      </c>
      <c r="I507" s="2" t="s">
        <v>30</v>
      </c>
      <c r="J507" s="3" t="s">
        <v>33</v>
      </c>
      <c r="K507" s="3" t="s">
        <v>33</v>
      </c>
      <c r="L507" s="3" t="s">
        <v>1288</v>
      </c>
      <c r="N507" s="2" t="s">
        <v>974</v>
      </c>
    </row>
    <row r="508" spans="1:18" x14ac:dyDescent="0.25">
      <c r="H508" s="7"/>
      <c r="J508" s="3"/>
      <c r="K508" s="3"/>
      <c r="L508" s="3"/>
    </row>
    <row r="509" spans="1:18" ht="60" x14ac:dyDescent="0.25">
      <c r="A509" s="7" t="s">
        <v>251</v>
      </c>
      <c r="B509" s="7" t="s">
        <v>3479</v>
      </c>
      <c r="C509" s="7" t="s">
        <v>258</v>
      </c>
      <c r="D509" s="7" t="s">
        <v>3289</v>
      </c>
      <c r="E509" s="10" t="s">
        <v>121</v>
      </c>
      <c r="F509" s="10">
        <v>1</v>
      </c>
      <c r="G509" s="2" t="s">
        <v>3290</v>
      </c>
      <c r="H509" s="7"/>
      <c r="J509" s="3"/>
      <c r="K509" s="3"/>
      <c r="L509" s="3"/>
    </row>
    <row r="510" spans="1:18" ht="30" x14ac:dyDescent="0.25">
      <c r="F510" s="10">
        <v>2</v>
      </c>
      <c r="H510" s="7" t="s">
        <v>3291</v>
      </c>
      <c r="I510" s="2" t="s">
        <v>29</v>
      </c>
      <c r="J510" s="3">
        <v>40135</v>
      </c>
      <c r="K510" s="3">
        <v>40142</v>
      </c>
      <c r="L510" s="22" t="s">
        <v>1288</v>
      </c>
      <c r="N510" s="2" t="s">
        <v>974</v>
      </c>
      <c r="O510" s="2" t="s">
        <v>3292</v>
      </c>
      <c r="P510" s="2" t="s">
        <v>982</v>
      </c>
      <c r="Q510" s="2" t="s">
        <v>540</v>
      </c>
    </row>
    <row r="511" spans="1:18" ht="30" x14ac:dyDescent="0.25">
      <c r="F511" s="10">
        <v>3</v>
      </c>
      <c r="G511" s="2" t="s">
        <v>3293</v>
      </c>
      <c r="H511" s="7"/>
      <c r="J511" s="3"/>
      <c r="K511" s="3"/>
      <c r="L511" s="3"/>
    </row>
    <row r="512" spans="1:18" x14ac:dyDescent="0.25">
      <c r="F512" s="10">
        <v>4</v>
      </c>
      <c r="H512" s="7" t="s">
        <v>3294</v>
      </c>
      <c r="I512" s="2" t="s">
        <v>29</v>
      </c>
      <c r="J512" s="3">
        <v>40135</v>
      </c>
      <c r="K512" s="3">
        <v>40142</v>
      </c>
      <c r="L512" s="22" t="s">
        <v>1288</v>
      </c>
      <c r="N512" s="2" t="s">
        <v>974</v>
      </c>
    </row>
    <row r="513" spans="5:18" ht="30" x14ac:dyDescent="0.25">
      <c r="F513" s="10">
        <v>5</v>
      </c>
      <c r="H513" s="7" t="s">
        <v>467</v>
      </c>
      <c r="I513" s="2" t="s">
        <v>29</v>
      </c>
      <c r="J513" s="3">
        <v>40135</v>
      </c>
      <c r="K513" s="3">
        <v>40142</v>
      </c>
      <c r="L513" s="22" t="s">
        <v>1288</v>
      </c>
      <c r="N513" s="2" t="s">
        <v>974</v>
      </c>
    </row>
    <row r="514" spans="5:18" ht="90" x14ac:dyDescent="0.25">
      <c r="F514" s="10">
        <v>6</v>
      </c>
      <c r="H514" s="7" t="s">
        <v>3480</v>
      </c>
      <c r="I514" s="2" t="s">
        <v>29</v>
      </c>
      <c r="J514" s="3">
        <v>40135</v>
      </c>
      <c r="K514" s="3">
        <v>40142</v>
      </c>
      <c r="L514" s="22" t="s">
        <v>1288</v>
      </c>
      <c r="N514" s="2" t="s">
        <v>974</v>
      </c>
    </row>
    <row r="515" spans="5:18" ht="75" x14ac:dyDescent="0.25">
      <c r="F515" s="10">
        <v>7</v>
      </c>
      <c r="H515" s="7" t="s">
        <v>3481</v>
      </c>
      <c r="I515" s="2" t="s">
        <v>29</v>
      </c>
      <c r="J515" s="3">
        <v>40135</v>
      </c>
      <c r="K515" s="3">
        <v>40142</v>
      </c>
      <c r="L515" s="22" t="s">
        <v>1288</v>
      </c>
      <c r="N515" s="2" t="s">
        <v>974</v>
      </c>
      <c r="O515" s="2" t="s">
        <v>1639</v>
      </c>
      <c r="P515" s="2" t="s">
        <v>977</v>
      </c>
      <c r="Q515" s="2" t="s">
        <v>540</v>
      </c>
    </row>
    <row r="516" spans="5:18" ht="135" x14ac:dyDescent="0.25">
      <c r="F516" s="10">
        <v>8</v>
      </c>
      <c r="H516" s="7" t="s">
        <v>1134</v>
      </c>
      <c r="I516" s="2" t="s">
        <v>29</v>
      </c>
      <c r="J516" s="3">
        <v>40135</v>
      </c>
      <c r="K516" s="3">
        <v>40142</v>
      </c>
      <c r="L516" s="22" t="s">
        <v>1288</v>
      </c>
      <c r="N516" s="2" t="s">
        <v>974</v>
      </c>
      <c r="O516" s="2" t="s">
        <v>3295</v>
      </c>
      <c r="P516" s="2" t="s">
        <v>980</v>
      </c>
      <c r="Q516" s="2" t="s">
        <v>540</v>
      </c>
      <c r="R516" s="2" t="s">
        <v>3296</v>
      </c>
    </row>
    <row r="517" spans="5:18" ht="90" x14ac:dyDescent="0.25">
      <c r="H517" s="7"/>
      <c r="J517" s="3"/>
      <c r="K517" s="3"/>
      <c r="L517" s="3"/>
      <c r="N517" s="2" t="s">
        <v>974</v>
      </c>
      <c r="O517" s="2" t="s">
        <v>985</v>
      </c>
      <c r="P517" s="2" t="s">
        <v>977</v>
      </c>
      <c r="Q517" s="2" t="s">
        <v>540</v>
      </c>
      <c r="R517" s="2" t="s">
        <v>992</v>
      </c>
    </row>
    <row r="518" spans="5:18" ht="45" x14ac:dyDescent="0.25">
      <c r="F518" s="10">
        <v>9</v>
      </c>
      <c r="H518" s="7" t="s">
        <v>545</v>
      </c>
      <c r="J518" s="22"/>
      <c r="K518" s="3" t="s">
        <v>33</v>
      </c>
      <c r="L518" s="22" t="s">
        <v>1288</v>
      </c>
      <c r="N518" s="2" t="s">
        <v>974</v>
      </c>
      <c r="O518" s="2" t="s">
        <v>546</v>
      </c>
      <c r="P518" s="2" t="s">
        <v>980</v>
      </c>
      <c r="Q518" s="2" t="s">
        <v>540</v>
      </c>
    </row>
    <row r="519" spans="5:18" x14ac:dyDescent="0.25">
      <c r="F519" s="10">
        <v>10</v>
      </c>
      <c r="G519" s="2" t="s">
        <v>1269</v>
      </c>
      <c r="H519" s="7"/>
      <c r="J519" s="3"/>
      <c r="K519" s="3"/>
      <c r="L519" s="3"/>
    </row>
    <row r="520" spans="5:18" ht="30" x14ac:dyDescent="0.25">
      <c r="F520" s="10">
        <v>11</v>
      </c>
      <c r="H520" s="7" t="s">
        <v>438</v>
      </c>
      <c r="I520" s="2" t="s">
        <v>29</v>
      </c>
      <c r="J520" s="3">
        <v>40190</v>
      </c>
      <c r="K520" s="3" t="s">
        <v>33</v>
      </c>
      <c r="L520" s="22" t="s">
        <v>1288</v>
      </c>
      <c r="N520" s="2" t="s">
        <v>974</v>
      </c>
      <c r="O520" s="2" t="s">
        <v>547</v>
      </c>
      <c r="P520" s="2" t="s">
        <v>982</v>
      </c>
      <c r="Q520" s="2" t="s">
        <v>540</v>
      </c>
      <c r="R520" s="2" t="s">
        <v>993</v>
      </c>
    </row>
    <row r="521" spans="5:18" ht="45" x14ac:dyDescent="0.25">
      <c r="F521" s="10">
        <v>12</v>
      </c>
      <c r="H521" s="7" t="s">
        <v>1289</v>
      </c>
      <c r="I521" s="2" t="s">
        <v>30</v>
      </c>
      <c r="J521" s="3" t="s">
        <v>33</v>
      </c>
      <c r="K521" s="3" t="s">
        <v>33</v>
      </c>
      <c r="L521" s="22" t="s">
        <v>1288</v>
      </c>
      <c r="N521" s="2" t="s">
        <v>974</v>
      </c>
    </row>
    <row r="522" spans="5:18" x14ac:dyDescent="0.25">
      <c r="E522" s="10" t="s">
        <v>374</v>
      </c>
      <c r="F522" s="10">
        <v>1</v>
      </c>
      <c r="G522" s="2" t="s">
        <v>1269</v>
      </c>
      <c r="H522" s="7"/>
      <c r="J522" s="3"/>
      <c r="K522" s="3"/>
      <c r="L522" s="3"/>
    </row>
    <row r="523" spans="5:18" ht="30" x14ac:dyDescent="0.25">
      <c r="F523" s="10">
        <v>2</v>
      </c>
      <c r="H523" s="7" t="s">
        <v>443</v>
      </c>
      <c r="I523" s="2" t="s">
        <v>29</v>
      </c>
      <c r="J523" s="3">
        <v>40190</v>
      </c>
      <c r="K523" s="3" t="s">
        <v>33</v>
      </c>
      <c r="L523" s="22" t="s">
        <v>1288</v>
      </c>
      <c r="N523" s="2" t="s">
        <v>974</v>
      </c>
      <c r="O523" s="2" t="s">
        <v>547</v>
      </c>
      <c r="P523" s="2" t="s">
        <v>982</v>
      </c>
      <c r="Q523" s="2" t="s">
        <v>540</v>
      </c>
      <c r="R523" s="2" t="s">
        <v>993</v>
      </c>
    </row>
    <row r="524" spans="5:18" x14ac:dyDescent="0.25">
      <c r="F524" s="10">
        <v>3</v>
      </c>
      <c r="H524" s="7" t="s">
        <v>1290</v>
      </c>
      <c r="I524" s="2" t="s">
        <v>30</v>
      </c>
      <c r="J524" s="3" t="s">
        <v>33</v>
      </c>
      <c r="K524" s="3" t="s">
        <v>33</v>
      </c>
      <c r="L524" s="22" t="s">
        <v>1288</v>
      </c>
      <c r="N524" s="2" t="s">
        <v>974</v>
      </c>
    </row>
    <row r="525" spans="5:18" x14ac:dyDescent="0.25">
      <c r="E525" s="10" t="s">
        <v>123</v>
      </c>
      <c r="F525" s="10">
        <v>1</v>
      </c>
      <c r="G525" s="2" t="s">
        <v>3297</v>
      </c>
      <c r="H525" s="7"/>
      <c r="J525" s="3"/>
      <c r="K525" s="3"/>
      <c r="L525" s="3"/>
    </row>
    <row r="526" spans="5:18" ht="30" x14ac:dyDescent="0.25">
      <c r="F526" s="10">
        <v>2</v>
      </c>
      <c r="H526" s="7" t="s">
        <v>3291</v>
      </c>
      <c r="I526" s="2" t="s">
        <v>29</v>
      </c>
      <c r="J526" s="3">
        <v>40135</v>
      </c>
      <c r="K526" s="3" t="s">
        <v>33</v>
      </c>
      <c r="L526" s="22" t="s">
        <v>1288</v>
      </c>
      <c r="N526" s="2" t="s">
        <v>974</v>
      </c>
    </row>
    <row r="527" spans="5:18" ht="30" x14ac:dyDescent="0.25">
      <c r="F527" s="10">
        <v>3</v>
      </c>
      <c r="G527" s="2" t="s">
        <v>3293</v>
      </c>
      <c r="H527" s="7"/>
      <c r="J527" s="3"/>
      <c r="K527" s="3"/>
      <c r="L527" s="3"/>
    </row>
    <row r="528" spans="5:18" x14ac:dyDescent="0.25">
      <c r="F528" s="10">
        <v>4</v>
      </c>
      <c r="H528" s="7" t="s">
        <v>3294</v>
      </c>
      <c r="I528" s="2" t="s">
        <v>29</v>
      </c>
      <c r="J528" s="3">
        <v>40135</v>
      </c>
      <c r="K528" s="3" t="s">
        <v>33</v>
      </c>
      <c r="L528" s="22" t="s">
        <v>1288</v>
      </c>
      <c r="N528" s="2" t="s">
        <v>974</v>
      </c>
    </row>
    <row r="529" spans="5:18" ht="30" x14ac:dyDescent="0.25">
      <c r="F529" s="10">
        <v>5</v>
      </c>
      <c r="H529" s="7" t="s">
        <v>467</v>
      </c>
      <c r="I529" s="2" t="s">
        <v>29</v>
      </c>
      <c r="J529" s="3">
        <v>40135</v>
      </c>
      <c r="K529" s="3">
        <v>40142</v>
      </c>
      <c r="L529" s="22" t="s">
        <v>1288</v>
      </c>
      <c r="N529" s="2" t="s">
        <v>974</v>
      </c>
    </row>
    <row r="530" spans="5:18" x14ac:dyDescent="0.25">
      <c r="E530" s="10" t="s">
        <v>126</v>
      </c>
      <c r="F530" s="10">
        <v>1</v>
      </c>
      <c r="G530" s="2" t="s">
        <v>13</v>
      </c>
      <c r="H530" s="7"/>
      <c r="J530" s="3"/>
      <c r="K530" s="3"/>
      <c r="L530" s="3"/>
    </row>
    <row r="531" spans="5:18" ht="105" x14ac:dyDescent="0.25">
      <c r="F531" s="10">
        <v>2</v>
      </c>
      <c r="H531" s="7" t="s">
        <v>3291</v>
      </c>
      <c r="I531" s="2" t="s">
        <v>30</v>
      </c>
      <c r="J531" s="3">
        <v>40135</v>
      </c>
      <c r="K531" s="3" t="s">
        <v>33</v>
      </c>
      <c r="L531" s="22" t="s">
        <v>1288</v>
      </c>
      <c r="N531" s="2" t="s">
        <v>974</v>
      </c>
      <c r="O531" s="2" t="s">
        <v>1133</v>
      </c>
      <c r="P531" s="2" t="s">
        <v>982</v>
      </c>
      <c r="Q531" s="2" t="s">
        <v>540</v>
      </c>
    </row>
    <row r="532" spans="5:18" ht="30" x14ac:dyDescent="0.25">
      <c r="F532" s="10">
        <v>3</v>
      </c>
      <c r="G532" s="2" t="s">
        <v>3293</v>
      </c>
      <c r="H532" s="7"/>
      <c r="J532" s="3"/>
      <c r="K532" s="3"/>
      <c r="L532" s="3"/>
    </row>
    <row r="533" spans="5:18" x14ac:dyDescent="0.25">
      <c r="F533" s="10">
        <v>4</v>
      </c>
      <c r="H533" s="7" t="s">
        <v>3294</v>
      </c>
      <c r="I533" s="2" t="s">
        <v>30</v>
      </c>
      <c r="J533" s="3">
        <v>40135</v>
      </c>
      <c r="K533" s="3" t="s">
        <v>33</v>
      </c>
      <c r="L533" s="22" t="s">
        <v>1288</v>
      </c>
      <c r="N533" s="2" t="s">
        <v>974</v>
      </c>
    </row>
    <row r="534" spans="5:18" ht="30" x14ac:dyDescent="0.25">
      <c r="F534" s="10">
        <v>5</v>
      </c>
      <c r="H534" s="7" t="s">
        <v>467</v>
      </c>
      <c r="I534" s="2" t="s">
        <v>30</v>
      </c>
      <c r="J534" s="3">
        <v>40135</v>
      </c>
      <c r="K534" s="3">
        <v>40142</v>
      </c>
      <c r="L534" s="22" t="s">
        <v>1288</v>
      </c>
      <c r="N534" s="2" t="s">
        <v>974</v>
      </c>
    </row>
    <row r="535" spans="5:18" x14ac:dyDescent="0.25">
      <c r="E535" s="10" t="s">
        <v>127</v>
      </c>
      <c r="F535" s="10">
        <v>1</v>
      </c>
      <c r="G535" s="2" t="s">
        <v>3851</v>
      </c>
      <c r="H535" s="7"/>
      <c r="J535" s="3"/>
      <c r="K535" s="3"/>
      <c r="L535" s="3"/>
    </row>
    <row r="536" spans="5:18" ht="30" x14ac:dyDescent="0.25">
      <c r="F536" s="10">
        <v>2</v>
      </c>
      <c r="G536" s="2" t="s">
        <v>3293</v>
      </c>
      <c r="H536" s="7"/>
      <c r="J536" s="3"/>
      <c r="K536" s="3"/>
      <c r="L536" s="3"/>
    </row>
    <row r="537" spans="5:18" x14ac:dyDescent="0.25">
      <c r="F537" s="10">
        <v>3</v>
      </c>
      <c r="H537" s="7" t="s">
        <v>3294</v>
      </c>
      <c r="I537" s="2" t="s">
        <v>29</v>
      </c>
      <c r="J537" s="3">
        <v>40135</v>
      </c>
      <c r="K537" s="3" t="s">
        <v>33</v>
      </c>
      <c r="L537" s="22" t="s">
        <v>1288</v>
      </c>
      <c r="N537" s="2" t="s">
        <v>974</v>
      </c>
    </row>
    <row r="538" spans="5:18" ht="45" x14ac:dyDescent="0.25">
      <c r="F538" s="10">
        <v>4</v>
      </c>
      <c r="H538" s="7" t="s">
        <v>1240</v>
      </c>
      <c r="I538" s="2" t="s">
        <v>29</v>
      </c>
      <c r="J538" s="3">
        <v>40231</v>
      </c>
      <c r="K538" s="3" t="s">
        <v>33</v>
      </c>
      <c r="L538" s="22" t="s">
        <v>1288</v>
      </c>
      <c r="N538" s="2" t="s">
        <v>974</v>
      </c>
      <c r="O538" s="2" t="s">
        <v>548</v>
      </c>
      <c r="P538" s="2" t="s">
        <v>980</v>
      </c>
      <c r="Q538" s="2" t="s">
        <v>540</v>
      </c>
      <c r="R538" s="2" t="s">
        <v>582</v>
      </c>
    </row>
    <row r="539" spans="5:18" ht="60" x14ac:dyDescent="0.25">
      <c r="H539" s="7"/>
      <c r="J539" s="3"/>
      <c r="K539" s="3"/>
      <c r="L539" s="2"/>
      <c r="N539" s="2" t="s">
        <v>974</v>
      </c>
      <c r="O539" s="2" t="s">
        <v>1135</v>
      </c>
      <c r="P539" s="2" t="s">
        <v>977</v>
      </c>
      <c r="Q539" s="2" t="s">
        <v>540</v>
      </c>
    </row>
    <row r="540" spans="5:18" ht="75" x14ac:dyDescent="0.25">
      <c r="F540" s="10">
        <v>5</v>
      </c>
      <c r="H540" s="7" t="s">
        <v>1241</v>
      </c>
      <c r="I540" s="2" t="s">
        <v>29</v>
      </c>
      <c r="J540" s="3">
        <v>40231</v>
      </c>
      <c r="K540" s="3" t="s">
        <v>33</v>
      </c>
      <c r="L540" s="22" t="s">
        <v>1288</v>
      </c>
      <c r="N540" s="2" t="s">
        <v>974</v>
      </c>
      <c r="O540" s="2" t="s">
        <v>548</v>
      </c>
      <c r="P540" s="2" t="s">
        <v>980</v>
      </c>
      <c r="Q540" s="2" t="s">
        <v>540</v>
      </c>
      <c r="R540" s="2" t="s">
        <v>1733</v>
      </c>
    </row>
    <row r="541" spans="5:18" ht="45" x14ac:dyDescent="0.25">
      <c r="F541" s="10">
        <v>6</v>
      </c>
      <c r="G541" s="2" t="s">
        <v>1242</v>
      </c>
      <c r="H541" s="7"/>
      <c r="J541" s="3"/>
      <c r="K541" s="3"/>
      <c r="L541" s="3"/>
    </row>
    <row r="542" spans="5:18" ht="195" x14ac:dyDescent="0.25">
      <c r="F542" s="10">
        <v>7</v>
      </c>
      <c r="H542" s="7" t="s">
        <v>1243</v>
      </c>
      <c r="I542" s="2" t="s">
        <v>30</v>
      </c>
      <c r="J542" s="3">
        <v>40231</v>
      </c>
      <c r="K542" s="3" t="s">
        <v>33</v>
      </c>
      <c r="L542" s="22" t="s">
        <v>1288</v>
      </c>
      <c r="N542" s="2" t="s">
        <v>974</v>
      </c>
      <c r="O542" s="2" t="s">
        <v>1735</v>
      </c>
      <c r="P542" s="2" t="s">
        <v>982</v>
      </c>
      <c r="Q542" s="2" t="s">
        <v>540</v>
      </c>
      <c r="R542" s="2" t="s">
        <v>3841</v>
      </c>
    </row>
    <row r="543" spans="5:18" ht="105" x14ac:dyDescent="0.25">
      <c r="H543" s="7"/>
      <c r="J543" s="3"/>
      <c r="K543" s="3"/>
      <c r="L543" s="3"/>
      <c r="N543" s="2" t="s">
        <v>974</v>
      </c>
      <c r="O543" s="2" t="s">
        <v>1734</v>
      </c>
      <c r="P543" s="2" t="s">
        <v>977</v>
      </c>
      <c r="Q543" s="2" t="s">
        <v>540</v>
      </c>
      <c r="R543" s="2" t="s">
        <v>1736</v>
      </c>
    </row>
    <row r="544" spans="5:18" x14ac:dyDescent="0.25">
      <c r="E544" s="10" t="s">
        <v>469</v>
      </c>
      <c r="F544" s="10">
        <v>1</v>
      </c>
      <c r="G544" s="2" t="s">
        <v>468</v>
      </c>
      <c r="H544" s="7"/>
      <c r="J544" s="3"/>
      <c r="K544" s="3"/>
      <c r="L544" s="3"/>
      <c r="R544" s="2" t="s">
        <v>158</v>
      </c>
    </row>
    <row r="545" spans="1:18" x14ac:dyDescent="0.25">
      <c r="F545" s="10">
        <v>2</v>
      </c>
      <c r="G545" s="7" t="s">
        <v>13</v>
      </c>
      <c r="J545" s="3"/>
      <c r="K545" s="3"/>
      <c r="L545" s="3"/>
    </row>
    <row r="546" spans="1:18" ht="30" x14ac:dyDescent="0.25">
      <c r="F546" s="10">
        <v>3</v>
      </c>
      <c r="H546" s="7" t="s">
        <v>3298</v>
      </c>
      <c r="I546" s="2" t="s">
        <v>30</v>
      </c>
      <c r="J546" s="3">
        <v>40190</v>
      </c>
      <c r="K546" s="3" t="s">
        <v>33</v>
      </c>
      <c r="L546" s="22" t="s">
        <v>1288</v>
      </c>
      <c r="N546" s="2" t="s">
        <v>974</v>
      </c>
    </row>
    <row r="547" spans="1:18" ht="30" x14ac:dyDescent="0.25">
      <c r="F547" s="10">
        <v>4</v>
      </c>
      <c r="G547" s="2" t="s">
        <v>3299</v>
      </c>
      <c r="H547" s="7"/>
      <c r="J547" s="3"/>
      <c r="K547" s="3"/>
      <c r="L547" s="3"/>
    </row>
    <row r="548" spans="1:18" ht="30" x14ac:dyDescent="0.25">
      <c r="F548" s="10">
        <v>5</v>
      </c>
      <c r="H548" s="7" t="s">
        <v>3298</v>
      </c>
      <c r="I548" s="2" t="s">
        <v>30</v>
      </c>
      <c r="J548" s="3">
        <v>40190</v>
      </c>
      <c r="K548" s="3" t="s">
        <v>33</v>
      </c>
      <c r="L548" s="22" t="s">
        <v>1288</v>
      </c>
      <c r="N548" s="2" t="s">
        <v>974</v>
      </c>
      <c r="O548" s="2" t="s">
        <v>1121</v>
      </c>
      <c r="P548" s="2" t="s">
        <v>982</v>
      </c>
      <c r="Q548" s="2" t="s">
        <v>540</v>
      </c>
    </row>
    <row r="549" spans="1:18" ht="30" x14ac:dyDescent="0.25">
      <c r="F549" s="10">
        <v>6</v>
      </c>
      <c r="G549" s="2" t="s">
        <v>3300</v>
      </c>
      <c r="H549" s="7"/>
      <c r="J549" s="3"/>
      <c r="K549" s="3"/>
      <c r="L549" s="3"/>
    </row>
    <row r="550" spans="1:18" ht="30" x14ac:dyDescent="0.25">
      <c r="F550" s="10">
        <v>7</v>
      </c>
      <c r="H550" s="7" t="s">
        <v>3298</v>
      </c>
      <c r="I550" s="2" t="s">
        <v>30</v>
      </c>
      <c r="J550" s="3">
        <v>40190</v>
      </c>
      <c r="K550" s="3" t="s">
        <v>33</v>
      </c>
      <c r="L550" s="22" t="s">
        <v>1288</v>
      </c>
      <c r="N550" s="2" t="s">
        <v>974</v>
      </c>
      <c r="O550" s="2" t="s">
        <v>1122</v>
      </c>
      <c r="P550" s="2" t="s">
        <v>982</v>
      </c>
      <c r="Q550" s="2" t="s">
        <v>540</v>
      </c>
    </row>
    <row r="551" spans="1:18" ht="165" x14ac:dyDescent="0.25">
      <c r="H551" s="7"/>
      <c r="J551" s="3"/>
      <c r="K551" s="2"/>
      <c r="L551" s="2"/>
      <c r="N551" s="2" t="s">
        <v>974</v>
      </c>
      <c r="O551" s="34" t="s">
        <v>1123</v>
      </c>
      <c r="P551" s="2" t="s">
        <v>982</v>
      </c>
      <c r="Q551" s="2" t="s">
        <v>986</v>
      </c>
      <c r="R551" s="2" t="s">
        <v>1495</v>
      </c>
    </row>
    <row r="552" spans="1:18" x14ac:dyDescent="0.25">
      <c r="H552" s="7"/>
    </row>
    <row r="553" spans="1:18" ht="90" x14ac:dyDescent="0.25">
      <c r="A553" s="7" t="s">
        <v>430</v>
      </c>
      <c r="B553" s="7" t="s">
        <v>3482</v>
      </c>
      <c r="C553" s="7" t="s">
        <v>258</v>
      </c>
      <c r="D553" s="7" t="s">
        <v>3301</v>
      </c>
      <c r="E553" s="10" t="s">
        <v>121</v>
      </c>
      <c r="F553" s="10">
        <v>1</v>
      </c>
      <c r="G553" s="2" t="s">
        <v>3293</v>
      </c>
      <c r="H553" s="7"/>
    </row>
    <row r="554" spans="1:18" x14ac:dyDescent="0.25">
      <c r="F554" s="10">
        <v>2</v>
      </c>
      <c r="H554" s="7" t="s">
        <v>3294</v>
      </c>
      <c r="I554" s="2" t="s">
        <v>30</v>
      </c>
      <c r="J554" s="3">
        <v>40190</v>
      </c>
      <c r="K554" s="3">
        <v>40254</v>
      </c>
      <c r="L554" s="22" t="s">
        <v>1288</v>
      </c>
      <c r="N554" s="2" t="s">
        <v>974</v>
      </c>
    </row>
    <row r="555" spans="1:18" ht="120" x14ac:dyDescent="0.25">
      <c r="F555" s="10">
        <v>3</v>
      </c>
      <c r="H555" s="7" t="s">
        <v>3483</v>
      </c>
      <c r="I555" s="2" t="s">
        <v>30</v>
      </c>
      <c r="J555" s="3">
        <v>40190</v>
      </c>
      <c r="K555" s="3">
        <v>40254</v>
      </c>
      <c r="L555" s="22" t="s">
        <v>1288</v>
      </c>
      <c r="N555" s="2" t="s">
        <v>974</v>
      </c>
      <c r="O555" s="2" t="s">
        <v>1124</v>
      </c>
      <c r="P555" s="2" t="s">
        <v>980</v>
      </c>
      <c r="Q555" s="2" t="s">
        <v>540</v>
      </c>
      <c r="R555" s="2" t="s">
        <v>3842</v>
      </c>
    </row>
    <row r="556" spans="1:18" x14ac:dyDescent="0.25">
      <c r="F556" s="10">
        <v>6</v>
      </c>
      <c r="G556" s="2" t="s">
        <v>1269</v>
      </c>
      <c r="H556" s="7"/>
      <c r="J556" s="3"/>
      <c r="K556" s="3"/>
      <c r="L556" s="3"/>
    </row>
    <row r="557" spans="1:18" x14ac:dyDescent="0.25">
      <c r="F557" s="10">
        <v>7</v>
      </c>
      <c r="H557" s="7" t="s">
        <v>438</v>
      </c>
      <c r="I557" s="2" t="s">
        <v>29</v>
      </c>
      <c r="J557" s="3">
        <v>40190</v>
      </c>
      <c r="K557" s="3">
        <v>40254</v>
      </c>
      <c r="L557" s="22" t="s">
        <v>1288</v>
      </c>
      <c r="N557" s="2" t="s">
        <v>974</v>
      </c>
      <c r="O557" s="2" t="s">
        <v>547</v>
      </c>
      <c r="P557" s="2" t="s">
        <v>980</v>
      </c>
      <c r="Q557" s="2" t="s">
        <v>540</v>
      </c>
    </row>
    <row r="558" spans="1:18" ht="165" x14ac:dyDescent="0.25">
      <c r="F558" s="10">
        <v>8</v>
      </c>
      <c r="H558" s="7" t="s">
        <v>3484</v>
      </c>
      <c r="I558" s="2" t="s">
        <v>30</v>
      </c>
      <c r="J558" s="3" t="s">
        <v>33</v>
      </c>
      <c r="K558" s="3" t="s">
        <v>33</v>
      </c>
      <c r="L558" s="22" t="s">
        <v>1288</v>
      </c>
      <c r="N558" s="2" t="s">
        <v>974</v>
      </c>
      <c r="O558" s="2" t="s">
        <v>1136</v>
      </c>
      <c r="Q558" s="2" t="s">
        <v>540</v>
      </c>
      <c r="R558" s="2" t="s">
        <v>2164</v>
      </c>
    </row>
    <row r="559" spans="1:18" x14ac:dyDescent="0.25">
      <c r="H559" s="7"/>
    </row>
    <row r="560" spans="1:18" ht="45" x14ac:dyDescent="0.25">
      <c r="A560" s="7" t="s">
        <v>379</v>
      </c>
      <c r="B560" s="7" t="s">
        <v>3485</v>
      </c>
      <c r="C560" s="7" t="s">
        <v>39</v>
      </c>
      <c r="D560" s="7" t="s">
        <v>3302</v>
      </c>
      <c r="E560" s="10" t="s">
        <v>121</v>
      </c>
      <c r="F560" s="10">
        <v>1</v>
      </c>
      <c r="G560" s="2" t="s">
        <v>3293</v>
      </c>
      <c r="H560" s="7"/>
    </row>
    <row r="561" spans="1:18" ht="60" x14ac:dyDescent="0.25">
      <c r="F561" s="10">
        <v>2</v>
      </c>
      <c r="H561" s="7" t="s">
        <v>3303</v>
      </c>
      <c r="I561" s="2" t="s">
        <v>29</v>
      </c>
      <c r="J561" s="5">
        <v>40234</v>
      </c>
      <c r="K561" s="3">
        <v>40254</v>
      </c>
      <c r="L561" s="22" t="s">
        <v>1288</v>
      </c>
      <c r="N561" s="2" t="s">
        <v>974</v>
      </c>
      <c r="O561" s="2" t="s">
        <v>3304</v>
      </c>
      <c r="P561" s="2" t="s">
        <v>980</v>
      </c>
      <c r="Q561" s="2" t="s">
        <v>540</v>
      </c>
      <c r="R561" s="2" t="s">
        <v>3906</v>
      </c>
    </row>
    <row r="562" spans="1:18" ht="75" x14ac:dyDescent="0.25">
      <c r="H562" s="7"/>
      <c r="J562" s="5"/>
      <c r="K562" s="2"/>
      <c r="L562" s="2"/>
      <c r="N562" s="2" t="s">
        <v>974</v>
      </c>
      <c r="O562" s="2" t="s">
        <v>549</v>
      </c>
      <c r="P562" s="2" t="s">
        <v>977</v>
      </c>
      <c r="Q562" s="2" t="s">
        <v>540</v>
      </c>
      <c r="R562" s="2" t="s">
        <v>994</v>
      </c>
    </row>
    <row r="563" spans="1:18" x14ac:dyDescent="0.25">
      <c r="F563" s="10">
        <v>3</v>
      </c>
      <c r="G563" s="2" t="s">
        <v>1269</v>
      </c>
      <c r="H563" s="7"/>
    </row>
    <row r="564" spans="1:18" ht="60" x14ac:dyDescent="0.25">
      <c r="F564" s="10">
        <v>4</v>
      </c>
      <c r="H564" s="7" t="s">
        <v>1336</v>
      </c>
      <c r="I564" s="2" t="s">
        <v>29</v>
      </c>
      <c r="J564" s="5">
        <v>40234</v>
      </c>
      <c r="K564" s="22"/>
      <c r="L564" s="22" t="s">
        <v>1288</v>
      </c>
      <c r="N564" s="2" t="s">
        <v>974</v>
      </c>
      <c r="O564" s="2" t="s">
        <v>550</v>
      </c>
      <c r="P564" s="2" t="s">
        <v>980</v>
      </c>
      <c r="Q564" s="2" t="s">
        <v>540</v>
      </c>
      <c r="R564" s="2" t="s">
        <v>3305</v>
      </c>
    </row>
    <row r="565" spans="1:18" ht="75" x14ac:dyDescent="0.25">
      <c r="F565" s="10">
        <v>5</v>
      </c>
      <c r="H565" s="7" t="s">
        <v>1337</v>
      </c>
      <c r="I565" s="2" t="s">
        <v>30</v>
      </c>
      <c r="J565" s="2" t="s">
        <v>33</v>
      </c>
      <c r="K565" s="2" t="s">
        <v>33</v>
      </c>
      <c r="L565" s="22" t="s">
        <v>1288</v>
      </c>
      <c r="N565" s="2" t="s">
        <v>974</v>
      </c>
      <c r="O565" s="2" t="s">
        <v>3907</v>
      </c>
      <c r="P565" s="2" t="s">
        <v>977</v>
      </c>
      <c r="Q565" s="2" t="s">
        <v>540</v>
      </c>
      <c r="R565" s="2" t="s">
        <v>1571</v>
      </c>
    </row>
    <row r="566" spans="1:18" x14ac:dyDescent="0.25">
      <c r="K566" s="2"/>
    </row>
    <row r="567" spans="1:18" ht="45" x14ac:dyDescent="0.25">
      <c r="A567" s="7" t="s">
        <v>253</v>
      </c>
      <c r="B567" s="7" t="s">
        <v>125</v>
      </c>
      <c r="C567" s="7" t="s">
        <v>3848</v>
      </c>
      <c r="D567" s="7" t="s">
        <v>631</v>
      </c>
      <c r="G567" s="4" t="s">
        <v>3306</v>
      </c>
      <c r="H567" s="2" t="s">
        <v>3307</v>
      </c>
      <c r="I567" s="4" t="s">
        <v>31</v>
      </c>
      <c r="J567" s="22"/>
      <c r="K567" s="22"/>
      <c r="L567" s="22"/>
    </row>
    <row r="568" spans="1:18" ht="30" x14ac:dyDescent="0.25">
      <c r="G568" s="7"/>
      <c r="H568" s="2" t="s">
        <v>211</v>
      </c>
      <c r="I568" s="4" t="s">
        <v>31</v>
      </c>
      <c r="J568" s="22"/>
      <c r="K568" s="22"/>
      <c r="L568" s="22"/>
    </row>
    <row r="569" spans="1:18" x14ac:dyDescent="0.25">
      <c r="G569" s="7"/>
      <c r="H569" s="2" t="s">
        <v>212</v>
      </c>
      <c r="I569" s="4" t="s">
        <v>31</v>
      </c>
      <c r="J569" s="22"/>
      <c r="K569" s="22"/>
      <c r="L569" s="22"/>
    </row>
    <row r="570" spans="1:18" ht="30" x14ac:dyDescent="0.25">
      <c r="G570" s="7"/>
      <c r="H570" s="2" t="s">
        <v>3308</v>
      </c>
      <c r="I570" s="4" t="s">
        <v>31</v>
      </c>
      <c r="J570" s="22"/>
      <c r="K570" s="22"/>
      <c r="L570" s="22"/>
    </row>
    <row r="572" spans="1:18" ht="30" x14ac:dyDescent="0.25">
      <c r="A572" s="7" t="s">
        <v>254</v>
      </c>
      <c r="B572" s="7" t="s">
        <v>655</v>
      </c>
      <c r="C572" s="7" t="s">
        <v>3848</v>
      </c>
      <c r="D572" s="7" t="s">
        <v>656</v>
      </c>
      <c r="E572" s="10" t="s">
        <v>121</v>
      </c>
      <c r="F572" s="10">
        <v>1</v>
      </c>
      <c r="G572" s="2" t="s">
        <v>671</v>
      </c>
      <c r="L572" s="3"/>
    </row>
    <row r="573" spans="1:18" ht="30" x14ac:dyDescent="0.25">
      <c r="F573" s="10">
        <v>2</v>
      </c>
      <c r="H573" s="2" t="s">
        <v>672</v>
      </c>
      <c r="I573" s="7" t="s">
        <v>29</v>
      </c>
      <c r="J573" s="3">
        <v>40168</v>
      </c>
      <c r="K573" s="3" t="s">
        <v>33</v>
      </c>
      <c r="L573" s="32" t="s">
        <v>581</v>
      </c>
      <c r="N573" s="2" t="s">
        <v>974</v>
      </c>
    </row>
    <row r="574" spans="1:18" ht="30" x14ac:dyDescent="0.25">
      <c r="F574" s="10">
        <v>3</v>
      </c>
      <c r="H574" s="2" t="s">
        <v>673</v>
      </c>
      <c r="I574" s="7" t="s">
        <v>29</v>
      </c>
      <c r="J574" s="3">
        <v>40168</v>
      </c>
      <c r="K574" s="3" t="s">
        <v>33</v>
      </c>
      <c r="L574" s="32" t="s">
        <v>581</v>
      </c>
      <c r="N574" s="2" t="s">
        <v>974</v>
      </c>
    </row>
    <row r="575" spans="1:18" x14ac:dyDescent="0.25">
      <c r="E575" s="2"/>
      <c r="F575" s="10">
        <v>4</v>
      </c>
      <c r="G575" s="2" t="s">
        <v>674</v>
      </c>
      <c r="L575" s="32"/>
    </row>
    <row r="576" spans="1:18" ht="45" x14ac:dyDescent="0.25">
      <c r="E576" s="2"/>
      <c r="F576" s="10">
        <v>5</v>
      </c>
      <c r="H576" s="2" t="s">
        <v>675</v>
      </c>
      <c r="I576" s="7" t="s">
        <v>29</v>
      </c>
      <c r="J576" s="3">
        <v>40168</v>
      </c>
      <c r="K576" s="3" t="s">
        <v>33</v>
      </c>
      <c r="L576" s="32" t="s">
        <v>581</v>
      </c>
      <c r="N576" s="2" t="s">
        <v>974</v>
      </c>
      <c r="O576" s="2" t="s">
        <v>971</v>
      </c>
      <c r="P576" s="2" t="s">
        <v>977</v>
      </c>
      <c r="Q576" s="2" t="s">
        <v>540</v>
      </c>
    </row>
    <row r="577" spans="6:17" ht="30" x14ac:dyDescent="0.25">
      <c r="F577" s="10">
        <v>6</v>
      </c>
      <c r="H577" s="2" t="s">
        <v>676</v>
      </c>
      <c r="I577" s="7" t="s">
        <v>29</v>
      </c>
      <c r="J577" s="3">
        <v>40168</v>
      </c>
      <c r="K577" s="3" t="s">
        <v>33</v>
      </c>
      <c r="L577" s="32" t="s">
        <v>581</v>
      </c>
      <c r="N577" s="2" t="s">
        <v>974</v>
      </c>
    </row>
    <row r="578" spans="6:17" ht="30" x14ac:dyDescent="0.25">
      <c r="F578" s="10">
        <v>7</v>
      </c>
      <c r="H578" s="2" t="s">
        <v>677</v>
      </c>
      <c r="I578" s="7" t="s">
        <v>29</v>
      </c>
      <c r="J578" s="3">
        <v>40168</v>
      </c>
      <c r="K578" s="3" t="s">
        <v>33</v>
      </c>
      <c r="L578" s="32" t="s">
        <v>581</v>
      </c>
      <c r="N578" s="2" t="s">
        <v>974</v>
      </c>
    </row>
    <row r="579" spans="6:17" ht="45" x14ac:dyDescent="0.25">
      <c r="F579" s="10">
        <v>8</v>
      </c>
      <c r="H579" s="2" t="s">
        <v>678</v>
      </c>
      <c r="I579" s="7" t="s">
        <v>29</v>
      </c>
      <c r="J579" s="3">
        <v>40168</v>
      </c>
      <c r="K579" s="3" t="s">
        <v>33</v>
      </c>
      <c r="L579" s="32" t="s">
        <v>581</v>
      </c>
      <c r="N579" s="2" t="s">
        <v>974</v>
      </c>
    </row>
    <row r="580" spans="6:17" ht="30" x14ac:dyDescent="0.25">
      <c r="F580" s="10">
        <v>9</v>
      </c>
      <c r="H580" s="2" t="s">
        <v>679</v>
      </c>
      <c r="I580" s="7" t="s">
        <v>29</v>
      </c>
      <c r="J580" s="3">
        <v>40168</v>
      </c>
      <c r="K580" s="3" t="s">
        <v>33</v>
      </c>
      <c r="L580" s="32" t="s">
        <v>581</v>
      </c>
      <c r="N580" s="2" t="s">
        <v>974</v>
      </c>
    </row>
    <row r="581" spans="6:17" ht="45" x14ac:dyDescent="0.25">
      <c r="F581" s="10">
        <v>10</v>
      </c>
      <c r="H581" s="2" t="s">
        <v>680</v>
      </c>
      <c r="I581" s="7" t="s">
        <v>29</v>
      </c>
      <c r="J581" s="3">
        <v>40168</v>
      </c>
      <c r="K581" s="3" t="s">
        <v>33</v>
      </c>
      <c r="L581" s="32" t="s">
        <v>581</v>
      </c>
      <c r="N581" s="2" t="s">
        <v>974</v>
      </c>
      <c r="O581" s="2" t="s">
        <v>539</v>
      </c>
      <c r="P581" s="2" t="s">
        <v>977</v>
      </c>
      <c r="Q581" s="2" t="s">
        <v>540</v>
      </c>
    </row>
    <row r="582" spans="6:17" x14ac:dyDescent="0.25">
      <c r="F582" s="10">
        <v>11</v>
      </c>
      <c r="H582" s="2" t="s">
        <v>681</v>
      </c>
      <c r="I582" s="7" t="s">
        <v>29</v>
      </c>
      <c r="J582" s="3">
        <v>40168</v>
      </c>
      <c r="K582" s="3" t="s">
        <v>33</v>
      </c>
      <c r="L582" s="32" t="s">
        <v>581</v>
      </c>
      <c r="N582" s="2" t="s">
        <v>974</v>
      </c>
    </row>
    <row r="583" spans="6:17" ht="30" x14ac:dyDescent="0.25">
      <c r="F583" s="10">
        <v>12</v>
      </c>
      <c r="H583" s="2" t="s">
        <v>682</v>
      </c>
      <c r="I583" s="7" t="s">
        <v>29</v>
      </c>
      <c r="J583" s="3">
        <v>40168</v>
      </c>
      <c r="K583" s="3" t="s">
        <v>33</v>
      </c>
      <c r="L583" s="32" t="s">
        <v>581</v>
      </c>
      <c r="M583" s="2" t="s">
        <v>604</v>
      </c>
      <c r="N583" s="2" t="s">
        <v>974</v>
      </c>
    </row>
    <row r="584" spans="6:17" x14ac:dyDescent="0.25">
      <c r="F584" s="10">
        <v>13</v>
      </c>
      <c r="H584" s="2" t="s">
        <v>683</v>
      </c>
      <c r="I584" s="7" t="s">
        <v>29</v>
      </c>
      <c r="J584" s="3">
        <v>40168</v>
      </c>
      <c r="K584" s="3" t="s">
        <v>33</v>
      </c>
      <c r="L584" s="32" t="s">
        <v>581</v>
      </c>
      <c r="N584" s="2" t="s">
        <v>974</v>
      </c>
    </row>
    <row r="585" spans="6:17" x14ac:dyDescent="0.25">
      <c r="F585" s="10">
        <v>14</v>
      </c>
      <c r="G585" s="2" t="s">
        <v>684</v>
      </c>
      <c r="L585" s="3"/>
    </row>
    <row r="586" spans="6:17" x14ac:dyDescent="0.25">
      <c r="F586" s="10">
        <v>15</v>
      </c>
      <c r="G586" s="2" t="s">
        <v>685</v>
      </c>
      <c r="L586" s="3"/>
    </row>
    <row r="587" spans="6:17" x14ac:dyDescent="0.25">
      <c r="F587" s="10">
        <v>16</v>
      </c>
      <c r="H587" s="2" t="s">
        <v>314</v>
      </c>
      <c r="L587" s="3"/>
    </row>
    <row r="588" spans="6:17" ht="30" x14ac:dyDescent="0.25">
      <c r="H588" s="2" t="s">
        <v>315</v>
      </c>
      <c r="I588" s="7" t="s">
        <v>33</v>
      </c>
      <c r="J588" s="3">
        <v>40168</v>
      </c>
      <c r="K588" s="3" t="s">
        <v>33</v>
      </c>
      <c r="L588" s="32" t="s">
        <v>581</v>
      </c>
      <c r="N588" s="2" t="s">
        <v>974</v>
      </c>
      <c r="O588" s="2" t="s">
        <v>978</v>
      </c>
      <c r="P588" s="2" t="s">
        <v>977</v>
      </c>
      <c r="Q588" s="2" t="s">
        <v>540</v>
      </c>
    </row>
    <row r="589" spans="6:17" ht="30" x14ac:dyDescent="0.25">
      <c r="H589" s="2" t="s">
        <v>316</v>
      </c>
      <c r="I589" s="7" t="s">
        <v>33</v>
      </c>
      <c r="J589" s="3">
        <v>40168</v>
      </c>
      <c r="K589" s="3" t="s">
        <v>33</v>
      </c>
      <c r="L589" s="32" t="s">
        <v>581</v>
      </c>
      <c r="N589" s="2" t="s">
        <v>974</v>
      </c>
      <c r="O589" s="2" t="s">
        <v>978</v>
      </c>
      <c r="P589" s="2" t="s">
        <v>977</v>
      </c>
      <c r="Q589" s="2" t="s">
        <v>540</v>
      </c>
    </row>
    <row r="590" spans="6:17" ht="30" x14ac:dyDescent="0.25">
      <c r="H590" s="2" t="s">
        <v>317</v>
      </c>
      <c r="I590" s="7" t="s">
        <v>33</v>
      </c>
      <c r="J590" s="3">
        <v>40168</v>
      </c>
      <c r="K590" s="3" t="s">
        <v>33</v>
      </c>
      <c r="L590" s="32" t="s">
        <v>581</v>
      </c>
      <c r="N590" s="2" t="s">
        <v>974</v>
      </c>
      <c r="O590" s="2" t="s">
        <v>978</v>
      </c>
      <c r="P590" s="2" t="s">
        <v>977</v>
      </c>
      <c r="Q590" s="2" t="s">
        <v>540</v>
      </c>
    </row>
    <row r="591" spans="6:17" x14ac:dyDescent="0.25">
      <c r="H591" s="2" t="s">
        <v>318</v>
      </c>
      <c r="I591" s="7" t="s">
        <v>33</v>
      </c>
      <c r="J591" s="3">
        <v>40168</v>
      </c>
      <c r="K591" s="3" t="s">
        <v>33</v>
      </c>
      <c r="L591" s="32" t="s">
        <v>581</v>
      </c>
      <c r="N591" s="2" t="s">
        <v>974</v>
      </c>
    </row>
    <row r="592" spans="6:17" x14ac:dyDescent="0.25">
      <c r="H592" s="2" t="s">
        <v>319</v>
      </c>
      <c r="I592" s="7" t="s">
        <v>33</v>
      </c>
      <c r="J592" s="3">
        <v>40168</v>
      </c>
      <c r="K592" s="3" t="s">
        <v>33</v>
      </c>
      <c r="L592" s="32" t="s">
        <v>581</v>
      </c>
      <c r="N592" s="2" t="s">
        <v>974</v>
      </c>
    </row>
    <row r="593" spans="1:17" ht="45" x14ac:dyDescent="0.25">
      <c r="H593" s="2" t="s">
        <v>686</v>
      </c>
      <c r="I593" s="7" t="s">
        <v>33</v>
      </c>
      <c r="J593" s="3">
        <v>40168</v>
      </c>
      <c r="K593" s="3" t="s">
        <v>33</v>
      </c>
      <c r="L593" s="32" t="s">
        <v>581</v>
      </c>
      <c r="N593" s="2" t="s">
        <v>974</v>
      </c>
      <c r="O593" s="2" t="s">
        <v>979</v>
      </c>
      <c r="P593" s="2" t="s">
        <v>980</v>
      </c>
      <c r="Q593" s="2" t="s">
        <v>540</v>
      </c>
    </row>
    <row r="594" spans="1:17" ht="30" x14ac:dyDescent="0.25">
      <c r="I594" s="7"/>
      <c r="J594" s="3"/>
      <c r="K594" s="3"/>
      <c r="L594" s="3"/>
      <c r="N594" s="2" t="s">
        <v>974</v>
      </c>
      <c r="O594" s="2" t="s">
        <v>981</v>
      </c>
      <c r="P594" s="2" t="s">
        <v>982</v>
      </c>
      <c r="Q594" s="2" t="s">
        <v>540</v>
      </c>
    </row>
    <row r="595" spans="1:17" ht="30" x14ac:dyDescent="0.25">
      <c r="F595" s="10">
        <v>17</v>
      </c>
      <c r="H595" s="2" t="s">
        <v>687</v>
      </c>
      <c r="I595" s="7" t="s">
        <v>29</v>
      </c>
      <c r="J595" s="3">
        <v>40168</v>
      </c>
      <c r="K595" s="3" t="s">
        <v>33</v>
      </c>
      <c r="L595" s="32" t="s">
        <v>581</v>
      </c>
      <c r="N595" s="2" t="s">
        <v>974</v>
      </c>
    </row>
    <row r="596" spans="1:17" ht="45" x14ac:dyDescent="0.25">
      <c r="F596" s="10">
        <v>18</v>
      </c>
      <c r="H596" s="2" t="s">
        <v>688</v>
      </c>
      <c r="I596" s="7" t="s">
        <v>29</v>
      </c>
      <c r="J596" s="3">
        <v>40168</v>
      </c>
      <c r="K596" s="3" t="s">
        <v>33</v>
      </c>
      <c r="L596" s="32" t="s">
        <v>581</v>
      </c>
      <c r="N596" s="2" t="s">
        <v>974</v>
      </c>
      <c r="O596" s="2" t="s">
        <v>984</v>
      </c>
      <c r="P596" s="2" t="s">
        <v>977</v>
      </c>
      <c r="Q596" s="2" t="s">
        <v>540</v>
      </c>
    </row>
    <row r="597" spans="1:17" ht="120" x14ac:dyDescent="0.25">
      <c r="F597" s="10">
        <v>19</v>
      </c>
      <c r="H597" s="2" t="s">
        <v>689</v>
      </c>
      <c r="I597" s="7" t="s">
        <v>29</v>
      </c>
      <c r="J597" s="3">
        <v>40168</v>
      </c>
      <c r="K597" s="3" t="s">
        <v>33</v>
      </c>
      <c r="L597" s="32" t="s">
        <v>581</v>
      </c>
      <c r="N597" s="2" t="s">
        <v>974</v>
      </c>
      <c r="O597" s="2" t="s">
        <v>0</v>
      </c>
      <c r="P597" s="2" t="s">
        <v>977</v>
      </c>
      <c r="Q597" s="2" t="s">
        <v>540</v>
      </c>
    </row>
    <row r="598" spans="1:17" ht="30" x14ac:dyDescent="0.25">
      <c r="F598" s="10">
        <v>20</v>
      </c>
      <c r="H598" s="2" t="s">
        <v>690</v>
      </c>
      <c r="I598" s="7" t="s">
        <v>29</v>
      </c>
      <c r="J598" s="3">
        <v>40168</v>
      </c>
      <c r="K598" s="3" t="s">
        <v>33</v>
      </c>
      <c r="L598" s="32" t="s">
        <v>581</v>
      </c>
      <c r="N598" s="2" t="s">
        <v>974</v>
      </c>
      <c r="O598" s="2" t="s">
        <v>1</v>
      </c>
      <c r="P598" s="2" t="s">
        <v>977</v>
      </c>
      <c r="Q598" s="2" t="s">
        <v>540</v>
      </c>
    </row>
    <row r="599" spans="1:17" ht="45" x14ac:dyDescent="0.25">
      <c r="F599" s="10">
        <v>21</v>
      </c>
      <c r="H599" s="2" t="s">
        <v>691</v>
      </c>
      <c r="I599" s="7" t="s">
        <v>29</v>
      </c>
      <c r="J599" s="3">
        <v>40168</v>
      </c>
      <c r="K599" s="3" t="s">
        <v>33</v>
      </c>
      <c r="L599" s="32" t="s">
        <v>581</v>
      </c>
      <c r="N599" s="2" t="s">
        <v>974</v>
      </c>
      <c r="O599" s="2" t="s">
        <v>1</v>
      </c>
      <c r="P599" s="2" t="s">
        <v>977</v>
      </c>
      <c r="Q599" s="2" t="s">
        <v>540</v>
      </c>
    </row>
    <row r="600" spans="1:17" x14ac:dyDescent="0.25">
      <c r="E600" s="10" t="s">
        <v>692</v>
      </c>
      <c r="F600" s="10">
        <v>1</v>
      </c>
      <c r="G600" s="2" t="s">
        <v>320</v>
      </c>
      <c r="I600" s="7"/>
      <c r="L600" s="3"/>
    </row>
    <row r="601" spans="1:17" ht="30" x14ac:dyDescent="0.25">
      <c r="F601" s="10">
        <v>2</v>
      </c>
      <c r="H601" s="2" t="s">
        <v>321</v>
      </c>
      <c r="I601" s="7" t="s">
        <v>30</v>
      </c>
      <c r="J601" s="3">
        <v>40168</v>
      </c>
      <c r="K601" s="3" t="s">
        <v>33</v>
      </c>
      <c r="L601" s="32" t="s">
        <v>581</v>
      </c>
      <c r="N601" s="2" t="s">
        <v>974</v>
      </c>
    </row>
    <row r="602" spans="1:17" x14ac:dyDescent="0.25">
      <c r="F602" s="10">
        <v>3</v>
      </c>
      <c r="G602" s="2" t="s">
        <v>693</v>
      </c>
      <c r="I602" s="7"/>
      <c r="L602" s="3"/>
    </row>
    <row r="603" spans="1:17" x14ac:dyDescent="0.25">
      <c r="E603" s="10" t="s">
        <v>694</v>
      </c>
      <c r="F603" s="10">
        <v>1</v>
      </c>
      <c r="G603" s="2" t="s">
        <v>695</v>
      </c>
      <c r="I603" s="7"/>
      <c r="L603" s="3"/>
    </row>
    <row r="604" spans="1:17" ht="45" x14ac:dyDescent="0.25">
      <c r="F604" s="10">
        <v>2</v>
      </c>
      <c r="H604" s="2" t="s">
        <v>688</v>
      </c>
      <c r="I604" s="7" t="s">
        <v>30</v>
      </c>
      <c r="J604" s="3">
        <v>40168</v>
      </c>
      <c r="K604" s="3" t="s">
        <v>33</v>
      </c>
      <c r="L604" s="32" t="s">
        <v>581</v>
      </c>
      <c r="N604" s="2" t="s">
        <v>974</v>
      </c>
      <c r="O604" s="2" t="s">
        <v>984</v>
      </c>
      <c r="P604" s="2" t="s">
        <v>977</v>
      </c>
      <c r="Q604" s="2" t="s">
        <v>540</v>
      </c>
    </row>
    <row r="605" spans="1:17" x14ac:dyDescent="0.25">
      <c r="I605" s="7"/>
      <c r="L605" s="3"/>
    </row>
    <row r="606" spans="1:17" ht="30" x14ac:dyDescent="0.25">
      <c r="A606" s="7" t="s">
        <v>280</v>
      </c>
      <c r="B606" s="7" t="s">
        <v>657</v>
      </c>
      <c r="C606" s="7" t="s">
        <v>3848</v>
      </c>
      <c r="D606" s="7" t="s">
        <v>658</v>
      </c>
      <c r="E606" s="10" t="s">
        <v>121</v>
      </c>
      <c r="F606" s="10">
        <v>1</v>
      </c>
      <c r="G606" s="2" t="s">
        <v>674</v>
      </c>
      <c r="L606" s="3"/>
    </row>
    <row r="607" spans="1:17" ht="30" x14ac:dyDescent="0.25">
      <c r="F607" s="10">
        <v>2</v>
      </c>
      <c r="H607" s="2" t="s">
        <v>1326</v>
      </c>
      <c r="I607" s="7" t="s">
        <v>29</v>
      </c>
      <c r="J607" s="3">
        <v>40168</v>
      </c>
      <c r="K607" s="3" t="s">
        <v>33</v>
      </c>
      <c r="L607" s="32" t="s">
        <v>581</v>
      </c>
      <c r="N607" s="2" t="s">
        <v>974</v>
      </c>
    </row>
    <row r="608" spans="1:17" ht="105" x14ac:dyDescent="0.25">
      <c r="F608" s="10">
        <v>3</v>
      </c>
      <c r="H608" s="2" t="s">
        <v>283</v>
      </c>
      <c r="I608" s="7" t="s">
        <v>29</v>
      </c>
      <c r="J608" s="3">
        <v>40168</v>
      </c>
      <c r="K608" s="3" t="s">
        <v>33</v>
      </c>
      <c r="L608" s="32" t="s">
        <v>581</v>
      </c>
      <c r="N608" s="2" t="s">
        <v>974</v>
      </c>
      <c r="O608" s="2" t="s">
        <v>541</v>
      </c>
      <c r="Q608" s="2" t="s">
        <v>540</v>
      </c>
    </row>
    <row r="609" spans="1:18" x14ac:dyDescent="0.25">
      <c r="F609" s="10">
        <v>4</v>
      </c>
      <c r="G609" s="2" t="s">
        <v>696</v>
      </c>
      <c r="I609" s="7"/>
      <c r="J609" s="3"/>
      <c r="K609" s="3"/>
      <c r="L609" s="3"/>
    </row>
    <row r="610" spans="1:18" ht="30" x14ac:dyDescent="0.25">
      <c r="F610" s="10">
        <v>5</v>
      </c>
      <c r="G610" s="2" t="s">
        <v>697</v>
      </c>
      <c r="L610" s="3"/>
    </row>
    <row r="611" spans="1:18" ht="30" x14ac:dyDescent="0.25">
      <c r="F611" s="10">
        <v>6</v>
      </c>
      <c r="H611" s="2" t="s">
        <v>1315</v>
      </c>
      <c r="I611" s="2" t="s">
        <v>30</v>
      </c>
      <c r="J611" s="3">
        <v>40241</v>
      </c>
      <c r="K611" s="3" t="s">
        <v>33</v>
      </c>
      <c r="L611" s="32" t="s">
        <v>581</v>
      </c>
      <c r="N611" s="2" t="s">
        <v>974</v>
      </c>
    </row>
    <row r="612" spans="1:18" ht="120" x14ac:dyDescent="0.25">
      <c r="F612" s="10">
        <v>7</v>
      </c>
      <c r="H612" s="2" t="s">
        <v>334</v>
      </c>
      <c r="I612" s="7" t="s">
        <v>29</v>
      </c>
      <c r="J612" s="3">
        <v>40168</v>
      </c>
      <c r="K612" s="3" t="s">
        <v>33</v>
      </c>
      <c r="L612" s="32" t="s">
        <v>581</v>
      </c>
      <c r="M612" s="2" t="s">
        <v>605</v>
      </c>
      <c r="N612" s="2" t="s">
        <v>974</v>
      </c>
      <c r="O612" s="2" t="s">
        <v>542</v>
      </c>
      <c r="Q612" s="2" t="s">
        <v>540</v>
      </c>
    </row>
    <row r="613" spans="1:18" ht="165" x14ac:dyDescent="0.25">
      <c r="I613" s="7"/>
      <c r="J613" s="3"/>
      <c r="K613" s="3"/>
      <c r="L613" s="32"/>
      <c r="N613" s="2" t="s">
        <v>974</v>
      </c>
      <c r="O613" s="2" t="s">
        <v>1737</v>
      </c>
      <c r="P613" s="2" t="s">
        <v>977</v>
      </c>
      <c r="Q613" s="2" t="s">
        <v>540</v>
      </c>
      <c r="R613" s="2" t="s">
        <v>1413</v>
      </c>
    </row>
    <row r="614" spans="1:18" x14ac:dyDescent="0.25">
      <c r="F614" s="10">
        <v>8</v>
      </c>
      <c r="G614" s="2" t="s">
        <v>685</v>
      </c>
      <c r="L614" s="3"/>
    </row>
    <row r="615" spans="1:18" ht="30" x14ac:dyDescent="0.25">
      <c r="F615" s="10">
        <v>9</v>
      </c>
      <c r="H615" s="2" t="s">
        <v>698</v>
      </c>
      <c r="I615" s="7" t="s">
        <v>33</v>
      </c>
      <c r="J615" s="3">
        <v>40168</v>
      </c>
      <c r="K615" s="3" t="s">
        <v>33</v>
      </c>
      <c r="L615" s="32" t="s">
        <v>581</v>
      </c>
      <c r="N615" s="2" t="s">
        <v>974</v>
      </c>
    </row>
    <row r="616" spans="1:18" x14ac:dyDescent="0.25">
      <c r="E616" s="10" t="s">
        <v>771</v>
      </c>
      <c r="F616" s="10">
        <v>1</v>
      </c>
      <c r="G616" s="2" t="s">
        <v>1316</v>
      </c>
      <c r="I616" s="7"/>
      <c r="J616" s="3"/>
      <c r="K616" s="3"/>
      <c r="L616" s="3"/>
    </row>
    <row r="617" spans="1:18" ht="135" x14ac:dyDescent="0.25">
      <c r="H617" s="2" t="s">
        <v>1317</v>
      </c>
      <c r="I617" s="7" t="s">
        <v>30</v>
      </c>
      <c r="J617" s="3">
        <v>40241</v>
      </c>
      <c r="K617" s="3" t="s">
        <v>33</v>
      </c>
      <c r="L617" s="32" t="s">
        <v>581</v>
      </c>
      <c r="N617" s="2" t="s">
        <v>974</v>
      </c>
      <c r="O617" s="2" t="s">
        <v>3908</v>
      </c>
      <c r="P617" s="2" t="s">
        <v>980</v>
      </c>
      <c r="Q617" s="2" t="s">
        <v>540</v>
      </c>
      <c r="R617" s="2" t="s">
        <v>1414</v>
      </c>
    </row>
    <row r="618" spans="1:18" ht="30" x14ac:dyDescent="0.25">
      <c r="E618" s="10" t="s">
        <v>374</v>
      </c>
      <c r="F618" s="10">
        <v>1</v>
      </c>
      <c r="G618" s="2" t="s">
        <v>335</v>
      </c>
      <c r="I618" s="7"/>
      <c r="J618" s="7"/>
      <c r="L618" s="3"/>
    </row>
    <row r="619" spans="1:18" ht="30" x14ac:dyDescent="0.25">
      <c r="F619" s="10">
        <v>2</v>
      </c>
      <c r="H619" s="2" t="s">
        <v>336</v>
      </c>
      <c r="I619" s="7" t="s">
        <v>30</v>
      </c>
      <c r="J619" s="3">
        <v>40168</v>
      </c>
      <c r="K619" s="3" t="s">
        <v>33</v>
      </c>
      <c r="L619" s="32" t="s">
        <v>581</v>
      </c>
      <c r="N619" s="2" t="s">
        <v>974</v>
      </c>
    </row>
    <row r="620" spans="1:18" x14ac:dyDescent="0.25">
      <c r="F620" s="10">
        <v>3</v>
      </c>
      <c r="G620" s="2" t="s">
        <v>591</v>
      </c>
      <c r="I620" s="7"/>
      <c r="J620" s="3"/>
      <c r="K620" s="3"/>
      <c r="L620" s="3"/>
    </row>
    <row r="621" spans="1:18" ht="30" x14ac:dyDescent="0.25">
      <c r="E621" s="10" t="s">
        <v>375</v>
      </c>
      <c r="F621" s="10">
        <v>1</v>
      </c>
      <c r="G621" s="2" t="s">
        <v>1364</v>
      </c>
      <c r="I621" s="7"/>
      <c r="J621" s="3"/>
      <c r="K621" s="3"/>
      <c r="L621" s="3"/>
    </row>
    <row r="622" spans="1:18" ht="90" x14ac:dyDescent="0.25">
      <c r="F622" s="10">
        <v>2</v>
      </c>
      <c r="H622" s="2" t="s">
        <v>1341</v>
      </c>
      <c r="I622" s="7" t="s">
        <v>30</v>
      </c>
      <c r="J622" s="3">
        <v>40168</v>
      </c>
      <c r="K622" s="3" t="s">
        <v>33</v>
      </c>
      <c r="L622" s="32" t="s">
        <v>581</v>
      </c>
      <c r="N622" s="2" t="s">
        <v>974</v>
      </c>
    </row>
    <row r="623" spans="1:18" x14ac:dyDescent="0.25">
      <c r="L623" s="32"/>
    </row>
    <row r="624" spans="1:18" ht="45" x14ac:dyDescent="0.25">
      <c r="A624" s="7" t="s">
        <v>281</v>
      </c>
      <c r="B624" s="7" t="s">
        <v>659</v>
      </c>
      <c r="C624" s="7" t="s">
        <v>3848</v>
      </c>
      <c r="D624" s="7" t="s">
        <v>660</v>
      </c>
      <c r="E624" s="10" t="s">
        <v>121</v>
      </c>
      <c r="F624" s="10">
        <v>1</v>
      </c>
      <c r="G624" s="2" t="s">
        <v>699</v>
      </c>
      <c r="L624" s="32"/>
      <c r="M624" s="2" t="s">
        <v>606</v>
      </c>
    </row>
    <row r="625" spans="1:18" ht="30" x14ac:dyDescent="0.25">
      <c r="F625" s="10">
        <v>2</v>
      </c>
      <c r="H625" s="2" t="s">
        <v>2299</v>
      </c>
      <c r="I625" s="7" t="s">
        <v>33</v>
      </c>
      <c r="J625" s="7" t="s">
        <v>33</v>
      </c>
      <c r="K625" s="7" t="s">
        <v>33</v>
      </c>
      <c r="L625" s="33"/>
      <c r="N625" s="2" t="s">
        <v>974</v>
      </c>
    </row>
    <row r="626" spans="1:18" ht="75" x14ac:dyDescent="0.25">
      <c r="F626" s="10">
        <v>3</v>
      </c>
      <c r="H626" s="2" t="s">
        <v>700</v>
      </c>
      <c r="I626" s="7" t="s">
        <v>33</v>
      </c>
      <c r="J626" s="3">
        <v>40168</v>
      </c>
      <c r="K626" s="3" t="s">
        <v>33</v>
      </c>
      <c r="L626" s="32" t="s">
        <v>474</v>
      </c>
      <c r="M626" s="2" t="s">
        <v>732</v>
      </c>
      <c r="N626" s="2" t="s">
        <v>974</v>
      </c>
    </row>
    <row r="627" spans="1:18" ht="30" x14ac:dyDescent="0.25">
      <c r="F627" s="10">
        <v>4</v>
      </c>
      <c r="H627" s="2" t="s">
        <v>701</v>
      </c>
      <c r="I627" s="7" t="s">
        <v>33</v>
      </c>
      <c r="J627" s="3">
        <v>40168</v>
      </c>
      <c r="K627" s="3" t="s">
        <v>33</v>
      </c>
      <c r="L627" s="32" t="s">
        <v>474</v>
      </c>
      <c r="N627" s="2" t="s">
        <v>974</v>
      </c>
    </row>
    <row r="628" spans="1:18" ht="60" x14ac:dyDescent="0.25">
      <c r="F628" s="10">
        <v>5</v>
      </c>
      <c r="H628" s="2" t="s">
        <v>702</v>
      </c>
      <c r="I628" s="7" t="s">
        <v>33</v>
      </c>
      <c r="J628" s="3">
        <v>40168</v>
      </c>
      <c r="K628" s="3" t="s">
        <v>33</v>
      </c>
      <c r="L628" s="32" t="s">
        <v>474</v>
      </c>
      <c r="N628" s="2" t="s">
        <v>974</v>
      </c>
      <c r="O628" s="2" t="s">
        <v>3703</v>
      </c>
      <c r="P628" s="2" t="s">
        <v>980</v>
      </c>
      <c r="Q628" s="2" t="s">
        <v>540</v>
      </c>
      <c r="R628" s="2" t="s">
        <v>2354</v>
      </c>
    </row>
    <row r="629" spans="1:18" ht="45" x14ac:dyDescent="0.25">
      <c r="F629" s="10">
        <v>6</v>
      </c>
      <c r="H629" s="2" t="s">
        <v>733</v>
      </c>
      <c r="I629" s="7" t="s">
        <v>33</v>
      </c>
      <c r="J629" s="3">
        <v>40294</v>
      </c>
      <c r="K629" s="3" t="s">
        <v>33</v>
      </c>
      <c r="L629" s="32" t="s">
        <v>474</v>
      </c>
      <c r="N629" s="2" t="s">
        <v>974</v>
      </c>
    </row>
    <row r="630" spans="1:18" x14ac:dyDescent="0.25">
      <c r="F630" s="10">
        <v>7</v>
      </c>
      <c r="H630" s="2" t="s">
        <v>284</v>
      </c>
      <c r="I630" s="7" t="s">
        <v>33</v>
      </c>
      <c r="J630" s="3">
        <v>40168</v>
      </c>
      <c r="K630" s="3" t="s">
        <v>33</v>
      </c>
      <c r="L630" s="32" t="s">
        <v>474</v>
      </c>
      <c r="N630" s="2" t="s">
        <v>974</v>
      </c>
    </row>
    <row r="631" spans="1:18" ht="30" x14ac:dyDescent="0.25">
      <c r="F631" s="10">
        <v>8</v>
      </c>
      <c r="H631" s="2" t="s">
        <v>285</v>
      </c>
      <c r="I631" s="7" t="s">
        <v>33</v>
      </c>
      <c r="J631" s="3">
        <v>40168</v>
      </c>
      <c r="K631" s="3" t="s">
        <v>33</v>
      </c>
      <c r="L631" s="32" t="s">
        <v>474</v>
      </c>
      <c r="M631" s="2" t="s">
        <v>603</v>
      </c>
      <c r="N631" s="2" t="s">
        <v>974</v>
      </c>
    </row>
    <row r="632" spans="1:18" x14ac:dyDescent="0.25">
      <c r="F632" s="10">
        <v>9</v>
      </c>
      <c r="H632" s="2" t="s">
        <v>286</v>
      </c>
      <c r="I632" s="7" t="s">
        <v>33</v>
      </c>
      <c r="J632" s="3">
        <v>40168</v>
      </c>
      <c r="K632" s="3" t="s">
        <v>33</v>
      </c>
      <c r="L632" s="32" t="s">
        <v>474</v>
      </c>
      <c r="N632" s="2" t="s">
        <v>974</v>
      </c>
    </row>
    <row r="633" spans="1:18" ht="140.25" customHeight="1" x14ac:dyDescent="0.25">
      <c r="F633" s="10">
        <v>10</v>
      </c>
      <c r="H633" s="2" t="s">
        <v>703</v>
      </c>
      <c r="I633" s="7" t="s">
        <v>33</v>
      </c>
      <c r="J633" s="3">
        <v>40168</v>
      </c>
      <c r="K633" s="3" t="s">
        <v>33</v>
      </c>
      <c r="L633" s="32" t="s">
        <v>474</v>
      </c>
      <c r="M633" s="2" t="s">
        <v>704</v>
      </c>
      <c r="N633" s="2" t="s">
        <v>974</v>
      </c>
      <c r="O633" s="2" t="s">
        <v>2300</v>
      </c>
      <c r="Q633" s="2" t="s">
        <v>540</v>
      </c>
      <c r="R633" s="2" t="s">
        <v>2354</v>
      </c>
    </row>
    <row r="634" spans="1:18" ht="105" x14ac:dyDescent="0.25">
      <c r="I634" s="7"/>
      <c r="J634" s="3"/>
      <c r="K634" s="3"/>
      <c r="L634" s="32"/>
      <c r="N634" s="2" t="s">
        <v>974</v>
      </c>
      <c r="O634" s="2" t="s">
        <v>2298</v>
      </c>
      <c r="P634" s="2" t="s">
        <v>980</v>
      </c>
      <c r="Q634" s="2" t="s">
        <v>540</v>
      </c>
      <c r="R634" s="2" t="s">
        <v>2354</v>
      </c>
    </row>
    <row r="635" spans="1:18" x14ac:dyDescent="0.25">
      <c r="E635" s="10" t="s">
        <v>164</v>
      </c>
      <c r="F635" s="10">
        <v>1</v>
      </c>
      <c r="G635" s="2" t="s">
        <v>1410</v>
      </c>
      <c r="I635" s="7"/>
      <c r="J635" s="3"/>
      <c r="K635" s="3"/>
      <c r="L635" s="32"/>
    </row>
    <row r="636" spans="1:18" ht="45" x14ac:dyDescent="0.25">
      <c r="F636" s="10">
        <v>2</v>
      </c>
      <c r="H636" s="2" t="s">
        <v>1411</v>
      </c>
      <c r="I636" s="7" t="s">
        <v>33</v>
      </c>
      <c r="J636" s="7" t="s">
        <v>33</v>
      </c>
      <c r="K636" s="7" t="s">
        <v>33</v>
      </c>
      <c r="L636" s="32"/>
      <c r="N636" s="2" t="s">
        <v>974</v>
      </c>
      <c r="O636" s="2" t="s">
        <v>2301</v>
      </c>
      <c r="Q636" s="2" t="s">
        <v>540</v>
      </c>
      <c r="R636" s="2" t="s">
        <v>2354</v>
      </c>
    </row>
    <row r="637" spans="1:18" ht="60" x14ac:dyDescent="0.25">
      <c r="F637" s="10">
        <v>3</v>
      </c>
      <c r="H637" s="2" t="s">
        <v>1412</v>
      </c>
      <c r="I637" s="7" t="s">
        <v>33</v>
      </c>
      <c r="J637" s="7" t="s">
        <v>33</v>
      </c>
      <c r="K637" s="7" t="s">
        <v>33</v>
      </c>
      <c r="L637" s="32"/>
      <c r="N637" s="2" t="s">
        <v>974</v>
      </c>
    </row>
    <row r="638" spans="1:18" ht="45" x14ac:dyDescent="0.25">
      <c r="F638" s="10">
        <v>4</v>
      </c>
      <c r="H638" s="2" t="s">
        <v>481</v>
      </c>
      <c r="I638" s="7" t="s">
        <v>33</v>
      </c>
      <c r="J638" s="7" t="s">
        <v>33</v>
      </c>
      <c r="K638" s="7" t="s">
        <v>33</v>
      </c>
      <c r="L638" s="32"/>
      <c r="N638" s="2" t="s">
        <v>974</v>
      </c>
    </row>
    <row r="639" spans="1:18" x14ac:dyDescent="0.25">
      <c r="L639" s="32"/>
    </row>
    <row r="640" spans="1:18" ht="30" x14ac:dyDescent="0.25">
      <c r="A640" s="7" t="s">
        <v>282</v>
      </c>
      <c r="B640" s="7" t="s">
        <v>661</v>
      </c>
      <c r="C640" s="7" t="s">
        <v>3848</v>
      </c>
      <c r="D640" s="7" t="s">
        <v>662</v>
      </c>
      <c r="E640" s="10" t="s">
        <v>121</v>
      </c>
      <c r="F640" s="10">
        <v>1</v>
      </c>
      <c r="G640" s="7" t="s">
        <v>671</v>
      </c>
      <c r="L640" s="32" t="s">
        <v>581</v>
      </c>
    </row>
    <row r="641" spans="1:18" ht="45" x14ac:dyDescent="0.25">
      <c r="F641" s="10">
        <v>2</v>
      </c>
      <c r="G641" s="7"/>
      <c r="H641" s="2" t="s">
        <v>705</v>
      </c>
      <c r="I641" s="7" t="s">
        <v>29</v>
      </c>
      <c r="J641" s="3">
        <v>40168</v>
      </c>
      <c r="K641" s="3" t="s">
        <v>33</v>
      </c>
      <c r="L641" s="32" t="s">
        <v>581</v>
      </c>
      <c r="N641" s="2" t="s">
        <v>974</v>
      </c>
      <c r="O641" s="2" t="s">
        <v>970</v>
      </c>
      <c r="P641" s="2" t="s">
        <v>977</v>
      </c>
      <c r="Q641" s="2" t="s">
        <v>540</v>
      </c>
      <c r="R641" s="2" t="s">
        <v>551</v>
      </c>
    </row>
    <row r="642" spans="1:18" x14ac:dyDescent="0.25">
      <c r="F642" s="10">
        <v>3</v>
      </c>
      <c r="G642" s="7"/>
      <c r="H642" s="2" t="s">
        <v>322</v>
      </c>
      <c r="I642" s="7" t="s">
        <v>29</v>
      </c>
      <c r="J642" s="3">
        <v>40168</v>
      </c>
      <c r="K642" s="3" t="s">
        <v>33</v>
      </c>
      <c r="L642" s="32" t="s">
        <v>581</v>
      </c>
      <c r="N642" s="2" t="s">
        <v>974</v>
      </c>
    </row>
    <row r="643" spans="1:18" ht="30" x14ac:dyDescent="0.25">
      <c r="F643" s="10">
        <v>4</v>
      </c>
      <c r="G643" s="7"/>
      <c r="H643" s="2" t="s">
        <v>706</v>
      </c>
      <c r="I643" s="7" t="s">
        <v>29</v>
      </c>
      <c r="J643" s="3">
        <v>40168</v>
      </c>
      <c r="K643" s="3" t="s">
        <v>33</v>
      </c>
      <c r="L643" s="32" t="s">
        <v>581</v>
      </c>
      <c r="N643" s="2" t="s">
        <v>974</v>
      </c>
    </row>
    <row r="644" spans="1:18" ht="45" x14ac:dyDescent="0.25">
      <c r="F644" s="10">
        <v>5</v>
      </c>
      <c r="G644" s="7"/>
      <c r="H644" s="2" t="s">
        <v>707</v>
      </c>
      <c r="I644" s="7" t="s">
        <v>29</v>
      </c>
      <c r="J644" s="3">
        <v>40168</v>
      </c>
      <c r="K644" s="3" t="s">
        <v>33</v>
      </c>
      <c r="L644" s="32" t="s">
        <v>581</v>
      </c>
      <c r="N644" s="2" t="s">
        <v>974</v>
      </c>
    </row>
    <row r="645" spans="1:18" ht="30" x14ac:dyDescent="0.25">
      <c r="F645" s="10">
        <v>6</v>
      </c>
      <c r="G645" s="7"/>
      <c r="H645" s="2" t="s">
        <v>708</v>
      </c>
      <c r="I645" s="7" t="s">
        <v>29</v>
      </c>
      <c r="J645" s="3">
        <v>40168</v>
      </c>
      <c r="K645" s="3" t="s">
        <v>33</v>
      </c>
      <c r="L645" s="32" t="s">
        <v>581</v>
      </c>
      <c r="N645" s="2" t="s">
        <v>974</v>
      </c>
    </row>
    <row r="646" spans="1:18" x14ac:dyDescent="0.25">
      <c r="E646" s="10" t="s">
        <v>164</v>
      </c>
      <c r="F646" s="10">
        <v>1</v>
      </c>
      <c r="G646" s="7" t="s">
        <v>967</v>
      </c>
      <c r="I646" s="7"/>
      <c r="J646" s="3"/>
      <c r="K646" s="3"/>
      <c r="L646" s="32" t="s">
        <v>581</v>
      </c>
    </row>
    <row r="647" spans="1:18" ht="75" x14ac:dyDescent="0.25">
      <c r="G647" s="7"/>
      <c r="H647" s="2" t="s">
        <v>968</v>
      </c>
      <c r="I647" s="7" t="s">
        <v>30</v>
      </c>
      <c r="J647" s="3" t="s">
        <v>33</v>
      </c>
      <c r="K647" s="3" t="s">
        <v>33</v>
      </c>
      <c r="L647" s="32" t="s">
        <v>581</v>
      </c>
      <c r="N647" s="2" t="s">
        <v>974</v>
      </c>
      <c r="O647" s="2" t="s">
        <v>969</v>
      </c>
      <c r="P647" s="2" t="s">
        <v>977</v>
      </c>
      <c r="Q647" s="2" t="s">
        <v>540</v>
      </c>
      <c r="R647" s="2" t="s">
        <v>552</v>
      </c>
    </row>
    <row r="648" spans="1:18" x14ac:dyDescent="0.25">
      <c r="G648" s="7"/>
      <c r="I648" s="7"/>
      <c r="J648" s="3"/>
      <c r="K648" s="3"/>
      <c r="L648" s="32"/>
    </row>
    <row r="649" spans="1:18" x14ac:dyDescent="0.25">
      <c r="L649" s="32"/>
    </row>
    <row r="650" spans="1:18" ht="30" x14ac:dyDescent="0.25">
      <c r="A650" s="7" t="s">
        <v>287</v>
      </c>
      <c r="B650" s="7" t="s">
        <v>663</v>
      </c>
      <c r="C650" s="7" t="s">
        <v>3848</v>
      </c>
      <c r="D650" s="7" t="s">
        <v>664</v>
      </c>
      <c r="E650" s="10" t="s">
        <v>121</v>
      </c>
      <c r="F650" s="10">
        <v>1</v>
      </c>
      <c r="G650" s="7" t="s">
        <v>671</v>
      </c>
      <c r="L650" s="32" t="s">
        <v>581</v>
      </c>
    </row>
    <row r="651" spans="1:18" ht="30" x14ac:dyDescent="0.25">
      <c r="F651" s="10">
        <v>2</v>
      </c>
      <c r="H651" s="2" t="s">
        <v>709</v>
      </c>
      <c r="I651" s="7" t="s">
        <v>29</v>
      </c>
      <c r="J651" s="3">
        <v>40168</v>
      </c>
      <c r="K651" s="3" t="s">
        <v>33</v>
      </c>
      <c r="L651" s="32" t="s">
        <v>581</v>
      </c>
      <c r="N651" s="2" t="s">
        <v>974</v>
      </c>
    </row>
    <row r="652" spans="1:18" x14ac:dyDescent="0.25">
      <c r="F652" s="10">
        <v>3</v>
      </c>
      <c r="G652" s="2" t="s">
        <v>710</v>
      </c>
      <c r="L652" s="32" t="s">
        <v>581</v>
      </c>
    </row>
    <row r="653" spans="1:18" ht="30" x14ac:dyDescent="0.25">
      <c r="F653" s="10">
        <v>4</v>
      </c>
      <c r="H653" s="2" t="s">
        <v>675</v>
      </c>
      <c r="I653" s="7" t="s">
        <v>29</v>
      </c>
      <c r="J653" s="3">
        <v>40168</v>
      </c>
      <c r="K653" s="3" t="s">
        <v>33</v>
      </c>
      <c r="L653" s="32" t="s">
        <v>581</v>
      </c>
      <c r="N653" s="2" t="s">
        <v>974</v>
      </c>
    </row>
    <row r="654" spans="1:18" x14ac:dyDescent="0.25">
      <c r="F654" s="10">
        <v>5</v>
      </c>
      <c r="H654" s="2" t="s">
        <v>711</v>
      </c>
      <c r="I654" s="2" t="s">
        <v>30</v>
      </c>
      <c r="J654" s="3">
        <v>40168</v>
      </c>
      <c r="K654" s="3" t="s">
        <v>33</v>
      </c>
      <c r="L654" s="32" t="s">
        <v>581</v>
      </c>
      <c r="N654" s="2" t="s">
        <v>974</v>
      </c>
    </row>
    <row r="655" spans="1:18" x14ac:dyDescent="0.25">
      <c r="F655" s="10">
        <v>6</v>
      </c>
      <c r="H655" s="2" t="s">
        <v>712</v>
      </c>
      <c r="I655" s="2" t="s">
        <v>29</v>
      </c>
      <c r="J655" s="3">
        <v>40168</v>
      </c>
      <c r="K655" s="3" t="s">
        <v>33</v>
      </c>
      <c r="L655" s="32" t="s">
        <v>581</v>
      </c>
      <c r="N655" s="2" t="s">
        <v>974</v>
      </c>
    </row>
    <row r="656" spans="1:18" x14ac:dyDescent="0.25">
      <c r="F656" s="10">
        <v>7</v>
      </c>
      <c r="G656" s="2" t="s">
        <v>713</v>
      </c>
      <c r="L656" s="32" t="s">
        <v>581</v>
      </c>
    </row>
    <row r="657" spans="1:17" x14ac:dyDescent="0.25">
      <c r="F657" s="10">
        <v>8</v>
      </c>
      <c r="G657" s="2" t="s">
        <v>92</v>
      </c>
      <c r="L657" s="32" t="s">
        <v>581</v>
      </c>
    </row>
    <row r="658" spans="1:17" ht="30" x14ac:dyDescent="0.25">
      <c r="F658" s="10">
        <v>9</v>
      </c>
      <c r="H658" s="2" t="s">
        <v>714</v>
      </c>
      <c r="I658" s="2" t="s">
        <v>30</v>
      </c>
      <c r="J658" s="3">
        <v>40168</v>
      </c>
      <c r="K658" s="3" t="s">
        <v>33</v>
      </c>
      <c r="L658" s="32" t="s">
        <v>581</v>
      </c>
      <c r="N658" s="2" t="s">
        <v>974</v>
      </c>
    </row>
    <row r="659" spans="1:17" ht="45" x14ac:dyDescent="0.25">
      <c r="F659" s="10">
        <v>10</v>
      </c>
      <c r="H659" s="2" t="s">
        <v>715</v>
      </c>
      <c r="I659" s="2" t="s">
        <v>30</v>
      </c>
      <c r="J659" s="3">
        <v>40168</v>
      </c>
      <c r="K659" s="3" t="s">
        <v>33</v>
      </c>
      <c r="L659" s="32" t="s">
        <v>581</v>
      </c>
      <c r="N659" s="2" t="s">
        <v>974</v>
      </c>
    </row>
    <row r="660" spans="1:17" ht="30" x14ac:dyDescent="0.25">
      <c r="F660" s="10">
        <v>11</v>
      </c>
      <c r="H660" s="2" t="s">
        <v>716</v>
      </c>
      <c r="I660" s="2" t="s">
        <v>30</v>
      </c>
      <c r="J660" s="3">
        <v>40168</v>
      </c>
      <c r="K660" s="3" t="s">
        <v>33</v>
      </c>
      <c r="L660" s="32" t="s">
        <v>581</v>
      </c>
      <c r="N660" s="2" t="s">
        <v>974</v>
      </c>
    </row>
    <row r="661" spans="1:17" x14ac:dyDescent="0.25">
      <c r="E661" s="10" t="s">
        <v>439</v>
      </c>
      <c r="F661" s="10">
        <v>1</v>
      </c>
      <c r="G661" s="2" t="s">
        <v>320</v>
      </c>
      <c r="L661" s="32" t="s">
        <v>581</v>
      </c>
    </row>
    <row r="662" spans="1:17" ht="30" x14ac:dyDescent="0.25">
      <c r="F662" s="10">
        <v>2</v>
      </c>
      <c r="H662" s="2" t="s">
        <v>321</v>
      </c>
      <c r="I662" s="2" t="s">
        <v>30</v>
      </c>
      <c r="J662" s="3">
        <v>40168</v>
      </c>
      <c r="K662" s="3" t="s">
        <v>33</v>
      </c>
      <c r="L662" s="32" t="s">
        <v>581</v>
      </c>
      <c r="N662" s="2" t="s">
        <v>974</v>
      </c>
    </row>
    <row r="663" spans="1:17" x14ac:dyDescent="0.25">
      <c r="F663" s="10">
        <v>3</v>
      </c>
      <c r="G663" s="2" t="s">
        <v>591</v>
      </c>
      <c r="L663" s="32" t="s">
        <v>581</v>
      </c>
    </row>
    <row r="664" spans="1:17" x14ac:dyDescent="0.25">
      <c r="E664" s="10" t="s">
        <v>374</v>
      </c>
      <c r="F664" s="10">
        <v>1</v>
      </c>
      <c r="G664" s="2" t="s">
        <v>695</v>
      </c>
      <c r="I664" s="7"/>
      <c r="L664" s="32" t="s">
        <v>581</v>
      </c>
    </row>
    <row r="665" spans="1:17" ht="30" x14ac:dyDescent="0.25">
      <c r="F665" s="10">
        <v>2</v>
      </c>
      <c r="H665" s="2" t="s">
        <v>716</v>
      </c>
      <c r="I665" s="7" t="s">
        <v>30</v>
      </c>
      <c r="J665" s="3">
        <v>40168</v>
      </c>
      <c r="K665" s="3" t="s">
        <v>33</v>
      </c>
      <c r="L665" s="32" t="s">
        <v>581</v>
      </c>
      <c r="N665" s="2" t="s">
        <v>974</v>
      </c>
    </row>
    <row r="666" spans="1:17" x14ac:dyDescent="0.25">
      <c r="L666" s="32"/>
    </row>
    <row r="667" spans="1:17" ht="30" x14ac:dyDescent="0.25">
      <c r="A667" s="7" t="s">
        <v>288</v>
      </c>
      <c r="B667" s="7" t="s">
        <v>665</v>
      </c>
      <c r="C667" s="7" t="s">
        <v>3848</v>
      </c>
      <c r="D667" s="7" t="s">
        <v>666</v>
      </c>
      <c r="E667" s="10" t="s">
        <v>121</v>
      </c>
      <c r="F667" s="10">
        <v>1</v>
      </c>
      <c r="G667" s="7" t="s">
        <v>671</v>
      </c>
      <c r="L667" s="32" t="s">
        <v>581</v>
      </c>
    </row>
    <row r="668" spans="1:17" ht="30" x14ac:dyDescent="0.25">
      <c r="F668" s="10">
        <v>2</v>
      </c>
      <c r="H668" s="2" t="s">
        <v>717</v>
      </c>
      <c r="I668" s="7" t="s">
        <v>29</v>
      </c>
      <c r="J668" s="3">
        <v>40168</v>
      </c>
      <c r="K668" s="3" t="s">
        <v>33</v>
      </c>
      <c r="L668" s="32" t="s">
        <v>581</v>
      </c>
      <c r="N668" s="2" t="s">
        <v>974</v>
      </c>
    </row>
    <row r="669" spans="1:17" x14ac:dyDescent="0.25">
      <c r="F669" s="10">
        <v>3</v>
      </c>
      <c r="G669" s="2" t="s">
        <v>718</v>
      </c>
      <c r="L669" s="32" t="s">
        <v>581</v>
      </c>
    </row>
    <row r="670" spans="1:17" ht="60" x14ac:dyDescent="0.25">
      <c r="F670" s="10">
        <v>4</v>
      </c>
      <c r="H670" s="2" t="s">
        <v>719</v>
      </c>
      <c r="I670" s="7" t="s">
        <v>30</v>
      </c>
      <c r="J670" s="3">
        <v>40168</v>
      </c>
      <c r="K670" s="3" t="s">
        <v>33</v>
      </c>
      <c r="L670" s="32" t="s">
        <v>581</v>
      </c>
      <c r="N670" s="2" t="s">
        <v>974</v>
      </c>
      <c r="O670" s="2" t="s">
        <v>553</v>
      </c>
      <c r="P670" s="2" t="s">
        <v>982</v>
      </c>
      <c r="Q670" s="2" t="s">
        <v>540</v>
      </c>
    </row>
    <row r="671" spans="1:17" x14ac:dyDescent="0.25">
      <c r="I671" s="7"/>
      <c r="J671" s="3"/>
      <c r="K671" s="3"/>
      <c r="L671" s="32" t="s">
        <v>581</v>
      </c>
      <c r="N671" s="2" t="s">
        <v>974</v>
      </c>
      <c r="O671" s="2" t="s">
        <v>554</v>
      </c>
      <c r="P671" s="2" t="s">
        <v>982</v>
      </c>
      <c r="Q671" s="2" t="s">
        <v>540</v>
      </c>
    </row>
    <row r="672" spans="1:17" x14ac:dyDescent="0.25">
      <c r="F672" s="10">
        <v>5</v>
      </c>
      <c r="G672" s="2" t="s">
        <v>720</v>
      </c>
      <c r="L672" s="32" t="s">
        <v>581</v>
      </c>
    </row>
    <row r="673" spans="1:18" x14ac:dyDescent="0.25">
      <c r="F673" s="10">
        <v>6</v>
      </c>
      <c r="H673" s="2" t="s">
        <v>721</v>
      </c>
      <c r="I673" s="7" t="s">
        <v>30</v>
      </c>
      <c r="J673" s="3">
        <v>40168</v>
      </c>
      <c r="K673" s="3" t="s">
        <v>33</v>
      </c>
      <c r="L673" s="32" t="s">
        <v>581</v>
      </c>
      <c r="N673" s="2" t="s">
        <v>974</v>
      </c>
    </row>
    <row r="674" spans="1:18" ht="30" x14ac:dyDescent="0.25">
      <c r="F674" s="10">
        <v>7</v>
      </c>
      <c r="H674" s="2" t="s">
        <v>722</v>
      </c>
      <c r="I674" s="7" t="s">
        <v>30</v>
      </c>
      <c r="J674" s="3">
        <v>40168</v>
      </c>
      <c r="K674" s="3" t="s">
        <v>33</v>
      </c>
      <c r="L674" s="32" t="s">
        <v>581</v>
      </c>
      <c r="N674" s="2" t="s">
        <v>974</v>
      </c>
    </row>
    <row r="675" spans="1:18" ht="30" x14ac:dyDescent="0.25">
      <c r="F675" s="10">
        <v>8</v>
      </c>
      <c r="H675" s="2" t="s">
        <v>723</v>
      </c>
      <c r="I675" s="7" t="s">
        <v>30</v>
      </c>
      <c r="J675" s="3">
        <v>40168</v>
      </c>
      <c r="K675" s="3" t="s">
        <v>33</v>
      </c>
      <c r="L675" s="32" t="s">
        <v>581</v>
      </c>
      <c r="N675" s="2" t="s">
        <v>974</v>
      </c>
    </row>
    <row r="676" spans="1:18" x14ac:dyDescent="0.25">
      <c r="E676" s="10" t="s">
        <v>308</v>
      </c>
      <c r="F676" s="10">
        <v>1</v>
      </c>
      <c r="G676" s="2" t="s">
        <v>710</v>
      </c>
      <c r="L676" s="32" t="s">
        <v>581</v>
      </c>
    </row>
    <row r="677" spans="1:18" ht="30" x14ac:dyDescent="0.25">
      <c r="F677" s="10">
        <v>2</v>
      </c>
      <c r="H677" s="2" t="s">
        <v>675</v>
      </c>
      <c r="I677" s="7" t="s">
        <v>29</v>
      </c>
      <c r="J677" s="3">
        <v>40168</v>
      </c>
      <c r="K677" s="3" t="s">
        <v>33</v>
      </c>
      <c r="L677" s="32" t="s">
        <v>581</v>
      </c>
      <c r="N677" s="2" t="s">
        <v>974</v>
      </c>
    </row>
    <row r="678" spans="1:18" x14ac:dyDescent="0.25">
      <c r="F678" s="10">
        <v>3</v>
      </c>
      <c r="H678" s="2" t="s">
        <v>724</v>
      </c>
      <c r="I678" s="7" t="s">
        <v>30</v>
      </c>
      <c r="J678" s="3">
        <v>40168</v>
      </c>
      <c r="K678" s="3" t="s">
        <v>33</v>
      </c>
      <c r="L678" s="32" t="s">
        <v>581</v>
      </c>
      <c r="N678" s="2" t="s">
        <v>974</v>
      </c>
    </row>
    <row r="679" spans="1:18" x14ac:dyDescent="0.25">
      <c r="F679" s="10">
        <v>4</v>
      </c>
      <c r="G679" s="2" t="s">
        <v>725</v>
      </c>
      <c r="L679" s="32" t="s">
        <v>581</v>
      </c>
    </row>
    <row r="680" spans="1:18" ht="30" x14ac:dyDescent="0.25">
      <c r="F680" s="10">
        <v>5</v>
      </c>
      <c r="H680" s="2" t="s">
        <v>726</v>
      </c>
      <c r="I680" s="7" t="s">
        <v>30</v>
      </c>
      <c r="J680" s="3">
        <v>40168</v>
      </c>
      <c r="K680" s="3" t="s">
        <v>33</v>
      </c>
      <c r="L680" s="32" t="s">
        <v>581</v>
      </c>
      <c r="N680" s="2" t="s">
        <v>974</v>
      </c>
      <c r="O680" s="2" t="s">
        <v>555</v>
      </c>
      <c r="P680" s="2" t="s">
        <v>982</v>
      </c>
      <c r="Q680" s="2" t="s">
        <v>540</v>
      </c>
      <c r="R680" s="2" t="s">
        <v>1137</v>
      </c>
    </row>
    <row r="681" spans="1:18" x14ac:dyDescent="0.25">
      <c r="L681" s="32"/>
    </row>
    <row r="682" spans="1:18" ht="30" x14ac:dyDescent="0.25">
      <c r="A682" s="7" t="s">
        <v>641</v>
      </c>
      <c r="B682" s="7" t="s">
        <v>667</v>
      </c>
      <c r="C682" s="7" t="s">
        <v>3848</v>
      </c>
      <c r="D682" s="7" t="s">
        <v>668</v>
      </c>
      <c r="E682" s="10" t="s">
        <v>121</v>
      </c>
      <c r="F682" s="10">
        <v>1</v>
      </c>
      <c r="G682" s="7" t="s">
        <v>671</v>
      </c>
      <c r="L682" s="32" t="s">
        <v>581</v>
      </c>
    </row>
    <row r="683" spans="1:18" ht="30" x14ac:dyDescent="0.25">
      <c r="F683" s="10">
        <v>2</v>
      </c>
      <c r="H683" s="2" t="s">
        <v>727</v>
      </c>
      <c r="I683" s="2" t="s">
        <v>29</v>
      </c>
      <c r="J683" s="3">
        <v>40168</v>
      </c>
      <c r="K683" s="3" t="s">
        <v>33</v>
      </c>
      <c r="L683" s="32" t="s">
        <v>581</v>
      </c>
      <c r="N683" s="2" t="s">
        <v>974</v>
      </c>
    </row>
    <row r="684" spans="1:18" x14ac:dyDescent="0.25">
      <c r="F684" s="10">
        <v>3</v>
      </c>
      <c r="G684" s="2" t="s">
        <v>728</v>
      </c>
      <c r="K684" s="2"/>
      <c r="L684" s="32" t="s">
        <v>581</v>
      </c>
    </row>
    <row r="685" spans="1:18" ht="30" x14ac:dyDescent="0.25">
      <c r="F685" s="10">
        <v>4</v>
      </c>
      <c r="H685" s="2" t="s">
        <v>675</v>
      </c>
      <c r="I685" s="2" t="s">
        <v>30</v>
      </c>
      <c r="J685" s="3">
        <v>40168</v>
      </c>
      <c r="K685" s="3" t="s">
        <v>33</v>
      </c>
      <c r="L685" s="32" t="s">
        <v>581</v>
      </c>
      <c r="N685" s="2" t="s">
        <v>974</v>
      </c>
    </row>
    <row r="686" spans="1:18" x14ac:dyDescent="0.25">
      <c r="F686" s="10">
        <v>5</v>
      </c>
      <c r="H686" s="2" t="s">
        <v>711</v>
      </c>
      <c r="I686" s="2" t="s">
        <v>30</v>
      </c>
      <c r="J686" s="3">
        <v>40168</v>
      </c>
      <c r="K686" s="3" t="s">
        <v>33</v>
      </c>
      <c r="L686" s="32" t="s">
        <v>581</v>
      </c>
      <c r="N686" s="2" t="s">
        <v>974</v>
      </c>
    </row>
    <row r="687" spans="1:18" ht="60" x14ac:dyDescent="0.25">
      <c r="F687" s="10">
        <v>6</v>
      </c>
      <c r="H687" s="2" t="s">
        <v>729</v>
      </c>
      <c r="I687" s="2" t="s">
        <v>30</v>
      </c>
      <c r="J687" s="3">
        <v>40168</v>
      </c>
      <c r="K687" s="3" t="s">
        <v>33</v>
      </c>
      <c r="L687" s="32" t="s">
        <v>581</v>
      </c>
      <c r="N687" s="2" t="s">
        <v>974</v>
      </c>
      <c r="O687" s="2" t="s">
        <v>557</v>
      </c>
      <c r="P687" s="2" t="s">
        <v>977</v>
      </c>
      <c r="Q687" s="2" t="s">
        <v>540</v>
      </c>
    </row>
    <row r="688" spans="1:18" ht="30" x14ac:dyDescent="0.25">
      <c r="F688" s="10">
        <v>7</v>
      </c>
      <c r="H688" s="2" t="s">
        <v>730</v>
      </c>
      <c r="I688" s="2" t="s">
        <v>30</v>
      </c>
      <c r="J688" s="3">
        <v>40168</v>
      </c>
      <c r="K688" s="3" t="s">
        <v>33</v>
      </c>
      <c r="L688" s="32" t="s">
        <v>581</v>
      </c>
      <c r="N688" s="2" t="s">
        <v>974</v>
      </c>
      <c r="O688" s="2" t="s">
        <v>556</v>
      </c>
      <c r="P688" s="2" t="s">
        <v>977</v>
      </c>
      <c r="Q688" s="2" t="s">
        <v>540</v>
      </c>
    </row>
    <row r="689" spans="1:18" x14ac:dyDescent="0.25">
      <c r="L689" s="32"/>
    </row>
    <row r="690" spans="1:18" ht="45" x14ac:dyDescent="0.25">
      <c r="A690" s="7" t="s">
        <v>864</v>
      </c>
      <c r="B690" s="26" t="s">
        <v>1291</v>
      </c>
      <c r="C690" s="7" t="s">
        <v>3848</v>
      </c>
      <c r="D690" s="26" t="s">
        <v>1318</v>
      </c>
      <c r="E690" s="10" t="s">
        <v>121</v>
      </c>
      <c r="F690" s="10">
        <v>1</v>
      </c>
      <c r="G690" s="2" t="s">
        <v>1323</v>
      </c>
      <c r="L690" s="32" t="s">
        <v>581</v>
      </c>
    </row>
    <row r="691" spans="1:18" ht="30" x14ac:dyDescent="0.25">
      <c r="F691" s="10">
        <v>2</v>
      </c>
      <c r="H691" s="2" t="s">
        <v>1324</v>
      </c>
      <c r="I691" s="2" t="s">
        <v>29</v>
      </c>
      <c r="J691" s="22"/>
      <c r="K691" s="3" t="s">
        <v>33</v>
      </c>
      <c r="L691" s="32" t="s">
        <v>581</v>
      </c>
      <c r="N691" s="2" t="s">
        <v>974</v>
      </c>
      <c r="O691" s="2" t="s">
        <v>2280</v>
      </c>
      <c r="P691" s="2" t="s">
        <v>977</v>
      </c>
      <c r="Q691" s="2" t="s">
        <v>540</v>
      </c>
      <c r="R691" s="2" t="s">
        <v>2354</v>
      </c>
    </row>
    <row r="692" spans="1:18" ht="45" x14ac:dyDescent="0.25">
      <c r="K692" s="3"/>
      <c r="L692" s="32"/>
      <c r="N692" s="2" t="s">
        <v>974</v>
      </c>
      <c r="O692" s="2" t="s">
        <v>2281</v>
      </c>
      <c r="P692" s="2" t="s">
        <v>977</v>
      </c>
      <c r="Q692" s="2" t="s">
        <v>540</v>
      </c>
      <c r="R692" s="2" t="s">
        <v>2354</v>
      </c>
    </row>
    <row r="693" spans="1:18" ht="45" x14ac:dyDescent="0.25">
      <c r="K693" s="3"/>
      <c r="L693" s="32"/>
      <c r="N693" s="2" t="s">
        <v>974</v>
      </c>
      <c r="O693" s="2" t="s">
        <v>2282</v>
      </c>
      <c r="P693" s="2" t="s">
        <v>977</v>
      </c>
      <c r="Q693" s="2" t="s">
        <v>540</v>
      </c>
      <c r="R693" s="2" t="s">
        <v>2354</v>
      </c>
    </row>
    <row r="694" spans="1:18" x14ac:dyDescent="0.25">
      <c r="F694" s="10">
        <v>3</v>
      </c>
      <c r="G694" s="2" t="s">
        <v>674</v>
      </c>
      <c r="L694" s="32" t="s">
        <v>581</v>
      </c>
    </row>
    <row r="695" spans="1:18" ht="45" x14ac:dyDescent="0.25">
      <c r="F695" s="10">
        <v>4</v>
      </c>
      <c r="H695" s="2" t="s">
        <v>1325</v>
      </c>
      <c r="I695" s="2" t="s">
        <v>29</v>
      </c>
      <c r="J695" s="22"/>
      <c r="K695" s="3" t="s">
        <v>33</v>
      </c>
      <c r="L695" s="32" t="s">
        <v>581</v>
      </c>
      <c r="N695" s="2" t="s">
        <v>974</v>
      </c>
      <c r="O695" s="2" t="s">
        <v>2277</v>
      </c>
      <c r="P695" s="2" t="s">
        <v>977</v>
      </c>
      <c r="Q695" s="2" t="s">
        <v>540</v>
      </c>
      <c r="R695" s="2" t="s">
        <v>2354</v>
      </c>
    </row>
    <row r="696" spans="1:18" ht="60" x14ac:dyDescent="0.25">
      <c r="J696" s="22"/>
      <c r="K696" s="3"/>
      <c r="L696" s="32"/>
      <c r="N696" s="2" t="s">
        <v>974</v>
      </c>
      <c r="O696" s="2" t="s">
        <v>2278</v>
      </c>
      <c r="P696" s="2" t="s">
        <v>977</v>
      </c>
      <c r="Q696" s="2" t="s">
        <v>540</v>
      </c>
      <c r="R696" s="2" t="s">
        <v>2354</v>
      </c>
    </row>
    <row r="697" spans="1:18" ht="45" x14ac:dyDescent="0.25">
      <c r="J697" s="22"/>
      <c r="K697" s="3"/>
      <c r="L697" s="32"/>
      <c r="N697" s="2" t="s">
        <v>974</v>
      </c>
      <c r="O697" s="2" t="s">
        <v>2279</v>
      </c>
      <c r="P697" s="2" t="s">
        <v>977</v>
      </c>
      <c r="Q697" s="2" t="s">
        <v>540</v>
      </c>
      <c r="R697" s="2" t="s">
        <v>2354</v>
      </c>
    </row>
    <row r="698" spans="1:18" ht="60" x14ac:dyDescent="0.25">
      <c r="K698" s="3"/>
      <c r="L698" s="32"/>
      <c r="N698" s="2" t="s">
        <v>974</v>
      </c>
      <c r="O698" s="2" t="s">
        <v>2283</v>
      </c>
      <c r="P698" s="2" t="s">
        <v>982</v>
      </c>
      <c r="Q698" s="2" t="s">
        <v>540</v>
      </c>
      <c r="R698" s="2" t="s">
        <v>2354</v>
      </c>
    </row>
    <row r="699" spans="1:18" x14ac:dyDescent="0.25">
      <c r="L699" s="32"/>
    </row>
    <row r="700" spans="1:18" ht="75" x14ac:dyDescent="0.25">
      <c r="A700" s="7" t="s">
        <v>337</v>
      </c>
      <c r="B700" s="7" t="s">
        <v>731</v>
      </c>
      <c r="C700" s="7" t="s">
        <v>3848</v>
      </c>
      <c r="D700" s="7" t="s">
        <v>670</v>
      </c>
      <c r="G700" s="4" t="s">
        <v>31</v>
      </c>
      <c r="I700" s="4" t="s">
        <v>31</v>
      </c>
      <c r="J700" s="3">
        <v>40168</v>
      </c>
      <c r="K700" s="3" t="s">
        <v>33</v>
      </c>
      <c r="L700" s="32"/>
      <c r="M700" s="2" t="s">
        <v>783</v>
      </c>
    </row>
    <row r="701" spans="1:18" x14ac:dyDescent="0.25">
      <c r="L701" s="32"/>
    </row>
    <row r="702" spans="1:18" ht="45" x14ac:dyDescent="0.25">
      <c r="A702" s="7" t="s">
        <v>338</v>
      </c>
      <c r="B702" s="7" t="s">
        <v>324</v>
      </c>
      <c r="C702" s="7" t="s">
        <v>39</v>
      </c>
      <c r="D702" s="7" t="s">
        <v>325</v>
      </c>
      <c r="E702" s="10" t="s">
        <v>121</v>
      </c>
      <c r="F702" s="10">
        <v>1</v>
      </c>
      <c r="G702" s="2" t="s">
        <v>3309</v>
      </c>
      <c r="L702" s="32"/>
      <c r="M702" s="2" t="s">
        <v>479</v>
      </c>
    </row>
    <row r="703" spans="1:18" ht="105" x14ac:dyDescent="0.25">
      <c r="F703" s="10">
        <v>2</v>
      </c>
      <c r="H703" s="2" t="s">
        <v>735</v>
      </c>
      <c r="I703" s="2" t="s">
        <v>29</v>
      </c>
      <c r="J703" s="3">
        <v>40190</v>
      </c>
      <c r="K703" s="3">
        <v>40254</v>
      </c>
      <c r="L703" s="32" t="s">
        <v>474</v>
      </c>
      <c r="M703" s="2" t="s">
        <v>587</v>
      </c>
      <c r="N703" s="2" t="s">
        <v>974</v>
      </c>
      <c r="O703" s="2" t="s">
        <v>1138</v>
      </c>
      <c r="P703" s="2" t="s">
        <v>977</v>
      </c>
      <c r="Q703" s="2" t="s">
        <v>1473</v>
      </c>
    </row>
    <row r="704" spans="1:18" ht="30" x14ac:dyDescent="0.25">
      <c r="F704" s="10">
        <v>3</v>
      </c>
      <c r="G704" s="2" t="s">
        <v>404</v>
      </c>
      <c r="L704" s="32"/>
    </row>
    <row r="705" spans="5:18" ht="30" x14ac:dyDescent="0.25">
      <c r="F705" s="10">
        <v>4</v>
      </c>
      <c r="H705" s="2" t="s">
        <v>405</v>
      </c>
      <c r="I705" s="2" t="s">
        <v>29</v>
      </c>
      <c r="J705" s="3">
        <v>40190</v>
      </c>
      <c r="K705" s="3">
        <v>40254</v>
      </c>
      <c r="L705" s="32" t="s">
        <v>474</v>
      </c>
      <c r="N705" s="2" t="s">
        <v>974</v>
      </c>
    </row>
    <row r="706" spans="5:18" ht="30" x14ac:dyDescent="0.25">
      <c r="F706" s="10">
        <v>5</v>
      </c>
      <c r="H706" s="2" t="s">
        <v>736</v>
      </c>
      <c r="I706" s="2" t="s">
        <v>29</v>
      </c>
      <c r="J706" s="3">
        <v>40190</v>
      </c>
      <c r="K706" s="3">
        <v>40254</v>
      </c>
      <c r="L706" s="32" t="s">
        <v>474</v>
      </c>
      <c r="N706" s="2" t="s">
        <v>974</v>
      </c>
    </row>
    <row r="707" spans="5:18" ht="30" x14ac:dyDescent="0.25">
      <c r="F707" s="10">
        <v>6</v>
      </c>
      <c r="H707" s="2" t="s">
        <v>409</v>
      </c>
      <c r="I707" s="2" t="s">
        <v>30</v>
      </c>
      <c r="J707" s="3">
        <v>40190</v>
      </c>
      <c r="K707" s="3">
        <v>40254</v>
      </c>
      <c r="L707" s="32" t="s">
        <v>474</v>
      </c>
      <c r="N707" s="2" t="s">
        <v>974</v>
      </c>
    </row>
    <row r="708" spans="5:18" ht="90" x14ac:dyDescent="0.25">
      <c r="F708" s="10">
        <v>7</v>
      </c>
      <c r="H708" s="2" t="s">
        <v>411</v>
      </c>
      <c r="I708" s="2" t="s">
        <v>30</v>
      </c>
      <c r="J708" s="3">
        <v>40190</v>
      </c>
      <c r="K708" s="3">
        <v>40254</v>
      </c>
      <c r="L708" s="32" t="s">
        <v>474</v>
      </c>
      <c r="N708" s="2" t="s">
        <v>974</v>
      </c>
    </row>
    <row r="709" spans="5:18" ht="135" x14ac:dyDescent="0.25">
      <c r="F709" s="10">
        <v>8</v>
      </c>
      <c r="H709" s="2" t="s">
        <v>737</v>
      </c>
      <c r="I709" s="2" t="s">
        <v>30</v>
      </c>
      <c r="J709" s="3">
        <v>40190</v>
      </c>
      <c r="K709" s="3">
        <v>40254</v>
      </c>
      <c r="L709" s="32" t="s">
        <v>14</v>
      </c>
      <c r="N709" s="2" t="s">
        <v>974</v>
      </c>
      <c r="O709" s="2" t="s">
        <v>1139</v>
      </c>
      <c r="P709" s="7" t="s">
        <v>980</v>
      </c>
      <c r="Q709" s="2" t="s">
        <v>540</v>
      </c>
      <c r="R709" s="2" t="s">
        <v>3310</v>
      </c>
    </row>
    <row r="710" spans="5:18" ht="105" x14ac:dyDescent="0.25">
      <c r="F710" s="10">
        <v>9</v>
      </c>
      <c r="H710" s="7" t="s">
        <v>589</v>
      </c>
      <c r="I710" s="2" t="s">
        <v>29</v>
      </c>
      <c r="J710" s="3">
        <v>40190</v>
      </c>
      <c r="K710" s="3">
        <v>40254</v>
      </c>
      <c r="L710" s="32" t="s">
        <v>474</v>
      </c>
      <c r="M710" s="2" t="s">
        <v>586</v>
      </c>
      <c r="N710" s="2" t="s">
        <v>974</v>
      </c>
      <c r="O710" s="2" t="s">
        <v>1435</v>
      </c>
      <c r="P710" s="7" t="s">
        <v>977</v>
      </c>
      <c r="Q710" s="2" t="s">
        <v>540</v>
      </c>
      <c r="R710" s="2" t="s">
        <v>1446</v>
      </c>
    </row>
    <row r="711" spans="5:18" ht="90" x14ac:dyDescent="0.25">
      <c r="F711" s="10">
        <v>10</v>
      </c>
      <c r="H711" s="7" t="s">
        <v>470</v>
      </c>
      <c r="I711" s="2" t="s">
        <v>29</v>
      </c>
      <c r="J711" s="3">
        <v>40294</v>
      </c>
      <c r="K711" s="3">
        <v>40254</v>
      </c>
      <c r="L711" s="32" t="s">
        <v>474</v>
      </c>
      <c r="N711" s="2" t="s">
        <v>974</v>
      </c>
      <c r="O711" s="2" t="s">
        <v>1415</v>
      </c>
      <c r="P711" s="7" t="s">
        <v>977</v>
      </c>
      <c r="Q711" s="2" t="s">
        <v>540</v>
      </c>
      <c r="R711" s="2" t="s">
        <v>3311</v>
      </c>
    </row>
    <row r="712" spans="5:18" ht="45" x14ac:dyDescent="0.25">
      <c r="F712" s="10">
        <v>11</v>
      </c>
      <c r="H712" s="7" t="s">
        <v>433</v>
      </c>
      <c r="I712" s="2" t="s">
        <v>29</v>
      </c>
      <c r="J712" s="3">
        <v>40190</v>
      </c>
      <c r="K712" s="3">
        <v>40254</v>
      </c>
      <c r="L712" s="32" t="s">
        <v>14</v>
      </c>
      <c r="N712" s="2" t="s">
        <v>974</v>
      </c>
      <c r="O712" s="2" t="s">
        <v>1140</v>
      </c>
      <c r="P712" s="7" t="s">
        <v>980</v>
      </c>
      <c r="Q712" s="2" t="s">
        <v>540</v>
      </c>
      <c r="R712" s="2" t="s">
        <v>3310</v>
      </c>
    </row>
    <row r="713" spans="5:18" ht="45" x14ac:dyDescent="0.25">
      <c r="F713" s="10">
        <v>12</v>
      </c>
      <c r="H713" s="7" t="s">
        <v>407</v>
      </c>
      <c r="I713" s="2" t="s">
        <v>29</v>
      </c>
      <c r="J713" s="3">
        <v>40190</v>
      </c>
      <c r="K713" s="3">
        <v>40254</v>
      </c>
      <c r="L713" s="32" t="s">
        <v>14</v>
      </c>
      <c r="N713" s="2" t="s">
        <v>974</v>
      </c>
      <c r="O713" s="2" t="s">
        <v>1140</v>
      </c>
      <c r="P713" s="7" t="s">
        <v>980</v>
      </c>
      <c r="Q713" s="2" t="s">
        <v>540</v>
      </c>
      <c r="R713" s="2" t="s">
        <v>3310</v>
      </c>
    </row>
    <row r="714" spans="5:18" ht="30" x14ac:dyDescent="0.25">
      <c r="F714" s="10">
        <v>13</v>
      </c>
      <c r="G714" s="2" t="s">
        <v>406</v>
      </c>
      <c r="L714" s="32"/>
    </row>
    <row r="715" spans="5:18" x14ac:dyDescent="0.25">
      <c r="F715" s="10">
        <v>14</v>
      </c>
      <c r="H715" s="2" t="s">
        <v>408</v>
      </c>
      <c r="I715" s="2" t="s">
        <v>29</v>
      </c>
      <c r="J715" s="3">
        <v>40190</v>
      </c>
      <c r="K715" s="3">
        <v>40254</v>
      </c>
      <c r="L715" s="32" t="s">
        <v>474</v>
      </c>
      <c r="N715" s="2" t="s">
        <v>974</v>
      </c>
    </row>
    <row r="716" spans="5:18" x14ac:dyDescent="0.25">
      <c r="F716" s="10">
        <v>15</v>
      </c>
      <c r="G716" s="2" t="s">
        <v>410</v>
      </c>
      <c r="L716" s="32"/>
    </row>
    <row r="717" spans="5:18" ht="60" x14ac:dyDescent="0.25">
      <c r="F717" s="10">
        <v>16</v>
      </c>
      <c r="H717" s="2" t="s">
        <v>416</v>
      </c>
      <c r="I717" s="2" t="s">
        <v>29</v>
      </c>
      <c r="J717" s="3">
        <v>40190</v>
      </c>
      <c r="K717" s="3">
        <v>40254</v>
      </c>
      <c r="L717" s="32" t="s">
        <v>474</v>
      </c>
      <c r="N717" s="2" t="s">
        <v>974</v>
      </c>
    </row>
    <row r="718" spans="5:18" ht="60" x14ac:dyDescent="0.25">
      <c r="E718" s="10" t="s">
        <v>126</v>
      </c>
      <c r="F718" s="10">
        <v>1</v>
      </c>
      <c r="G718" s="2" t="s">
        <v>3312</v>
      </c>
      <c r="J718" s="3"/>
      <c r="K718" s="3"/>
      <c r="L718" s="32"/>
    </row>
    <row r="719" spans="5:18" x14ac:dyDescent="0.25">
      <c r="F719" s="10">
        <v>2</v>
      </c>
      <c r="H719" s="2" t="s">
        <v>588</v>
      </c>
      <c r="I719" s="2" t="s">
        <v>29</v>
      </c>
      <c r="J719" s="3">
        <v>40199</v>
      </c>
      <c r="K719" s="3">
        <v>40254</v>
      </c>
      <c r="L719" s="32" t="s">
        <v>14</v>
      </c>
      <c r="N719" s="2" t="s">
        <v>974</v>
      </c>
    </row>
    <row r="720" spans="5:18" x14ac:dyDescent="0.25">
      <c r="J720" s="3"/>
      <c r="K720" s="3"/>
      <c r="L720" s="32"/>
    </row>
    <row r="721" spans="1:256" ht="60" x14ac:dyDescent="0.25">
      <c r="A721" s="7" t="s">
        <v>382</v>
      </c>
      <c r="B721" s="7" t="s">
        <v>412</v>
      </c>
      <c r="C721" s="7" t="s">
        <v>39</v>
      </c>
      <c r="D721" s="7" t="s">
        <v>3313</v>
      </c>
      <c r="E721" s="10" t="s">
        <v>121</v>
      </c>
      <c r="F721" s="10">
        <v>1</v>
      </c>
      <c r="G721" s="2" t="s">
        <v>3314</v>
      </c>
      <c r="J721" s="3"/>
      <c r="K721" s="3"/>
      <c r="L721" s="32"/>
    </row>
    <row r="722" spans="1:256" ht="45" x14ac:dyDescent="0.25">
      <c r="F722" s="10">
        <v>2</v>
      </c>
      <c r="H722" s="2" t="s">
        <v>419</v>
      </c>
      <c r="I722" s="2" t="s">
        <v>29</v>
      </c>
      <c r="J722" s="3">
        <v>40190</v>
      </c>
      <c r="K722" s="22"/>
      <c r="L722" s="32" t="s">
        <v>474</v>
      </c>
      <c r="N722" s="2" t="s">
        <v>974</v>
      </c>
    </row>
    <row r="723" spans="1:256" ht="30" x14ac:dyDescent="0.25">
      <c r="F723" s="10">
        <v>3</v>
      </c>
      <c r="H723" s="7" t="s">
        <v>471</v>
      </c>
      <c r="I723" s="2" t="s">
        <v>29</v>
      </c>
      <c r="J723" s="3">
        <v>40190</v>
      </c>
      <c r="K723" s="22"/>
      <c r="L723" s="32" t="s">
        <v>474</v>
      </c>
      <c r="N723" s="2" t="s">
        <v>974</v>
      </c>
    </row>
    <row r="724" spans="1:256" x14ac:dyDescent="0.25">
      <c r="J724" s="3"/>
      <c r="K724" s="3"/>
      <c r="L724" s="32"/>
    </row>
    <row r="725" spans="1:256" s="7" customFormat="1" ht="30" x14ac:dyDescent="0.25">
      <c r="A725" s="7" t="s">
        <v>339</v>
      </c>
      <c r="B725" s="7" t="s">
        <v>323</v>
      </c>
      <c r="C725" s="7" t="s">
        <v>39</v>
      </c>
      <c r="D725" s="7" t="s">
        <v>326</v>
      </c>
      <c r="E725" s="11" t="s">
        <v>121</v>
      </c>
      <c r="F725" s="11">
        <v>1</v>
      </c>
      <c r="G725" s="2" t="s">
        <v>466</v>
      </c>
      <c r="H725" s="2"/>
      <c r="I725" s="3"/>
      <c r="J725" s="3"/>
      <c r="K725" s="3"/>
      <c r="L725" s="32"/>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c r="GE725" s="3"/>
      <c r="GF725" s="3"/>
      <c r="GG725" s="3"/>
      <c r="GH725" s="3"/>
      <c r="GI725" s="3"/>
      <c r="GJ725" s="3"/>
      <c r="GK725" s="3"/>
      <c r="GL725" s="3"/>
      <c r="GM725" s="3"/>
      <c r="GN725" s="3"/>
      <c r="GO725" s="3"/>
      <c r="GP725" s="3"/>
      <c r="GQ725" s="3"/>
      <c r="GR725" s="3"/>
      <c r="GS725" s="3"/>
      <c r="GT725" s="3"/>
      <c r="GU725" s="3"/>
      <c r="GV725" s="3"/>
      <c r="GW725" s="3"/>
      <c r="GX725" s="3"/>
      <c r="GY725" s="3"/>
      <c r="GZ725" s="3"/>
      <c r="HA725" s="3"/>
      <c r="HB725" s="3"/>
      <c r="HC725" s="3"/>
      <c r="HD725" s="3"/>
      <c r="HE725" s="3"/>
      <c r="HF725" s="3"/>
      <c r="HG725" s="3"/>
      <c r="HH725" s="3"/>
      <c r="HI725" s="3"/>
      <c r="HJ725" s="3"/>
      <c r="HK725" s="3"/>
      <c r="HL725" s="3"/>
      <c r="HM725" s="3"/>
      <c r="HN725" s="3"/>
      <c r="HO725" s="3"/>
      <c r="HP725" s="3"/>
      <c r="HQ725" s="3"/>
      <c r="HR725" s="3"/>
      <c r="HS725" s="3"/>
      <c r="HT725" s="3"/>
      <c r="HU725" s="3"/>
      <c r="HV725" s="3"/>
      <c r="HW725" s="3"/>
      <c r="HX725" s="3"/>
      <c r="HY725" s="3"/>
      <c r="HZ725" s="3"/>
      <c r="IA725" s="3"/>
      <c r="IB725" s="3"/>
      <c r="IC725" s="3"/>
      <c r="ID725" s="3"/>
      <c r="IE725" s="3"/>
      <c r="IF725" s="3"/>
      <c r="IG725" s="3"/>
      <c r="IH725" s="3"/>
      <c r="II725" s="3"/>
      <c r="IJ725" s="3"/>
      <c r="IK725" s="3"/>
      <c r="IL725" s="3"/>
      <c r="IM725" s="3"/>
      <c r="IN725" s="3"/>
      <c r="IO725" s="3"/>
      <c r="IP725" s="3"/>
      <c r="IQ725" s="3"/>
      <c r="IR725" s="3"/>
      <c r="IS725" s="3"/>
      <c r="IT725" s="3"/>
      <c r="IU725" s="3"/>
      <c r="IV725" s="3"/>
    </row>
    <row r="726" spans="1:256" s="7" customFormat="1" ht="30" x14ac:dyDescent="0.25">
      <c r="A726" s="3"/>
      <c r="B726" s="3"/>
      <c r="C726" s="3"/>
      <c r="D726" s="3"/>
      <c r="E726" s="3"/>
      <c r="F726" s="10">
        <v>2</v>
      </c>
      <c r="G726" s="2"/>
      <c r="H726" s="3" t="s">
        <v>472</v>
      </c>
      <c r="I726" s="2" t="s">
        <v>29</v>
      </c>
      <c r="J726" s="3">
        <v>40190</v>
      </c>
      <c r="K726" s="3">
        <v>40254</v>
      </c>
      <c r="L726" s="22"/>
      <c r="M726" s="3"/>
      <c r="N726" s="3" t="s">
        <v>33</v>
      </c>
      <c r="O726" s="3" t="s">
        <v>1141</v>
      </c>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c r="GE726" s="3"/>
      <c r="GF726" s="3"/>
      <c r="GG726" s="3"/>
      <c r="GH726" s="3"/>
      <c r="GI726" s="3"/>
      <c r="GJ726" s="3"/>
      <c r="GK726" s="3"/>
      <c r="GL726" s="3"/>
      <c r="GM726" s="3"/>
      <c r="GN726" s="3"/>
      <c r="GO726" s="3"/>
      <c r="GP726" s="3"/>
      <c r="GQ726" s="3"/>
      <c r="GR726" s="3"/>
      <c r="GS726" s="3"/>
      <c r="GT726" s="3"/>
      <c r="GU726" s="3"/>
      <c r="GV726" s="3"/>
      <c r="GW726" s="3"/>
      <c r="GX726" s="3"/>
      <c r="GY726" s="3"/>
      <c r="GZ726" s="3"/>
      <c r="HA726" s="3"/>
      <c r="HB726" s="3"/>
      <c r="HC726" s="3"/>
      <c r="HD726" s="3"/>
      <c r="HE726" s="3"/>
      <c r="HF726" s="3"/>
      <c r="HG726" s="3"/>
      <c r="HH726" s="3"/>
      <c r="HI726" s="3"/>
      <c r="HJ726" s="3"/>
      <c r="HK726" s="3"/>
      <c r="HL726" s="3"/>
      <c r="HM726" s="3"/>
      <c r="HN726" s="3"/>
      <c r="HO726" s="3"/>
      <c r="HP726" s="3"/>
      <c r="HQ726" s="3"/>
      <c r="HR726" s="3"/>
      <c r="HS726" s="3"/>
      <c r="HT726" s="3"/>
      <c r="HU726" s="3"/>
      <c r="HV726" s="3"/>
      <c r="HW726" s="3"/>
      <c r="HX726" s="3"/>
      <c r="HY726" s="3"/>
      <c r="HZ726" s="3"/>
      <c r="IA726" s="3"/>
      <c r="IB726" s="3"/>
      <c r="IC726" s="3"/>
      <c r="ID726" s="3"/>
      <c r="IE726" s="3"/>
      <c r="IF726" s="3"/>
      <c r="IG726" s="3"/>
      <c r="IH726" s="3"/>
      <c r="II726" s="3"/>
      <c r="IJ726" s="3"/>
      <c r="IK726" s="3"/>
      <c r="IL726" s="3"/>
      <c r="IM726" s="3"/>
      <c r="IN726" s="3"/>
      <c r="IO726" s="3"/>
      <c r="IP726" s="3"/>
      <c r="IQ726" s="3"/>
      <c r="IR726" s="3"/>
      <c r="IS726" s="3"/>
      <c r="IT726" s="3"/>
      <c r="IU726" s="3"/>
      <c r="IV726" s="3"/>
    </row>
    <row r="727" spans="1:256" x14ac:dyDescent="0.25">
      <c r="E727" s="2"/>
      <c r="F727" s="10">
        <v>3</v>
      </c>
      <c r="G727" s="7" t="s">
        <v>436</v>
      </c>
      <c r="J727" s="3"/>
      <c r="K727" s="3"/>
      <c r="L727" s="32"/>
    </row>
    <row r="728" spans="1:256" ht="30" x14ac:dyDescent="0.25">
      <c r="F728" s="10">
        <v>4</v>
      </c>
      <c r="H728" s="2" t="s">
        <v>415</v>
      </c>
      <c r="I728" s="2" t="s">
        <v>29</v>
      </c>
      <c r="J728" s="3">
        <v>40168</v>
      </c>
      <c r="K728" s="3">
        <v>40254</v>
      </c>
      <c r="L728" s="22"/>
      <c r="N728" s="2" t="s">
        <v>974</v>
      </c>
    </row>
    <row r="729" spans="1:256" x14ac:dyDescent="0.25">
      <c r="F729" s="10">
        <v>5</v>
      </c>
      <c r="H729" s="2" t="s">
        <v>413</v>
      </c>
      <c r="I729" s="2" t="s">
        <v>29</v>
      </c>
      <c r="J729" s="3">
        <v>40168</v>
      </c>
      <c r="K729" s="3">
        <v>40254</v>
      </c>
      <c r="L729" s="22"/>
      <c r="N729" s="2" t="s">
        <v>974</v>
      </c>
    </row>
    <row r="730" spans="1:256" ht="105" x14ac:dyDescent="0.25">
      <c r="F730" s="10">
        <v>6</v>
      </c>
      <c r="H730" s="2" t="s">
        <v>434</v>
      </c>
      <c r="I730" s="2" t="s">
        <v>29</v>
      </c>
      <c r="J730" s="3">
        <v>40168</v>
      </c>
      <c r="K730" s="3">
        <v>40254</v>
      </c>
      <c r="L730" s="22"/>
      <c r="N730" s="2" t="s">
        <v>974</v>
      </c>
      <c r="O730" s="2" t="s">
        <v>1142</v>
      </c>
      <c r="P730" s="2" t="s">
        <v>980</v>
      </c>
      <c r="Q730" s="2" t="s">
        <v>540</v>
      </c>
      <c r="R730" s="2" t="s">
        <v>1778</v>
      </c>
    </row>
    <row r="731" spans="1:256" ht="30" x14ac:dyDescent="0.25">
      <c r="F731" s="10">
        <v>7</v>
      </c>
      <c r="H731" s="2" t="s">
        <v>435</v>
      </c>
      <c r="I731" s="2" t="s">
        <v>29</v>
      </c>
      <c r="J731" s="3">
        <v>40168</v>
      </c>
      <c r="K731" s="3">
        <v>40254</v>
      </c>
      <c r="L731" s="22"/>
      <c r="N731" s="2" t="s">
        <v>974</v>
      </c>
    </row>
    <row r="732" spans="1:256" ht="75" x14ac:dyDescent="0.25">
      <c r="F732" s="10">
        <v>8</v>
      </c>
      <c r="H732" s="2" t="s">
        <v>414</v>
      </c>
      <c r="I732" s="2" t="s">
        <v>29</v>
      </c>
      <c r="J732" s="3">
        <v>40168</v>
      </c>
      <c r="K732" s="3">
        <v>40254</v>
      </c>
      <c r="L732" s="22"/>
      <c r="N732" s="2" t="s">
        <v>974</v>
      </c>
      <c r="O732" s="2" t="s">
        <v>1143</v>
      </c>
      <c r="P732" s="2" t="s">
        <v>980</v>
      </c>
      <c r="Q732" s="2" t="s">
        <v>540</v>
      </c>
      <c r="R732" s="2" t="s">
        <v>1777</v>
      </c>
    </row>
    <row r="733" spans="1:256" x14ac:dyDescent="0.25">
      <c r="J733" s="3"/>
      <c r="K733" s="3"/>
      <c r="L733" s="32"/>
    </row>
    <row r="734" spans="1:256" ht="60" x14ac:dyDescent="0.25">
      <c r="A734" s="7" t="s">
        <v>401</v>
      </c>
      <c r="B734" s="7" t="s">
        <v>417</v>
      </c>
      <c r="C734" s="7" t="s">
        <v>39</v>
      </c>
      <c r="D734" s="7" t="s">
        <v>421</v>
      </c>
      <c r="E734" s="10" t="s">
        <v>121</v>
      </c>
      <c r="F734" s="10">
        <v>1</v>
      </c>
      <c r="G734" s="2" t="s">
        <v>422</v>
      </c>
      <c r="J734" s="3"/>
      <c r="K734" s="3"/>
      <c r="L734" s="32"/>
    </row>
    <row r="735" spans="1:256" ht="30" x14ac:dyDescent="0.25">
      <c r="F735" s="10">
        <v>2</v>
      </c>
      <c r="H735" s="2" t="s">
        <v>423</v>
      </c>
      <c r="I735" s="2" t="s">
        <v>29</v>
      </c>
      <c r="J735" s="3">
        <v>40190</v>
      </c>
      <c r="K735" s="3">
        <v>40254</v>
      </c>
      <c r="L735" s="32" t="s">
        <v>14</v>
      </c>
      <c r="N735" s="2" t="s">
        <v>974</v>
      </c>
    </row>
    <row r="736" spans="1:256" ht="30" x14ac:dyDescent="0.25">
      <c r="F736" s="10">
        <v>3</v>
      </c>
      <c r="G736" s="2" t="s">
        <v>424</v>
      </c>
      <c r="L736" s="32"/>
    </row>
    <row r="737" spans="1:17" ht="45" x14ac:dyDescent="0.25">
      <c r="F737" s="10">
        <v>4</v>
      </c>
      <c r="H737" s="2" t="s">
        <v>425</v>
      </c>
      <c r="I737" s="2" t="s">
        <v>29</v>
      </c>
      <c r="J737" s="3">
        <v>40190</v>
      </c>
      <c r="K737" s="3">
        <v>40254</v>
      </c>
      <c r="L737" s="32" t="s">
        <v>14</v>
      </c>
      <c r="N737" s="2" t="s">
        <v>974</v>
      </c>
    </row>
    <row r="738" spans="1:17" x14ac:dyDescent="0.25">
      <c r="F738" s="10">
        <v>5</v>
      </c>
      <c r="H738" s="7" t="s">
        <v>426</v>
      </c>
      <c r="I738" s="2" t="s">
        <v>29</v>
      </c>
      <c r="J738" s="3">
        <v>40190</v>
      </c>
      <c r="K738" s="3">
        <v>40254</v>
      </c>
      <c r="L738" s="32" t="s">
        <v>14</v>
      </c>
      <c r="N738" s="2" t="s">
        <v>974</v>
      </c>
    </row>
    <row r="739" spans="1:17" ht="60" x14ac:dyDescent="0.25">
      <c r="F739" s="10">
        <v>6</v>
      </c>
      <c r="H739" s="7" t="s">
        <v>929</v>
      </c>
      <c r="I739" s="2" t="s">
        <v>29</v>
      </c>
      <c r="J739" s="3">
        <v>40190</v>
      </c>
      <c r="K739" s="3">
        <v>40254</v>
      </c>
      <c r="L739" s="32" t="s">
        <v>14</v>
      </c>
      <c r="N739" s="2" t="s">
        <v>974</v>
      </c>
    </row>
    <row r="740" spans="1:17" ht="45" x14ac:dyDescent="0.25">
      <c r="F740" s="10">
        <v>7</v>
      </c>
      <c r="H740" s="7" t="s">
        <v>437</v>
      </c>
      <c r="I740" s="2" t="s">
        <v>29</v>
      </c>
      <c r="J740" s="3">
        <v>40190</v>
      </c>
      <c r="K740" s="3">
        <v>40254</v>
      </c>
      <c r="L740" s="32" t="s">
        <v>14</v>
      </c>
      <c r="N740" s="2" t="s">
        <v>974</v>
      </c>
      <c r="O740" s="2" t="s">
        <v>2693</v>
      </c>
    </row>
    <row r="741" spans="1:17" ht="90" x14ac:dyDescent="0.25">
      <c r="F741" s="10">
        <v>8</v>
      </c>
      <c r="H741" s="7" t="s">
        <v>449</v>
      </c>
      <c r="I741" s="2" t="s">
        <v>29</v>
      </c>
      <c r="J741" s="3">
        <v>40190</v>
      </c>
      <c r="K741" s="22"/>
      <c r="L741" s="32" t="s">
        <v>14</v>
      </c>
      <c r="N741" s="2" t="s">
        <v>974</v>
      </c>
      <c r="O741" s="2" t="s">
        <v>2291</v>
      </c>
      <c r="P741" s="2" t="s">
        <v>980</v>
      </c>
      <c r="Q741" s="2" t="s">
        <v>540</v>
      </c>
    </row>
    <row r="742" spans="1:17" x14ac:dyDescent="0.25">
      <c r="F742" s="10">
        <v>9</v>
      </c>
      <c r="H742" s="7" t="s">
        <v>473</v>
      </c>
      <c r="I742" s="2" t="s">
        <v>33</v>
      </c>
      <c r="J742" s="3">
        <v>40190</v>
      </c>
      <c r="K742" s="22"/>
      <c r="L742" s="32" t="s">
        <v>474</v>
      </c>
      <c r="N742" s="2" t="s">
        <v>974</v>
      </c>
    </row>
    <row r="743" spans="1:17" x14ac:dyDescent="0.25">
      <c r="J743" s="3"/>
      <c r="K743" s="3"/>
      <c r="L743" s="32"/>
    </row>
    <row r="744" spans="1:17" ht="60" x14ac:dyDescent="0.25">
      <c r="A744" s="7" t="s">
        <v>347</v>
      </c>
      <c r="B744" s="7" t="s">
        <v>743</v>
      </c>
      <c r="C744" s="7" t="s">
        <v>46</v>
      </c>
      <c r="D744" s="7" t="s">
        <v>744</v>
      </c>
      <c r="E744" s="10" t="s">
        <v>121</v>
      </c>
      <c r="F744" s="10">
        <v>1</v>
      </c>
      <c r="G744" s="2" t="s">
        <v>3909</v>
      </c>
      <c r="L744" s="32" t="s">
        <v>581</v>
      </c>
    </row>
    <row r="745" spans="1:17" ht="30" x14ac:dyDescent="0.25">
      <c r="F745" s="10">
        <v>2</v>
      </c>
      <c r="G745" s="2" t="s">
        <v>3910</v>
      </c>
      <c r="L745" s="32" t="s">
        <v>581</v>
      </c>
    </row>
    <row r="746" spans="1:17" ht="30" x14ac:dyDescent="0.25">
      <c r="F746" s="10">
        <v>3</v>
      </c>
      <c r="H746" s="2" t="s">
        <v>3911</v>
      </c>
      <c r="I746" s="2" t="s">
        <v>33</v>
      </c>
      <c r="J746" s="2" t="s">
        <v>33</v>
      </c>
      <c r="K746" s="2" t="s">
        <v>33</v>
      </c>
      <c r="L746" s="32" t="s">
        <v>581</v>
      </c>
      <c r="N746" s="2" t="s">
        <v>974</v>
      </c>
    </row>
    <row r="747" spans="1:17" x14ac:dyDescent="0.25">
      <c r="F747" s="10">
        <v>4</v>
      </c>
      <c r="G747" s="2" t="s">
        <v>761</v>
      </c>
      <c r="L747" s="32"/>
    </row>
    <row r="748" spans="1:17" ht="30" x14ac:dyDescent="0.25">
      <c r="F748" s="10">
        <v>5</v>
      </c>
      <c r="H748" s="2" t="s">
        <v>3912</v>
      </c>
      <c r="I748" s="2" t="s">
        <v>33</v>
      </c>
      <c r="J748" s="2" t="s">
        <v>33</v>
      </c>
      <c r="K748" s="2" t="s">
        <v>33</v>
      </c>
      <c r="L748" s="32" t="s">
        <v>581</v>
      </c>
      <c r="N748" s="2" t="s">
        <v>974</v>
      </c>
    </row>
    <row r="749" spans="1:17" ht="120" x14ac:dyDescent="0.25">
      <c r="F749" s="10">
        <v>6</v>
      </c>
      <c r="H749" s="2" t="s">
        <v>762</v>
      </c>
      <c r="I749" s="2" t="s">
        <v>33</v>
      </c>
      <c r="J749" s="2" t="s">
        <v>33</v>
      </c>
      <c r="K749" s="2" t="s">
        <v>33</v>
      </c>
      <c r="L749" s="32" t="s">
        <v>581</v>
      </c>
      <c r="N749" s="2" t="s">
        <v>974</v>
      </c>
      <c r="O749" s="2" t="s">
        <v>2398</v>
      </c>
      <c r="P749" s="2" t="s">
        <v>982</v>
      </c>
      <c r="Q749" s="2" t="s">
        <v>540</v>
      </c>
    </row>
    <row r="750" spans="1:17" ht="45" x14ac:dyDescent="0.25">
      <c r="K750" s="2"/>
      <c r="L750" s="32"/>
      <c r="N750" s="2" t="s">
        <v>974</v>
      </c>
      <c r="O750" s="2" t="s">
        <v>2399</v>
      </c>
      <c r="P750" s="2" t="s">
        <v>982</v>
      </c>
      <c r="Q750" s="2" t="s">
        <v>540</v>
      </c>
    </row>
    <row r="751" spans="1:17" ht="60" x14ac:dyDescent="0.25">
      <c r="F751" s="10">
        <v>7</v>
      </c>
      <c r="H751" s="2" t="s">
        <v>1628</v>
      </c>
      <c r="I751" s="2" t="s">
        <v>33</v>
      </c>
      <c r="J751" s="2" t="s">
        <v>33</v>
      </c>
      <c r="K751" s="2" t="s">
        <v>33</v>
      </c>
      <c r="L751" s="22"/>
      <c r="N751" s="2" t="s">
        <v>974</v>
      </c>
    </row>
    <row r="752" spans="1:17" ht="60" x14ac:dyDescent="0.25">
      <c r="F752" s="10">
        <v>8</v>
      </c>
      <c r="H752" s="2" t="s">
        <v>1629</v>
      </c>
      <c r="I752" s="2" t="s">
        <v>33</v>
      </c>
      <c r="J752" s="2" t="s">
        <v>33</v>
      </c>
      <c r="K752" s="2" t="s">
        <v>33</v>
      </c>
      <c r="L752" s="22"/>
      <c r="N752" s="2" t="s">
        <v>983</v>
      </c>
    </row>
    <row r="753" spans="1:18" ht="60" x14ac:dyDescent="0.25">
      <c r="F753" s="10">
        <v>9</v>
      </c>
      <c r="H753" s="2" t="s">
        <v>1630</v>
      </c>
      <c r="I753" s="2" t="s">
        <v>33</v>
      </c>
      <c r="J753" s="2" t="s">
        <v>33</v>
      </c>
      <c r="K753" s="2" t="s">
        <v>33</v>
      </c>
      <c r="L753" s="22"/>
      <c r="N753" s="2" t="s">
        <v>983</v>
      </c>
    </row>
    <row r="754" spans="1:18" ht="60" x14ac:dyDescent="0.25">
      <c r="F754" s="10">
        <v>10</v>
      </c>
      <c r="H754" s="2" t="s">
        <v>1631</v>
      </c>
      <c r="I754" s="2" t="s">
        <v>33</v>
      </c>
      <c r="J754" s="2" t="s">
        <v>33</v>
      </c>
      <c r="K754" s="2" t="s">
        <v>33</v>
      </c>
      <c r="L754" s="22"/>
      <c r="N754" s="2" t="s">
        <v>983</v>
      </c>
    </row>
    <row r="755" spans="1:18" ht="45" x14ac:dyDescent="0.25">
      <c r="F755" s="10">
        <v>11</v>
      </c>
      <c r="H755" s="2" t="s">
        <v>763</v>
      </c>
      <c r="I755" s="2" t="s">
        <v>33</v>
      </c>
      <c r="J755" s="2" t="s">
        <v>33</v>
      </c>
      <c r="K755" s="2" t="s">
        <v>33</v>
      </c>
      <c r="L755" s="32" t="s">
        <v>581</v>
      </c>
      <c r="N755" s="2" t="s">
        <v>974</v>
      </c>
      <c r="O755" s="2" t="s">
        <v>2431</v>
      </c>
      <c r="P755" s="2" t="s">
        <v>977</v>
      </c>
      <c r="Q755" s="2" t="s">
        <v>540</v>
      </c>
      <c r="R755" s="2" t="s">
        <v>2714</v>
      </c>
    </row>
    <row r="756" spans="1:18" ht="30" x14ac:dyDescent="0.25">
      <c r="K756" s="2"/>
      <c r="L756" s="32"/>
      <c r="N756" s="2" t="s">
        <v>974</v>
      </c>
      <c r="O756" s="2" t="s">
        <v>2433</v>
      </c>
      <c r="P756" s="2" t="s">
        <v>977</v>
      </c>
      <c r="Q756" s="2" t="s">
        <v>540</v>
      </c>
      <c r="R756" s="2" t="s">
        <v>2714</v>
      </c>
    </row>
    <row r="757" spans="1:18" ht="30" x14ac:dyDescent="0.25">
      <c r="F757" s="10">
        <v>12</v>
      </c>
      <c r="G757" s="2" t="s">
        <v>3913</v>
      </c>
      <c r="L757" s="32" t="s">
        <v>581</v>
      </c>
    </row>
    <row r="758" spans="1:18" ht="30" x14ac:dyDescent="0.25">
      <c r="F758" s="10">
        <v>13</v>
      </c>
      <c r="H758" s="2" t="s">
        <v>765</v>
      </c>
      <c r="I758" s="2" t="s">
        <v>33</v>
      </c>
      <c r="J758" s="2" t="s">
        <v>33</v>
      </c>
      <c r="K758" s="2" t="s">
        <v>33</v>
      </c>
      <c r="L758" s="32" t="s">
        <v>581</v>
      </c>
      <c r="N758" s="2" t="s">
        <v>974</v>
      </c>
      <c r="O758" s="2" t="s">
        <v>3025</v>
      </c>
      <c r="P758" s="2" t="s">
        <v>982</v>
      </c>
      <c r="Q758" s="2" t="s">
        <v>540</v>
      </c>
    </row>
    <row r="759" spans="1:18" ht="30" x14ac:dyDescent="0.25">
      <c r="F759" s="10">
        <v>14</v>
      </c>
      <c r="G759" s="2" t="s">
        <v>535</v>
      </c>
      <c r="L759" s="32" t="s">
        <v>581</v>
      </c>
    </row>
    <row r="760" spans="1:18" ht="30" x14ac:dyDescent="0.25">
      <c r="F760" s="10">
        <v>15</v>
      </c>
      <c r="H760" s="2" t="s">
        <v>766</v>
      </c>
      <c r="I760" s="2" t="s">
        <v>33</v>
      </c>
      <c r="J760" s="2" t="s">
        <v>33</v>
      </c>
      <c r="K760" s="2" t="s">
        <v>33</v>
      </c>
      <c r="L760" s="32" t="s">
        <v>581</v>
      </c>
      <c r="N760" s="2" t="s">
        <v>974</v>
      </c>
    </row>
    <row r="761" spans="1:18" ht="45" x14ac:dyDescent="0.25">
      <c r="E761" s="10" t="s">
        <v>767</v>
      </c>
      <c r="F761" s="10">
        <v>1</v>
      </c>
      <c r="G761" s="2" t="s">
        <v>3914</v>
      </c>
      <c r="L761" s="32" t="s">
        <v>581</v>
      </c>
    </row>
    <row r="762" spans="1:18" ht="30" x14ac:dyDescent="0.25">
      <c r="F762" s="10">
        <v>2</v>
      </c>
      <c r="H762" s="2" t="s">
        <v>768</v>
      </c>
      <c r="I762" s="2" t="s">
        <v>33</v>
      </c>
      <c r="J762" s="2" t="s">
        <v>33</v>
      </c>
      <c r="K762" s="2" t="s">
        <v>33</v>
      </c>
      <c r="L762" s="32" t="s">
        <v>581</v>
      </c>
      <c r="N762" s="2" t="s">
        <v>974</v>
      </c>
    </row>
    <row r="763" spans="1:18" x14ac:dyDescent="0.25">
      <c r="F763" s="10">
        <v>3</v>
      </c>
      <c r="H763" s="2" t="s">
        <v>534</v>
      </c>
      <c r="I763" s="2" t="s">
        <v>33</v>
      </c>
      <c r="J763" s="2" t="s">
        <v>33</v>
      </c>
      <c r="K763" s="2" t="s">
        <v>33</v>
      </c>
      <c r="L763" s="32" t="s">
        <v>581</v>
      </c>
      <c r="N763" s="2" t="s">
        <v>974</v>
      </c>
    </row>
    <row r="765" spans="1:18" ht="75" x14ac:dyDescent="0.25">
      <c r="A765" s="7" t="s">
        <v>346</v>
      </c>
      <c r="B765" s="7" t="s">
        <v>3486</v>
      </c>
      <c r="C765" s="7" t="s">
        <v>46</v>
      </c>
      <c r="D765" s="7" t="s">
        <v>3315</v>
      </c>
      <c r="E765" s="10" t="s">
        <v>121</v>
      </c>
      <c r="F765" s="10">
        <v>1</v>
      </c>
      <c r="G765" s="2" t="s">
        <v>3915</v>
      </c>
    </row>
    <row r="766" spans="1:18" ht="45" x14ac:dyDescent="0.25">
      <c r="F766" s="10">
        <v>2</v>
      </c>
      <c r="H766" s="2" t="s">
        <v>3916</v>
      </c>
      <c r="I766" s="2" t="s">
        <v>33</v>
      </c>
      <c r="J766" s="2" t="s">
        <v>33</v>
      </c>
      <c r="K766" s="2" t="s">
        <v>33</v>
      </c>
      <c r="L766" s="3" t="s">
        <v>1279</v>
      </c>
      <c r="N766" s="2" t="s">
        <v>974</v>
      </c>
      <c r="O766" s="2" t="s">
        <v>2396</v>
      </c>
      <c r="P766" s="2" t="s">
        <v>977</v>
      </c>
      <c r="Q766" s="2" t="s">
        <v>540</v>
      </c>
      <c r="R766" s="2" t="s">
        <v>14</v>
      </c>
    </row>
    <row r="767" spans="1:18" ht="45" x14ac:dyDescent="0.25">
      <c r="F767" s="10">
        <v>3</v>
      </c>
      <c r="G767" s="7" t="s">
        <v>3917</v>
      </c>
    </row>
    <row r="768" spans="1:18" ht="45" x14ac:dyDescent="0.25">
      <c r="F768" s="10">
        <v>3.1</v>
      </c>
      <c r="G768" s="7"/>
      <c r="H768" s="2" t="s">
        <v>3918</v>
      </c>
      <c r="I768" s="2" t="s">
        <v>33</v>
      </c>
      <c r="J768" s="2" t="s">
        <v>33</v>
      </c>
      <c r="K768" s="2" t="s">
        <v>33</v>
      </c>
      <c r="L768" s="3" t="s">
        <v>1279</v>
      </c>
      <c r="N768" s="2" t="s">
        <v>974</v>
      </c>
    </row>
    <row r="769" spans="6:18" ht="75" x14ac:dyDescent="0.25">
      <c r="F769" s="10">
        <v>4</v>
      </c>
      <c r="G769" s="7"/>
      <c r="H769" s="2" t="s">
        <v>3919</v>
      </c>
      <c r="I769" s="2" t="s">
        <v>33</v>
      </c>
      <c r="J769" s="2" t="s">
        <v>33</v>
      </c>
      <c r="K769" s="2" t="s">
        <v>33</v>
      </c>
      <c r="L769" s="3" t="s">
        <v>1279</v>
      </c>
      <c r="N769" s="2" t="s">
        <v>974</v>
      </c>
      <c r="O769" s="2" t="s">
        <v>1869</v>
      </c>
      <c r="P769" s="2" t="s">
        <v>977</v>
      </c>
      <c r="Q769" s="2" t="s">
        <v>540</v>
      </c>
    </row>
    <row r="770" spans="6:18" ht="90" x14ac:dyDescent="0.25">
      <c r="F770" s="10">
        <v>5</v>
      </c>
      <c r="G770" s="7"/>
      <c r="H770" s="2" t="s">
        <v>3920</v>
      </c>
      <c r="I770" s="2" t="s">
        <v>33</v>
      </c>
      <c r="J770" s="2" t="s">
        <v>33</v>
      </c>
      <c r="K770" s="2" t="s">
        <v>33</v>
      </c>
      <c r="L770" s="3" t="s">
        <v>1279</v>
      </c>
      <c r="N770" s="2" t="s">
        <v>974</v>
      </c>
      <c r="O770" s="2" t="s">
        <v>2954</v>
      </c>
      <c r="P770" s="2" t="s">
        <v>977</v>
      </c>
      <c r="Q770" s="2" t="s">
        <v>540</v>
      </c>
    </row>
    <row r="771" spans="6:18" ht="105" x14ac:dyDescent="0.25">
      <c r="F771" s="10">
        <v>6</v>
      </c>
      <c r="G771" s="7"/>
      <c r="H771" s="2" t="s">
        <v>3921</v>
      </c>
      <c r="I771" s="2" t="s">
        <v>33</v>
      </c>
      <c r="J771" s="2" t="s">
        <v>33</v>
      </c>
      <c r="K771" s="2" t="s">
        <v>33</v>
      </c>
      <c r="L771" s="3" t="s">
        <v>1279</v>
      </c>
      <c r="N771" s="2" t="s">
        <v>974</v>
      </c>
    </row>
    <row r="772" spans="6:18" ht="90" x14ac:dyDescent="0.25">
      <c r="F772" s="10">
        <v>7</v>
      </c>
      <c r="G772" s="7"/>
      <c r="H772" s="7" t="s">
        <v>3922</v>
      </c>
      <c r="I772" s="2" t="s">
        <v>33</v>
      </c>
      <c r="J772" s="2" t="s">
        <v>33</v>
      </c>
      <c r="K772" s="2" t="s">
        <v>33</v>
      </c>
      <c r="L772" s="3" t="s">
        <v>1279</v>
      </c>
      <c r="N772" s="2" t="s">
        <v>974</v>
      </c>
    </row>
    <row r="773" spans="6:18" x14ac:dyDescent="0.25">
      <c r="F773" s="10">
        <v>8</v>
      </c>
      <c r="G773" s="7" t="s">
        <v>770</v>
      </c>
    </row>
    <row r="774" spans="6:18" ht="135" x14ac:dyDescent="0.25">
      <c r="F774" s="10">
        <v>9</v>
      </c>
      <c r="G774" s="7"/>
      <c r="H774" s="2" t="s">
        <v>3923</v>
      </c>
      <c r="I774" s="2" t="s">
        <v>33</v>
      </c>
      <c r="J774" s="2" t="s">
        <v>33</v>
      </c>
      <c r="K774" s="2" t="s">
        <v>33</v>
      </c>
      <c r="L774" s="3" t="s">
        <v>1279</v>
      </c>
      <c r="N774" s="2" t="s">
        <v>974</v>
      </c>
      <c r="O774" s="2" t="s">
        <v>2395</v>
      </c>
      <c r="P774" s="2" t="s">
        <v>977</v>
      </c>
      <c r="Q774" s="2" t="s">
        <v>540</v>
      </c>
    </row>
    <row r="775" spans="6:18" ht="60" x14ac:dyDescent="0.25">
      <c r="F775" s="10">
        <v>11</v>
      </c>
      <c r="H775" s="7" t="s">
        <v>3924</v>
      </c>
      <c r="I775" s="2" t="s">
        <v>33</v>
      </c>
      <c r="J775" s="2" t="s">
        <v>33</v>
      </c>
      <c r="K775" s="2" t="s">
        <v>33</v>
      </c>
      <c r="L775" s="3" t="s">
        <v>1279</v>
      </c>
      <c r="N775" s="2" t="s">
        <v>974</v>
      </c>
      <c r="O775" s="2" t="s">
        <v>2432</v>
      </c>
      <c r="P775" s="2" t="s">
        <v>982</v>
      </c>
      <c r="Q775" s="2" t="s">
        <v>540</v>
      </c>
    </row>
    <row r="776" spans="6:18" ht="45" x14ac:dyDescent="0.25">
      <c r="F776" s="10">
        <v>12</v>
      </c>
      <c r="H776" s="7" t="s">
        <v>3487</v>
      </c>
      <c r="I776" s="2" t="s">
        <v>33</v>
      </c>
      <c r="J776" s="2" t="s">
        <v>33</v>
      </c>
      <c r="K776" s="2" t="s">
        <v>33</v>
      </c>
      <c r="L776" s="3" t="s">
        <v>1279</v>
      </c>
      <c r="N776" s="2" t="s">
        <v>974</v>
      </c>
    </row>
    <row r="777" spans="6:18" ht="165" x14ac:dyDescent="0.25">
      <c r="F777" s="10">
        <v>13</v>
      </c>
      <c r="H777" s="7" t="s">
        <v>3488</v>
      </c>
      <c r="I777" s="2" t="s">
        <v>33</v>
      </c>
      <c r="J777" s="2" t="s">
        <v>33</v>
      </c>
      <c r="K777" s="2" t="s">
        <v>33</v>
      </c>
      <c r="L777" s="3" t="s">
        <v>1279</v>
      </c>
      <c r="N777" s="2" t="s">
        <v>974</v>
      </c>
    </row>
    <row r="778" spans="6:18" ht="30" x14ac:dyDescent="0.25">
      <c r="F778" s="10">
        <v>14</v>
      </c>
      <c r="H778" s="7" t="s">
        <v>1743</v>
      </c>
      <c r="I778" s="2" t="s">
        <v>33</v>
      </c>
      <c r="J778" s="2" t="s">
        <v>33</v>
      </c>
      <c r="K778" s="2" t="s">
        <v>33</v>
      </c>
      <c r="L778" s="3" t="s">
        <v>1279</v>
      </c>
      <c r="N778" s="2" t="s">
        <v>33</v>
      </c>
      <c r="O778" s="2" t="s">
        <v>2952</v>
      </c>
    </row>
    <row r="779" spans="6:18" ht="75" x14ac:dyDescent="0.25">
      <c r="F779" s="10">
        <v>15</v>
      </c>
      <c r="H779" s="7" t="s">
        <v>3925</v>
      </c>
      <c r="I779" s="2" t="s">
        <v>33</v>
      </c>
      <c r="J779" s="2" t="s">
        <v>33</v>
      </c>
      <c r="K779" s="2" t="s">
        <v>33</v>
      </c>
      <c r="L779" s="3" t="s">
        <v>1279</v>
      </c>
      <c r="N779" s="2" t="s">
        <v>33</v>
      </c>
      <c r="O779" s="2" t="s">
        <v>2952</v>
      </c>
    </row>
    <row r="780" spans="6:18" ht="30" x14ac:dyDescent="0.25">
      <c r="F780" s="10">
        <v>16</v>
      </c>
      <c r="H780" s="7" t="s">
        <v>769</v>
      </c>
      <c r="I780" s="2" t="s">
        <v>33</v>
      </c>
      <c r="J780" s="2" t="s">
        <v>33</v>
      </c>
      <c r="K780" s="2" t="s">
        <v>33</v>
      </c>
      <c r="L780" s="3" t="s">
        <v>1279</v>
      </c>
      <c r="N780" s="2" t="s">
        <v>974</v>
      </c>
    </row>
    <row r="781" spans="6:18" ht="45" x14ac:dyDescent="0.25">
      <c r="F781" s="10">
        <v>17</v>
      </c>
      <c r="H781" s="7" t="s">
        <v>772</v>
      </c>
      <c r="I781" s="2" t="s">
        <v>33</v>
      </c>
      <c r="J781" s="2" t="s">
        <v>33</v>
      </c>
      <c r="K781" s="2" t="s">
        <v>33</v>
      </c>
      <c r="L781" s="3" t="s">
        <v>1279</v>
      </c>
      <c r="N781" s="2" t="s">
        <v>974</v>
      </c>
    </row>
    <row r="782" spans="6:18" ht="30" x14ac:dyDescent="0.25">
      <c r="F782" s="10">
        <v>18</v>
      </c>
      <c r="G782" s="2" t="s">
        <v>3316</v>
      </c>
      <c r="H782" s="7"/>
    </row>
    <row r="783" spans="6:18" ht="60" x14ac:dyDescent="0.25">
      <c r="F783" s="10">
        <v>19</v>
      </c>
      <c r="H783" s="2" t="s">
        <v>3317</v>
      </c>
      <c r="I783" s="2" t="s">
        <v>33</v>
      </c>
      <c r="J783" s="2" t="s">
        <v>33</v>
      </c>
      <c r="K783" s="2" t="s">
        <v>33</v>
      </c>
      <c r="L783" s="3" t="s">
        <v>1279</v>
      </c>
      <c r="N783" s="2" t="s">
        <v>974</v>
      </c>
      <c r="O783" s="2" t="s">
        <v>1642</v>
      </c>
      <c r="P783" s="2" t="s">
        <v>980</v>
      </c>
      <c r="Q783" s="2" t="s">
        <v>540</v>
      </c>
    </row>
    <row r="784" spans="6:18" ht="75" x14ac:dyDescent="0.25">
      <c r="K784" s="2"/>
      <c r="L784" s="3"/>
      <c r="N784" s="2" t="s">
        <v>974</v>
      </c>
      <c r="O784" s="2" t="s">
        <v>2622</v>
      </c>
      <c r="P784" s="2" t="s">
        <v>977</v>
      </c>
      <c r="Q784" s="2" t="s">
        <v>540</v>
      </c>
      <c r="R784" s="2" t="s">
        <v>14</v>
      </c>
    </row>
    <row r="785" spans="1:18" ht="60" x14ac:dyDescent="0.25">
      <c r="E785" s="10" t="s">
        <v>590</v>
      </c>
      <c r="F785" s="10">
        <v>1</v>
      </c>
      <c r="G785" s="2" t="s">
        <v>3318</v>
      </c>
    </row>
    <row r="786" spans="1:18" ht="45" x14ac:dyDescent="0.25">
      <c r="F786" s="10">
        <v>2</v>
      </c>
      <c r="H786" s="2" t="s">
        <v>3926</v>
      </c>
      <c r="I786" s="2" t="s">
        <v>33</v>
      </c>
      <c r="J786" s="2" t="s">
        <v>33</v>
      </c>
      <c r="K786" s="2" t="s">
        <v>33</v>
      </c>
      <c r="L786" s="3" t="s">
        <v>1279</v>
      </c>
      <c r="N786" s="2" t="s">
        <v>974</v>
      </c>
    </row>
    <row r="787" spans="1:18" ht="75" x14ac:dyDescent="0.25">
      <c r="F787" s="10">
        <v>3</v>
      </c>
      <c r="H787" s="2" t="s">
        <v>1102</v>
      </c>
      <c r="I787" s="2" t="s">
        <v>33</v>
      </c>
      <c r="J787" s="2" t="s">
        <v>33</v>
      </c>
      <c r="K787" s="2" t="s">
        <v>33</v>
      </c>
      <c r="L787" s="3" t="s">
        <v>1279</v>
      </c>
      <c r="N787" s="2" t="s">
        <v>974</v>
      </c>
      <c r="O787" s="2" t="s">
        <v>3828</v>
      </c>
      <c r="P787" s="2" t="s">
        <v>980</v>
      </c>
      <c r="Q787" s="2" t="s">
        <v>540</v>
      </c>
    </row>
    <row r="788" spans="1:18" ht="60" x14ac:dyDescent="0.25">
      <c r="E788" s="10" t="s">
        <v>1103</v>
      </c>
      <c r="F788" s="10">
        <v>1</v>
      </c>
      <c r="G788" s="2" t="s">
        <v>3319</v>
      </c>
    </row>
    <row r="789" spans="1:18" ht="45" x14ac:dyDescent="0.25">
      <c r="F789" s="10">
        <v>2</v>
      </c>
      <c r="H789" s="2" t="s">
        <v>3926</v>
      </c>
      <c r="I789" s="2" t="s">
        <v>33</v>
      </c>
      <c r="J789" s="2" t="s">
        <v>33</v>
      </c>
      <c r="K789" s="2" t="s">
        <v>33</v>
      </c>
      <c r="L789" s="3" t="s">
        <v>1279</v>
      </c>
      <c r="N789" s="2" t="s">
        <v>974</v>
      </c>
    </row>
    <row r="790" spans="1:18" ht="75" x14ac:dyDescent="0.25">
      <c r="F790" s="10">
        <v>3</v>
      </c>
      <c r="H790" s="2" t="s">
        <v>1105</v>
      </c>
      <c r="I790" s="2" t="s">
        <v>33</v>
      </c>
      <c r="J790" s="2" t="s">
        <v>33</v>
      </c>
      <c r="K790" s="2" t="s">
        <v>33</v>
      </c>
      <c r="L790" s="3" t="s">
        <v>1279</v>
      </c>
      <c r="N790" s="2" t="s">
        <v>974</v>
      </c>
      <c r="O790" s="2" t="s">
        <v>2955</v>
      </c>
      <c r="P790" s="2" t="s">
        <v>980</v>
      </c>
      <c r="Q790" s="2" t="s">
        <v>540</v>
      </c>
    </row>
    <row r="791" spans="1:18" ht="69" customHeight="1" x14ac:dyDescent="0.25">
      <c r="K791" s="2"/>
      <c r="L791" s="3"/>
      <c r="N791" s="2" t="s">
        <v>974</v>
      </c>
      <c r="O791" s="2" t="s">
        <v>2956</v>
      </c>
      <c r="P791" s="2" t="s">
        <v>977</v>
      </c>
      <c r="Q791" s="2" t="s">
        <v>540</v>
      </c>
    </row>
    <row r="792" spans="1:18" x14ac:dyDescent="0.25">
      <c r="F792" s="10">
        <v>4</v>
      </c>
      <c r="H792" s="2" t="s">
        <v>1104</v>
      </c>
      <c r="K792" s="2"/>
      <c r="L792" s="3" t="s">
        <v>1279</v>
      </c>
      <c r="N792" s="2" t="s">
        <v>974</v>
      </c>
    </row>
    <row r="793" spans="1:18" x14ac:dyDescent="0.25">
      <c r="K793" s="2"/>
      <c r="L793" s="2"/>
    </row>
    <row r="794" spans="1:18" ht="60" x14ac:dyDescent="0.25">
      <c r="A794" s="7" t="s">
        <v>643</v>
      </c>
      <c r="B794" s="7" t="s">
        <v>3489</v>
      </c>
      <c r="C794" s="7" t="s">
        <v>46</v>
      </c>
      <c r="D794" s="7" t="s">
        <v>3320</v>
      </c>
      <c r="E794" s="10" t="s">
        <v>121</v>
      </c>
      <c r="F794" s="10">
        <v>1</v>
      </c>
      <c r="G794" s="2" t="s">
        <v>3321</v>
      </c>
      <c r="K794" s="2"/>
      <c r="L794" s="2"/>
    </row>
    <row r="795" spans="1:18" ht="30" x14ac:dyDescent="0.25">
      <c r="F795" s="10">
        <v>2</v>
      </c>
      <c r="G795" s="2" t="s">
        <v>3322</v>
      </c>
      <c r="L795" s="2"/>
    </row>
    <row r="796" spans="1:18" ht="90" x14ac:dyDescent="0.25">
      <c r="F796" s="10">
        <v>3</v>
      </c>
      <c r="H796" s="2" t="s">
        <v>3323</v>
      </c>
      <c r="I796" s="2" t="s">
        <v>33</v>
      </c>
      <c r="J796" s="2" t="s">
        <v>33</v>
      </c>
      <c r="K796" s="2" t="s">
        <v>33</v>
      </c>
      <c r="L796" s="2"/>
      <c r="N796" s="2" t="s">
        <v>974</v>
      </c>
      <c r="O796" s="2" t="s">
        <v>3324</v>
      </c>
      <c r="P796" s="2" t="s">
        <v>982</v>
      </c>
      <c r="Q796" s="2" t="s">
        <v>986</v>
      </c>
      <c r="R796" s="2" t="s">
        <v>2835</v>
      </c>
    </row>
    <row r="797" spans="1:18" ht="45" x14ac:dyDescent="0.25">
      <c r="K797" s="2"/>
      <c r="L797" s="2"/>
      <c r="N797" s="2" t="s">
        <v>974</v>
      </c>
      <c r="O797" s="2" t="s">
        <v>1871</v>
      </c>
      <c r="P797" s="2" t="s">
        <v>980</v>
      </c>
      <c r="Q797" s="2" t="s">
        <v>540</v>
      </c>
    </row>
    <row r="798" spans="1:18" ht="45" x14ac:dyDescent="0.25">
      <c r="K798" s="2"/>
      <c r="L798" s="2"/>
      <c r="N798" s="2" t="s">
        <v>974</v>
      </c>
      <c r="O798" s="2" t="s">
        <v>1870</v>
      </c>
      <c r="P798" s="2" t="s">
        <v>982</v>
      </c>
      <c r="Q798" s="2" t="s">
        <v>540</v>
      </c>
    </row>
    <row r="799" spans="1:18" ht="90" x14ac:dyDescent="0.25">
      <c r="F799" s="10">
        <v>4</v>
      </c>
      <c r="H799" s="7" t="s">
        <v>454</v>
      </c>
      <c r="I799" s="2" t="s">
        <v>29</v>
      </c>
      <c r="J799" s="3">
        <v>40190</v>
      </c>
      <c r="K799" s="22"/>
      <c r="L799" s="3" t="s">
        <v>1279</v>
      </c>
      <c r="N799" s="2" t="s">
        <v>974</v>
      </c>
      <c r="O799" s="2" t="s">
        <v>1821</v>
      </c>
      <c r="P799" s="2" t="s">
        <v>982</v>
      </c>
      <c r="Q799" s="2" t="s">
        <v>540</v>
      </c>
    </row>
    <row r="800" spans="1:18" ht="120" x14ac:dyDescent="0.25">
      <c r="H800" s="7"/>
      <c r="J800" s="3"/>
      <c r="K800" s="3"/>
      <c r="L800" s="3"/>
      <c r="N800" s="2" t="s">
        <v>974</v>
      </c>
      <c r="O800" s="2" t="s">
        <v>3490</v>
      </c>
      <c r="P800" s="2" t="s">
        <v>977</v>
      </c>
      <c r="Q800" s="2" t="s">
        <v>540</v>
      </c>
    </row>
    <row r="801" spans="1:18" ht="105" x14ac:dyDescent="0.25">
      <c r="H801" s="7"/>
      <c r="J801" s="3"/>
      <c r="K801" s="3"/>
      <c r="L801" s="3"/>
      <c r="N801" s="2" t="s">
        <v>974</v>
      </c>
      <c r="O801" s="2" t="s">
        <v>1817</v>
      </c>
      <c r="P801" s="2" t="s">
        <v>977</v>
      </c>
      <c r="Q801" s="2" t="s">
        <v>986</v>
      </c>
      <c r="R801" s="2" t="s">
        <v>2730</v>
      </c>
    </row>
    <row r="802" spans="1:18" ht="75" x14ac:dyDescent="0.25">
      <c r="F802" s="10">
        <v>5</v>
      </c>
      <c r="H802" s="7" t="s">
        <v>1271</v>
      </c>
      <c r="I802" s="2" t="s">
        <v>29</v>
      </c>
      <c r="J802" s="3">
        <v>40147</v>
      </c>
      <c r="K802" s="3">
        <v>40142</v>
      </c>
      <c r="L802" s="3" t="s">
        <v>1279</v>
      </c>
      <c r="N802" s="2" t="s">
        <v>974</v>
      </c>
    </row>
    <row r="803" spans="1:18" ht="45" x14ac:dyDescent="0.25">
      <c r="F803" s="10">
        <v>6</v>
      </c>
      <c r="H803" s="7" t="s">
        <v>3325</v>
      </c>
      <c r="I803" s="2" t="s">
        <v>29</v>
      </c>
      <c r="J803" s="3">
        <v>40147</v>
      </c>
      <c r="K803" s="3">
        <v>40142</v>
      </c>
      <c r="L803" s="3" t="s">
        <v>1279</v>
      </c>
      <c r="N803" s="2" t="s">
        <v>974</v>
      </c>
      <c r="O803" s="2" t="s">
        <v>2439</v>
      </c>
      <c r="P803" s="2" t="s">
        <v>980</v>
      </c>
      <c r="Q803" s="2" t="s">
        <v>540</v>
      </c>
    </row>
    <row r="804" spans="1:18" ht="45" x14ac:dyDescent="0.25">
      <c r="H804" s="7"/>
      <c r="J804" s="3"/>
      <c r="K804" s="3"/>
      <c r="L804" s="3"/>
      <c r="N804" s="2" t="s">
        <v>974</v>
      </c>
      <c r="O804" s="2" t="s">
        <v>2441</v>
      </c>
      <c r="P804" s="2" t="s">
        <v>980</v>
      </c>
      <c r="Q804" s="2" t="s">
        <v>540</v>
      </c>
    </row>
    <row r="805" spans="1:18" ht="60" x14ac:dyDescent="0.25">
      <c r="H805" s="7"/>
      <c r="J805" s="3"/>
      <c r="K805" s="3"/>
      <c r="L805" s="3"/>
      <c r="N805" s="2" t="s">
        <v>974</v>
      </c>
      <c r="O805" s="2" t="s">
        <v>2620</v>
      </c>
      <c r="P805" s="2" t="s">
        <v>980</v>
      </c>
      <c r="Q805" s="2" t="s">
        <v>540</v>
      </c>
    </row>
    <row r="806" spans="1:18" ht="45" x14ac:dyDescent="0.25">
      <c r="F806" s="10">
        <v>7</v>
      </c>
      <c r="H806" s="7" t="s">
        <v>455</v>
      </c>
      <c r="I806" s="2" t="s">
        <v>29</v>
      </c>
      <c r="J806" s="3">
        <v>40190</v>
      </c>
      <c r="K806" s="2" t="s">
        <v>33</v>
      </c>
      <c r="L806" s="3" t="s">
        <v>1279</v>
      </c>
      <c r="N806" s="2" t="s">
        <v>974</v>
      </c>
      <c r="O806" s="2" t="s">
        <v>1880</v>
      </c>
      <c r="P806" s="2" t="s">
        <v>977</v>
      </c>
      <c r="Q806" s="2" t="s">
        <v>540</v>
      </c>
    </row>
    <row r="807" spans="1:18" ht="75" x14ac:dyDescent="0.25">
      <c r="F807" s="10">
        <v>9</v>
      </c>
      <c r="H807" s="7" t="s">
        <v>1886</v>
      </c>
      <c r="I807" s="2" t="s">
        <v>29</v>
      </c>
      <c r="J807" s="3">
        <v>40147</v>
      </c>
      <c r="K807" s="3">
        <v>40142</v>
      </c>
      <c r="L807" s="3" t="s">
        <v>1279</v>
      </c>
      <c r="N807" s="2" t="s">
        <v>974</v>
      </c>
      <c r="O807" s="2" t="s">
        <v>1881</v>
      </c>
      <c r="P807" s="2" t="s">
        <v>977</v>
      </c>
      <c r="Q807" s="2" t="s">
        <v>540</v>
      </c>
    </row>
    <row r="808" spans="1:18" ht="90" x14ac:dyDescent="0.25">
      <c r="F808" s="10">
        <v>10</v>
      </c>
      <c r="H808" s="7" t="s">
        <v>3326</v>
      </c>
      <c r="I808" s="2" t="s">
        <v>29</v>
      </c>
      <c r="J808" s="3">
        <v>40135</v>
      </c>
      <c r="K808" s="3">
        <v>40142</v>
      </c>
      <c r="L808" s="3" t="s">
        <v>1279</v>
      </c>
      <c r="N808" s="2" t="s">
        <v>974</v>
      </c>
      <c r="O808" s="2" t="s">
        <v>1882</v>
      </c>
      <c r="P808" s="2" t="s">
        <v>977</v>
      </c>
      <c r="Q808" s="2" t="s">
        <v>540</v>
      </c>
    </row>
    <row r="809" spans="1:18" ht="150" x14ac:dyDescent="0.25">
      <c r="H809" s="7"/>
      <c r="J809" s="3"/>
      <c r="K809" s="3"/>
      <c r="L809" s="3"/>
      <c r="N809" s="2" t="s">
        <v>974</v>
      </c>
      <c r="O809" s="2" t="s">
        <v>2440</v>
      </c>
      <c r="P809" s="2" t="s">
        <v>980</v>
      </c>
      <c r="Q809" s="2" t="s">
        <v>540</v>
      </c>
    </row>
    <row r="810" spans="1:18" ht="45" x14ac:dyDescent="0.25">
      <c r="F810" s="10">
        <v>11</v>
      </c>
      <c r="H810" s="7" t="s">
        <v>3927</v>
      </c>
      <c r="I810" s="2" t="s">
        <v>29</v>
      </c>
      <c r="J810" s="3">
        <v>40190</v>
      </c>
      <c r="K810" s="22"/>
      <c r="L810" s="3" t="s">
        <v>1279</v>
      </c>
      <c r="N810" s="2" t="s">
        <v>974</v>
      </c>
    </row>
    <row r="811" spans="1:18" ht="75" x14ac:dyDescent="0.25">
      <c r="F811" s="10">
        <v>12</v>
      </c>
      <c r="H811" s="7" t="s">
        <v>116</v>
      </c>
      <c r="I811" s="2" t="s">
        <v>29</v>
      </c>
      <c r="J811" s="3">
        <v>40147</v>
      </c>
      <c r="K811" s="3">
        <v>40142</v>
      </c>
      <c r="L811" s="3" t="s">
        <v>1279</v>
      </c>
      <c r="N811" s="2" t="s">
        <v>974</v>
      </c>
    </row>
    <row r="812" spans="1:18" x14ac:dyDescent="0.25">
      <c r="H812" s="7"/>
      <c r="J812" s="3"/>
      <c r="K812" s="3"/>
      <c r="L812" s="3"/>
    </row>
    <row r="813" spans="1:18" ht="60" x14ac:dyDescent="0.25">
      <c r="A813" s="7" t="s">
        <v>861</v>
      </c>
      <c r="B813" s="7" t="s">
        <v>3491</v>
      </c>
      <c r="C813" s="7" t="s">
        <v>46</v>
      </c>
      <c r="D813" s="7" t="s">
        <v>3327</v>
      </c>
      <c r="E813" s="10" t="s">
        <v>121</v>
      </c>
      <c r="F813" s="10">
        <v>1</v>
      </c>
      <c r="G813" s="2" t="s">
        <v>3328</v>
      </c>
      <c r="H813" s="7"/>
      <c r="J813" s="3"/>
      <c r="K813" s="3"/>
      <c r="L813" s="3"/>
    </row>
    <row r="814" spans="1:18" ht="45" x14ac:dyDescent="0.25">
      <c r="F814" s="10">
        <v>2</v>
      </c>
      <c r="G814" s="2" t="s">
        <v>3329</v>
      </c>
      <c r="H814" s="7"/>
      <c r="I814" s="7"/>
      <c r="J814" s="7"/>
      <c r="L814" s="3"/>
    </row>
    <row r="815" spans="1:18" ht="150" x14ac:dyDescent="0.25">
      <c r="F815" s="10">
        <v>3</v>
      </c>
      <c r="H815" s="7" t="s">
        <v>3330</v>
      </c>
      <c r="I815" s="2" t="s">
        <v>30</v>
      </c>
      <c r="J815" s="3">
        <v>40190</v>
      </c>
      <c r="K815" s="3">
        <v>40254</v>
      </c>
      <c r="L815" s="3" t="s">
        <v>1279</v>
      </c>
      <c r="N815" s="2" t="s">
        <v>974</v>
      </c>
      <c r="O815" s="2" t="s">
        <v>3928</v>
      </c>
      <c r="P815" s="2" t="s">
        <v>982</v>
      </c>
      <c r="Q815" s="2" t="s">
        <v>540</v>
      </c>
      <c r="R815" s="2" t="s">
        <v>2631</v>
      </c>
    </row>
    <row r="816" spans="1:18" ht="60" x14ac:dyDescent="0.25">
      <c r="F816" s="10">
        <v>4</v>
      </c>
      <c r="H816" s="7" t="s">
        <v>3331</v>
      </c>
      <c r="I816" s="2" t="s">
        <v>30</v>
      </c>
      <c r="J816" s="3">
        <v>40190</v>
      </c>
      <c r="K816" s="3">
        <v>40254</v>
      </c>
      <c r="L816" s="3" t="s">
        <v>1279</v>
      </c>
      <c r="N816" s="2" t="s">
        <v>974</v>
      </c>
      <c r="O816" s="2" t="s">
        <v>2621</v>
      </c>
      <c r="P816" s="2" t="s">
        <v>977</v>
      </c>
      <c r="Q816" s="2" t="s">
        <v>540</v>
      </c>
      <c r="R816" s="2" t="s">
        <v>2639</v>
      </c>
    </row>
    <row r="817" spans="1:18" x14ac:dyDescent="0.25">
      <c r="F817" s="10">
        <v>5</v>
      </c>
      <c r="H817" s="7" t="s">
        <v>3332</v>
      </c>
      <c r="I817" s="2" t="s">
        <v>29</v>
      </c>
      <c r="J817" s="3">
        <v>40190</v>
      </c>
      <c r="K817" s="3">
        <v>40254</v>
      </c>
      <c r="L817" s="3" t="s">
        <v>1279</v>
      </c>
      <c r="N817" s="2" t="s">
        <v>974</v>
      </c>
    </row>
    <row r="818" spans="1:18" ht="30" x14ac:dyDescent="0.25">
      <c r="F818" s="10">
        <v>7</v>
      </c>
      <c r="H818" s="7" t="s">
        <v>3333</v>
      </c>
      <c r="I818" s="2" t="s">
        <v>29</v>
      </c>
      <c r="J818" s="3">
        <v>40190</v>
      </c>
      <c r="K818" s="3">
        <v>40254</v>
      </c>
      <c r="L818" s="3" t="s">
        <v>1279</v>
      </c>
      <c r="N818" s="2" t="s">
        <v>974</v>
      </c>
    </row>
    <row r="819" spans="1:18" ht="30" x14ac:dyDescent="0.25">
      <c r="E819" s="10" t="s">
        <v>164</v>
      </c>
      <c r="F819" s="10">
        <v>1</v>
      </c>
      <c r="G819" s="2" t="s">
        <v>3334</v>
      </c>
      <c r="H819" s="7"/>
      <c r="I819" s="7"/>
      <c r="J819" s="7"/>
      <c r="L819" s="3"/>
    </row>
    <row r="820" spans="1:18" ht="30" x14ac:dyDescent="0.25">
      <c r="F820" s="10">
        <v>2</v>
      </c>
      <c r="H820" s="7" t="s">
        <v>3335</v>
      </c>
      <c r="I820" s="2" t="s">
        <v>30</v>
      </c>
      <c r="J820" s="3">
        <v>40190</v>
      </c>
      <c r="K820" s="3">
        <v>40254</v>
      </c>
      <c r="L820" s="3" t="s">
        <v>1279</v>
      </c>
      <c r="N820" s="2" t="s">
        <v>974</v>
      </c>
    </row>
    <row r="821" spans="1:18" ht="30" x14ac:dyDescent="0.25">
      <c r="F821" s="10">
        <v>3</v>
      </c>
      <c r="H821" s="7" t="s">
        <v>3336</v>
      </c>
      <c r="I821" s="2" t="s">
        <v>30</v>
      </c>
      <c r="J821" s="3">
        <v>40190</v>
      </c>
      <c r="K821" s="3">
        <v>40254</v>
      </c>
      <c r="L821" s="3" t="s">
        <v>1279</v>
      </c>
      <c r="N821" s="2" t="s">
        <v>974</v>
      </c>
    </row>
    <row r="822" spans="1:18" ht="150" x14ac:dyDescent="0.25">
      <c r="F822" s="10">
        <v>4</v>
      </c>
      <c r="H822" s="7" t="s">
        <v>445</v>
      </c>
      <c r="I822" s="2" t="s">
        <v>30</v>
      </c>
      <c r="J822" s="3">
        <v>40190</v>
      </c>
      <c r="K822" s="3">
        <v>40254</v>
      </c>
      <c r="L822" s="3" t="s">
        <v>1279</v>
      </c>
      <c r="N822" s="2" t="s">
        <v>974</v>
      </c>
      <c r="O822" s="2" t="s">
        <v>3337</v>
      </c>
      <c r="P822" s="2" t="s">
        <v>980</v>
      </c>
      <c r="Q822" s="2" t="s">
        <v>540</v>
      </c>
      <c r="R822" s="2" t="s">
        <v>2690</v>
      </c>
    </row>
    <row r="823" spans="1:18" ht="45" x14ac:dyDescent="0.25">
      <c r="E823" s="10" t="s">
        <v>165</v>
      </c>
      <c r="F823" s="10">
        <v>1</v>
      </c>
      <c r="G823" s="2" t="s">
        <v>3338</v>
      </c>
      <c r="H823" s="7"/>
      <c r="I823" s="7"/>
      <c r="J823" s="7"/>
      <c r="L823" s="3"/>
    </row>
    <row r="824" spans="1:18" ht="30" x14ac:dyDescent="0.25">
      <c r="F824" s="10">
        <v>2</v>
      </c>
      <c r="H824" s="7" t="s">
        <v>3335</v>
      </c>
      <c r="I824" s="2" t="s">
        <v>30</v>
      </c>
      <c r="J824" s="3">
        <v>40190</v>
      </c>
      <c r="K824" s="3">
        <v>40254</v>
      </c>
      <c r="L824" s="3" t="s">
        <v>1279</v>
      </c>
      <c r="N824" s="2" t="s">
        <v>974</v>
      </c>
    </row>
    <row r="825" spans="1:18" ht="30" x14ac:dyDescent="0.25">
      <c r="F825" s="10">
        <v>3</v>
      </c>
      <c r="H825" s="7" t="s">
        <v>3339</v>
      </c>
      <c r="I825" s="2" t="s">
        <v>30</v>
      </c>
      <c r="J825" s="3">
        <v>40190</v>
      </c>
      <c r="K825" s="3">
        <v>40254</v>
      </c>
      <c r="L825" s="3" t="s">
        <v>1279</v>
      </c>
      <c r="N825" s="2" t="s">
        <v>974</v>
      </c>
    </row>
    <row r="826" spans="1:18" ht="30" x14ac:dyDescent="0.25">
      <c r="F826" s="10">
        <v>4</v>
      </c>
      <c r="H826" s="7" t="s">
        <v>3340</v>
      </c>
      <c r="I826" s="2" t="s">
        <v>30</v>
      </c>
      <c r="J826" s="3">
        <v>40190</v>
      </c>
      <c r="K826" s="3">
        <v>40254</v>
      </c>
      <c r="L826" s="3" t="s">
        <v>1279</v>
      </c>
      <c r="N826" s="2" t="s">
        <v>974</v>
      </c>
    </row>
    <row r="827" spans="1:18" ht="30" x14ac:dyDescent="0.25">
      <c r="F827" s="10">
        <v>5</v>
      </c>
      <c r="H827" s="7" t="s">
        <v>447</v>
      </c>
      <c r="I827" s="2" t="s">
        <v>30</v>
      </c>
      <c r="J827" s="3">
        <v>40190</v>
      </c>
      <c r="K827" s="3">
        <v>40254</v>
      </c>
      <c r="L827" s="3" t="s">
        <v>1279</v>
      </c>
      <c r="N827" s="2" t="s">
        <v>974</v>
      </c>
    </row>
    <row r="828" spans="1:18" x14ac:dyDescent="0.25">
      <c r="H828" s="7"/>
      <c r="J828" s="3"/>
      <c r="K828" s="3"/>
      <c r="L828" s="3"/>
    </row>
    <row r="829" spans="1:18" ht="60" x14ac:dyDescent="0.25">
      <c r="A829" s="7" t="s">
        <v>862</v>
      </c>
      <c r="B829" s="7" t="s">
        <v>3492</v>
      </c>
      <c r="C829" s="7" t="s">
        <v>46</v>
      </c>
      <c r="D829" s="7" t="s">
        <v>3341</v>
      </c>
      <c r="E829" s="10" t="s">
        <v>121</v>
      </c>
      <c r="F829" s="10">
        <v>1</v>
      </c>
      <c r="G829" s="2" t="s">
        <v>3342</v>
      </c>
      <c r="H829" s="7"/>
      <c r="J829" s="3"/>
      <c r="K829" s="3"/>
      <c r="L829" s="3"/>
    </row>
    <row r="830" spans="1:18" ht="30" x14ac:dyDescent="0.25">
      <c r="F830" s="10">
        <v>2</v>
      </c>
      <c r="G830" s="2" t="s">
        <v>3343</v>
      </c>
    </row>
    <row r="831" spans="1:18" ht="90" x14ac:dyDescent="0.25">
      <c r="F831" s="10">
        <v>3</v>
      </c>
      <c r="H831" s="2" t="s">
        <v>3344</v>
      </c>
      <c r="I831" s="2" t="s">
        <v>29</v>
      </c>
      <c r="J831" s="3">
        <v>40190</v>
      </c>
      <c r="K831" s="22"/>
      <c r="L831" s="3" t="s">
        <v>1279</v>
      </c>
      <c r="N831" s="2" t="s">
        <v>974</v>
      </c>
      <c r="O831" s="2" t="s">
        <v>3493</v>
      </c>
      <c r="P831" s="2" t="s">
        <v>982</v>
      </c>
      <c r="Q831" s="2" t="s">
        <v>540</v>
      </c>
    </row>
    <row r="832" spans="1:18" ht="45" x14ac:dyDescent="0.25">
      <c r="J832" s="3"/>
      <c r="K832" s="3"/>
      <c r="L832" s="3"/>
      <c r="N832" s="2" t="s">
        <v>974</v>
      </c>
      <c r="O832" s="2" t="s">
        <v>3929</v>
      </c>
      <c r="P832" s="2" t="s">
        <v>980</v>
      </c>
      <c r="Q832" s="2" t="s">
        <v>540</v>
      </c>
      <c r="R832" s="2" t="s">
        <v>1868</v>
      </c>
    </row>
    <row r="833" spans="5:18" ht="135" x14ac:dyDescent="0.25">
      <c r="J833" s="3"/>
      <c r="K833" s="3"/>
      <c r="L833" s="3"/>
      <c r="N833" s="2" t="s">
        <v>974</v>
      </c>
      <c r="O833" s="2" t="s">
        <v>1884</v>
      </c>
      <c r="P833" s="2" t="s">
        <v>982</v>
      </c>
      <c r="Q833" s="2" t="s">
        <v>540</v>
      </c>
    </row>
    <row r="834" spans="5:18" ht="75" x14ac:dyDescent="0.25">
      <c r="J834" s="3"/>
      <c r="K834" s="3"/>
      <c r="L834" s="3"/>
      <c r="N834" s="2" t="s">
        <v>974</v>
      </c>
      <c r="O834" s="2" t="s">
        <v>3494</v>
      </c>
      <c r="P834" s="2" t="s">
        <v>977</v>
      </c>
      <c r="Q834" s="2" t="s">
        <v>540</v>
      </c>
      <c r="R834" s="2" t="s">
        <v>2643</v>
      </c>
    </row>
    <row r="835" spans="5:18" ht="60" x14ac:dyDescent="0.25">
      <c r="F835" s="10">
        <v>4</v>
      </c>
      <c r="H835" s="7" t="s">
        <v>1272</v>
      </c>
      <c r="I835" s="2" t="s">
        <v>29</v>
      </c>
      <c r="J835" s="3">
        <v>40190</v>
      </c>
      <c r="K835" s="22"/>
      <c r="L835" s="3" t="s">
        <v>1279</v>
      </c>
      <c r="N835" s="2" t="s">
        <v>974</v>
      </c>
    </row>
    <row r="836" spans="5:18" ht="45" x14ac:dyDescent="0.25">
      <c r="F836" s="10">
        <v>5</v>
      </c>
      <c r="H836" s="7" t="s">
        <v>3495</v>
      </c>
      <c r="I836" s="2" t="s">
        <v>29</v>
      </c>
      <c r="J836" s="3">
        <v>40190</v>
      </c>
      <c r="K836" s="22"/>
      <c r="L836" s="3" t="s">
        <v>1279</v>
      </c>
      <c r="N836" s="2" t="s">
        <v>974</v>
      </c>
    </row>
    <row r="837" spans="5:18" ht="30" x14ac:dyDescent="0.25">
      <c r="F837" s="10">
        <v>6</v>
      </c>
      <c r="H837" s="7" t="s">
        <v>3345</v>
      </c>
      <c r="I837" s="2" t="s">
        <v>29</v>
      </c>
      <c r="J837" s="3">
        <v>40190</v>
      </c>
      <c r="K837" s="22"/>
      <c r="L837" s="3" t="s">
        <v>1279</v>
      </c>
      <c r="N837" s="2" t="s">
        <v>974</v>
      </c>
    </row>
    <row r="838" spans="5:18" ht="45" x14ac:dyDescent="0.25">
      <c r="H838" s="7"/>
      <c r="J838" s="3"/>
      <c r="K838" s="3"/>
      <c r="L838" s="3"/>
      <c r="N838" s="2" t="s">
        <v>974</v>
      </c>
      <c r="O838" s="2" t="s">
        <v>1885</v>
      </c>
      <c r="P838" s="2" t="s">
        <v>980</v>
      </c>
      <c r="Q838" s="2" t="s">
        <v>540</v>
      </c>
    </row>
    <row r="839" spans="5:18" ht="30" x14ac:dyDescent="0.25">
      <c r="F839" s="10">
        <v>7</v>
      </c>
      <c r="H839" s="7" t="s">
        <v>3346</v>
      </c>
      <c r="I839" s="2" t="s">
        <v>30</v>
      </c>
      <c r="J839" s="3">
        <v>40190</v>
      </c>
      <c r="K839" s="22"/>
      <c r="L839" s="3" t="s">
        <v>1279</v>
      </c>
      <c r="N839" s="2" t="s">
        <v>974</v>
      </c>
    </row>
    <row r="840" spans="5:18" ht="30" x14ac:dyDescent="0.25">
      <c r="F840" s="10">
        <v>8</v>
      </c>
      <c r="H840" s="7" t="s">
        <v>3347</v>
      </c>
      <c r="I840" s="2" t="s">
        <v>30</v>
      </c>
      <c r="J840" s="3">
        <v>40190</v>
      </c>
      <c r="K840" s="22"/>
      <c r="L840" s="3" t="s">
        <v>1279</v>
      </c>
      <c r="N840" s="2" t="s">
        <v>974</v>
      </c>
    </row>
    <row r="841" spans="5:18" ht="30" x14ac:dyDescent="0.25">
      <c r="F841" s="10">
        <v>9</v>
      </c>
      <c r="H841" s="7" t="s">
        <v>3348</v>
      </c>
      <c r="I841" s="2" t="s">
        <v>29</v>
      </c>
      <c r="J841" s="3">
        <v>40190</v>
      </c>
      <c r="K841" s="22"/>
      <c r="L841" s="3" t="s">
        <v>1279</v>
      </c>
      <c r="N841" s="2" t="s">
        <v>974</v>
      </c>
    </row>
    <row r="842" spans="5:18" ht="30" x14ac:dyDescent="0.25">
      <c r="E842" s="10" t="s">
        <v>164</v>
      </c>
      <c r="F842" s="10">
        <v>1</v>
      </c>
      <c r="G842" s="2" t="s">
        <v>440</v>
      </c>
      <c r="H842" s="7"/>
      <c r="J842" s="3"/>
      <c r="K842" s="3"/>
      <c r="L842" s="3"/>
    </row>
    <row r="843" spans="5:18" ht="60" x14ac:dyDescent="0.25">
      <c r="F843" s="10">
        <v>2</v>
      </c>
      <c r="H843" s="7" t="s">
        <v>3349</v>
      </c>
      <c r="I843" s="2" t="s">
        <v>30</v>
      </c>
      <c r="J843" s="3">
        <v>40190</v>
      </c>
      <c r="K843" s="22"/>
      <c r="L843" s="3" t="s">
        <v>1279</v>
      </c>
      <c r="N843" s="2" t="s">
        <v>974</v>
      </c>
      <c r="O843" s="2" t="s">
        <v>3930</v>
      </c>
      <c r="P843" s="2" t="s">
        <v>980</v>
      </c>
      <c r="Q843" s="2" t="s">
        <v>540</v>
      </c>
    </row>
    <row r="844" spans="5:18" ht="30" x14ac:dyDescent="0.25">
      <c r="F844" s="10">
        <v>3</v>
      </c>
      <c r="H844" s="7" t="s">
        <v>444</v>
      </c>
      <c r="I844" s="2" t="s">
        <v>30</v>
      </c>
      <c r="J844" s="3">
        <v>40190</v>
      </c>
      <c r="K844" s="22"/>
      <c r="L844" s="3" t="s">
        <v>1279</v>
      </c>
      <c r="N844" s="2" t="s">
        <v>974</v>
      </c>
    </row>
    <row r="845" spans="5:18" ht="30" x14ac:dyDescent="0.25">
      <c r="F845" s="10">
        <v>4</v>
      </c>
      <c r="H845" s="7" t="s">
        <v>3336</v>
      </c>
      <c r="I845" s="2" t="s">
        <v>30</v>
      </c>
      <c r="J845" s="3">
        <v>40190</v>
      </c>
      <c r="K845" s="22"/>
      <c r="L845" s="3" t="s">
        <v>1279</v>
      </c>
      <c r="N845" s="2" t="s">
        <v>974</v>
      </c>
    </row>
    <row r="846" spans="5:18" ht="45" x14ac:dyDescent="0.25">
      <c r="E846" s="10" t="s">
        <v>441</v>
      </c>
      <c r="F846" s="10">
        <v>1</v>
      </c>
      <c r="G846" s="2" t="s">
        <v>442</v>
      </c>
      <c r="H846" s="7"/>
      <c r="J846" s="3"/>
      <c r="K846" s="3"/>
      <c r="L846" s="3"/>
    </row>
    <row r="847" spans="5:18" ht="90" x14ac:dyDescent="0.25">
      <c r="F847" s="10">
        <v>2</v>
      </c>
      <c r="H847" s="7" t="s">
        <v>3349</v>
      </c>
      <c r="I847" s="2" t="s">
        <v>29</v>
      </c>
      <c r="J847" s="3">
        <v>40190</v>
      </c>
      <c r="K847" s="22"/>
      <c r="L847" s="3" t="s">
        <v>1279</v>
      </c>
      <c r="N847" s="2" t="s">
        <v>974</v>
      </c>
      <c r="O847" s="2" t="s">
        <v>3931</v>
      </c>
      <c r="P847" s="2" t="s">
        <v>980</v>
      </c>
      <c r="Q847" s="2" t="s">
        <v>540</v>
      </c>
      <c r="R847" s="2" t="s">
        <v>2642</v>
      </c>
    </row>
    <row r="848" spans="5:18" ht="45" x14ac:dyDescent="0.25">
      <c r="F848" s="10">
        <v>3</v>
      </c>
      <c r="H848" s="7" t="s">
        <v>446</v>
      </c>
      <c r="I848" s="2" t="s">
        <v>29</v>
      </c>
      <c r="J848" s="3">
        <v>40190</v>
      </c>
      <c r="K848" s="22"/>
      <c r="L848" s="3" t="s">
        <v>1279</v>
      </c>
      <c r="N848" s="2" t="s">
        <v>974</v>
      </c>
    </row>
    <row r="849" spans="1:18" ht="30" x14ac:dyDescent="0.25">
      <c r="F849" s="10">
        <v>4</v>
      </c>
      <c r="H849" s="7" t="s">
        <v>3339</v>
      </c>
      <c r="I849" s="2" t="s">
        <v>29</v>
      </c>
      <c r="J849" s="3">
        <v>40190</v>
      </c>
      <c r="K849" s="22"/>
      <c r="L849" s="3" t="s">
        <v>1279</v>
      </c>
      <c r="N849" s="2" t="s">
        <v>974</v>
      </c>
    </row>
    <row r="850" spans="1:18" ht="30" x14ac:dyDescent="0.25">
      <c r="F850" s="10">
        <v>5</v>
      </c>
      <c r="H850" s="7" t="s">
        <v>3340</v>
      </c>
      <c r="I850" s="2" t="s">
        <v>29</v>
      </c>
      <c r="J850" s="3">
        <v>40190</v>
      </c>
      <c r="K850" s="22"/>
      <c r="L850" s="3" t="s">
        <v>1279</v>
      </c>
      <c r="N850" s="2" t="s">
        <v>974</v>
      </c>
    </row>
    <row r="851" spans="1:18" x14ac:dyDescent="0.25">
      <c r="H851" s="7"/>
      <c r="J851" s="3"/>
      <c r="K851" s="2"/>
      <c r="L851" s="2"/>
    </row>
    <row r="852" spans="1:18" ht="60" x14ac:dyDescent="0.25">
      <c r="A852" s="7" t="s">
        <v>863</v>
      </c>
      <c r="B852" s="7" t="s">
        <v>3496</v>
      </c>
      <c r="C852" s="7" t="s">
        <v>46</v>
      </c>
      <c r="D852" s="7" t="s">
        <v>3350</v>
      </c>
      <c r="E852" s="10" t="s">
        <v>121</v>
      </c>
      <c r="F852" s="10">
        <v>1</v>
      </c>
      <c r="G852" s="2" t="s">
        <v>3351</v>
      </c>
      <c r="H852" s="7"/>
      <c r="J852" s="3"/>
      <c r="K852" s="2"/>
      <c r="L852" s="2"/>
    </row>
    <row r="853" spans="1:18" ht="45" x14ac:dyDescent="0.25">
      <c r="F853" s="10">
        <v>2</v>
      </c>
      <c r="G853" s="2" t="s">
        <v>3352</v>
      </c>
      <c r="H853" s="7"/>
      <c r="J853" s="3"/>
      <c r="K853" s="2"/>
    </row>
    <row r="854" spans="1:18" ht="150" x14ac:dyDescent="0.25">
      <c r="F854" s="10">
        <v>3</v>
      </c>
      <c r="H854" s="7" t="s">
        <v>3353</v>
      </c>
      <c r="I854" s="2" t="s">
        <v>30</v>
      </c>
      <c r="J854" s="3">
        <v>40190</v>
      </c>
      <c r="K854" s="22"/>
      <c r="L854" s="3" t="s">
        <v>1279</v>
      </c>
      <c r="N854" s="2" t="s">
        <v>974</v>
      </c>
      <c r="O854" s="2" t="s">
        <v>3932</v>
      </c>
      <c r="P854" s="2" t="s">
        <v>980</v>
      </c>
      <c r="Q854" s="2" t="s">
        <v>540</v>
      </c>
      <c r="R854" s="2" t="s">
        <v>2638</v>
      </c>
    </row>
    <row r="855" spans="1:18" ht="30" x14ac:dyDescent="0.25">
      <c r="F855" s="10">
        <v>4</v>
      </c>
      <c r="H855" s="7" t="s">
        <v>3354</v>
      </c>
      <c r="I855" s="2" t="s">
        <v>30</v>
      </c>
      <c r="J855" s="3">
        <v>40190</v>
      </c>
      <c r="K855" s="22"/>
      <c r="L855" s="3" t="s">
        <v>1279</v>
      </c>
      <c r="N855" s="2" t="s">
        <v>974</v>
      </c>
    </row>
    <row r="856" spans="1:18" ht="30" x14ac:dyDescent="0.25">
      <c r="F856" s="10">
        <v>5</v>
      </c>
      <c r="H856" s="7" t="s">
        <v>1822</v>
      </c>
      <c r="I856" s="2" t="s">
        <v>30</v>
      </c>
      <c r="J856" s="3">
        <v>40190</v>
      </c>
      <c r="K856" s="22"/>
      <c r="L856" s="3" t="s">
        <v>1279</v>
      </c>
      <c r="N856" s="2" t="s">
        <v>974</v>
      </c>
    </row>
    <row r="857" spans="1:18" ht="135" x14ac:dyDescent="0.25">
      <c r="F857" s="10">
        <v>6</v>
      </c>
      <c r="H857" s="7" t="s">
        <v>1823</v>
      </c>
      <c r="I857" s="2" t="s">
        <v>30</v>
      </c>
      <c r="J857" s="3">
        <v>40190</v>
      </c>
      <c r="K857" s="22"/>
      <c r="L857" s="22"/>
      <c r="N857" s="2" t="s">
        <v>974</v>
      </c>
      <c r="O857" s="2" t="s">
        <v>3355</v>
      </c>
      <c r="P857" s="2" t="s">
        <v>980</v>
      </c>
      <c r="Q857" s="2" t="s">
        <v>540</v>
      </c>
      <c r="R857" s="2" t="s">
        <v>3497</v>
      </c>
    </row>
    <row r="858" spans="1:18" x14ac:dyDescent="0.25">
      <c r="H858" s="7"/>
      <c r="J858" s="3"/>
      <c r="K858" s="2"/>
      <c r="L858" s="2"/>
    </row>
    <row r="859" spans="1:18" ht="90" x14ac:dyDescent="0.25">
      <c r="A859" s="19" t="s">
        <v>2041</v>
      </c>
      <c r="B859" s="19" t="s">
        <v>3498</v>
      </c>
      <c r="C859" s="2" t="s">
        <v>46</v>
      </c>
      <c r="D859" s="2" t="s">
        <v>3356</v>
      </c>
      <c r="E859" s="10" t="s">
        <v>121</v>
      </c>
      <c r="F859" s="10">
        <v>1</v>
      </c>
      <c r="G859" s="2" t="s">
        <v>3357</v>
      </c>
      <c r="H859" s="7"/>
      <c r="J859" s="3"/>
      <c r="K859" s="2"/>
      <c r="L859" s="2"/>
    </row>
    <row r="860" spans="1:18" ht="30" x14ac:dyDescent="0.25">
      <c r="F860" s="10">
        <v>2</v>
      </c>
      <c r="G860" s="2" t="s">
        <v>3358</v>
      </c>
      <c r="H860" s="7"/>
      <c r="J860" s="3"/>
      <c r="K860" s="2"/>
      <c r="L860" s="2"/>
    </row>
    <row r="861" spans="1:18" ht="90" x14ac:dyDescent="0.25">
      <c r="A861" s="26"/>
      <c r="B861" s="26"/>
      <c r="F861" s="10">
        <v>3</v>
      </c>
      <c r="H861" s="7" t="s">
        <v>1328</v>
      </c>
      <c r="I861" s="2" t="s">
        <v>29</v>
      </c>
      <c r="J861" s="3">
        <v>40234</v>
      </c>
      <c r="K861" s="22"/>
      <c r="L861" s="22" t="s">
        <v>502</v>
      </c>
      <c r="N861" s="2" t="s">
        <v>974</v>
      </c>
      <c r="O861" s="2" t="s">
        <v>1816</v>
      </c>
      <c r="P861" s="2" t="s">
        <v>980</v>
      </c>
      <c r="Q861" s="2" t="s">
        <v>540</v>
      </c>
    </row>
    <row r="862" spans="1:18" ht="30" x14ac:dyDescent="0.25">
      <c r="A862" s="26"/>
      <c r="B862" s="26"/>
      <c r="H862" s="7"/>
      <c r="J862" s="3"/>
      <c r="K862" s="3"/>
      <c r="L862" s="3"/>
      <c r="N862" s="2" t="s">
        <v>974</v>
      </c>
      <c r="O862" s="2" t="s">
        <v>3359</v>
      </c>
      <c r="P862" s="2" t="s">
        <v>982</v>
      </c>
      <c r="Q862" s="2" t="s">
        <v>540</v>
      </c>
    </row>
    <row r="863" spans="1:18" ht="30" x14ac:dyDescent="0.25">
      <c r="A863" s="26"/>
      <c r="B863" s="26"/>
      <c r="H863" s="7"/>
      <c r="J863" s="3"/>
      <c r="K863" s="3"/>
      <c r="L863" s="3"/>
      <c r="N863" s="2" t="s">
        <v>974</v>
      </c>
      <c r="O863" s="2" t="s">
        <v>1883</v>
      </c>
      <c r="P863" s="2" t="s">
        <v>977</v>
      </c>
      <c r="Q863" s="2" t="s">
        <v>540</v>
      </c>
    </row>
    <row r="864" spans="1:18" ht="30" x14ac:dyDescent="0.25">
      <c r="A864" s="26"/>
      <c r="B864" s="26"/>
      <c r="F864" s="10">
        <v>4</v>
      </c>
      <c r="H864" s="7" t="s">
        <v>3499</v>
      </c>
      <c r="I864" s="2" t="s">
        <v>29</v>
      </c>
      <c r="J864" s="3">
        <v>40237</v>
      </c>
      <c r="K864" s="3">
        <v>40254</v>
      </c>
      <c r="L864" s="22" t="s">
        <v>502</v>
      </c>
      <c r="N864" s="2" t="s">
        <v>974</v>
      </c>
    </row>
    <row r="865" spans="1:18" ht="30" x14ac:dyDescent="0.25">
      <c r="A865" s="26"/>
      <c r="B865" s="26"/>
      <c r="F865" s="10">
        <v>5</v>
      </c>
      <c r="H865" s="7" t="s">
        <v>2091</v>
      </c>
      <c r="I865" s="2" t="s">
        <v>29</v>
      </c>
      <c r="J865" s="3">
        <v>40294</v>
      </c>
      <c r="K865" s="22"/>
      <c r="L865" s="22" t="s">
        <v>502</v>
      </c>
      <c r="N865" s="2" t="s">
        <v>974</v>
      </c>
    </row>
    <row r="866" spans="1:18" ht="60" x14ac:dyDescent="0.25">
      <c r="A866" s="26"/>
      <c r="B866" s="26"/>
      <c r="F866" s="10">
        <v>6</v>
      </c>
      <c r="H866" s="7" t="s">
        <v>3933</v>
      </c>
      <c r="I866" s="2" t="s">
        <v>29</v>
      </c>
      <c r="J866" s="3">
        <v>40235</v>
      </c>
      <c r="K866" s="3">
        <v>40254</v>
      </c>
      <c r="L866" s="22" t="s">
        <v>502</v>
      </c>
      <c r="N866" s="2" t="s">
        <v>974</v>
      </c>
    </row>
    <row r="867" spans="1:18" ht="30" x14ac:dyDescent="0.25">
      <c r="A867" s="26"/>
      <c r="B867" s="26"/>
      <c r="F867" s="10">
        <v>7</v>
      </c>
      <c r="H867" s="7" t="s">
        <v>2087</v>
      </c>
      <c r="I867" s="2" t="s">
        <v>29</v>
      </c>
      <c r="J867" s="3">
        <v>40236</v>
      </c>
      <c r="K867" s="22"/>
      <c r="L867" s="22" t="s">
        <v>502</v>
      </c>
      <c r="N867" s="2" t="s">
        <v>974</v>
      </c>
    </row>
    <row r="868" spans="1:18" x14ac:dyDescent="0.25">
      <c r="H868" s="7"/>
      <c r="J868" s="3"/>
      <c r="K868" s="2"/>
      <c r="L868" s="2"/>
    </row>
    <row r="869" spans="1:18" ht="75" x14ac:dyDescent="0.25">
      <c r="A869" s="26" t="s">
        <v>1294</v>
      </c>
      <c r="B869" s="19" t="s">
        <v>3500</v>
      </c>
      <c r="C869" s="2" t="s">
        <v>46</v>
      </c>
      <c r="D869" s="2" t="s">
        <v>3360</v>
      </c>
      <c r="E869" s="10" t="s">
        <v>121</v>
      </c>
      <c r="F869" s="10">
        <v>1</v>
      </c>
      <c r="G869" s="2" t="s">
        <v>2124</v>
      </c>
      <c r="H869" s="7"/>
      <c r="J869" s="3"/>
      <c r="K869" s="2"/>
      <c r="L869" s="2"/>
    </row>
    <row r="870" spans="1:18" ht="30" x14ac:dyDescent="0.25">
      <c r="A870" s="26"/>
      <c r="B870" s="26"/>
      <c r="F870" s="10">
        <v>2</v>
      </c>
      <c r="G870" s="2" t="s">
        <v>3358</v>
      </c>
      <c r="H870" s="7"/>
      <c r="J870" s="3"/>
      <c r="K870" s="2"/>
      <c r="L870" s="2"/>
    </row>
    <row r="871" spans="1:18" ht="30" x14ac:dyDescent="0.25">
      <c r="A871" s="26"/>
      <c r="B871" s="26"/>
      <c r="F871" s="10">
        <v>3</v>
      </c>
      <c r="H871" s="7" t="s">
        <v>3501</v>
      </c>
      <c r="I871" s="2" t="s">
        <v>29</v>
      </c>
      <c r="J871" s="3">
        <v>40238</v>
      </c>
      <c r="K871" s="3">
        <v>40254</v>
      </c>
      <c r="L871" s="22" t="s">
        <v>502</v>
      </c>
      <c r="N871" s="2" t="s">
        <v>974</v>
      </c>
    </row>
    <row r="872" spans="1:18" ht="30" x14ac:dyDescent="0.25">
      <c r="A872" s="26"/>
      <c r="B872" s="26"/>
      <c r="F872" s="10">
        <v>4</v>
      </c>
      <c r="H872" s="7" t="s">
        <v>3361</v>
      </c>
      <c r="I872" s="2" t="s">
        <v>29</v>
      </c>
      <c r="J872" s="3">
        <v>40239</v>
      </c>
      <c r="K872" s="3">
        <v>40254</v>
      </c>
      <c r="L872" s="22" t="s">
        <v>502</v>
      </c>
      <c r="N872" s="2" t="s">
        <v>974</v>
      </c>
    </row>
    <row r="873" spans="1:18" ht="120" x14ac:dyDescent="0.25">
      <c r="A873" s="26"/>
      <c r="B873" s="26"/>
      <c r="F873" s="10">
        <v>5</v>
      </c>
      <c r="H873" s="7" t="s">
        <v>3502</v>
      </c>
      <c r="I873" s="2" t="s">
        <v>29</v>
      </c>
      <c r="J873" s="3">
        <v>40240</v>
      </c>
      <c r="K873" s="3">
        <v>40254</v>
      </c>
      <c r="L873" s="22" t="s">
        <v>502</v>
      </c>
      <c r="N873" s="2" t="s">
        <v>974</v>
      </c>
      <c r="O873" s="2" t="s">
        <v>3029</v>
      </c>
      <c r="P873" s="2" t="s">
        <v>980</v>
      </c>
      <c r="Q873" s="2" t="s">
        <v>540</v>
      </c>
      <c r="R873" s="2" t="s">
        <v>3067</v>
      </c>
    </row>
    <row r="874" spans="1:18" ht="30" x14ac:dyDescent="0.25">
      <c r="A874" s="26"/>
      <c r="B874" s="26"/>
      <c r="H874" s="7"/>
      <c r="J874" s="3"/>
      <c r="K874" s="3"/>
      <c r="L874" s="3"/>
      <c r="N874" s="2" t="s">
        <v>974</v>
      </c>
      <c r="O874" s="2" t="s">
        <v>3030</v>
      </c>
      <c r="P874" s="2" t="s">
        <v>982</v>
      </c>
      <c r="Q874" s="2" t="s">
        <v>540</v>
      </c>
    </row>
    <row r="875" spans="1:18" ht="105" x14ac:dyDescent="0.25">
      <c r="A875" s="26"/>
      <c r="B875" s="26"/>
      <c r="H875" s="7"/>
      <c r="J875" s="3"/>
      <c r="K875" s="3"/>
      <c r="L875" s="3"/>
      <c r="N875" s="2" t="s">
        <v>973</v>
      </c>
      <c r="O875" s="2" t="s">
        <v>2463</v>
      </c>
      <c r="P875" s="2" t="s">
        <v>977</v>
      </c>
      <c r="Q875" s="2" t="s">
        <v>2172</v>
      </c>
      <c r="R875" s="2" t="s">
        <v>2957</v>
      </c>
    </row>
    <row r="876" spans="1:18" ht="30" x14ac:dyDescent="0.25">
      <c r="A876" s="26"/>
      <c r="B876" s="26"/>
      <c r="H876" s="7"/>
      <c r="J876" s="3"/>
      <c r="K876" s="3"/>
      <c r="L876" s="3"/>
      <c r="N876" s="2" t="s">
        <v>974</v>
      </c>
      <c r="O876" s="2" t="s">
        <v>2464</v>
      </c>
      <c r="P876" s="2" t="s">
        <v>980</v>
      </c>
      <c r="Q876" s="2" t="s">
        <v>540</v>
      </c>
    </row>
    <row r="877" spans="1:18" ht="30" x14ac:dyDescent="0.25">
      <c r="A877" s="26"/>
      <c r="B877" s="26"/>
      <c r="F877" s="10">
        <v>6</v>
      </c>
      <c r="H877" s="7" t="s">
        <v>3362</v>
      </c>
      <c r="J877" s="3"/>
      <c r="K877" s="3"/>
      <c r="L877" s="3"/>
      <c r="N877" s="2" t="s">
        <v>974</v>
      </c>
      <c r="O877" s="2" t="s">
        <v>3934</v>
      </c>
      <c r="P877" s="2" t="s">
        <v>977</v>
      </c>
      <c r="Q877" s="2" t="s">
        <v>540</v>
      </c>
    </row>
    <row r="878" spans="1:18" x14ac:dyDescent="0.25">
      <c r="A878" s="26"/>
      <c r="B878" s="26"/>
      <c r="H878" s="7"/>
      <c r="J878" s="3"/>
      <c r="K878" s="3"/>
      <c r="L878" s="3"/>
    </row>
    <row r="879" spans="1:18" ht="75" x14ac:dyDescent="0.25">
      <c r="A879" s="19" t="s">
        <v>1295</v>
      </c>
      <c r="B879" s="19" t="s">
        <v>3503</v>
      </c>
      <c r="C879" s="2" t="s">
        <v>46</v>
      </c>
      <c r="D879" s="2" t="s">
        <v>3360</v>
      </c>
      <c r="E879" s="10" t="s">
        <v>121</v>
      </c>
      <c r="F879" s="10">
        <v>1</v>
      </c>
      <c r="G879" s="2" t="s">
        <v>2125</v>
      </c>
      <c r="H879" s="7"/>
      <c r="J879" s="3"/>
      <c r="K879" s="3"/>
      <c r="L879" s="3"/>
    </row>
    <row r="880" spans="1:18" ht="30" x14ac:dyDescent="0.25">
      <c r="A880" s="26"/>
      <c r="B880" s="26"/>
      <c r="F880" s="10">
        <v>2</v>
      </c>
      <c r="H880" s="7" t="s">
        <v>1329</v>
      </c>
      <c r="I880" s="2" t="s">
        <v>29</v>
      </c>
      <c r="J880" s="3">
        <v>40242</v>
      </c>
      <c r="K880" s="3">
        <v>40254</v>
      </c>
      <c r="L880" s="22" t="s">
        <v>502</v>
      </c>
      <c r="N880" s="2" t="s">
        <v>974</v>
      </c>
    </row>
    <row r="881" spans="1:18" ht="30" x14ac:dyDescent="0.25">
      <c r="A881" s="26"/>
      <c r="B881" s="26"/>
      <c r="F881" s="10">
        <v>3</v>
      </c>
      <c r="H881" s="7" t="s">
        <v>2091</v>
      </c>
      <c r="I881" s="2" t="s">
        <v>29</v>
      </c>
      <c r="J881" s="22"/>
      <c r="K881" s="22"/>
      <c r="L881" s="22" t="s">
        <v>502</v>
      </c>
      <c r="N881" s="2" t="s">
        <v>974</v>
      </c>
    </row>
    <row r="882" spans="1:18" ht="60" x14ac:dyDescent="0.25">
      <c r="A882" s="26"/>
      <c r="B882" s="26"/>
      <c r="F882" s="10">
        <v>4</v>
      </c>
      <c r="H882" s="7" t="s">
        <v>3933</v>
      </c>
      <c r="I882" s="2" t="s">
        <v>29</v>
      </c>
      <c r="J882" s="3">
        <v>40235</v>
      </c>
      <c r="K882" s="3">
        <v>40254</v>
      </c>
      <c r="L882" s="22" t="s">
        <v>502</v>
      </c>
      <c r="N882" s="2" t="s">
        <v>974</v>
      </c>
      <c r="O882" s="2" t="s">
        <v>2465</v>
      </c>
      <c r="P882" s="2" t="s">
        <v>977</v>
      </c>
      <c r="Q882" s="2" t="s">
        <v>540</v>
      </c>
    </row>
    <row r="883" spans="1:18" ht="30" x14ac:dyDescent="0.25">
      <c r="A883" s="26"/>
      <c r="B883" s="26"/>
      <c r="H883" s="7"/>
      <c r="J883" s="3"/>
      <c r="K883" s="3"/>
      <c r="L883" s="2"/>
      <c r="N883" s="2" t="s">
        <v>973</v>
      </c>
      <c r="O883" s="2" t="s">
        <v>2466</v>
      </c>
      <c r="P883" s="2" t="s">
        <v>977</v>
      </c>
      <c r="Q883" s="2" t="s">
        <v>2172</v>
      </c>
      <c r="R883" s="2" t="s">
        <v>2957</v>
      </c>
    </row>
    <row r="884" spans="1:18" ht="60" x14ac:dyDescent="0.25">
      <c r="A884" s="26"/>
      <c r="B884" s="26"/>
      <c r="H884" s="7"/>
      <c r="J884" s="3"/>
      <c r="K884" s="3"/>
      <c r="L884" s="2"/>
      <c r="N884" s="2" t="s">
        <v>974</v>
      </c>
      <c r="O884" s="2" t="s">
        <v>2467</v>
      </c>
      <c r="P884" s="2" t="s">
        <v>977</v>
      </c>
      <c r="Q884" s="2" t="s">
        <v>540</v>
      </c>
    </row>
    <row r="885" spans="1:18" ht="45" x14ac:dyDescent="0.25">
      <c r="A885" s="26"/>
      <c r="B885" s="26"/>
      <c r="H885" s="7"/>
      <c r="J885" s="3"/>
      <c r="K885" s="3"/>
      <c r="L885" s="2"/>
      <c r="N885" s="2" t="s">
        <v>974</v>
      </c>
      <c r="O885" s="2" t="s">
        <v>2468</v>
      </c>
      <c r="P885" s="2" t="s">
        <v>977</v>
      </c>
      <c r="Q885" s="2" t="s">
        <v>540</v>
      </c>
    </row>
    <row r="886" spans="1:18" ht="30" x14ac:dyDescent="0.25">
      <c r="A886" s="26"/>
      <c r="B886" s="26"/>
      <c r="F886" s="10">
        <v>5</v>
      </c>
      <c r="H886" s="7" t="s">
        <v>2087</v>
      </c>
      <c r="I886" s="2" t="s">
        <v>29</v>
      </c>
      <c r="J886" s="3">
        <v>40236</v>
      </c>
      <c r="K886" s="22"/>
      <c r="L886" s="22" t="s">
        <v>502</v>
      </c>
      <c r="N886" s="2" t="s">
        <v>974</v>
      </c>
    </row>
    <row r="887" spans="1:18" ht="60" x14ac:dyDescent="0.25">
      <c r="A887" s="26"/>
      <c r="B887" s="26"/>
      <c r="F887" s="10">
        <v>6</v>
      </c>
      <c r="H887" s="7" t="s">
        <v>3363</v>
      </c>
      <c r="I887" s="2" t="s">
        <v>29</v>
      </c>
      <c r="J887" s="3">
        <v>40243</v>
      </c>
      <c r="K887" s="3">
        <v>40254</v>
      </c>
      <c r="L887" s="22" t="s">
        <v>502</v>
      </c>
      <c r="N887" s="2" t="s">
        <v>974</v>
      </c>
      <c r="O887" s="2" t="s">
        <v>2470</v>
      </c>
      <c r="P887" s="2" t="s">
        <v>980</v>
      </c>
      <c r="Q887" s="2" t="s">
        <v>540</v>
      </c>
      <c r="R887" s="2" t="s">
        <v>2498</v>
      </c>
    </row>
    <row r="888" spans="1:18" ht="45" x14ac:dyDescent="0.25">
      <c r="A888" s="26"/>
      <c r="B888" s="26"/>
      <c r="H888" s="7"/>
      <c r="J888" s="3"/>
      <c r="K888" s="3"/>
      <c r="L888" s="3"/>
      <c r="N888" s="2" t="s">
        <v>974</v>
      </c>
      <c r="O888" s="2" t="s">
        <v>2499</v>
      </c>
      <c r="P888" s="2" t="s">
        <v>977</v>
      </c>
      <c r="Q888" s="2" t="s">
        <v>540</v>
      </c>
    </row>
    <row r="889" spans="1:18" ht="60" x14ac:dyDescent="0.25">
      <c r="A889" s="26"/>
      <c r="B889" s="26"/>
      <c r="F889" s="10">
        <v>7</v>
      </c>
      <c r="H889" s="7" t="s">
        <v>3364</v>
      </c>
      <c r="I889" s="2" t="s">
        <v>29</v>
      </c>
      <c r="J889" s="3">
        <v>40244</v>
      </c>
      <c r="K889" s="3">
        <v>40254</v>
      </c>
      <c r="L889" s="22" t="s">
        <v>502</v>
      </c>
      <c r="N889" s="2" t="s">
        <v>974</v>
      </c>
    </row>
    <row r="890" spans="1:18" ht="315" x14ac:dyDescent="0.25">
      <c r="A890" s="26"/>
      <c r="B890" s="26"/>
      <c r="F890" s="10">
        <v>8</v>
      </c>
      <c r="H890" s="7" t="s">
        <v>3504</v>
      </c>
      <c r="I890" s="2" t="s">
        <v>29</v>
      </c>
      <c r="J890" s="3">
        <v>40245</v>
      </c>
      <c r="K890" s="3">
        <v>40254</v>
      </c>
      <c r="L890" s="22" t="s">
        <v>502</v>
      </c>
      <c r="N890" s="2" t="s">
        <v>974</v>
      </c>
    </row>
    <row r="891" spans="1:18" ht="45" x14ac:dyDescent="0.25">
      <c r="A891" s="26"/>
      <c r="B891" s="26"/>
      <c r="F891" s="10">
        <v>9</v>
      </c>
      <c r="H891" s="7" t="s">
        <v>1330</v>
      </c>
      <c r="I891" s="2" t="s">
        <v>29</v>
      </c>
      <c r="J891" s="3">
        <v>40246</v>
      </c>
      <c r="K891" s="3">
        <v>40254</v>
      </c>
      <c r="L891" s="22" t="s">
        <v>502</v>
      </c>
      <c r="N891" s="2" t="s">
        <v>974</v>
      </c>
    </row>
    <row r="892" spans="1:18" ht="60" x14ac:dyDescent="0.25">
      <c r="A892" s="26"/>
      <c r="B892" s="26"/>
      <c r="F892" s="10">
        <v>10</v>
      </c>
      <c r="H892" s="7" t="s">
        <v>3365</v>
      </c>
      <c r="I892" s="2" t="s">
        <v>29</v>
      </c>
      <c r="J892" s="3">
        <v>40247</v>
      </c>
      <c r="K892" s="3">
        <v>40254</v>
      </c>
      <c r="L892" s="22"/>
      <c r="N892" s="2" t="s">
        <v>974</v>
      </c>
    </row>
    <row r="893" spans="1:18" ht="285" x14ac:dyDescent="0.25">
      <c r="A893" s="26"/>
      <c r="B893" s="26"/>
      <c r="F893" s="10">
        <v>11</v>
      </c>
      <c r="H893" s="7" t="s">
        <v>1428</v>
      </c>
      <c r="I893" s="2" t="s">
        <v>29</v>
      </c>
      <c r="J893" s="3">
        <v>40248</v>
      </c>
      <c r="K893" s="3">
        <v>40254</v>
      </c>
      <c r="L893" s="22"/>
      <c r="N893" s="2" t="s">
        <v>974</v>
      </c>
      <c r="O893" s="2" t="s">
        <v>2500</v>
      </c>
      <c r="P893" s="2" t="s">
        <v>980</v>
      </c>
      <c r="Q893" s="2" t="s">
        <v>540</v>
      </c>
    </row>
    <row r="894" spans="1:18" ht="30" x14ac:dyDescent="0.25">
      <c r="A894" s="26"/>
      <c r="B894" s="26"/>
      <c r="H894" s="7"/>
      <c r="J894" s="3"/>
      <c r="K894" s="3"/>
      <c r="L894" s="2"/>
      <c r="N894" s="2" t="s">
        <v>974</v>
      </c>
      <c r="O894" s="2" t="s">
        <v>2469</v>
      </c>
      <c r="P894" s="2" t="s">
        <v>980</v>
      </c>
      <c r="Q894" s="2" t="s">
        <v>540</v>
      </c>
    </row>
    <row r="895" spans="1:18" ht="60" x14ac:dyDescent="0.25">
      <c r="A895" s="26"/>
      <c r="B895" s="26"/>
      <c r="F895" s="10">
        <v>12</v>
      </c>
      <c r="H895" s="7" t="s">
        <v>2126</v>
      </c>
      <c r="I895" s="2" t="s">
        <v>29</v>
      </c>
      <c r="J895" s="3">
        <v>40241</v>
      </c>
      <c r="K895" s="3">
        <v>40254</v>
      </c>
      <c r="L895" s="22" t="s">
        <v>502</v>
      </c>
      <c r="N895" s="2" t="s">
        <v>974</v>
      </c>
    </row>
    <row r="896" spans="1:18" x14ac:dyDescent="0.25">
      <c r="A896" s="26"/>
      <c r="B896" s="26"/>
      <c r="H896" s="7"/>
      <c r="J896" s="3"/>
      <c r="K896" s="3"/>
      <c r="L896" s="3"/>
    </row>
    <row r="897" spans="1:17" ht="60" x14ac:dyDescent="0.25">
      <c r="A897" s="19" t="s">
        <v>2038</v>
      </c>
      <c r="B897" s="26" t="s">
        <v>3505</v>
      </c>
      <c r="C897" s="7" t="s">
        <v>46</v>
      </c>
      <c r="D897" s="7" t="s">
        <v>3366</v>
      </c>
      <c r="E897" s="10" t="s">
        <v>121</v>
      </c>
      <c r="F897" s="10">
        <v>1</v>
      </c>
      <c r="G897" s="2" t="s">
        <v>2088</v>
      </c>
      <c r="H897" s="7"/>
      <c r="J897" s="3"/>
      <c r="K897" s="3"/>
      <c r="L897" s="3"/>
    </row>
    <row r="898" spans="1:17" ht="30" x14ac:dyDescent="0.25">
      <c r="A898" s="26"/>
      <c r="B898" s="26"/>
      <c r="F898" s="10">
        <v>2</v>
      </c>
      <c r="H898" s="7" t="s">
        <v>1331</v>
      </c>
      <c r="I898" s="2" t="s">
        <v>29</v>
      </c>
      <c r="J898" s="3">
        <v>40249</v>
      </c>
      <c r="K898" s="3">
        <v>40254</v>
      </c>
      <c r="L898" s="22" t="s">
        <v>502</v>
      </c>
      <c r="N898" s="2" t="s">
        <v>974</v>
      </c>
    </row>
    <row r="899" spans="1:17" ht="165" x14ac:dyDescent="0.25">
      <c r="A899" s="26"/>
      <c r="B899" s="26"/>
      <c r="F899" s="10">
        <v>3</v>
      </c>
      <c r="H899" s="7" t="s">
        <v>1332</v>
      </c>
      <c r="I899" s="2" t="s">
        <v>29</v>
      </c>
      <c r="J899" s="3">
        <v>40250</v>
      </c>
      <c r="K899" s="3">
        <v>40254</v>
      </c>
      <c r="L899" s="22" t="s">
        <v>502</v>
      </c>
      <c r="N899" s="2" t="s">
        <v>974</v>
      </c>
    </row>
    <row r="900" spans="1:17" ht="90" x14ac:dyDescent="0.25">
      <c r="A900" s="26"/>
      <c r="B900" s="26"/>
      <c r="F900" s="10">
        <v>4</v>
      </c>
      <c r="H900" s="7" t="s">
        <v>3367</v>
      </c>
      <c r="I900" s="2" t="s">
        <v>29</v>
      </c>
      <c r="J900" s="3">
        <v>40251</v>
      </c>
      <c r="K900" s="3">
        <v>40254</v>
      </c>
      <c r="L900" s="22" t="s">
        <v>502</v>
      </c>
      <c r="N900" s="2" t="s">
        <v>974</v>
      </c>
      <c r="O900" s="2" t="s">
        <v>2928</v>
      </c>
      <c r="P900" s="2" t="s">
        <v>980</v>
      </c>
      <c r="Q900" s="2" t="s">
        <v>540</v>
      </c>
    </row>
    <row r="901" spans="1:17" ht="45" x14ac:dyDescent="0.25">
      <c r="A901" s="26"/>
      <c r="B901" s="26"/>
      <c r="F901" s="10">
        <v>5</v>
      </c>
      <c r="H901" s="7" t="s">
        <v>1333</v>
      </c>
      <c r="I901" s="2" t="s">
        <v>29</v>
      </c>
      <c r="J901" s="3">
        <v>40252</v>
      </c>
      <c r="K901" s="3">
        <v>40254</v>
      </c>
      <c r="L901" s="22" t="s">
        <v>502</v>
      </c>
      <c r="N901" s="2" t="s">
        <v>974</v>
      </c>
      <c r="O901" s="2" t="s">
        <v>1457</v>
      </c>
      <c r="P901" s="2" t="s">
        <v>980</v>
      </c>
      <c r="Q901" s="2" t="s">
        <v>540</v>
      </c>
    </row>
    <row r="902" spans="1:17" ht="30" x14ac:dyDescent="0.25">
      <c r="A902" s="26"/>
      <c r="B902" s="26"/>
      <c r="F902" s="10">
        <v>6</v>
      </c>
      <c r="H902" s="7" t="s">
        <v>1334</v>
      </c>
      <c r="I902" s="2" t="s">
        <v>29</v>
      </c>
      <c r="J902" s="3">
        <v>40253</v>
      </c>
      <c r="K902" s="3">
        <v>40254</v>
      </c>
      <c r="L902" s="22" t="s">
        <v>502</v>
      </c>
      <c r="N902" s="2" t="s">
        <v>974</v>
      </c>
    </row>
    <row r="903" spans="1:17" ht="45" x14ac:dyDescent="0.25">
      <c r="A903" s="26"/>
      <c r="B903" s="26"/>
      <c r="F903" s="10">
        <v>7</v>
      </c>
      <c r="H903" s="7" t="s">
        <v>1335</v>
      </c>
      <c r="I903" s="2" t="s">
        <v>29</v>
      </c>
      <c r="J903" s="3">
        <v>40254</v>
      </c>
      <c r="K903" s="3">
        <v>40254</v>
      </c>
      <c r="L903" s="22" t="s">
        <v>502</v>
      </c>
      <c r="N903" s="2" t="s">
        <v>974</v>
      </c>
    </row>
    <row r="904" spans="1:17" ht="30" x14ac:dyDescent="0.25">
      <c r="A904" s="26"/>
      <c r="B904" s="26"/>
      <c r="F904" s="10">
        <v>8</v>
      </c>
      <c r="H904" s="7" t="s">
        <v>2091</v>
      </c>
      <c r="I904" s="2" t="s">
        <v>29</v>
      </c>
      <c r="J904" s="22"/>
      <c r="K904" s="22"/>
      <c r="L904" s="22" t="s">
        <v>502</v>
      </c>
      <c r="N904" s="2" t="s">
        <v>974</v>
      </c>
    </row>
    <row r="905" spans="1:17" x14ac:dyDescent="0.25">
      <c r="H905" s="7"/>
      <c r="J905" s="3"/>
      <c r="K905" s="2"/>
      <c r="L905" s="2"/>
    </row>
    <row r="906" spans="1:17" ht="75" x14ac:dyDescent="0.25">
      <c r="A906" s="7" t="s">
        <v>402</v>
      </c>
      <c r="B906" s="7" t="s">
        <v>3506</v>
      </c>
      <c r="C906" s="7" t="s">
        <v>46</v>
      </c>
      <c r="D906" s="7" t="s">
        <v>3368</v>
      </c>
      <c r="E906" s="11" t="s">
        <v>121</v>
      </c>
      <c r="F906" s="11">
        <v>1</v>
      </c>
      <c r="G906" s="7" t="s">
        <v>1277</v>
      </c>
      <c r="H906" s="7"/>
      <c r="J906" s="3"/>
      <c r="K906" s="3"/>
    </row>
    <row r="907" spans="1:17" ht="30" x14ac:dyDescent="0.25">
      <c r="E907" s="11"/>
      <c r="F907" s="11">
        <v>2</v>
      </c>
      <c r="G907" s="7" t="s">
        <v>3369</v>
      </c>
      <c r="H907" s="7"/>
      <c r="J907" s="3"/>
      <c r="K907" s="3"/>
    </row>
    <row r="908" spans="1:17" ht="30" x14ac:dyDescent="0.25">
      <c r="E908" s="11"/>
      <c r="F908" s="11">
        <v>3</v>
      </c>
      <c r="G908" s="7"/>
      <c r="H908" s="7" t="s">
        <v>3370</v>
      </c>
      <c r="I908" s="7" t="s">
        <v>29</v>
      </c>
      <c r="J908" s="3">
        <v>40168</v>
      </c>
      <c r="K908" s="22"/>
      <c r="L908" s="22"/>
    </row>
    <row r="909" spans="1:17" ht="30" x14ac:dyDescent="0.25">
      <c r="E909" s="11" t="s">
        <v>164</v>
      </c>
      <c r="F909" s="11">
        <v>1</v>
      </c>
      <c r="G909" s="7" t="s">
        <v>3371</v>
      </c>
      <c r="H909" s="7"/>
      <c r="I909" s="7"/>
      <c r="J909" s="3"/>
    </row>
    <row r="910" spans="1:17" ht="30" x14ac:dyDescent="0.25">
      <c r="E910" s="11"/>
      <c r="F910" s="11">
        <v>2</v>
      </c>
      <c r="G910" s="7"/>
      <c r="H910" s="7" t="s">
        <v>448</v>
      </c>
      <c r="I910" s="7" t="s">
        <v>29</v>
      </c>
      <c r="J910" s="3">
        <v>40168</v>
      </c>
      <c r="K910" s="22"/>
      <c r="L910" s="22"/>
    </row>
    <row r="912" spans="1:17" ht="45" x14ac:dyDescent="0.25">
      <c r="A912" s="7" t="s">
        <v>348</v>
      </c>
      <c r="B912" s="7" t="s">
        <v>740</v>
      </c>
      <c r="C912" s="7" t="s">
        <v>46</v>
      </c>
      <c r="D912" s="7" t="s">
        <v>741</v>
      </c>
      <c r="E912" s="10" t="s">
        <v>121</v>
      </c>
      <c r="F912" s="10">
        <v>1</v>
      </c>
      <c r="G912" s="2" t="s">
        <v>3935</v>
      </c>
    </row>
    <row r="913" spans="1:18" ht="30" x14ac:dyDescent="0.25">
      <c r="F913" s="10">
        <v>2</v>
      </c>
      <c r="G913" s="2" t="s">
        <v>3936</v>
      </c>
    </row>
    <row r="914" spans="1:18" ht="60" x14ac:dyDescent="0.25">
      <c r="F914" s="10">
        <v>3</v>
      </c>
      <c r="H914" s="2" t="s">
        <v>745</v>
      </c>
      <c r="I914" s="2" t="s">
        <v>33</v>
      </c>
      <c r="J914" s="2" t="s">
        <v>33</v>
      </c>
      <c r="K914" s="3" t="s">
        <v>33</v>
      </c>
      <c r="L914" s="22"/>
      <c r="N914" s="2" t="s">
        <v>33</v>
      </c>
      <c r="O914" s="2" t="s">
        <v>2700</v>
      </c>
    </row>
    <row r="915" spans="1:18" ht="30" x14ac:dyDescent="0.25">
      <c r="F915" s="10">
        <v>4</v>
      </c>
      <c r="G915" s="2" t="s">
        <v>3937</v>
      </c>
    </row>
    <row r="916" spans="1:18" ht="30" x14ac:dyDescent="0.25">
      <c r="F916" s="10">
        <v>5</v>
      </c>
      <c r="H916" s="2" t="s">
        <v>3938</v>
      </c>
      <c r="I916" s="2" t="s">
        <v>33</v>
      </c>
      <c r="J916" s="2" t="s">
        <v>33</v>
      </c>
      <c r="K916" s="3" t="s">
        <v>33</v>
      </c>
      <c r="L916" s="22"/>
      <c r="N916" s="2" t="s">
        <v>33</v>
      </c>
      <c r="O916" s="2" t="s">
        <v>2700</v>
      </c>
    </row>
    <row r="917" spans="1:18" ht="30" x14ac:dyDescent="0.25">
      <c r="F917" s="10">
        <v>6</v>
      </c>
      <c r="G917" s="7" t="s">
        <v>3939</v>
      </c>
    </row>
    <row r="918" spans="1:18" ht="30" x14ac:dyDescent="0.25">
      <c r="F918" s="10">
        <v>7</v>
      </c>
      <c r="H918" s="7" t="s">
        <v>3940</v>
      </c>
      <c r="I918" s="2" t="s">
        <v>33</v>
      </c>
      <c r="J918" s="2" t="s">
        <v>33</v>
      </c>
      <c r="K918" s="3" t="s">
        <v>33</v>
      </c>
      <c r="L918" s="22"/>
      <c r="N918" s="2" t="s">
        <v>33</v>
      </c>
      <c r="O918" s="2" t="s">
        <v>2700</v>
      </c>
    </row>
    <row r="919" spans="1:18" ht="30" x14ac:dyDescent="0.25">
      <c r="F919" s="10">
        <v>8</v>
      </c>
      <c r="G919" s="2" t="s">
        <v>764</v>
      </c>
      <c r="H919" s="7"/>
    </row>
    <row r="920" spans="1:18" ht="60" x14ac:dyDescent="0.25">
      <c r="F920" s="10">
        <v>9</v>
      </c>
      <c r="H920" s="2" t="s">
        <v>748</v>
      </c>
      <c r="I920" s="2" t="s">
        <v>33</v>
      </c>
      <c r="J920" s="2" t="s">
        <v>33</v>
      </c>
      <c r="K920" s="3" t="s">
        <v>33</v>
      </c>
      <c r="L920" s="22"/>
      <c r="N920" s="2" t="s">
        <v>33</v>
      </c>
      <c r="O920" s="2" t="s">
        <v>2700</v>
      </c>
    </row>
    <row r="922" spans="1:18" ht="105" x14ac:dyDescent="0.25">
      <c r="A922" s="7" t="s">
        <v>642</v>
      </c>
      <c r="B922" s="7" t="s">
        <v>746</v>
      </c>
      <c r="C922" s="7" t="s">
        <v>46</v>
      </c>
      <c r="D922" s="7" t="s">
        <v>3941</v>
      </c>
      <c r="E922" s="10" t="s">
        <v>121</v>
      </c>
      <c r="F922" s="10">
        <v>1</v>
      </c>
      <c r="G922" s="2" t="s">
        <v>3942</v>
      </c>
    </row>
    <row r="923" spans="1:18" ht="30" x14ac:dyDescent="0.25">
      <c r="F923" s="10">
        <v>2</v>
      </c>
      <c r="H923" s="2" t="s">
        <v>3943</v>
      </c>
      <c r="I923" s="2" t="s">
        <v>33</v>
      </c>
      <c r="J923" s="2" t="s">
        <v>33</v>
      </c>
      <c r="K923" s="3" t="s">
        <v>33</v>
      </c>
      <c r="L923" s="22"/>
      <c r="N923" s="2" t="s">
        <v>974</v>
      </c>
    </row>
    <row r="924" spans="1:18" ht="30" x14ac:dyDescent="0.25">
      <c r="F924" s="10">
        <v>3</v>
      </c>
      <c r="G924" s="7" t="s">
        <v>3939</v>
      </c>
    </row>
    <row r="925" spans="1:18" ht="30" x14ac:dyDescent="0.25">
      <c r="F925" s="10">
        <v>4</v>
      </c>
      <c r="H925" s="7" t="s">
        <v>3940</v>
      </c>
      <c r="I925" s="2" t="s">
        <v>33</v>
      </c>
      <c r="J925" s="2" t="s">
        <v>33</v>
      </c>
      <c r="K925" s="3" t="s">
        <v>33</v>
      </c>
      <c r="L925" s="22"/>
      <c r="N925" s="2" t="s">
        <v>974</v>
      </c>
    </row>
    <row r="926" spans="1:18" ht="90" x14ac:dyDescent="0.25">
      <c r="F926" s="10">
        <v>5</v>
      </c>
      <c r="H926" s="2" t="s">
        <v>3944</v>
      </c>
      <c r="I926" s="2" t="s">
        <v>33</v>
      </c>
      <c r="J926" s="2" t="s">
        <v>33</v>
      </c>
      <c r="K926" s="3" t="s">
        <v>33</v>
      </c>
      <c r="L926" s="22"/>
      <c r="N926" s="2" t="s">
        <v>974</v>
      </c>
      <c r="O926" s="2" t="s">
        <v>2702</v>
      </c>
      <c r="P926" s="2" t="s">
        <v>980</v>
      </c>
      <c r="Q926" s="2" t="s">
        <v>540</v>
      </c>
    </row>
    <row r="927" spans="1:18" ht="45" x14ac:dyDescent="0.25">
      <c r="K927" s="3"/>
      <c r="L927" s="2"/>
      <c r="N927" s="2" t="s">
        <v>974</v>
      </c>
      <c r="O927" s="2" t="s">
        <v>3026</v>
      </c>
      <c r="P927" s="2" t="s">
        <v>977</v>
      </c>
      <c r="Q927" s="2" t="s">
        <v>986</v>
      </c>
      <c r="R927" s="2" t="s">
        <v>2836</v>
      </c>
    </row>
    <row r="928" spans="1:18" ht="45" x14ac:dyDescent="0.25">
      <c r="F928" s="10">
        <v>6</v>
      </c>
      <c r="H928" s="2" t="s">
        <v>3945</v>
      </c>
      <c r="I928" s="2" t="s">
        <v>33</v>
      </c>
      <c r="J928" s="2" t="s">
        <v>33</v>
      </c>
      <c r="K928" s="3" t="s">
        <v>33</v>
      </c>
      <c r="L928" s="22"/>
      <c r="N928" s="2" t="s">
        <v>33</v>
      </c>
      <c r="O928" s="2" t="s">
        <v>2698</v>
      </c>
    </row>
    <row r="929" spans="1:18" ht="30" x14ac:dyDescent="0.25">
      <c r="F929" s="10">
        <v>7</v>
      </c>
      <c r="G929" s="2" t="s">
        <v>747</v>
      </c>
      <c r="H929" s="7"/>
    </row>
    <row r="930" spans="1:18" ht="150" x14ac:dyDescent="0.25">
      <c r="F930" s="10">
        <v>8</v>
      </c>
      <c r="H930" s="2" t="s">
        <v>3946</v>
      </c>
      <c r="I930" s="2" t="s">
        <v>33</v>
      </c>
      <c r="J930" s="2" t="s">
        <v>33</v>
      </c>
      <c r="K930" s="3" t="s">
        <v>33</v>
      </c>
      <c r="L930" s="22"/>
      <c r="N930" s="2" t="s">
        <v>973</v>
      </c>
      <c r="O930" s="2" t="s">
        <v>2699</v>
      </c>
      <c r="P930" s="2" t="s">
        <v>977</v>
      </c>
      <c r="Q930" s="2" t="s">
        <v>2172</v>
      </c>
      <c r="R930" s="2" t="s">
        <v>2965</v>
      </c>
    </row>
    <row r="931" spans="1:18" ht="105" x14ac:dyDescent="0.25">
      <c r="K931" s="3"/>
      <c r="L931" s="22"/>
      <c r="N931" s="2" t="s">
        <v>973</v>
      </c>
      <c r="O931" s="2" t="s">
        <v>3947</v>
      </c>
      <c r="P931" s="2" t="s">
        <v>980</v>
      </c>
      <c r="Q931" s="2" t="s">
        <v>2172</v>
      </c>
      <c r="R931" s="2" t="s">
        <v>2958</v>
      </c>
    </row>
    <row r="932" spans="1:18" ht="135" x14ac:dyDescent="0.25">
      <c r="K932" s="3"/>
      <c r="L932" s="2"/>
      <c r="N932" s="2" t="s">
        <v>974</v>
      </c>
      <c r="O932" s="2" t="s">
        <v>2701</v>
      </c>
      <c r="P932" s="2" t="s">
        <v>980</v>
      </c>
      <c r="Q932" s="2" t="s">
        <v>540</v>
      </c>
      <c r="R932" s="2" t="s">
        <v>2176</v>
      </c>
    </row>
    <row r="933" spans="1:18" ht="30" x14ac:dyDescent="0.25">
      <c r="F933" s="10">
        <v>9</v>
      </c>
      <c r="G933" s="2" t="s">
        <v>3936</v>
      </c>
    </row>
    <row r="934" spans="1:18" ht="60" x14ac:dyDescent="0.25">
      <c r="F934" s="10">
        <v>10</v>
      </c>
      <c r="H934" s="2" t="s">
        <v>3948</v>
      </c>
      <c r="I934" s="2" t="s">
        <v>33</v>
      </c>
      <c r="J934" s="2" t="s">
        <v>33</v>
      </c>
      <c r="K934" s="3" t="s">
        <v>33</v>
      </c>
      <c r="L934" s="22"/>
      <c r="N934" s="2" t="s">
        <v>983</v>
      </c>
      <c r="O934" s="2" t="s">
        <v>2703</v>
      </c>
    </row>
    <row r="935" spans="1:18" x14ac:dyDescent="0.25">
      <c r="F935" s="10">
        <v>11</v>
      </c>
      <c r="G935" s="2" t="s">
        <v>3372</v>
      </c>
      <c r="K935" s="2"/>
    </row>
    <row r="936" spans="1:18" ht="30" x14ac:dyDescent="0.25">
      <c r="F936" s="10">
        <v>12</v>
      </c>
      <c r="H936" s="2" t="s">
        <v>3949</v>
      </c>
      <c r="I936" s="2" t="s">
        <v>33</v>
      </c>
      <c r="J936" s="2" t="s">
        <v>33</v>
      </c>
      <c r="K936" s="3" t="s">
        <v>33</v>
      </c>
      <c r="L936" s="22"/>
      <c r="N936" s="2" t="s">
        <v>33</v>
      </c>
      <c r="O936" s="2" t="s">
        <v>2698</v>
      </c>
    </row>
    <row r="938" spans="1:18" ht="30" x14ac:dyDescent="0.25">
      <c r="A938" s="7" t="s">
        <v>427</v>
      </c>
      <c r="B938" s="7" t="s">
        <v>451</v>
      </c>
      <c r="C938" s="7" t="s">
        <v>460</v>
      </c>
      <c r="D938" s="7" t="s">
        <v>452</v>
      </c>
      <c r="E938" s="10" t="s">
        <v>121</v>
      </c>
      <c r="F938" s="10">
        <v>1</v>
      </c>
      <c r="G938" s="2" t="s">
        <v>453</v>
      </c>
    </row>
    <row r="939" spans="1:18" ht="105" x14ac:dyDescent="0.25">
      <c r="F939" s="10">
        <v>2</v>
      </c>
      <c r="H939" s="2" t="s">
        <v>3373</v>
      </c>
      <c r="I939" s="2" t="s">
        <v>29</v>
      </c>
      <c r="J939" s="2" t="s">
        <v>33</v>
      </c>
      <c r="K939" s="7" t="s">
        <v>33</v>
      </c>
      <c r="L939" s="3" t="s">
        <v>1288</v>
      </c>
      <c r="N939" s="2" t="s">
        <v>33</v>
      </c>
      <c r="O939" s="2" t="s">
        <v>2424</v>
      </c>
    </row>
    <row r="940" spans="1:18" ht="45" x14ac:dyDescent="0.25">
      <c r="F940" s="10">
        <v>3</v>
      </c>
      <c r="H940" s="2" t="s">
        <v>1513</v>
      </c>
      <c r="I940" s="2" t="s">
        <v>30</v>
      </c>
      <c r="J940" s="2" t="s">
        <v>33</v>
      </c>
      <c r="K940" s="7" t="s">
        <v>33</v>
      </c>
      <c r="L940" s="3" t="s">
        <v>1288</v>
      </c>
      <c r="N940" s="2" t="s">
        <v>33</v>
      </c>
      <c r="O940" s="2" t="s">
        <v>2424</v>
      </c>
    </row>
    <row r="941" spans="1:18" ht="75" x14ac:dyDescent="0.25">
      <c r="F941" s="10">
        <v>4</v>
      </c>
      <c r="H941" s="2" t="s">
        <v>1514</v>
      </c>
      <c r="I941" s="7" t="s">
        <v>29</v>
      </c>
      <c r="J941" s="3">
        <v>40255</v>
      </c>
      <c r="K941" s="3">
        <v>40254</v>
      </c>
      <c r="L941" s="3" t="s">
        <v>1288</v>
      </c>
      <c r="N941" s="2" t="s">
        <v>33</v>
      </c>
      <c r="O941" s="2" t="s">
        <v>2424</v>
      </c>
    </row>
    <row r="942" spans="1:18" ht="45" x14ac:dyDescent="0.25">
      <c r="F942" s="10">
        <v>5</v>
      </c>
      <c r="H942" s="2" t="s">
        <v>1498</v>
      </c>
    </row>
    <row r="943" spans="1:18" x14ac:dyDescent="0.25">
      <c r="F943" s="10">
        <v>6</v>
      </c>
      <c r="H943" s="6" t="s">
        <v>3507</v>
      </c>
      <c r="I943" s="2" t="s">
        <v>29</v>
      </c>
      <c r="J943" s="3">
        <v>40255</v>
      </c>
      <c r="K943" s="3">
        <v>40254</v>
      </c>
      <c r="L943" s="3" t="s">
        <v>1288</v>
      </c>
      <c r="N943" s="2" t="s">
        <v>974</v>
      </c>
    </row>
    <row r="944" spans="1:18" ht="45" x14ac:dyDescent="0.25">
      <c r="F944" s="10">
        <v>7</v>
      </c>
      <c r="H944" s="36" t="s">
        <v>3508</v>
      </c>
      <c r="J944" s="3">
        <v>40255</v>
      </c>
      <c r="K944" s="3">
        <v>40254</v>
      </c>
      <c r="L944" s="3" t="s">
        <v>1288</v>
      </c>
      <c r="N944" s="2" t="s">
        <v>974</v>
      </c>
    </row>
    <row r="945" spans="6:15" x14ac:dyDescent="0.25">
      <c r="F945" s="10">
        <v>8</v>
      </c>
      <c r="H945" s="6" t="s">
        <v>1499</v>
      </c>
      <c r="I945" s="2" t="s">
        <v>29</v>
      </c>
      <c r="J945" s="3">
        <v>40255</v>
      </c>
      <c r="K945" s="3">
        <v>40254</v>
      </c>
      <c r="L945" s="3" t="s">
        <v>1288</v>
      </c>
      <c r="N945" s="2" t="s">
        <v>974</v>
      </c>
    </row>
    <row r="946" spans="6:15" x14ac:dyDescent="0.25">
      <c r="F946" s="10">
        <v>9</v>
      </c>
      <c r="H946" s="6" t="s">
        <v>1500</v>
      </c>
      <c r="I946" s="2" t="s">
        <v>29</v>
      </c>
      <c r="J946" s="3">
        <v>40255</v>
      </c>
      <c r="K946" s="3">
        <v>40254</v>
      </c>
      <c r="L946" s="3" t="s">
        <v>1288</v>
      </c>
      <c r="N946" s="2" t="s">
        <v>974</v>
      </c>
    </row>
    <row r="947" spans="6:15" ht="30" x14ac:dyDescent="0.25">
      <c r="F947" s="10">
        <v>10</v>
      </c>
      <c r="H947" s="6" t="s">
        <v>1501</v>
      </c>
      <c r="I947" s="2" t="s">
        <v>29</v>
      </c>
      <c r="J947" s="3">
        <v>40255</v>
      </c>
      <c r="K947" s="3">
        <v>40254</v>
      </c>
      <c r="L947" s="3" t="s">
        <v>1288</v>
      </c>
      <c r="N947" s="2" t="s">
        <v>33</v>
      </c>
      <c r="O947" s="2" t="s">
        <v>2424</v>
      </c>
    </row>
    <row r="948" spans="6:15" x14ac:dyDescent="0.25">
      <c r="F948" s="10">
        <v>11</v>
      </c>
      <c r="H948" s="6" t="s">
        <v>1512</v>
      </c>
      <c r="I948" s="2" t="s">
        <v>29</v>
      </c>
      <c r="J948" s="3">
        <v>40255</v>
      </c>
      <c r="K948" s="3">
        <v>40254</v>
      </c>
      <c r="L948" s="3" t="s">
        <v>1288</v>
      </c>
      <c r="N948" s="2" t="s">
        <v>974</v>
      </c>
    </row>
    <row r="949" spans="6:15" ht="30" x14ac:dyDescent="0.25">
      <c r="F949" s="10">
        <v>12</v>
      </c>
      <c r="H949" s="6" t="s">
        <v>1505</v>
      </c>
      <c r="I949" s="2" t="s">
        <v>29</v>
      </c>
      <c r="J949" s="3">
        <v>40255</v>
      </c>
      <c r="K949" s="3">
        <v>40254</v>
      </c>
      <c r="L949" s="3" t="s">
        <v>1288</v>
      </c>
      <c r="N949" s="2" t="s">
        <v>33</v>
      </c>
      <c r="O949" s="2" t="s">
        <v>2424</v>
      </c>
    </row>
    <row r="950" spans="6:15" ht="45" x14ac:dyDescent="0.25">
      <c r="F950" s="10">
        <v>13</v>
      </c>
      <c r="H950" s="6" t="s">
        <v>1506</v>
      </c>
      <c r="I950" s="2" t="s">
        <v>29</v>
      </c>
      <c r="J950" s="3">
        <v>40255</v>
      </c>
      <c r="K950" s="3">
        <v>40254</v>
      </c>
      <c r="L950" s="3" t="s">
        <v>1288</v>
      </c>
      <c r="N950" s="2" t="s">
        <v>33</v>
      </c>
      <c r="O950" s="2" t="s">
        <v>2424</v>
      </c>
    </row>
    <row r="951" spans="6:15" ht="45" x14ac:dyDescent="0.25">
      <c r="F951" s="10">
        <v>14</v>
      </c>
      <c r="H951" s="6" t="s">
        <v>3374</v>
      </c>
      <c r="I951" s="2" t="s">
        <v>29</v>
      </c>
      <c r="J951" s="3">
        <v>40255</v>
      </c>
      <c r="K951" s="3">
        <v>40254</v>
      </c>
      <c r="L951" s="3" t="s">
        <v>1288</v>
      </c>
      <c r="N951" s="2" t="s">
        <v>974</v>
      </c>
    </row>
    <row r="952" spans="6:15" ht="45" x14ac:dyDescent="0.25">
      <c r="F952" s="10">
        <v>15</v>
      </c>
      <c r="H952" s="2" t="s">
        <v>1502</v>
      </c>
      <c r="I952" s="2" t="s">
        <v>30</v>
      </c>
      <c r="J952" s="3">
        <v>40274</v>
      </c>
      <c r="K952" s="22"/>
      <c r="L952" s="3" t="s">
        <v>1288</v>
      </c>
      <c r="N952" s="2" t="s">
        <v>974</v>
      </c>
    </row>
    <row r="953" spans="6:15" ht="240" x14ac:dyDescent="0.25">
      <c r="F953" s="10">
        <v>16</v>
      </c>
      <c r="H953" s="6" t="s">
        <v>3375</v>
      </c>
      <c r="I953" s="2" t="s">
        <v>29</v>
      </c>
      <c r="J953" s="3">
        <v>40255</v>
      </c>
      <c r="K953" s="3">
        <v>40254</v>
      </c>
      <c r="L953" s="3" t="s">
        <v>1288</v>
      </c>
      <c r="N953" s="2" t="s">
        <v>33</v>
      </c>
      <c r="O953" s="2" t="s">
        <v>2424</v>
      </c>
    </row>
    <row r="954" spans="6:15" ht="30" x14ac:dyDescent="0.25">
      <c r="F954" s="10">
        <v>17</v>
      </c>
      <c r="H954" s="38" t="s">
        <v>1521</v>
      </c>
      <c r="I954" s="2" t="s">
        <v>29</v>
      </c>
      <c r="J954" s="3">
        <v>40255</v>
      </c>
      <c r="K954" s="3">
        <v>40254</v>
      </c>
      <c r="L954" s="3" t="s">
        <v>1288</v>
      </c>
      <c r="N954" s="2" t="s">
        <v>33</v>
      </c>
      <c r="O954" s="2" t="s">
        <v>2424</v>
      </c>
    </row>
    <row r="955" spans="6:15" ht="30" x14ac:dyDescent="0.25">
      <c r="F955" s="10">
        <v>18</v>
      </c>
      <c r="H955" s="6" t="s">
        <v>1507</v>
      </c>
      <c r="I955" s="2" t="s">
        <v>29</v>
      </c>
      <c r="J955" s="3">
        <v>40255</v>
      </c>
      <c r="K955" s="3">
        <v>40254</v>
      </c>
      <c r="L955" s="3" t="s">
        <v>1288</v>
      </c>
      <c r="N955" s="2" t="s">
        <v>33</v>
      </c>
      <c r="O955" s="2" t="s">
        <v>2424</v>
      </c>
    </row>
    <row r="956" spans="6:15" ht="45" x14ac:dyDescent="0.25">
      <c r="F956" s="10">
        <v>19</v>
      </c>
      <c r="H956" s="6" t="s">
        <v>1508</v>
      </c>
      <c r="I956" s="2" t="s">
        <v>29</v>
      </c>
      <c r="J956" s="3">
        <v>40255</v>
      </c>
      <c r="K956" s="3">
        <v>40254</v>
      </c>
      <c r="L956" s="3" t="s">
        <v>1288</v>
      </c>
      <c r="N956" s="2" t="s">
        <v>33</v>
      </c>
      <c r="O956" s="2" t="s">
        <v>2424</v>
      </c>
    </row>
    <row r="957" spans="6:15" ht="45" x14ac:dyDescent="0.25">
      <c r="F957" s="10">
        <v>20</v>
      </c>
      <c r="H957" s="2" t="s">
        <v>998</v>
      </c>
      <c r="I957" s="2" t="s">
        <v>29</v>
      </c>
      <c r="J957" s="3">
        <v>40255</v>
      </c>
      <c r="K957" s="3">
        <v>40254</v>
      </c>
      <c r="L957" s="3" t="s">
        <v>1288</v>
      </c>
      <c r="N957" s="2" t="s">
        <v>974</v>
      </c>
    </row>
    <row r="958" spans="6:15" ht="60" x14ac:dyDescent="0.25">
      <c r="F958" s="10">
        <v>21</v>
      </c>
      <c r="H958" s="2" t="s">
        <v>999</v>
      </c>
      <c r="I958" s="2" t="s">
        <v>29</v>
      </c>
      <c r="J958" s="3">
        <v>40255</v>
      </c>
      <c r="K958" s="3">
        <v>40254</v>
      </c>
      <c r="L958" s="3" t="s">
        <v>1288</v>
      </c>
      <c r="N958" s="2" t="s">
        <v>33</v>
      </c>
      <c r="O958" s="2" t="s">
        <v>2424</v>
      </c>
    </row>
    <row r="959" spans="6:15" ht="45" x14ac:dyDescent="0.25">
      <c r="F959" s="10">
        <v>22</v>
      </c>
      <c r="H959" s="2" t="s">
        <v>3376</v>
      </c>
    </row>
    <row r="960" spans="6:15" ht="90" x14ac:dyDescent="0.25">
      <c r="F960" s="10">
        <v>23</v>
      </c>
      <c r="H960" s="6" t="s">
        <v>3377</v>
      </c>
      <c r="I960" s="2" t="s">
        <v>29</v>
      </c>
      <c r="J960" s="3">
        <v>40255</v>
      </c>
      <c r="K960" s="3">
        <v>40254</v>
      </c>
      <c r="L960" s="3" t="s">
        <v>1288</v>
      </c>
      <c r="N960" s="2" t="s">
        <v>974</v>
      </c>
    </row>
    <row r="961" spans="5:15" ht="45" x14ac:dyDescent="0.25">
      <c r="F961" s="10">
        <v>24</v>
      </c>
      <c r="H961" s="6" t="s">
        <v>1503</v>
      </c>
      <c r="I961" s="2" t="s">
        <v>29</v>
      </c>
      <c r="J961" s="3">
        <v>40255</v>
      </c>
      <c r="K961" s="3">
        <v>40254</v>
      </c>
      <c r="L961" s="3" t="s">
        <v>1288</v>
      </c>
      <c r="N961" s="2" t="s">
        <v>974</v>
      </c>
    </row>
    <row r="962" spans="5:15" ht="45" x14ac:dyDescent="0.25">
      <c r="F962" s="10">
        <v>25</v>
      </c>
      <c r="H962" s="2" t="s">
        <v>3378</v>
      </c>
    </row>
    <row r="963" spans="5:15" ht="45" x14ac:dyDescent="0.25">
      <c r="F963" s="10">
        <v>26</v>
      </c>
      <c r="H963" s="36" t="s">
        <v>1504</v>
      </c>
      <c r="I963" s="2" t="s">
        <v>30</v>
      </c>
      <c r="J963" s="3">
        <v>40255</v>
      </c>
      <c r="K963" s="3">
        <v>40254</v>
      </c>
      <c r="L963" s="3" t="s">
        <v>1288</v>
      </c>
      <c r="N963" s="2" t="s">
        <v>974</v>
      </c>
    </row>
    <row r="964" spans="5:15" x14ac:dyDescent="0.25">
      <c r="F964" s="10">
        <v>27</v>
      </c>
      <c r="H964" s="6" t="s">
        <v>1511</v>
      </c>
      <c r="I964" s="2" t="s">
        <v>30</v>
      </c>
      <c r="J964" s="3">
        <v>40255</v>
      </c>
      <c r="K964" s="3">
        <v>40254</v>
      </c>
      <c r="L964" s="3" t="s">
        <v>1288</v>
      </c>
      <c r="N964" s="2" t="s">
        <v>974</v>
      </c>
    </row>
    <row r="965" spans="5:15" ht="30" x14ac:dyDescent="0.25">
      <c r="F965" s="10">
        <v>28</v>
      </c>
      <c r="H965" s="2" t="s">
        <v>1520</v>
      </c>
      <c r="I965" s="2" t="s">
        <v>30</v>
      </c>
      <c r="J965" s="2" t="s">
        <v>33</v>
      </c>
      <c r="K965" s="7" t="s">
        <v>33</v>
      </c>
      <c r="L965" s="3" t="s">
        <v>1288</v>
      </c>
      <c r="N965" s="2" t="s">
        <v>974</v>
      </c>
    </row>
    <row r="966" spans="5:15" ht="30" x14ac:dyDescent="0.25">
      <c r="E966" s="10" t="s">
        <v>164</v>
      </c>
      <c r="F966" s="10">
        <v>1</v>
      </c>
      <c r="G966" s="2" t="s">
        <v>1516</v>
      </c>
      <c r="K966" s="2"/>
    </row>
    <row r="967" spans="5:15" ht="60" x14ac:dyDescent="0.25">
      <c r="F967" s="10">
        <v>2</v>
      </c>
      <c r="H967" s="2" t="s">
        <v>3379</v>
      </c>
      <c r="J967" s="3">
        <v>40255</v>
      </c>
      <c r="K967" s="3">
        <v>40254</v>
      </c>
      <c r="L967" s="3" t="s">
        <v>1288</v>
      </c>
      <c r="N967" s="2" t="s">
        <v>33</v>
      </c>
      <c r="O967" s="2" t="s">
        <v>2424</v>
      </c>
    </row>
    <row r="968" spans="5:15" ht="30" x14ac:dyDescent="0.25">
      <c r="F968" s="10">
        <v>3</v>
      </c>
      <c r="H968" s="2" t="s">
        <v>1517</v>
      </c>
      <c r="J968" s="3">
        <v>40255</v>
      </c>
      <c r="K968" s="3">
        <v>40254</v>
      </c>
      <c r="L968" s="3" t="s">
        <v>1288</v>
      </c>
      <c r="N968" s="2" t="s">
        <v>33</v>
      </c>
      <c r="O968" s="2" t="s">
        <v>2424</v>
      </c>
    </row>
    <row r="969" spans="5:15" x14ac:dyDescent="0.25">
      <c r="F969" s="10">
        <v>4</v>
      </c>
      <c r="H969" s="2" t="s">
        <v>1509</v>
      </c>
      <c r="K969" s="2"/>
    </row>
    <row r="970" spans="5:15" x14ac:dyDescent="0.25">
      <c r="F970" s="10">
        <v>5</v>
      </c>
      <c r="H970" s="6" t="s">
        <v>3507</v>
      </c>
      <c r="I970" s="2" t="s">
        <v>29</v>
      </c>
      <c r="J970" s="3">
        <v>40255</v>
      </c>
      <c r="K970" s="3">
        <v>40254</v>
      </c>
      <c r="L970" s="3" t="s">
        <v>1288</v>
      </c>
      <c r="N970" s="2" t="s">
        <v>33</v>
      </c>
      <c r="O970" s="2" t="s">
        <v>2424</v>
      </c>
    </row>
    <row r="971" spans="5:15" ht="45" x14ac:dyDescent="0.25">
      <c r="F971" s="10">
        <v>6</v>
      </c>
      <c r="H971" s="36" t="s">
        <v>3508</v>
      </c>
      <c r="J971" s="3">
        <v>40255</v>
      </c>
      <c r="K971" s="3">
        <v>40254</v>
      </c>
      <c r="L971" s="3" t="s">
        <v>1288</v>
      </c>
      <c r="N971" s="2" t="s">
        <v>33</v>
      </c>
      <c r="O971" s="2" t="s">
        <v>2424</v>
      </c>
    </row>
    <row r="972" spans="5:15" x14ac:dyDescent="0.25">
      <c r="F972" s="10">
        <v>7</v>
      </c>
      <c r="H972" s="6" t="s">
        <v>1510</v>
      </c>
      <c r="I972" s="2" t="s">
        <v>29</v>
      </c>
      <c r="J972" s="3">
        <v>40255</v>
      </c>
      <c r="K972" s="3">
        <v>40254</v>
      </c>
      <c r="L972" s="3" t="s">
        <v>1288</v>
      </c>
      <c r="N972" s="2" t="s">
        <v>33</v>
      </c>
      <c r="O972" s="2" t="s">
        <v>2424</v>
      </c>
    </row>
    <row r="973" spans="5:15" x14ac:dyDescent="0.25">
      <c r="F973" s="10">
        <v>8</v>
      </c>
      <c r="H973" s="6" t="s">
        <v>1512</v>
      </c>
      <c r="I973" s="2" t="s">
        <v>29</v>
      </c>
      <c r="J973" s="3">
        <v>40255</v>
      </c>
      <c r="K973" s="3">
        <v>40254</v>
      </c>
      <c r="L973" s="3" t="s">
        <v>1288</v>
      </c>
      <c r="N973" s="2" t="s">
        <v>33</v>
      </c>
      <c r="O973" s="2" t="s">
        <v>2424</v>
      </c>
    </row>
    <row r="974" spans="5:15" ht="30" x14ac:dyDescent="0.25">
      <c r="F974" s="10">
        <v>9</v>
      </c>
      <c r="H974" s="2" t="s">
        <v>1000</v>
      </c>
      <c r="I974" s="7" t="s">
        <v>29</v>
      </c>
      <c r="J974" s="3">
        <v>40255</v>
      </c>
      <c r="K974" s="3">
        <v>40254</v>
      </c>
      <c r="L974" s="3" t="s">
        <v>1288</v>
      </c>
      <c r="N974" s="2" t="s">
        <v>33</v>
      </c>
      <c r="O974" s="2" t="s">
        <v>2424</v>
      </c>
    </row>
    <row r="975" spans="5:15" ht="45" x14ac:dyDescent="0.25">
      <c r="F975" s="10">
        <v>10</v>
      </c>
      <c r="H975" s="2" t="s">
        <v>1515</v>
      </c>
      <c r="I975" s="7" t="s">
        <v>29</v>
      </c>
      <c r="J975" s="3">
        <v>40255</v>
      </c>
      <c r="K975" s="3">
        <v>40254</v>
      </c>
      <c r="L975" s="3" t="s">
        <v>1288</v>
      </c>
      <c r="N975" s="2" t="s">
        <v>33</v>
      </c>
      <c r="O975" s="2" t="s">
        <v>2424</v>
      </c>
    </row>
    <row r="976" spans="5:15" ht="45" x14ac:dyDescent="0.25">
      <c r="F976" s="10">
        <v>11</v>
      </c>
      <c r="H976" s="2" t="s">
        <v>1518</v>
      </c>
      <c r="I976" s="7" t="s">
        <v>29</v>
      </c>
      <c r="J976" s="3">
        <v>40255</v>
      </c>
      <c r="K976" s="3">
        <v>40254</v>
      </c>
      <c r="L976" s="3" t="s">
        <v>1288</v>
      </c>
      <c r="N976" s="2" t="s">
        <v>33</v>
      </c>
      <c r="O976" s="2" t="s">
        <v>2424</v>
      </c>
    </row>
    <row r="977" spans="1:17" ht="30" x14ac:dyDescent="0.25">
      <c r="F977" s="10">
        <v>12</v>
      </c>
      <c r="H977" s="2" t="s">
        <v>1519</v>
      </c>
      <c r="I977" s="7" t="s">
        <v>29</v>
      </c>
      <c r="J977" s="3">
        <v>40255</v>
      </c>
      <c r="K977" s="3">
        <v>40254</v>
      </c>
      <c r="L977" s="3" t="s">
        <v>1288</v>
      </c>
      <c r="N977" s="2" t="s">
        <v>33</v>
      </c>
      <c r="O977" s="2" t="s">
        <v>2424</v>
      </c>
    </row>
    <row r="979" spans="1:17" ht="45" x14ac:dyDescent="0.25">
      <c r="A979" s="19" t="s">
        <v>1208</v>
      </c>
      <c r="B979" s="19" t="s">
        <v>1701</v>
      </c>
      <c r="C979" s="2" t="s">
        <v>460</v>
      </c>
      <c r="D979" s="7" t="s">
        <v>1702</v>
      </c>
      <c r="E979" s="10" t="s">
        <v>121</v>
      </c>
      <c r="F979" s="10">
        <v>1</v>
      </c>
      <c r="G979" s="2" t="s">
        <v>453</v>
      </c>
    </row>
    <row r="980" spans="1:17" ht="45" x14ac:dyDescent="0.25">
      <c r="A980" s="19"/>
      <c r="B980" s="19"/>
      <c r="C980" s="2"/>
      <c r="F980" s="10">
        <v>2</v>
      </c>
      <c r="H980" s="2" t="s">
        <v>1703</v>
      </c>
      <c r="I980" s="2" t="s">
        <v>29</v>
      </c>
      <c r="J980" s="3">
        <v>40280</v>
      </c>
      <c r="K980" s="4"/>
      <c r="L980" s="7" t="s">
        <v>1288</v>
      </c>
      <c r="N980" s="2" t="s">
        <v>33</v>
      </c>
      <c r="O980" s="2" t="s">
        <v>2424</v>
      </c>
    </row>
    <row r="981" spans="1:17" ht="60" x14ac:dyDescent="0.25">
      <c r="A981" s="19"/>
      <c r="B981" s="19"/>
      <c r="C981" s="2"/>
      <c r="F981" s="10">
        <v>3</v>
      </c>
      <c r="H981" s="6" t="s">
        <v>1704</v>
      </c>
      <c r="I981" s="2" t="s">
        <v>29</v>
      </c>
      <c r="J981" s="3">
        <v>40280</v>
      </c>
      <c r="K981" s="4"/>
      <c r="L981" s="7" t="s">
        <v>1288</v>
      </c>
      <c r="N981" s="2" t="s">
        <v>33</v>
      </c>
      <c r="O981" s="2" t="s">
        <v>2424</v>
      </c>
    </row>
    <row r="982" spans="1:17" ht="75" x14ac:dyDescent="0.25">
      <c r="A982" s="19"/>
      <c r="B982" s="19"/>
      <c r="C982" s="2"/>
      <c r="F982" s="10">
        <v>4</v>
      </c>
      <c r="H982" s="6" t="s">
        <v>1448</v>
      </c>
      <c r="I982" s="2" t="s">
        <v>29</v>
      </c>
      <c r="J982" s="3">
        <v>40280</v>
      </c>
      <c r="K982" s="4"/>
      <c r="L982" s="7" t="s">
        <v>1288</v>
      </c>
      <c r="N982" s="2" t="s">
        <v>33</v>
      </c>
      <c r="O982" s="2" t="s">
        <v>2424</v>
      </c>
    </row>
    <row r="984" spans="1:17" ht="60" x14ac:dyDescent="0.25">
      <c r="A984" s="7" t="s">
        <v>431</v>
      </c>
      <c r="B984" s="7" t="s">
        <v>638</v>
      </c>
      <c r="C984" s="7" t="s">
        <v>39</v>
      </c>
      <c r="D984" s="7" t="s">
        <v>639</v>
      </c>
      <c r="E984" s="10" t="s">
        <v>121</v>
      </c>
      <c r="F984" s="10">
        <v>1</v>
      </c>
      <c r="G984" s="2" t="s">
        <v>15</v>
      </c>
    </row>
    <row r="985" spans="1:17" ht="75" x14ac:dyDescent="0.25">
      <c r="F985" s="10">
        <v>2</v>
      </c>
      <c r="H985" s="19" t="s">
        <v>906</v>
      </c>
      <c r="I985" s="2" t="s">
        <v>29</v>
      </c>
      <c r="J985" s="3">
        <v>40231</v>
      </c>
      <c r="K985" s="3">
        <v>40254</v>
      </c>
      <c r="L985" s="7" t="s">
        <v>1279</v>
      </c>
      <c r="N985" s="2" t="s">
        <v>974</v>
      </c>
      <c r="O985" s="2" t="s">
        <v>1380</v>
      </c>
      <c r="P985" s="2" t="s">
        <v>982</v>
      </c>
      <c r="Q985" s="2" t="s">
        <v>540</v>
      </c>
    </row>
    <row r="986" spans="1:17" ht="45" x14ac:dyDescent="0.25">
      <c r="F986" s="10">
        <v>3</v>
      </c>
      <c r="H986" s="2" t="s">
        <v>908</v>
      </c>
      <c r="I986" s="2" t="s">
        <v>29</v>
      </c>
      <c r="J986" s="3">
        <v>40231</v>
      </c>
      <c r="K986" s="2" t="s">
        <v>33</v>
      </c>
      <c r="L986" s="7" t="s">
        <v>1279</v>
      </c>
      <c r="M986" s="2" t="s">
        <v>1376</v>
      </c>
      <c r="N986" s="2" t="s">
        <v>33</v>
      </c>
    </row>
    <row r="987" spans="1:17" ht="30" x14ac:dyDescent="0.25">
      <c r="F987" s="10">
        <v>4</v>
      </c>
      <c r="H987" s="2" t="s">
        <v>909</v>
      </c>
      <c r="I987" s="2" t="s">
        <v>30</v>
      </c>
      <c r="J987" s="3">
        <v>40231</v>
      </c>
      <c r="K987" s="2" t="s">
        <v>33</v>
      </c>
      <c r="L987" s="7" t="s">
        <v>1279</v>
      </c>
      <c r="M987" s="2" t="s">
        <v>1376</v>
      </c>
      <c r="N987" s="2" t="s">
        <v>33</v>
      </c>
    </row>
    <row r="988" spans="1:17" ht="75" x14ac:dyDescent="0.25">
      <c r="F988" s="10">
        <v>5</v>
      </c>
      <c r="H988" s="2" t="s">
        <v>12</v>
      </c>
      <c r="I988" s="2" t="s">
        <v>30</v>
      </c>
      <c r="J988" s="3">
        <v>40231</v>
      </c>
      <c r="K988" s="2" t="s">
        <v>33</v>
      </c>
      <c r="L988" s="7" t="s">
        <v>1279</v>
      </c>
      <c r="N988" s="2" t="s">
        <v>974</v>
      </c>
    </row>
    <row r="989" spans="1:17" ht="75" x14ac:dyDescent="0.25">
      <c r="F989" s="10">
        <v>6</v>
      </c>
      <c r="H989" s="2" t="s">
        <v>907</v>
      </c>
      <c r="I989" s="2" t="s">
        <v>29</v>
      </c>
      <c r="J989" s="3">
        <v>40231</v>
      </c>
      <c r="K989" s="3">
        <v>40254</v>
      </c>
      <c r="L989" s="7" t="s">
        <v>1279</v>
      </c>
      <c r="N989" s="2" t="s">
        <v>974</v>
      </c>
      <c r="O989" s="2" t="s">
        <v>1377</v>
      </c>
      <c r="P989" s="2" t="s">
        <v>977</v>
      </c>
      <c r="Q989" s="2" t="s">
        <v>540</v>
      </c>
    </row>
    <row r="990" spans="1:17" ht="30" x14ac:dyDescent="0.25">
      <c r="F990" s="10">
        <v>7</v>
      </c>
      <c r="H990" s="2" t="s">
        <v>3852</v>
      </c>
      <c r="I990" s="2" t="s">
        <v>29</v>
      </c>
      <c r="J990" s="5">
        <v>40217</v>
      </c>
      <c r="K990" s="2" t="s">
        <v>33</v>
      </c>
      <c r="L990" s="7" t="s">
        <v>1279</v>
      </c>
      <c r="M990" s="2" t="s">
        <v>1376</v>
      </c>
      <c r="N990" s="2" t="s">
        <v>33</v>
      </c>
    </row>
    <row r="991" spans="1:17" ht="45" x14ac:dyDescent="0.25">
      <c r="F991" s="10">
        <v>8</v>
      </c>
      <c r="H991" s="2" t="s">
        <v>3704</v>
      </c>
      <c r="I991" s="2" t="s">
        <v>29</v>
      </c>
      <c r="J991" s="5">
        <v>40217</v>
      </c>
      <c r="K991" s="3">
        <v>40254</v>
      </c>
      <c r="L991" s="7" t="s">
        <v>1279</v>
      </c>
      <c r="N991" s="2" t="s">
        <v>974</v>
      </c>
    </row>
    <row r="992" spans="1:17" ht="75" x14ac:dyDescent="0.25">
      <c r="F992" s="10">
        <v>9</v>
      </c>
      <c r="H992" s="2" t="s">
        <v>794</v>
      </c>
      <c r="I992" s="2" t="s">
        <v>29</v>
      </c>
      <c r="J992" s="5">
        <v>40220</v>
      </c>
      <c r="K992" s="3">
        <v>40254</v>
      </c>
      <c r="L992" s="7" t="s">
        <v>1279</v>
      </c>
      <c r="N992" s="2" t="s">
        <v>974</v>
      </c>
      <c r="O992" s="2" t="s">
        <v>3705</v>
      </c>
      <c r="P992" s="2" t="s">
        <v>980</v>
      </c>
      <c r="Q992" s="2" t="s">
        <v>540</v>
      </c>
    </row>
    <row r="993" spans="6:18" ht="135" x14ac:dyDescent="0.25">
      <c r="F993" s="10">
        <v>10</v>
      </c>
      <c r="H993" s="2" t="s">
        <v>3853</v>
      </c>
      <c r="I993" s="2" t="s">
        <v>29</v>
      </c>
      <c r="J993" s="3">
        <v>40231</v>
      </c>
      <c r="K993" s="3">
        <v>40254</v>
      </c>
      <c r="L993" s="7" t="s">
        <v>1279</v>
      </c>
      <c r="N993" s="2" t="s">
        <v>974</v>
      </c>
      <c r="O993" s="2" t="s">
        <v>3829</v>
      </c>
      <c r="P993" s="2" t="s">
        <v>977</v>
      </c>
      <c r="Q993" s="2" t="s">
        <v>986</v>
      </c>
      <c r="R993" s="2" t="s">
        <v>2731</v>
      </c>
    </row>
    <row r="994" spans="6:18" ht="60" x14ac:dyDescent="0.25">
      <c r="F994" s="10">
        <v>11</v>
      </c>
      <c r="H994" s="2" t="s">
        <v>905</v>
      </c>
      <c r="I994" s="2" t="s">
        <v>29</v>
      </c>
      <c r="J994" s="5">
        <v>40220</v>
      </c>
      <c r="K994" s="3">
        <v>40254</v>
      </c>
      <c r="L994" s="7" t="s">
        <v>1279</v>
      </c>
      <c r="N994" s="2" t="s">
        <v>974</v>
      </c>
      <c r="O994" s="2" t="s">
        <v>1385</v>
      </c>
      <c r="P994" s="2" t="s">
        <v>977</v>
      </c>
      <c r="Q994" s="2" t="s">
        <v>986</v>
      </c>
      <c r="R994" s="2" t="s">
        <v>2732</v>
      </c>
    </row>
    <row r="995" spans="6:18" ht="45" x14ac:dyDescent="0.25">
      <c r="F995" s="10">
        <v>12</v>
      </c>
      <c r="H995" s="2" t="s">
        <v>797</v>
      </c>
      <c r="I995" s="2" t="s">
        <v>29</v>
      </c>
      <c r="J995" s="5">
        <v>40218</v>
      </c>
      <c r="K995" s="3">
        <v>40254</v>
      </c>
      <c r="L995" s="7" t="s">
        <v>1279</v>
      </c>
      <c r="N995" s="2" t="s">
        <v>974</v>
      </c>
      <c r="O995" s="2" t="s">
        <v>1378</v>
      </c>
      <c r="P995" s="2" t="s">
        <v>980</v>
      </c>
      <c r="Q995" s="2" t="s">
        <v>540</v>
      </c>
      <c r="R995" s="2" t="s">
        <v>583</v>
      </c>
    </row>
    <row r="996" spans="6:18" ht="30" x14ac:dyDescent="0.25">
      <c r="F996" s="10">
        <v>13</v>
      </c>
      <c r="H996" s="2" t="s">
        <v>3854</v>
      </c>
      <c r="I996" s="2" t="s">
        <v>29</v>
      </c>
      <c r="J996" s="5">
        <v>40218</v>
      </c>
      <c r="K996" s="3">
        <v>40254</v>
      </c>
      <c r="L996" s="7" t="s">
        <v>1279</v>
      </c>
      <c r="N996" s="2" t="s">
        <v>974</v>
      </c>
    </row>
    <row r="997" spans="6:18" ht="30" x14ac:dyDescent="0.25">
      <c r="F997" s="10">
        <v>14</v>
      </c>
      <c r="H997" s="2" t="s">
        <v>798</v>
      </c>
      <c r="I997" s="2" t="s">
        <v>29</v>
      </c>
      <c r="J997" s="5">
        <v>40220</v>
      </c>
      <c r="K997" s="3">
        <v>40254</v>
      </c>
      <c r="L997" s="7" t="s">
        <v>1279</v>
      </c>
      <c r="N997" s="2" t="s">
        <v>974</v>
      </c>
    </row>
    <row r="998" spans="6:18" ht="150" x14ac:dyDescent="0.25">
      <c r="F998" s="10">
        <v>15</v>
      </c>
      <c r="H998" s="2" t="s">
        <v>799</v>
      </c>
      <c r="I998" s="2" t="s">
        <v>29</v>
      </c>
      <c r="J998" s="5">
        <v>40220</v>
      </c>
      <c r="K998" s="3">
        <v>40254</v>
      </c>
      <c r="L998" s="7" t="s">
        <v>1279</v>
      </c>
      <c r="N998" s="2" t="s">
        <v>974</v>
      </c>
      <c r="O998" s="2" t="s">
        <v>3509</v>
      </c>
      <c r="P998" s="2" t="s">
        <v>977</v>
      </c>
      <c r="Q998" s="2" t="s">
        <v>540</v>
      </c>
      <c r="R998" s="2" t="s">
        <v>2165</v>
      </c>
    </row>
    <row r="999" spans="6:18" x14ac:dyDescent="0.25">
      <c r="F999" s="10">
        <v>16</v>
      </c>
      <c r="H999" s="2" t="s">
        <v>807</v>
      </c>
      <c r="I999" s="2" t="s">
        <v>29</v>
      </c>
      <c r="J999" s="5">
        <v>40220</v>
      </c>
      <c r="K999" s="3">
        <v>40254</v>
      </c>
      <c r="L999" s="7" t="s">
        <v>1279</v>
      </c>
      <c r="N999" s="2" t="s">
        <v>974</v>
      </c>
    </row>
    <row r="1000" spans="6:18" ht="60" x14ac:dyDescent="0.25">
      <c r="F1000" s="10">
        <v>17</v>
      </c>
      <c r="H1000" s="2" t="s">
        <v>2163</v>
      </c>
      <c r="I1000" s="2" t="s">
        <v>29</v>
      </c>
      <c r="J1000" s="5">
        <v>40220</v>
      </c>
      <c r="K1000" s="3">
        <v>40254</v>
      </c>
      <c r="L1000" s="7" t="s">
        <v>1279</v>
      </c>
      <c r="N1000" s="2" t="s">
        <v>974</v>
      </c>
      <c r="O1000" s="2" t="s">
        <v>1379</v>
      </c>
      <c r="P1000" s="2" t="s">
        <v>980</v>
      </c>
      <c r="Q1000" s="2" t="s">
        <v>986</v>
      </c>
    </row>
    <row r="1001" spans="6:18" x14ac:dyDescent="0.25">
      <c r="F1001" s="10">
        <v>18</v>
      </c>
      <c r="H1001" s="2" t="s">
        <v>784</v>
      </c>
      <c r="I1001" s="2" t="s">
        <v>29</v>
      </c>
      <c r="J1001" s="5">
        <v>40217</v>
      </c>
      <c r="K1001" s="3">
        <v>40254</v>
      </c>
      <c r="L1001" s="7" t="s">
        <v>1279</v>
      </c>
      <c r="N1001" s="2" t="s">
        <v>974</v>
      </c>
    </row>
    <row r="1002" spans="6:18" x14ac:dyDescent="0.25">
      <c r="F1002" s="10">
        <v>19</v>
      </c>
      <c r="H1002" s="2" t="s">
        <v>785</v>
      </c>
      <c r="I1002" s="2" t="s">
        <v>29</v>
      </c>
      <c r="J1002" s="5">
        <v>40217</v>
      </c>
      <c r="K1002" s="3">
        <v>40254</v>
      </c>
      <c r="L1002" s="7" t="s">
        <v>1279</v>
      </c>
      <c r="N1002" s="2" t="s">
        <v>974</v>
      </c>
    </row>
    <row r="1003" spans="6:18" ht="30" x14ac:dyDescent="0.25">
      <c r="F1003" s="10">
        <v>20</v>
      </c>
      <c r="H1003" s="2" t="s">
        <v>786</v>
      </c>
      <c r="I1003" s="2" t="s">
        <v>29</v>
      </c>
      <c r="J1003" s="5">
        <v>40217</v>
      </c>
      <c r="K1003" s="7" t="s">
        <v>33</v>
      </c>
      <c r="L1003" s="7" t="s">
        <v>1279</v>
      </c>
      <c r="M1003" s="2" t="s">
        <v>1376</v>
      </c>
      <c r="N1003" s="2" t="s">
        <v>33</v>
      </c>
    </row>
    <row r="1004" spans="6:18" ht="30" x14ac:dyDescent="0.25">
      <c r="F1004" s="10">
        <v>21</v>
      </c>
      <c r="H1004" s="7" t="s">
        <v>3830</v>
      </c>
      <c r="I1004" s="2" t="s">
        <v>29</v>
      </c>
      <c r="J1004" s="5">
        <v>40221</v>
      </c>
      <c r="K1004" s="7" t="s">
        <v>33</v>
      </c>
      <c r="L1004" s="7" t="s">
        <v>1279</v>
      </c>
      <c r="M1004" s="2" t="s">
        <v>1376</v>
      </c>
      <c r="N1004" s="2" t="s">
        <v>33</v>
      </c>
    </row>
    <row r="1005" spans="6:18" ht="30" x14ac:dyDescent="0.25">
      <c r="F1005" s="10">
        <v>22</v>
      </c>
      <c r="H1005" s="2" t="s">
        <v>787</v>
      </c>
      <c r="I1005" s="2" t="s">
        <v>29</v>
      </c>
      <c r="J1005" s="5">
        <v>40217</v>
      </c>
      <c r="K1005" s="3">
        <v>40254</v>
      </c>
      <c r="L1005" s="7" t="s">
        <v>1279</v>
      </c>
      <c r="N1005" s="2" t="s">
        <v>974</v>
      </c>
    </row>
    <row r="1006" spans="6:18" ht="60" x14ac:dyDescent="0.25">
      <c r="F1006" s="10">
        <v>23</v>
      </c>
      <c r="H1006" s="2" t="s">
        <v>788</v>
      </c>
      <c r="I1006" s="2" t="s">
        <v>29</v>
      </c>
      <c r="J1006" s="5">
        <v>40217</v>
      </c>
      <c r="K1006" s="3">
        <v>40254</v>
      </c>
      <c r="L1006" s="7" t="s">
        <v>1279</v>
      </c>
      <c r="N1006" s="2" t="s">
        <v>974</v>
      </c>
      <c r="O1006" s="2" t="s">
        <v>1383</v>
      </c>
      <c r="P1006" s="2" t="s">
        <v>977</v>
      </c>
      <c r="Q1006" s="2" t="s">
        <v>540</v>
      </c>
      <c r="R1006" s="2" t="s">
        <v>1125</v>
      </c>
    </row>
    <row r="1007" spans="6:18" ht="30" x14ac:dyDescent="0.25">
      <c r="F1007" s="10">
        <v>24</v>
      </c>
      <c r="H1007" s="2" t="s">
        <v>3855</v>
      </c>
      <c r="I1007" s="2" t="s">
        <v>29</v>
      </c>
      <c r="J1007" s="5">
        <v>40220</v>
      </c>
      <c r="K1007" s="7" t="s">
        <v>33</v>
      </c>
      <c r="L1007" s="7" t="s">
        <v>1279</v>
      </c>
      <c r="M1007" s="2" t="s">
        <v>1376</v>
      </c>
      <c r="N1007" s="2" t="s">
        <v>33</v>
      </c>
    </row>
    <row r="1008" spans="6:18" ht="90" x14ac:dyDescent="0.25">
      <c r="F1008" s="10">
        <v>25</v>
      </c>
      <c r="H1008" s="7" t="s">
        <v>800</v>
      </c>
      <c r="I1008" s="2" t="s">
        <v>29</v>
      </c>
      <c r="J1008" s="5">
        <v>40220</v>
      </c>
      <c r="K1008" s="4"/>
      <c r="L1008" s="7" t="s">
        <v>1279</v>
      </c>
      <c r="M1008" s="2" t="s">
        <v>1909</v>
      </c>
      <c r="N1008" s="2" t="s">
        <v>33</v>
      </c>
      <c r="O1008" s="2" t="s">
        <v>1908</v>
      </c>
      <c r="P1008" s="2" t="s">
        <v>980</v>
      </c>
      <c r="Q1008" s="2" t="s">
        <v>986</v>
      </c>
    </row>
    <row r="1009" spans="5:17" ht="30" x14ac:dyDescent="0.25">
      <c r="F1009" s="10">
        <v>26</v>
      </c>
      <c r="H1009" s="2" t="s">
        <v>3831</v>
      </c>
      <c r="I1009" s="2" t="s">
        <v>29</v>
      </c>
      <c r="J1009" s="5">
        <v>40217</v>
      </c>
      <c r="K1009" s="7" t="s">
        <v>33</v>
      </c>
      <c r="L1009" s="7" t="s">
        <v>1279</v>
      </c>
      <c r="M1009" s="2" t="s">
        <v>1376</v>
      </c>
      <c r="N1009" s="2" t="s">
        <v>33</v>
      </c>
    </row>
    <row r="1010" spans="5:17" ht="30" x14ac:dyDescent="0.25">
      <c r="F1010" s="10">
        <v>27</v>
      </c>
      <c r="H1010" s="2" t="s">
        <v>789</v>
      </c>
      <c r="I1010" s="2" t="s">
        <v>29</v>
      </c>
      <c r="J1010" s="5">
        <v>40220</v>
      </c>
      <c r="K1010" s="7" t="s">
        <v>33</v>
      </c>
      <c r="L1010" s="7" t="s">
        <v>1279</v>
      </c>
      <c r="N1010" s="2" t="s">
        <v>974</v>
      </c>
    </row>
    <row r="1011" spans="5:17" ht="30" x14ac:dyDescent="0.25">
      <c r="F1011" s="10">
        <v>28</v>
      </c>
      <c r="H1011" s="2" t="s">
        <v>3856</v>
      </c>
      <c r="I1011" s="2" t="s">
        <v>29</v>
      </c>
      <c r="J1011" s="5">
        <v>40220</v>
      </c>
      <c r="K1011" s="7" t="s">
        <v>33</v>
      </c>
      <c r="L1011" s="7" t="s">
        <v>1279</v>
      </c>
      <c r="N1011" s="2" t="s">
        <v>974</v>
      </c>
      <c r="O1011" s="2" t="s">
        <v>584</v>
      </c>
      <c r="P1011" s="2" t="s">
        <v>980</v>
      </c>
      <c r="Q1011" s="2" t="s">
        <v>540</v>
      </c>
    </row>
    <row r="1012" spans="5:17" ht="30" x14ac:dyDescent="0.25">
      <c r="J1012" s="5"/>
      <c r="K1012" s="5"/>
      <c r="N1012" s="2" t="s">
        <v>974</v>
      </c>
      <c r="O1012" s="2" t="s">
        <v>585</v>
      </c>
      <c r="P1012" s="2" t="s">
        <v>977</v>
      </c>
      <c r="Q1012" s="2" t="s">
        <v>540</v>
      </c>
    </row>
    <row r="1013" spans="5:17" ht="30" x14ac:dyDescent="0.25">
      <c r="F1013" s="10">
        <v>29</v>
      </c>
      <c r="H1013" s="2" t="s">
        <v>3857</v>
      </c>
      <c r="I1013" s="2" t="s">
        <v>29</v>
      </c>
      <c r="J1013" s="5">
        <v>40220</v>
      </c>
      <c r="K1013" s="7" t="s">
        <v>33</v>
      </c>
      <c r="L1013" s="7" t="s">
        <v>1279</v>
      </c>
      <c r="N1013" s="2" t="s">
        <v>974</v>
      </c>
      <c r="O1013" s="2" t="s">
        <v>1384</v>
      </c>
      <c r="P1013" s="2" t="s">
        <v>980</v>
      </c>
      <c r="Q1013" s="2" t="s">
        <v>540</v>
      </c>
    </row>
    <row r="1014" spans="5:17" ht="45" x14ac:dyDescent="0.25">
      <c r="F1014" s="10">
        <v>30</v>
      </c>
      <c r="H1014" s="2" t="s">
        <v>3950</v>
      </c>
      <c r="I1014" s="2" t="s">
        <v>29</v>
      </c>
      <c r="J1014" s="5">
        <v>40220</v>
      </c>
      <c r="K1014" s="7" t="s">
        <v>33</v>
      </c>
      <c r="L1014" s="7" t="s">
        <v>1279</v>
      </c>
      <c r="N1014" s="2" t="s">
        <v>974</v>
      </c>
    </row>
    <row r="1015" spans="5:17" x14ac:dyDescent="0.25">
      <c r="F1015" s="10">
        <v>31</v>
      </c>
      <c r="H1015" s="2" t="s">
        <v>840</v>
      </c>
      <c r="I1015" s="2" t="s">
        <v>29</v>
      </c>
      <c r="J1015" s="5">
        <v>40220</v>
      </c>
      <c r="K1015" s="7" t="s">
        <v>33</v>
      </c>
      <c r="L1015" s="7" t="s">
        <v>1279</v>
      </c>
      <c r="N1015" s="2" t="s">
        <v>974</v>
      </c>
    </row>
    <row r="1016" spans="5:17" ht="45" x14ac:dyDescent="0.25">
      <c r="F1016" s="10">
        <v>32</v>
      </c>
      <c r="H1016" s="2" t="s">
        <v>796</v>
      </c>
      <c r="I1016" s="2" t="s">
        <v>29</v>
      </c>
      <c r="J1016" s="5">
        <v>40220</v>
      </c>
      <c r="K1016" s="7" t="s">
        <v>33</v>
      </c>
      <c r="L1016" s="7" t="s">
        <v>1279</v>
      </c>
      <c r="N1016" s="2" t="s">
        <v>974</v>
      </c>
    </row>
    <row r="1017" spans="5:17" ht="30" x14ac:dyDescent="0.25">
      <c r="E1017" s="10" t="s">
        <v>123</v>
      </c>
      <c r="F1017" s="10">
        <v>1</v>
      </c>
      <c r="G1017" s="2" t="s">
        <v>16</v>
      </c>
      <c r="J1017" s="3"/>
      <c r="K1017" s="5"/>
      <c r="L1017" s="5"/>
    </row>
    <row r="1018" spans="5:17" ht="30" x14ac:dyDescent="0.25">
      <c r="F1018" s="10">
        <v>2</v>
      </c>
      <c r="H1018" s="2" t="s">
        <v>18</v>
      </c>
      <c r="I1018" s="2" t="s">
        <v>30</v>
      </c>
      <c r="J1018" s="7" t="s">
        <v>2480</v>
      </c>
      <c r="K1018" s="4"/>
      <c r="L1018" s="4"/>
      <c r="N1018" s="2" t="s">
        <v>33</v>
      </c>
      <c r="O1018" s="2" t="s">
        <v>2733</v>
      </c>
    </row>
    <row r="1019" spans="5:17" ht="30" x14ac:dyDescent="0.25">
      <c r="E1019" s="10" t="s">
        <v>126</v>
      </c>
      <c r="F1019" s="10">
        <v>1</v>
      </c>
      <c r="G1019" s="2" t="s">
        <v>17</v>
      </c>
      <c r="J1019" s="3"/>
      <c r="K1019" s="5"/>
      <c r="L1019" s="5"/>
    </row>
    <row r="1020" spans="5:17" ht="30" x14ac:dyDescent="0.25">
      <c r="F1020" s="10">
        <v>2</v>
      </c>
      <c r="H1020" s="2" t="s">
        <v>18</v>
      </c>
      <c r="I1020" s="2" t="s">
        <v>30</v>
      </c>
      <c r="J1020" s="7" t="s">
        <v>2480</v>
      </c>
      <c r="K1020" s="4"/>
      <c r="L1020" s="4"/>
      <c r="N1020" s="2" t="s">
        <v>33</v>
      </c>
      <c r="O1020" s="2" t="s">
        <v>2733</v>
      </c>
    </row>
    <row r="1021" spans="5:17" ht="30" x14ac:dyDescent="0.25">
      <c r="E1021" s="10" t="s">
        <v>127</v>
      </c>
      <c r="F1021" s="10">
        <v>1</v>
      </c>
      <c r="G1021" s="2" t="s">
        <v>24</v>
      </c>
      <c r="J1021" s="3"/>
      <c r="K1021" s="5"/>
      <c r="L1021" s="5"/>
    </row>
    <row r="1022" spans="5:17" ht="30" x14ac:dyDescent="0.25">
      <c r="F1022" s="10">
        <v>2</v>
      </c>
      <c r="H1022" s="2" t="s">
        <v>18</v>
      </c>
      <c r="I1022" s="2" t="s">
        <v>30</v>
      </c>
      <c r="J1022" s="7" t="s">
        <v>2480</v>
      </c>
      <c r="K1022" s="4"/>
      <c r="L1022" s="4"/>
      <c r="N1022" s="2" t="s">
        <v>33</v>
      </c>
      <c r="O1022" s="2" t="s">
        <v>2733</v>
      </c>
    </row>
    <row r="1023" spans="5:17" ht="30" x14ac:dyDescent="0.25">
      <c r="E1023" s="10" t="s">
        <v>469</v>
      </c>
      <c r="F1023" s="10">
        <v>1</v>
      </c>
      <c r="G1023" s="2" t="s">
        <v>25</v>
      </c>
      <c r="J1023" s="3"/>
      <c r="K1023" s="5"/>
      <c r="L1023" s="5"/>
    </row>
    <row r="1024" spans="5:17" ht="30" x14ac:dyDescent="0.25">
      <c r="F1024" s="10">
        <v>2</v>
      </c>
      <c r="H1024" s="2" t="s">
        <v>18</v>
      </c>
      <c r="I1024" s="2" t="s">
        <v>30</v>
      </c>
      <c r="J1024" s="7" t="s">
        <v>2480</v>
      </c>
      <c r="K1024" s="4"/>
      <c r="L1024" s="4"/>
      <c r="N1024" s="2" t="s">
        <v>33</v>
      </c>
      <c r="O1024" s="2" t="s">
        <v>2733</v>
      </c>
    </row>
    <row r="1026" spans="1:18" ht="75" x14ac:dyDescent="0.25">
      <c r="A1026" s="26" t="s">
        <v>1292</v>
      </c>
      <c r="B1026" s="26" t="s">
        <v>1300</v>
      </c>
      <c r="C1026" s="7" t="s">
        <v>39</v>
      </c>
      <c r="D1026" s="26" t="s">
        <v>1301</v>
      </c>
      <c r="E1026" s="10" t="s">
        <v>121</v>
      </c>
      <c r="F1026" s="10">
        <v>1</v>
      </c>
      <c r="G1026" s="2" t="s">
        <v>466</v>
      </c>
    </row>
    <row r="1027" spans="1:18" ht="30" x14ac:dyDescent="0.25">
      <c r="H1027" s="2" t="s">
        <v>1307</v>
      </c>
      <c r="I1027" s="4" t="s">
        <v>31</v>
      </c>
      <c r="J1027" s="3">
        <v>40234</v>
      </c>
      <c r="K1027" s="4"/>
      <c r="L1027" s="4"/>
      <c r="N1027" s="2" t="s">
        <v>974</v>
      </c>
    </row>
    <row r="1028" spans="1:18" x14ac:dyDescent="0.25">
      <c r="H1028" s="7" t="s">
        <v>1381</v>
      </c>
      <c r="I1028" s="4" t="s">
        <v>31</v>
      </c>
      <c r="J1028" s="3">
        <v>40234</v>
      </c>
      <c r="K1028" s="4"/>
      <c r="L1028" s="4"/>
      <c r="N1028" s="2" t="s">
        <v>974</v>
      </c>
    </row>
    <row r="1029" spans="1:18" ht="30" x14ac:dyDescent="0.25">
      <c r="H1029" s="2" t="s">
        <v>3832</v>
      </c>
      <c r="I1029" s="4" t="s">
        <v>31</v>
      </c>
      <c r="J1029" s="3">
        <v>40234</v>
      </c>
      <c r="K1029" s="4"/>
      <c r="L1029" s="4"/>
      <c r="N1029" s="2" t="s">
        <v>974</v>
      </c>
    </row>
    <row r="1030" spans="1:18" ht="75" x14ac:dyDescent="0.25">
      <c r="H1030" s="2" t="s">
        <v>1308</v>
      </c>
      <c r="I1030" s="4" t="s">
        <v>31</v>
      </c>
      <c r="J1030" s="3">
        <v>40234</v>
      </c>
      <c r="K1030" s="4"/>
      <c r="L1030" s="4"/>
      <c r="N1030" s="2" t="s">
        <v>974</v>
      </c>
      <c r="O1030" s="2" t="s">
        <v>1386</v>
      </c>
      <c r="P1030" s="2" t="s">
        <v>977</v>
      </c>
      <c r="Q1030" s="2" t="s">
        <v>986</v>
      </c>
      <c r="R1030" s="2" t="s">
        <v>2734</v>
      </c>
    </row>
    <row r="1031" spans="1:18" x14ac:dyDescent="0.25">
      <c r="H1031" s="2" t="s">
        <v>1309</v>
      </c>
      <c r="I1031" s="4" t="s">
        <v>31</v>
      </c>
      <c r="J1031" s="3">
        <v>40234</v>
      </c>
      <c r="K1031" s="4"/>
      <c r="L1031" s="4"/>
      <c r="N1031" s="2" t="s">
        <v>974</v>
      </c>
    </row>
    <row r="1032" spans="1:18" ht="30" x14ac:dyDescent="0.25">
      <c r="H1032" s="2" t="s">
        <v>3833</v>
      </c>
      <c r="I1032" s="4" t="s">
        <v>31</v>
      </c>
      <c r="J1032" s="3">
        <v>40234</v>
      </c>
      <c r="K1032" s="4"/>
      <c r="L1032" s="4"/>
      <c r="N1032" s="2" t="s">
        <v>974</v>
      </c>
    </row>
    <row r="1033" spans="1:18" ht="195" x14ac:dyDescent="0.25">
      <c r="H1033" s="7" t="s">
        <v>1310</v>
      </c>
      <c r="I1033" s="4" t="s">
        <v>31</v>
      </c>
      <c r="J1033" s="3">
        <v>40234</v>
      </c>
      <c r="K1033" s="4"/>
      <c r="L1033" s="4"/>
      <c r="N1033" s="2" t="s">
        <v>974</v>
      </c>
      <c r="O1033" s="2" t="s">
        <v>1382</v>
      </c>
      <c r="P1033" s="2" t="s">
        <v>977</v>
      </c>
      <c r="Q1033" s="2" t="s">
        <v>974</v>
      </c>
      <c r="R1033" s="2" t="s">
        <v>2798</v>
      </c>
    </row>
    <row r="1034" spans="1:18" x14ac:dyDescent="0.25">
      <c r="H1034" s="7" t="s">
        <v>3834</v>
      </c>
      <c r="I1034" s="4" t="s">
        <v>31</v>
      </c>
      <c r="J1034" s="3">
        <v>40234</v>
      </c>
      <c r="K1034" s="4"/>
      <c r="L1034" s="4"/>
      <c r="N1034" s="2" t="s">
        <v>974</v>
      </c>
    </row>
    <row r="1035" spans="1:18" ht="60" x14ac:dyDescent="0.25">
      <c r="H1035" s="7" t="s">
        <v>1069</v>
      </c>
      <c r="I1035" s="4" t="s">
        <v>31</v>
      </c>
      <c r="J1035" s="3">
        <v>40234</v>
      </c>
      <c r="K1035" s="4"/>
      <c r="L1035" s="4"/>
      <c r="N1035" s="2" t="s">
        <v>974</v>
      </c>
      <c r="O1035" s="2" t="s">
        <v>1126</v>
      </c>
      <c r="P1035" s="2" t="s">
        <v>980</v>
      </c>
      <c r="Q1035" s="2" t="s">
        <v>986</v>
      </c>
      <c r="R1035" s="2" t="s">
        <v>2799</v>
      </c>
    </row>
    <row r="1036" spans="1:18" ht="105" x14ac:dyDescent="0.25">
      <c r="H1036" s="7" t="s">
        <v>1311</v>
      </c>
      <c r="I1036" s="4" t="s">
        <v>31</v>
      </c>
      <c r="J1036" s="3">
        <v>40234</v>
      </c>
      <c r="K1036" s="4"/>
      <c r="L1036" s="4"/>
      <c r="N1036" s="2" t="s">
        <v>33</v>
      </c>
      <c r="O1036" s="2" t="s">
        <v>1127</v>
      </c>
    </row>
    <row r="1038" spans="1:18" ht="30" x14ac:dyDescent="0.25">
      <c r="A1038" s="7" t="s">
        <v>640</v>
      </c>
      <c r="B1038" s="7" t="s">
        <v>867</v>
      </c>
      <c r="C1038" s="7" t="s">
        <v>39</v>
      </c>
      <c r="D1038" s="7" t="s">
        <v>866</v>
      </c>
      <c r="E1038" s="10" t="s">
        <v>121</v>
      </c>
      <c r="F1038" s="10">
        <v>1</v>
      </c>
      <c r="G1038" s="2" t="s">
        <v>843</v>
      </c>
      <c r="L1038" s="32" t="s">
        <v>581</v>
      </c>
    </row>
    <row r="1039" spans="1:18" x14ac:dyDescent="0.25">
      <c r="F1039" s="10">
        <v>2</v>
      </c>
      <c r="H1039" s="2" t="s">
        <v>844</v>
      </c>
      <c r="L1039" s="32" t="s">
        <v>581</v>
      </c>
    </row>
    <row r="1040" spans="1:18" x14ac:dyDescent="0.25">
      <c r="F1040" s="10">
        <v>3</v>
      </c>
      <c r="H1040" s="2" t="s">
        <v>847</v>
      </c>
      <c r="I1040" s="2" t="s">
        <v>29</v>
      </c>
      <c r="J1040" s="5">
        <v>40220</v>
      </c>
      <c r="K1040" s="3">
        <v>40254</v>
      </c>
      <c r="L1040" s="32" t="s">
        <v>581</v>
      </c>
      <c r="N1040" s="2" t="s">
        <v>974</v>
      </c>
    </row>
    <row r="1041" spans="5:14" x14ac:dyDescent="0.25">
      <c r="F1041" s="10">
        <v>4</v>
      </c>
      <c r="H1041" s="2" t="s">
        <v>845</v>
      </c>
      <c r="I1041" s="2" t="s">
        <v>29</v>
      </c>
      <c r="J1041" s="5">
        <v>40220</v>
      </c>
      <c r="K1041" s="3">
        <v>40254</v>
      </c>
      <c r="L1041" s="32" t="s">
        <v>581</v>
      </c>
      <c r="N1041" s="2" t="s">
        <v>974</v>
      </c>
    </row>
    <row r="1042" spans="5:14" ht="30" x14ac:dyDescent="0.25">
      <c r="F1042" s="10">
        <v>5</v>
      </c>
      <c r="H1042" s="2" t="s">
        <v>3510</v>
      </c>
      <c r="I1042" s="2" t="s">
        <v>29</v>
      </c>
      <c r="J1042" s="5">
        <v>40220</v>
      </c>
      <c r="K1042" s="3">
        <v>40254</v>
      </c>
      <c r="L1042" s="32" t="s">
        <v>581</v>
      </c>
      <c r="N1042" s="2" t="s">
        <v>974</v>
      </c>
    </row>
    <row r="1043" spans="5:14" x14ac:dyDescent="0.25">
      <c r="F1043" s="10">
        <v>6</v>
      </c>
      <c r="H1043" s="2" t="s">
        <v>846</v>
      </c>
      <c r="I1043" s="2" t="s">
        <v>29</v>
      </c>
      <c r="J1043" s="5">
        <v>40220</v>
      </c>
      <c r="K1043" s="3">
        <v>40254</v>
      </c>
      <c r="L1043" s="32" t="s">
        <v>581</v>
      </c>
      <c r="N1043" s="2" t="s">
        <v>974</v>
      </c>
    </row>
    <row r="1044" spans="5:14" x14ac:dyDescent="0.25">
      <c r="F1044" s="10">
        <v>7</v>
      </c>
      <c r="H1044" s="2" t="s">
        <v>848</v>
      </c>
      <c r="I1044" s="2" t="s">
        <v>29</v>
      </c>
      <c r="J1044" s="5">
        <v>40220</v>
      </c>
      <c r="K1044" s="3">
        <v>40254</v>
      </c>
      <c r="L1044" s="32" t="s">
        <v>581</v>
      </c>
      <c r="N1044" s="2" t="s">
        <v>974</v>
      </c>
    </row>
    <row r="1045" spans="5:14" x14ac:dyDescent="0.25">
      <c r="F1045" s="10">
        <v>8</v>
      </c>
      <c r="H1045" s="2" t="s">
        <v>849</v>
      </c>
      <c r="I1045" s="2" t="s">
        <v>29</v>
      </c>
      <c r="J1045" s="5">
        <v>40220</v>
      </c>
      <c r="K1045" s="3">
        <v>40254</v>
      </c>
      <c r="L1045" s="32" t="s">
        <v>581</v>
      </c>
      <c r="N1045" s="2" t="s">
        <v>974</v>
      </c>
    </row>
    <row r="1046" spans="5:14" ht="30" x14ac:dyDescent="0.25">
      <c r="E1046" s="10" t="s">
        <v>123</v>
      </c>
      <c r="F1046" s="10">
        <v>1</v>
      </c>
      <c r="G1046" s="2" t="s">
        <v>874</v>
      </c>
      <c r="L1046" s="32" t="s">
        <v>581</v>
      </c>
    </row>
    <row r="1047" spans="5:14" x14ac:dyDescent="0.25">
      <c r="F1047" s="10">
        <v>2</v>
      </c>
      <c r="H1047" s="2" t="s">
        <v>844</v>
      </c>
      <c r="L1047" s="32" t="s">
        <v>581</v>
      </c>
    </row>
    <row r="1048" spans="5:14" ht="30" x14ac:dyDescent="0.25">
      <c r="F1048" s="10">
        <v>3</v>
      </c>
      <c r="H1048" s="2" t="s">
        <v>851</v>
      </c>
      <c r="I1048" s="2" t="s">
        <v>30</v>
      </c>
      <c r="J1048" s="5">
        <v>40220</v>
      </c>
      <c r="K1048" s="3">
        <v>40254</v>
      </c>
      <c r="L1048" s="32" t="s">
        <v>581</v>
      </c>
      <c r="N1048" s="2" t="s">
        <v>974</v>
      </c>
    </row>
    <row r="1049" spans="5:14" x14ac:dyDescent="0.25">
      <c r="F1049" s="10">
        <v>4</v>
      </c>
      <c r="H1049" s="2" t="s">
        <v>845</v>
      </c>
      <c r="I1049" s="2" t="s">
        <v>30</v>
      </c>
      <c r="J1049" s="5">
        <v>40220</v>
      </c>
      <c r="K1049" s="3">
        <v>40254</v>
      </c>
      <c r="L1049" s="32" t="s">
        <v>581</v>
      </c>
      <c r="N1049" s="2" t="s">
        <v>974</v>
      </c>
    </row>
    <row r="1050" spans="5:14" ht="30" x14ac:dyDescent="0.25">
      <c r="F1050" s="10">
        <v>5</v>
      </c>
      <c r="H1050" s="2" t="s">
        <v>3511</v>
      </c>
      <c r="I1050" s="2" t="s">
        <v>30</v>
      </c>
      <c r="J1050" s="5">
        <v>40220</v>
      </c>
      <c r="K1050" s="3">
        <v>40254</v>
      </c>
      <c r="L1050" s="32" t="s">
        <v>581</v>
      </c>
      <c r="N1050" s="2" t="s">
        <v>974</v>
      </c>
    </row>
    <row r="1051" spans="5:14" x14ac:dyDescent="0.25">
      <c r="F1051" s="10">
        <v>7</v>
      </c>
      <c r="H1051" s="2" t="s">
        <v>846</v>
      </c>
      <c r="I1051" s="2" t="s">
        <v>30</v>
      </c>
      <c r="J1051" s="5">
        <v>40220</v>
      </c>
      <c r="K1051" s="3">
        <v>40254</v>
      </c>
      <c r="L1051" s="32" t="s">
        <v>581</v>
      </c>
      <c r="N1051" s="2" t="s">
        <v>974</v>
      </c>
    </row>
    <row r="1052" spans="5:14" x14ac:dyDescent="0.25">
      <c r="F1052" s="10">
        <v>8</v>
      </c>
      <c r="H1052" s="2" t="s">
        <v>848</v>
      </c>
      <c r="I1052" s="2" t="s">
        <v>30</v>
      </c>
      <c r="J1052" s="5">
        <v>40220</v>
      </c>
      <c r="K1052" s="3">
        <v>40254</v>
      </c>
      <c r="L1052" s="32" t="s">
        <v>581</v>
      </c>
      <c r="N1052" s="2" t="s">
        <v>974</v>
      </c>
    </row>
    <row r="1053" spans="5:14" x14ac:dyDescent="0.25">
      <c r="F1053" s="10">
        <v>9</v>
      </c>
      <c r="H1053" s="2" t="s">
        <v>852</v>
      </c>
      <c r="I1053" s="2" t="s">
        <v>30</v>
      </c>
      <c r="J1053" s="5">
        <v>40220</v>
      </c>
      <c r="K1053" s="3">
        <v>40254</v>
      </c>
      <c r="L1053" s="32" t="s">
        <v>581</v>
      </c>
      <c r="N1053" s="2" t="s">
        <v>974</v>
      </c>
    </row>
    <row r="1054" spans="5:14" x14ac:dyDescent="0.25">
      <c r="F1054" s="10">
        <v>10</v>
      </c>
      <c r="H1054" s="2" t="s">
        <v>849</v>
      </c>
      <c r="I1054" s="2" t="s">
        <v>30</v>
      </c>
      <c r="J1054" s="5">
        <v>40220</v>
      </c>
      <c r="K1054" s="3">
        <v>40254</v>
      </c>
      <c r="L1054" s="32" t="s">
        <v>581</v>
      </c>
      <c r="N1054" s="2" t="s">
        <v>974</v>
      </c>
    </row>
    <row r="1055" spans="5:14" ht="30" x14ac:dyDescent="0.25">
      <c r="E1055" s="10" t="s">
        <v>126</v>
      </c>
      <c r="F1055" s="10">
        <v>1</v>
      </c>
      <c r="G1055" s="2" t="s">
        <v>873</v>
      </c>
      <c r="L1055" s="32" t="s">
        <v>581</v>
      </c>
    </row>
    <row r="1056" spans="5:14" x14ac:dyDescent="0.25">
      <c r="F1056" s="10">
        <v>2</v>
      </c>
      <c r="H1056" s="2" t="s">
        <v>844</v>
      </c>
      <c r="L1056" s="32" t="s">
        <v>581</v>
      </c>
    </row>
    <row r="1057" spans="5:14" ht="30" x14ac:dyDescent="0.25">
      <c r="F1057" s="10">
        <v>3</v>
      </c>
      <c r="H1057" s="2" t="s">
        <v>851</v>
      </c>
      <c r="I1057" s="2" t="s">
        <v>29</v>
      </c>
      <c r="J1057" s="5">
        <v>40220</v>
      </c>
      <c r="K1057" s="3">
        <v>40254</v>
      </c>
      <c r="L1057" s="32" t="s">
        <v>581</v>
      </c>
      <c r="N1057" s="2" t="s">
        <v>974</v>
      </c>
    </row>
    <row r="1058" spans="5:14" x14ac:dyDescent="0.25">
      <c r="F1058" s="10">
        <v>4</v>
      </c>
      <c r="H1058" s="2" t="s">
        <v>845</v>
      </c>
      <c r="I1058" s="2" t="s">
        <v>29</v>
      </c>
      <c r="J1058" s="5">
        <v>40220</v>
      </c>
      <c r="K1058" s="3">
        <v>40254</v>
      </c>
      <c r="L1058" s="32" t="s">
        <v>581</v>
      </c>
      <c r="N1058" s="2" t="s">
        <v>974</v>
      </c>
    </row>
    <row r="1059" spans="5:14" ht="30" x14ac:dyDescent="0.25">
      <c r="F1059" s="10">
        <v>5</v>
      </c>
      <c r="H1059" s="2" t="s">
        <v>3511</v>
      </c>
      <c r="I1059" s="2" t="s">
        <v>29</v>
      </c>
      <c r="J1059" s="5">
        <v>40220</v>
      </c>
      <c r="K1059" s="3">
        <v>40254</v>
      </c>
      <c r="L1059" s="32" t="s">
        <v>581</v>
      </c>
      <c r="N1059" s="2" t="s">
        <v>974</v>
      </c>
    </row>
    <row r="1060" spans="5:14" ht="30" x14ac:dyDescent="0.25">
      <c r="F1060" s="10">
        <v>6</v>
      </c>
      <c r="H1060" s="2" t="s">
        <v>850</v>
      </c>
      <c r="I1060" s="2" t="s">
        <v>29</v>
      </c>
      <c r="J1060" s="5">
        <v>40220</v>
      </c>
      <c r="K1060" s="3">
        <v>40254</v>
      </c>
      <c r="L1060" s="32" t="s">
        <v>581</v>
      </c>
      <c r="N1060" s="2" t="s">
        <v>974</v>
      </c>
    </row>
    <row r="1061" spans="5:14" x14ac:dyDescent="0.25">
      <c r="F1061" s="10">
        <v>7</v>
      </c>
      <c r="H1061" s="2" t="s">
        <v>846</v>
      </c>
      <c r="I1061" s="2" t="s">
        <v>29</v>
      </c>
      <c r="J1061" s="5">
        <v>40220</v>
      </c>
      <c r="K1061" s="3">
        <v>40254</v>
      </c>
      <c r="L1061" s="32" t="s">
        <v>581</v>
      </c>
      <c r="N1061" s="2" t="s">
        <v>974</v>
      </c>
    </row>
    <row r="1062" spans="5:14" x14ac:dyDescent="0.25">
      <c r="F1062" s="10">
        <v>8</v>
      </c>
      <c r="H1062" s="2" t="s">
        <v>848</v>
      </c>
      <c r="I1062" s="2" t="s">
        <v>29</v>
      </c>
      <c r="J1062" s="5">
        <v>40220</v>
      </c>
      <c r="K1062" s="3">
        <v>40254</v>
      </c>
      <c r="L1062" s="32" t="s">
        <v>581</v>
      </c>
      <c r="N1062" s="2" t="s">
        <v>974</v>
      </c>
    </row>
    <row r="1063" spans="5:14" x14ac:dyDescent="0.25">
      <c r="F1063" s="10">
        <v>9</v>
      </c>
      <c r="H1063" s="2" t="s">
        <v>852</v>
      </c>
      <c r="I1063" s="2" t="s">
        <v>29</v>
      </c>
      <c r="J1063" s="5">
        <v>40220</v>
      </c>
      <c r="K1063" s="3">
        <v>40254</v>
      </c>
      <c r="L1063" s="32" t="s">
        <v>581</v>
      </c>
      <c r="N1063" s="2" t="s">
        <v>974</v>
      </c>
    </row>
    <row r="1064" spans="5:14" x14ac:dyDescent="0.25">
      <c r="F1064" s="10">
        <v>10</v>
      </c>
      <c r="H1064" s="2" t="s">
        <v>849</v>
      </c>
      <c r="I1064" s="2" t="s">
        <v>29</v>
      </c>
      <c r="J1064" s="5">
        <v>40220</v>
      </c>
      <c r="K1064" s="3">
        <v>40254</v>
      </c>
      <c r="L1064" s="32" t="s">
        <v>581</v>
      </c>
      <c r="N1064" s="2" t="s">
        <v>974</v>
      </c>
    </row>
    <row r="1065" spans="5:14" ht="30" x14ac:dyDescent="0.25">
      <c r="E1065" s="10" t="s">
        <v>127</v>
      </c>
      <c r="F1065" s="10">
        <v>1</v>
      </c>
      <c r="G1065" s="2" t="s">
        <v>3858</v>
      </c>
      <c r="L1065" s="32" t="s">
        <v>581</v>
      </c>
    </row>
    <row r="1066" spans="5:14" x14ac:dyDescent="0.25">
      <c r="F1066" s="10">
        <v>2</v>
      </c>
      <c r="H1066" s="2" t="s">
        <v>844</v>
      </c>
      <c r="L1066" s="32" t="s">
        <v>581</v>
      </c>
    </row>
    <row r="1067" spans="5:14" ht="30" x14ac:dyDescent="0.25">
      <c r="F1067" s="10">
        <v>3</v>
      </c>
      <c r="H1067" s="2" t="s">
        <v>851</v>
      </c>
      <c r="I1067" s="2" t="s">
        <v>30</v>
      </c>
      <c r="J1067" s="5">
        <v>40220</v>
      </c>
      <c r="K1067" s="3">
        <v>40254</v>
      </c>
      <c r="L1067" s="32" t="s">
        <v>581</v>
      </c>
      <c r="N1067" s="2" t="s">
        <v>974</v>
      </c>
    </row>
    <row r="1068" spans="5:14" x14ac:dyDescent="0.25">
      <c r="F1068" s="10">
        <v>4</v>
      </c>
      <c r="H1068" s="2" t="s">
        <v>845</v>
      </c>
      <c r="I1068" s="2" t="s">
        <v>30</v>
      </c>
      <c r="J1068" s="5">
        <v>40220</v>
      </c>
      <c r="K1068" s="3">
        <v>40254</v>
      </c>
      <c r="L1068" s="32" t="s">
        <v>581</v>
      </c>
      <c r="N1068" s="2" t="s">
        <v>974</v>
      </c>
    </row>
    <row r="1069" spans="5:14" ht="30" x14ac:dyDescent="0.25">
      <c r="F1069" s="10">
        <v>5</v>
      </c>
      <c r="H1069" s="2" t="s">
        <v>3510</v>
      </c>
      <c r="I1069" s="2" t="s">
        <v>30</v>
      </c>
      <c r="J1069" s="5">
        <v>40220</v>
      </c>
      <c r="K1069" s="3">
        <v>40254</v>
      </c>
      <c r="L1069" s="32" t="s">
        <v>581</v>
      </c>
      <c r="N1069" s="2" t="s">
        <v>974</v>
      </c>
    </row>
    <row r="1070" spans="5:14" ht="30" x14ac:dyDescent="0.25">
      <c r="F1070" s="10">
        <v>6</v>
      </c>
      <c r="H1070" s="2" t="s">
        <v>853</v>
      </c>
      <c r="I1070" s="2" t="s">
        <v>30</v>
      </c>
      <c r="J1070" s="5">
        <v>40220</v>
      </c>
      <c r="K1070" s="3">
        <v>40254</v>
      </c>
      <c r="L1070" s="32" t="s">
        <v>581</v>
      </c>
      <c r="N1070" s="2" t="s">
        <v>974</v>
      </c>
    </row>
    <row r="1071" spans="5:14" x14ac:dyDescent="0.25">
      <c r="F1071" s="10">
        <v>7</v>
      </c>
      <c r="H1071" s="2" t="s">
        <v>846</v>
      </c>
      <c r="I1071" s="2" t="s">
        <v>30</v>
      </c>
      <c r="J1071" s="5">
        <v>40220</v>
      </c>
      <c r="K1071" s="3">
        <v>40254</v>
      </c>
      <c r="L1071" s="32" t="s">
        <v>581</v>
      </c>
      <c r="N1071" s="2" t="s">
        <v>974</v>
      </c>
    </row>
    <row r="1072" spans="5:14" x14ac:dyDescent="0.25">
      <c r="F1072" s="10">
        <v>8</v>
      </c>
      <c r="H1072" s="2" t="s">
        <v>848</v>
      </c>
      <c r="I1072" s="2" t="s">
        <v>30</v>
      </c>
      <c r="J1072" s="5">
        <v>40220</v>
      </c>
      <c r="K1072" s="3">
        <v>40254</v>
      </c>
      <c r="L1072" s="32" t="s">
        <v>581</v>
      </c>
      <c r="N1072" s="2" t="s">
        <v>974</v>
      </c>
    </row>
    <row r="1073" spans="5:18" x14ac:dyDescent="0.25">
      <c r="F1073" s="10">
        <v>9</v>
      </c>
      <c r="H1073" s="2" t="s">
        <v>852</v>
      </c>
      <c r="I1073" s="2" t="s">
        <v>30</v>
      </c>
      <c r="J1073" s="5">
        <v>40220</v>
      </c>
      <c r="K1073" s="3">
        <v>40254</v>
      </c>
      <c r="L1073" s="32" t="s">
        <v>581</v>
      </c>
      <c r="N1073" s="2" t="s">
        <v>974</v>
      </c>
    </row>
    <row r="1074" spans="5:18" x14ac:dyDescent="0.25">
      <c r="F1074" s="10">
        <v>10</v>
      </c>
      <c r="H1074" s="2" t="s">
        <v>849</v>
      </c>
      <c r="I1074" s="2" t="s">
        <v>30</v>
      </c>
      <c r="J1074" s="5">
        <v>40220</v>
      </c>
      <c r="K1074" s="3">
        <v>40254</v>
      </c>
      <c r="L1074" s="32" t="s">
        <v>581</v>
      </c>
      <c r="N1074" s="2" t="s">
        <v>974</v>
      </c>
    </row>
    <row r="1075" spans="5:18" ht="30" x14ac:dyDescent="0.25">
      <c r="E1075" s="10" t="s">
        <v>469</v>
      </c>
      <c r="F1075" s="10">
        <v>1</v>
      </c>
      <c r="G1075" s="2" t="s">
        <v>876</v>
      </c>
      <c r="L1075" s="32" t="s">
        <v>581</v>
      </c>
    </row>
    <row r="1076" spans="5:18" ht="75" x14ac:dyDescent="0.25">
      <c r="F1076" s="10">
        <v>2</v>
      </c>
      <c r="H1076" s="2" t="s">
        <v>1389</v>
      </c>
      <c r="I1076" s="2" t="s">
        <v>29</v>
      </c>
      <c r="J1076" s="5">
        <v>40220</v>
      </c>
      <c r="K1076" s="3">
        <v>40254</v>
      </c>
      <c r="L1076" s="32" t="s">
        <v>581</v>
      </c>
      <c r="N1076" s="2" t="s">
        <v>974</v>
      </c>
      <c r="O1076" s="2" t="s">
        <v>1387</v>
      </c>
      <c r="P1076" s="2" t="s">
        <v>977</v>
      </c>
      <c r="Q1076" s="2" t="s">
        <v>540</v>
      </c>
    </row>
    <row r="1077" spans="5:18" ht="30" x14ac:dyDescent="0.25">
      <c r="E1077" s="10" t="s">
        <v>877</v>
      </c>
      <c r="F1077" s="10">
        <v>1</v>
      </c>
      <c r="G1077" s="2" t="s">
        <v>875</v>
      </c>
      <c r="L1077" s="32" t="s">
        <v>581</v>
      </c>
    </row>
    <row r="1078" spans="5:18" x14ac:dyDescent="0.25">
      <c r="F1078" s="10">
        <v>2</v>
      </c>
      <c r="H1078" s="2" t="s">
        <v>868</v>
      </c>
      <c r="I1078" s="2" t="s">
        <v>29</v>
      </c>
      <c r="J1078" s="5">
        <v>40220</v>
      </c>
      <c r="K1078" s="3">
        <v>40254</v>
      </c>
      <c r="L1078" s="32" t="s">
        <v>581</v>
      </c>
      <c r="N1078" s="2" t="s">
        <v>974</v>
      </c>
    </row>
    <row r="1079" spans="5:18" x14ac:dyDescent="0.25">
      <c r="F1079" s="10">
        <v>3</v>
      </c>
      <c r="H1079" s="2" t="s">
        <v>869</v>
      </c>
      <c r="J1079" s="5"/>
      <c r="K1079" s="5"/>
      <c r="L1079" s="32" t="s">
        <v>581</v>
      </c>
    </row>
    <row r="1080" spans="5:18" ht="30" x14ac:dyDescent="0.25">
      <c r="F1080" s="10">
        <v>4</v>
      </c>
      <c r="H1080" s="2" t="s">
        <v>870</v>
      </c>
      <c r="I1080" s="2" t="s">
        <v>29</v>
      </c>
      <c r="J1080" s="5">
        <v>40220</v>
      </c>
      <c r="K1080" s="3">
        <v>40254</v>
      </c>
      <c r="L1080" s="32" t="s">
        <v>581</v>
      </c>
      <c r="N1080" s="2" t="s">
        <v>974</v>
      </c>
    </row>
    <row r="1081" spans="5:18" ht="30" x14ac:dyDescent="0.25">
      <c r="F1081" s="10">
        <v>5</v>
      </c>
      <c r="H1081" s="2" t="s">
        <v>872</v>
      </c>
      <c r="I1081" s="2" t="s">
        <v>29</v>
      </c>
      <c r="J1081" s="5">
        <v>40220</v>
      </c>
      <c r="K1081" s="3">
        <v>40254</v>
      </c>
      <c r="L1081" s="32" t="s">
        <v>581</v>
      </c>
      <c r="N1081" s="2" t="s">
        <v>974</v>
      </c>
    </row>
    <row r="1082" spans="5:18" ht="45" x14ac:dyDescent="0.25">
      <c r="F1082" s="10">
        <v>6</v>
      </c>
      <c r="H1082" s="2" t="s">
        <v>871</v>
      </c>
      <c r="I1082" s="2" t="s">
        <v>29</v>
      </c>
      <c r="J1082" s="5">
        <v>40220</v>
      </c>
      <c r="K1082" s="3">
        <v>40254</v>
      </c>
      <c r="L1082" s="32" t="s">
        <v>581</v>
      </c>
      <c r="N1082" s="2" t="s">
        <v>974</v>
      </c>
      <c r="O1082" s="2" t="s">
        <v>1390</v>
      </c>
      <c r="P1082" s="2" t="s">
        <v>980</v>
      </c>
      <c r="Q1082" s="2" t="s">
        <v>540</v>
      </c>
      <c r="R1082" s="2" t="s">
        <v>1719</v>
      </c>
    </row>
    <row r="1083" spans="5:18" ht="30" x14ac:dyDescent="0.25">
      <c r="E1083" s="10" t="s">
        <v>878</v>
      </c>
      <c r="F1083" s="10">
        <v>1</v>
      </c>
      <c r="G1083" s="2" t="s">
        <v>880</v>
      </c>
      <c r="L1083" s="32" t="s">
        <v>581</v>
      </c>
    </row>
    <row r="1084" spans="5:18" x14ac:dyDescent="0.25">
      <c r="F1084" s="10">
        <v>2</v>
      </c>
      <c r="H1084" s="2" t="s">
        <v>868</v>
      </c>
      <c r="I1084" s="2" t="s">
        <v>29</v>
      </c>
      <c r="J1084" s="5">
        <v>40220</v>
      </c>
      <c r="K1084" s="3">
        <v>40254</v>
      </c>
      <c r="L1084" s="32" t="s">
        <v>581</v>
      </c>
      <c r="N1084" s="2" t="s">
        <v>974</v>
      </c>
    </row>
    <row r="1085" spans="5:18" x14ac:dyDescent="0.25">
      <c r="F1085" s="10">
        <v>3</v>
      </c>
      <c r="H1085" s="2" t="s">
        <v>869</v>
      </c>
      <c r="J1085" s="5"/>
      <c r="K1085" s="5"/>
      <c r="L1085" s="32" t="s">
        <v>581</v>
      </c>
    </row>
    <row r="1086" spans="5:18" ht="120" x14ac:dyDescent="0.25">
      <c r="F1086" s="10">
        <v>4</v>
      </c>
      <c r="H1086" s="2" t="s">
        <v>3512</v>
      </c>
      <c r="I1086" s="2" t="s">
        <v>29</v>
      </c>
      <c r="J1086" s="5">
        <v>40220</v>
      </c>
      <c r="K1086" s="3">
        <v>40254</v>
      </c>
      <c r="L1086" s="32" t="s">
        <v>581</v>
      </c>
      <c r="N1086" s="2" t="s">
        <v>974</v>
      </c>
      <c r="O1086" s="2" t="s">
        <v>1393</v>
      </c>
      <c r="P1086" s="2" t="s">
        <v>977</v>
      </c>
      <c r="Q1086" s="2" t="s">
        <v>540</v>
      </c>
    </row>
    <row r="1087" spans="5:18" ht="45" x14ac:dyDescent="0.25">
      <c r="F1087" s="10">
        <v>5</v>
      </c>
      <c r="H1087" s="2" t="s">
        <v>883</v>
      </c>
      <c r="I1087" s="2" t="s">
        <v>29</v>
      </c>
      <c r="J1087" s="5">
        <v>40220</v>
      </c>
      <c r="K1087" s="3">
        <v>40254</v>
      </c>
      <c r="L1087" s="32" t="s">
        <v>581</v>
      </c>
      <c r="N1087" s="2" t="s">
        <v>974</v>
      </c>
      <c r="O1087" s="2" t="s">
        <v>1391</v>
      </c>
      <c r="P1087" s="2" t="s">
        <v>982</v>
      </c>
      <c r="Q1087" s="2" t="s">
        <v>540</v>
      </c>
    </row>
    <row r="1088" spans="5:18" ht="45" x14ac:dyDescent="0.25">
      <c r="E1088" s="10" t="s">
        <v>879</v>
      </c>
      <c r="F1088" s="10">
        <v>1</v>
      </c>
      <c r="G1088" s="2" t="s">
        <v>3859</v>
      </c>
      <c r="J1088" s="5"/>
      <c r="K1088" s="5"/>
      <c r="L1088" s="32" t="s">
        <v>581</v>
      </c>
    </row>
    <row r="1089" spans="5:14" x14ac:dyDescent="0.25">
      <c r="E1089" s="2"/>
      <c r="F1089" s="10">
        <v>2</v>
      </c>
      <c r="H1089" s="2" t="s">
        <v>868</v>
      </c>
      <c r="I1089" s="2" t="s">
        <v>29</v>
      </c>
      <c r="J1089" s="5">
        <v>40220</v>
      </c>
      <c r="K1089" s="3">
        <v>40254</v>
      </c>
      <c r="L1089" s="32" t="s">
        <v>581</v>
      </c>
      <c r="N1089" s="2" t="s">
        <v>974</v>
      </c>
    </row>
    <row r="1090" spans="5:14" x14ac:dyDescent="0.25">
      <c r="F1090" s="10">
        <v>3</v>
      </c>
      <c r="H1090" s="2" t="s">
        <v>869</v>
      </c>
      <c r="L1090" s="32" t="s">
        <v>581</v>
      </c>
    </row>
    <row r="1091" spans="5:14" ht="30" x14ac:dyDescent="0.25">
      <c r="F1091" s="10">
        <v>4</v>
      </c>
      <c r="H1091" s="2" t="s">
        <v>881</v>
      </c>
      <c r="I1091" s="2" t="s">
        <v>29</v>
      </c>
      <c r="J1091" s="5">
        <v>40220</v>
      </c>
      <c r="K1091" s="3">
        <v>40254</v>
      </c>
      <c r="L1091" s="32" t="s">
        <v>581</v>
      </c>
      <c r="N1091" s="2" t="s">
        <v>974</v>
      </c>
    </row>
    <row r="1092" spans="5:14" ht="30" x14ac:dyDescent="0.25">
      <c r="F1092" s="10">
        <v>5</v>
      </c>
      <c r="H1092" s="2" t="s">
        <v>882</v>
      </c>
      <c r="I1092" s="2" t="s">
        <v>29</v>
      </c>
      <c r="J1092" s="5">
        <v>40220</v>
      </c>
      <c r="K1092" s="3">
        <v>40254</v>
      </c>
      <c r="L1092" s="32" t="s">
        <v>581</v>
      </c>
      <c r="N1092" s="2" t="s">
        <v>974</v>
      </c>
    </row>
    <row r="1093" spans="5:14" x14ac:dyDescent="0.25">
      <c r="E1093" s="10" t="s">
        <v>884</v>
      </c>
      <c r="F1093" s="10">
        <v>1</v>
      </c>
      <c r="G1093" s="2" t="s">
        <v>2</v>
      </c>
      <c r="J1093" s="5"/>
      <c r="K1093" s="5"/>
      <c r="L1093" s="32" t="s">
        <v>581</v>
      </c>
    </row>
    <row r="1094" spans="5:14" x14ac:dyDescent="0.25">
      <c r="F1094" s="10">
        <v>2</v>
      </c>
      <c r="H1094" s="2" t="s">
        <v>3</v>
      </c>
      <c r="I1094" s="2" t="s">
        <v>29</v>
      </c>
      <c r="J1094" s="5">
        <v>40220</v>
      </c>
      <c r="K1094" s="3">
        <v>40254</v>
      </c>
      <c r="L1094" s="32" t="s">
        <v>581</v>
      </c>
      <c r="N1094" s="2" t="s">
        <v>974</v>
      </c>
    </row>
    <row r="1095" spans="5:14" x14ac:dyDescent="0.25">
      <c r="F1095" s="10">
        <v>3</v>
      </c>
      <c r="H1095" s="2" t="s">
        <v>869</v>
      </c>
      <c r="J1095" s="5"/>
      <c r="K1095" s="5"/>
      <c r="L1095" s="32" t="s">
        <v>581</v>
      </c>
    </row>
    <row r="1096" spans="5:14" x14ac:dyDescent="0.25">
      <c r="F1096" s="10">
        <v>4</v>
      </c>
      <c r="H1096" s="2" t="s">
        <v>4</v>
      </c>
      <c r="I1096" s="2" t="s">
        <v>29</v>
      </c>
      <c r="J1096" s="5">
        <v>40220</v>
      </c>
      <c r="K1096" s="3">
        <v>40254</v>
      </c>
      <c r="L1096" s="32" t="s">
        <v>581</v>
      </c>
      <c r="N1096" s="2" t="s">
        <v>974</v>
      </c>
    </row>
    <row r="1097" spans="5:14" ht="30" x14ac:dyDescent="0.25">
      <c r="F1097" s="10">
        <v>5</v>
      </c>
      <c r="H1097" s="2" t="s">
        <v>5</v>
      </c>
      <c r="I1097" s="2" t="s">
        <v>29</v>
      </c>
      <c r="J1097" s="5">
        <v>40220</v>
      </c>
      <c r="K1097" s="3">
        <v>40254</v>
      </c>
      <c r="L1097" s="32" t="s">
        <v>581</v>
      </c>
      <c r="N1097" s="2" t="s">
        <v>974</v>
      </c>
    </row>
    <row r="1098" spans="5:14" ht="30" x14ac:dyDescent="0.25">
      <c r="E1098" s="10" t="s">
        <v>6</v>
      </c>
      <c r="F1098" s="10">
        <v>1</v>
      </c>
      <c r="G1098" s="2" t="s">
        <v>3860</v>
      </c>
      <c r="J1098" s="5"/>
      <c r="K1098" s="5"/>
      <c r="L1098" s="32" t="s">
        <v>581</v>
      </c>
    </row>
    <row r="1099" spans="5:14" x14ac:dyDescent="0.25">
      <c r="F1099" s="10">
        <v>2</v>
      </c>
      <c r="H1099" s="2" t="s">
        <v>3</v>
      </c>
      <c r="I1099" s="2" t="s">
        <v>29</v>
      </c>
      <c r="J1099" s="5">
        <v>40220</v>
      </c>
      <c r="K1099" s="3">
        <v>40254</v>
      </c>
      <c r="L1099" s="32" t="s">
        <v>581</v>
      </c>
      <c r="N1099" s="2" t="s">
        <v>974</v>
      </c>
    </row>
    <row r="1100" spans="5:14" x14ac:dyDescent="0.25">
      <c r="F1100" s="10">
        <v>3</v>
      </c>
      <c r="H1100" s="2" t="s">
        <v>869</v>
      </c>
      <c r="J1100" s="5"/>
      <c r="K1100" s="5"/>
      <c r="L1100" s="32" t="s">
        <v>581</v>
      </c>
    </row>
    <row r="1101" spans="5:14" x14ac:dyDescent="0.25">
      <c r="F1101" s="10">
        <v>4</v>
      </c>
      <c r="H1101" s="2" t="s">
        <v>7</v>
      </c>
      <c r="I1101" s="2" t="s">
        <v>29</v>
      </c>
      <c r="J1101" s="5">
        <v>40220</v>
      </c>
      <c r="K1101" s="3">
        <v>40254</v>
      </c>
      <c r="L1101" s="32" t="s">
        <v>581</v>
      </c>
      <c r="N1101" s="2" t="s">
        <v>974</v>
      </c>
    </row>
    <row r="1102" spans="5:14" ht="30" x14ac:dyDescent="0.25">
      <c r="F1102" s="10">
        <v>5</v>
      </c>
      <c r="H1102" s="2" t="s">
        <v>8</v>
      </c>
      <c r="I1102" s="2" t="s">
        <v>29</v>
      </c>
      <c r="J1102" s="5">
        <v>40220</v>
      </c>
      <c r="K1102" s="3">
        <v>40254</v>
      </c>
      <c r="L1102" s="32" t="s">
        <v>581</v>
      </c>
      <c r="N1102" s="2" t="s">
        <v>974</v>
      </c>
    </row>
    <row r="1103" spans="5:14" ht="30" x14ac:dyDescent="0.25">
      <c r="F1103" s="10">
        <v>6</v>
      </c>
      <c r="H1103" s="2" t="s">
        <v>1392</v>
      </c>
      <c r="I1103" s="2" t="s">
        <v>29</v>
      </c>
      <c r="J1103" s="5">
        <v>40220</v>
      </c>
      <c r="K1103" s="3">
        <v>40254</v>
      </c>
      <c r="L1103" s="32" t="s">
        <v>581</v>
      </c>
      <c r="N1103" s="2" t="s">
        <v>974</v>
      </c>
    </row>
    <row r="1104" spans="5:14" ht="30" x14ac:dyDescent="0.25">
      <c r="E1104" s="10" t="s">
        <v>9</v>
      </c>
      <c r="F1104" s="10">
        <v>1</v>
      </c>
      <c r="G1104" s="2" t="s">
        <v>3861</v>
      </c>
      <c r="J1104" s="5"/>
      <c r="K1104" s="5"/>
      <c r="L1104" s="32" t="s">
        <v>581</v>
      </c>
    </row>
    <row r="1105" spans="1:18" x14ac:dyDescent="0.25">
      <c r="F1105" s="10">
        <v>2</v>
      </c>
      <c r="H1105" s="2" t="s">
        <v>3</v>
      </c>
      <c r="I1105" s="2" t="s">
        <v>29</v>
      </c>
      <c r="J1105" s="5">
        <v>40220</v>
      </c>
      <c r="K1105" s="3">
        <v>40254</v>
      </c>
      <c r="L1105" s="32" t="s">
        <v>581</v>
      </c>
      <c r="N1105" s="2" t="s">
        <v>974</v>
      </c>
    </row>
    <row r="1106" spans="1:18" x14ac:dyDescent="0.25">
      <c r="F1106" s="10">
        <v>3</v>
      </c>
      <c r="H1106" s="2" t="s">
        <v>869</v>
      </c>
      <c r="J1106" s="5"/>
      <c r="K1106" s="5"/>
      <c r="L1106" s="32" t="s">
        <v>581</v>
      </c>
    </row>
    <row r="1107" spans="1:18" ht="30" x14ac:dyDescent="0.25">
      <c r="F1107" s="10">
        <v>4</v>
      </c>
      <c r="H1107" s="2" t="s">
        <v>10</v>
      </c>
      <c r="I1107" s="2" t="s">
        <v>29</v>
      </c>
      <c r="J1107" s="5">
        <v>40220</v>
      </c>
      <c r="K1107" s="3">
        <v>40254</v>
      </c>
      <c r="L1107" s="32" t="s">
        <v>581</v>
      </c>
      <c r="N1107" s="2" t="s">
        <v>974</v>
      </c>
    </row>
    <row r="1108" spans="1:18" x14ac:dyDescent="0.25">
      <c r="F1108" s="10">
        <v>5</v>
      </c>
      <c r="H1108" s="2" t="s">
        <v>11</v>
      </c>
      <c r="I1108" s="2" t="s">
        <v>29</v>
      </c>
      <c r="J1108" s="5">
        <v>40220</v>
      </c>
      <c r="K1108" s="3">
        <v>40254</v>
      </c>
      <c r="L1108" s="32" t="s">
        <v>581</v>
      </c>
      <c r="N1108" s="2" t="s">
        <v>974</v>
      </c>
    </row>
    <row r="1109" spans="1:18" ht="30" x14ac:dyDescent="0.25">
      <c r="F1109" s="10">
        <v>6</v>
      </c>
      <c r="H1109" s="2" t="s">
        <v>1392</v>
      </c>
      <c r="I1109" s="2" t="s">
        <v>29</v>
      </c>
      <c r="J1109" s="5">
        <v>40220</v>
      </c>
      <c r="K1109" s="3">
        <v>40254</v>
      </c>
      <c r="L1109" s="32" t="s">
        <v>581</v>
      </c>
      <c r="N1109" s="2" t="s">
        <v>974</v>
      </c>
    </row>
    <row r="1110" spans="1:18" x14ac:dyDescent="0.25">
      <c r="J1110" s="5"/>
      <c r="K1110" s="5"/>
      <c r="L1110" s="32"/>
    </row>
    <row r="1111" spans="1:18" ht="45" x14ac:dyDescent="0.25">
      <c r="A1111" s="7" t="s">
        <v>858</v>
      </c>
      <c r="B1111" s="7" t="s">
        <v>1249</v>
      </c>
      <c r="C1111" s="26" t="s">
        <v>1250</v>
      </c>
      <c r="D1111" s="26" t="s">
        <v>1251</v>
      </c>
      <c r="E1111" s="10" t="s">
        <v>1244</v>
      </c>
      <c r="F1111" s="10">
        <v>1</v>
      </c>
      <c r="G1111" s="2" t="s">
        <v>1247</v>
      </c>
      <c r="J1111" s="5"/>
      <c r="K1111" s="5"/>
      <c r="L1111" s="32"/>
    </row>
    <row r="1112" spans="1:18" ht="105" x14ac:dyDescent="0.25">
      <c r="F1112" s="10">
        <v>2</v>
      </c>
      <c r="H1112" s="2" t="s">
        <v>1252</v>
      </c>
      <c r="I1112" s="2" t="s">
        <v>29</v>
      </c>
      <c r="J1112" s="3">
        <v>40231</v>
      </c>
      <c r="K1112" s="3">
        <v>40254</v>
      </c>
      <c r="L1112" s="32" t="s">
        <v>1288</v>
      </c>
      <c r="N1112" s="2" t="s">
        <v>974</v>
      </c>
      <c r="O1112" s="2" t="s">
        <v>1605</v>
      </c>
      <c r="Q1112" s="2" t="s">
        <v>540</v>
      </c>
    </row>
    <row r="1113" spans="1:18" ht="60" x14ac:dyDescent="0.25">
      <c r="F1113" s="10">
        <v>3</v>
      </c>
      <c r="H1113" s="2" t="s">
        <v>1246</v>
      </c>
      <c r="I1113" s="2" t="s">
        <v>29</v>
      </c>
      <c r="J1113" s="3">
        <v>40231</v>
      </c>
      <c r="K1113" s="3">
        <v>40254</v>
      </c>
      <c r="L1113" s="32" t="s">
        <v>1288</v>
      </c>
      <c r="N1113" s="2" t="s">
        <v>974</v>
      </c>
      <c r="O1113" s="2" t="s">
        <v>2793</v>
      </c>
      <c r="P1113" s="2" t="s">
        <v>982</v>
      </c>
      <c r="Q1113" s="2" t="s">
        <v>986</v>
      </c>
      <c r="R1113" s="2" t="s">
        <v>2162</v>
      </c>
    </row>
    <row r="1114" spans="1:18" ht="45" x14ac:dyDescent="0.25">
      <c r="E1114" s="10" t="s">
        <v>1245</v>
      </c>
      <c r="F1114" s="10">
        <v>1</v>
      </c>
      <c r="G1114" s="2" t="s">
        <v>1248</v>
      </c>
      <c r="J1114" s="3"/>
      <c r="K1114" s="5"/>
      <c r="L1114" s="32"/>
    </row>
    <row r="1115" spans="1:18" x14ac:dyDescent="0.25">
      <c r="F1115" s="10">
        <v>2</v>
      </c>
      <c r="G1115" s="2" t="s">
        <v>1253</v>
      </c>
      <c r="J1115" s="3"/>
      <c r="K1115" s="5"/>
      <c r="L1115" s="32"/>
    </row>
    <row r="1116" spans="1:18" ht="60" x14ac:dyDescent="0.25">
      <c r="F1116" s="10">
        <v>3</v>
      </c>
      <c r="H1116" s="2" t="s">
        <v>1254</v>
      </c>
      <c r="J1116" s="3"/>
      <c r="K1116" s="5"/>
      <c r="L1116" s="32" t="s">
        <v>1288</v>
      </c>
      <c r="N1116" s="2" t="s">
        <v>974</v>
      </c>
      <c r="O1116" s="2" t="s">
        <v>2794</v>
      </c>
      <c r="P1116" s="2" t="s">
        <v>982</v>
      </c>
      <c r="Q1116" s="2" t="s">
        <v>986</v>
      </c>
      <c r="R1116" s="2" t="s">
        <v>2162</v>
      </c>
    </row>
    <row r="1117" spans="1:18" ht="90" x14ac:dyDescent="0.25">
      <c r="F1117" s="10">
        <v>4</v>
      </c>
      <c r="H1117" s="2" t="s">
        <v>1100</v>
      </c>
      <c r="I1117" s="2" t="s">
        <v>29</v>
      </c>
      <c r="J1117" s="3">
        <v>40231</v>
      </c>
      <c r="K1117" s="3">
        <v>40254</v>
      </c>
      <c r="L1117" s="32" t="s">
        <v>1288</v>
      </c>
      <c r="M1117" s="2" t="s">
        <v>1101</v>
      </c>
      <c r="N1117" s="2" t="s">
        <v>974</v>
      </c>
      <c r="O1117" s="2" t="s">
        <v>2795</v>
      </c>
      <c r="P1117" s="2" t="s">
        <v>977</v>
      </c>
      <c r="Q1117" s="2" t="s">
        <v>540</v>
      </c>
    </row>
    <row r="1118" spans="1:18" ht="45" x14ac:dyDescent="0.25">
      <c r="J1118" s="3"/>
      <c r="K1118" s="3"/>
      <c r="L1118" s="32"/>
      <c r="N1118" s="2" t="s">
        <v>974</v>
      </c>
      <c r="O1118" s="2" t="s">
        <v>2796</v>
      </c>
      <c r="P1118" s="2" t="s">
        <v>977</v>
      </c>
      <c r="Q1118" s="2" t="s">
        <v>540</v>
      </c>
      <c r="R1118" s="2" t="s">
        <v>3028</v>
      </c>
    </row>
    <row r="1119" spans="1:18" ht="45" x14ac:dyDescent="0.25">
      <c r="F1119" s="10">
        <v>5</v>
      </c>
      <c r="H1119" s="2" t="s">
        <v>1255</v>
      </c>
      <c r="I1119" s="2" t="s">
        <v>29</v>
      </c>
      <c r="J1119" s="3">
        <v>40231</v>
      </c>
      <c r="K1119" s="3">
        <v>40254</v>
      </c>
      <c r="L1119" s="32" t="s">
        <v>1288</v>
      </c>
      <c r="N1119" s="2" t="s">
        <v>974</v>
      </c>
      <c r="O1119" s="2" t="s">
        <v>2797</v>
      </c>
      <c r="P1119" s="2" t="s">
        <v>977</v>
      </c>
      <c r="Q1119" s="2" t="s">
        <v>540</v>
      </c>
      <c r="R1119" s="2" t="s">
        <v>3028</v>
      </c>
    </row>
    <row r="1120" spans="1:18" ht="45" x14ac:dyDescent="0.25">
      <c r="F1120" s="10">
        <v>6</v>
      </c>
      <c r="H1120" s="2" t="s">
        <v>1256</v>
      </c>
      <c r="I1120" s="2" t="s">
        <v>29</v>
      </c>
      <c r="J1120" s="3">
        <v>40231</v>
      </c>
      <c r="K1120" s="3">
        <v>40254</v>
      </c>
      <c r="L1120" s="32" t="s">
        <v>1288</v>
      </c>
      <c r="N1120" s="2" t="s">
        <v>974</v>
      </c>
      <c r="O1120" s="2" t="s">
        <v>2797</v>
      </c>
      <c r="P1120" s="2" t="s">
        <v>977</v>
      </c>
      <c r="Q1120" s="2" t="s">
        <v>540</v>
      </c>
      <c r="R1120" s="2" t="s">
        <v>3028</v>
      </c>
    </row>
    <row r="1121" spans="1:18" x14ac:dyDescent="0.25">
      <c r="J1121" s="5"/>
      <c r="K1121" s="2"/>
      <c r="L1121" s="2"/>
    </row>
    <row r="1122" spans="1:18" ht="45" x14ac:dyDescent="0.25">
      <c r="A1122" s="7" t="s">
        <v>428</v>
      </c>
      <c r="B1122" s="26" t="s">
        <v>886</v>
      </c>
      <c r="C1122" s="7" t="s">
        <v>3862</v>
      </c>
      <c r="D1122" s="26" t="s">
        <v>887</v>
      </c>
      <c r="E1122" s="10" t="s">
        <v>884</v>
      </c>
      <c r="F1122" s="10">
        <v>1</v>
      </c>
      <c r="G1122" s="2" t="s">
        <v>3863</v>
      </c>
      <c r="J1122" s="5"/>
      <c r="K1122" s="2"/>
      <c r="L1122" s="2"/>
    </row>
    <row r="1123" spans="1:18" x14ac:dyDescent="0.25">
      <c r="F1123" s="10">
        <v>2</v>
      </c>
      <c r="H1123" s="2" t="s">
        <v>3513</v>
      </c>
      <c r="I1123" s="2" t="s">
        <v>29</v>
      </c>
      <c r="J1123" s="2" t="s">
        <v>33</v>
      </c>
      <c r="K1123" s="2" t="s">
        <v>33</v>
      </c>
      <c r="L1123" s="2" t="s">
        <v>33</v>
      </c>
    </row>
    <row r="1124" spans="1:18" ht="30" x14ac:dyDescent="0.25">
      <c r="F1124" s="10">
        <v>3</v>
      </c>
      <c r="H1124" s="2" t="s">
        <v>3380</v>
      </c>
      <c r="I1124" s="2" t="s">
        <v>29</v>
      </c>
      <c r="J1124" s="2" t="s">
        <v>33</v>
      </c>
      <c r="K1124" s="2" t="s">
        <v>33</v>
      </c>
      <c r="L1124" s="2" t="s">
        <v>33</v>
      </c>
    </row>
    <row r="1125" spans="1:18" x14ac:dyDescent="0.25">
      <c r="F1125" s="10">
        <v>4</v>
      </c>
      <c r="G1125" s="2" t="s">
        <v>3381</v>
      </c>
    </row>
    <row r="1126" spans="1:18" x14ac:dyDescent="0.25">
      <c r="F1126" s="10">
        <v>5</v>
      </c>
      <c r="H1126" s="2" t="s">
        <v>885</v>
      </c>
      <c r="I1126" s="2" t="s">
        <v>29</v>
      </c>
      <c r="J1126" s="2" t="s">
        <v>33</v>
      </c>
      <c r="K1126" s="2" t="s">
        <v>33</v>
      </c>
      <c r="L1126" s="2" t="s">
        <v>33</v>
      </c>
    </row>
    <row r="1128" spans="1:18" ht="30" x14ac:dyDescent="0.25">
      <c r="A1128" s="7" t="s">
        <v>432</v>
      </c>
      <c r="B1128" s="7" t="s">
        <v>648</v>
      </c>
      <c r="C1128" s="7" t="s">
        <v>39</v>
      </c>
      <c r="D1128" s="7" t="s">
        <v>649</v>
      </c>
      <c r="E1128" s="10" t="s">
        <v>121</v>
      </c>
      <c r="F1128" s="10">
        <v>1</v>
      </c>
      <c r="G1128" s="2" t="s">
        <v>650</v>
      </c>
    </row>
    <row r="1129" spans="1:18" ht="45" x14ac:dyDescent="0.25">
      <c r="F1129" s="10">
        <v>2</v>
      </c>
      <c r="H1129" s="2" t="s">
        <v>3951</v>
      </c>
      <c r="I1129" s="2" t="s">
        <v>29</v>
      </c>
      <c r="J1129" s="5">
        <v>40217</v>
      </c>
      <c r="K1129" s="3">
        <v>40254</v>
      </c>
      <c r="L1129" s="7" t="s">
        <v>1279</v>
      </c>
      <c r="N1129" s="2" t="s">
        <v>974</v>
      </c>
    </row>
    <row r="1130" spans="1:18" ht="90" x14ac:dyDescent="0.25">
      <c r="F1130" s="10">
        <v>3</v>
      </c>
      <c r="H1130" s="2" t="s">
        <v>738</v>
      </c>
      <c r="I1130" s="2" t="s">
        <v>29</v>
      </c>
      <c r="J1130" s="5">
        <v>40217</v>
      </c>
      <c r="K1130" s="3">
        <v>40254</v>
      </c>
      <c r="L1130" s="7" t="s">
        <v>1279</v>
      </c>
      <c r="N1130" s="2" t="s">
        <v>974</v>
      </c>
      <c r="O1130" s="2" t="s">
        <v>1401</v>
      </c>
      <c r="P1130" s="2" t="s">
        <v>977</v>
      </c>
      <c r="Q1130" s="2" t="s">
        <v>540</v>
      </c>
    </row>
    <row r="1131" spans="1:18" ht="45" x14ac:dyDescent="0.25">
      <c r="F1131" s="10">
        <v>4</v>
      </c>
      <c r="H1131" s="2" t="s">
        <v>793</v>
      </c>
      <c r="I1131" s="2" t="s">
        <v>29</v>
      </c>
      <c r="J1131" s="5">
        <v>40217</v>
      </c>
      <c r="K1131" s="3">
        <v>40254</v>
      </c>
      <c r="L1131" s="7" t="s">
        <v>1279</v>
      </c>
      <c r="N1131" s="2" t="s">
        <v>974</v>
      </c>
      <c r="O1131" s="2" t="s">
        <v>1400</v>
      </c>
      <c r="P1131" s="2" t="s">
        <v>977</v>
      </c>
      <c r="Q1131" s="2" t="s">
        <v>540</v>
      </c>
    </row>
    <row r="1132" spans="1:18" ht="60" x14ac:dyDescent="0.25">
      <c r="F1132" s="10">
        <v>5</v>
      </c>
      <c r="H1132" s="2" t="s">
        <v>3382</v>
      </c>
      <c r="I1132" s="2" t="s">
        <v>29</v>
      </c>
      <c r="J1132" s="5">
        <v>40217</v>
      </c>
      <c r="K1132" s="3">
        <v>40254</v>
      </c>
      <c r="L1132" s="7" t="s">
        <v>1279</v>
      </c>
      <c r="N1132" s="2" t="s">
        <v>974</v>
      </c>
      <c r="O1132" s="2" t="s">
        <v>3514</v>
      </c>
      <c r="P1132" s="2" t="s">
        <v>980</v>
      </c>
      <c r="Q1132" s="2" t="s">
        <v>540</v>
      </c>
      <c r="R1132" s="2" t="s">
        <v>3515</v>
      </c>
    </row>
    <row r="1133" spans="1:18" ht="45" x14ac:dyDescent="0.25">
      <c r="F1133" s="10">
        <v>6</v>
      </c>
      <c r="H1133" s="2" t="s">
        <v>806</v>
      </c>
      <c r="I1133" s="2" t="s">
        <v>29</v>
      </c>
      <c r="J1133" s="5">
        <v>40217</v>
      </c>
      <c r="K1133" s="3">
        <v>40254</v>
      </c>
      <c r="L1133" s="7" t="s">
        <v>1279</v>
      </c>
      <c r="N1133" s="2" t="s">
        <v>974</v>
      </c>
    </row>
    <row r="1134" spans="1:18" ht="60" x14ac:dyDescent="0.25">
      <c r="F1134" s="10">
        <v>7</v>
      </c>
      <c r="H1134" s="2" t="s">
        <v>1395</v>
      </c>
      <c r="I1134" s="7" t="s">
        <v>30</v>
      </c>
      <c r="J1134" s="5">
        <v>40220</v>
      </c>
      <c r="K1134" s="3">
        <v>40254</v>
      </c>
      <c r="L1134" s="7" t="s">
        <v>1279</v>
      </c>
      <c r="N1134" s="2" t="s">
        <v>974</v>
      </c>
    </row>
    <row r="1135" spans="1:18" ht="180" x14ac:dyDescent="0.25">
      <c r="F1135" s="10">
        <v>8</v>
      </c>
      <c r="H1135" s="2" t="s">
        <v>3952</v>
      </c>
      <c r="I1135" s="2" t="s">
        <v>29</v>
      </c>
      <c r="J1135" s="5">
        <v>40220</v>
      </c>
      <c r="K1135" s="3">
        <v>40254</v>
      </c>
      <c r="L1135" s="7" t="s">
        <v>1279</v>
      </c>
      <c r="N1135" s="2" t="s">
        <v>974</v>
      </c>
      <c r="O1135" s="2" t="s">
        <v>1603</v>
      </c>
      <c r="P1135" s="2" t="s">
        <v>980</v>
      </c>
      <c r="Q1135" s="2" t="s">
        <v>540</v>
      </c>
      <c r="R1135" s="2" t="s">
        <v>2175</v>
      </c>
    </row>
    <row r="1136" spans="1:18" x14ac:dyDescent="0.25">
      <c r="E1136" s="10" t="s">
        <v>123</v>
      </c>
      <c r="F1136" s="10">
        <v>1</v>
      </c>
      <c r="G1136" s="2" t="s">
        <v>891</v>
      </c>
    </row>
    <row r="1137" spans="5:18" ht="150" x14ac:dyDescent="0.25">
      <c r="F1137" s="10">
        <v>2</v>
      </c>
      <c r="H1137" s="2" t="s">
        <v>652</v>
      </c>
      <c r="I1137" s="2" t="s">
        <v>29</v>
      </c>
      <c r="J1137" s="5">
        <v>40217</v>
      </c>
      <c r="K1137" s="3">
        <v>40254</v>
      </c>
      <c r="L1137" s="7" t="s">
        <v>1279</v>
      </c>
      <c r="N1137" s="2" t="s">
        <v>974</v>
      </c>
      <c r="O1137" s="2" t="s">
        <v>1388</v>
      </c>
      <c r="P1137" s="7" t="s">
        <v>982</v>
      </c>
      <c r="Q1137" s="2" t="s">
        <v>540</v>
      </c>
      <c r="R1137" s="2" t="s">
        <v>1633</v>
      </c>
    </row>
    <row r="1138" spans="5:18" x14ac:dyDescent="0.25">
      <c r="E1138" s="10" t="s">
        <v>126</v>
      </c>
      <c r="F1138" s="10">
        <v>1</v>
      </c>
      <c r="G1138" s="2" t="s">
        <v>892</v>
      </c>
      <c r="J1138" s="5"/>
    </row>
    <row r="1139" spans="5:18" ht="75" x14ac:dyDescent="0.25">
      <c r="F1139" s="10">
        <v>2</v>
      </c>
      <c r="H1139" s="2" t="s">
        <v>1653</v>
      </c>
      <c r="I1139" s="2" t="s">
        <v>30</v>
      </c>
      <c r="J1139" s="3">
        <v>40294</v>
      </c>
      <c r="K1139" s="4"/>
      <c r="L1139" s="7" t="s">
        <v>474</v>
      </c>
      <c r="N1139" s="2" t="s">
        <v>974</v>
      </c>
    </row>
    <row r="1140" spans="5:18" ht="75" x14ac:dyDescent="0.25">
      <c r="F1140" s="10">
        <v>3</v>
      </c>
      <c r="H1140" s="2" t="s">
        <v>1654</v>
      </c>
      <c r="I1140" s="2" t="s">
        <v>30</v>
      </c>
      <c r="J1140" s="3">
        <v>40294</v>
      </c>
      <c r="K1140" s="4"/>
      <c r="L1140" s="7" t="s">
        <v>474</v>
      </c>
      <c r="N1140" s="2" t="s">
        <v>974</v>
      </c>
    </row>
    <row r="1141" spans="5:18" ht="30" x14ac:dyDescent="0.25">
      <c r="E1141" s="10" t="s">
        <v>1304</v>
      </c>
      <c r="F1141" s="10">
        <v>1</v>
      </c>
      <c r="G1141" s="2" t="s">
        <v>1655</v>
      </c>
      <c r="J1141" s="5"/>
    </row>
    <row r="1142" spans="5:18" ht="30" x14ac:dyDescent="0.25">
      <c r="F1142" s="10">
        <v>2</v>
      </c>
      <c r="H1142" s="2" t="s">
        <v>1303</v>
      </c>
      <c r="I1142" s="2" t="s">
        <v>30</v>
      </c>
      <c r="J1142" s="5">
        <v>40217</v>
      </c>
      <c r="K1142" s="3">
        <v>40254</v>
      </c>
      <c r="L1142" s="7" t="s">
        <v>474</v>
      </c>
      <c r="N1142" s="2" t="s">
        <v>974</v>
      </c>
    </row>
    <row r="1143" spans="5:18" ht="60" x14ac:dyDescent="0.25">
      <c r="F1143" s="10">
        <v>3</v>
      </c>
      <c r="H1143" s="2" t="s">
        <v>1302</v>
      </c>
      <c r="I1143" s="2" t="s">
        <v>29</v>
      </c>
      <c r="J1143" s="5">
        <v>40217</v>
      </c>
      <c r="K1143" s="3">
        <v>40254</v>
      </c>
      <c r="L1143" s="7" t="s">
        <v>474</v>
      </c>
      <c r="N1143" s="2" t="s">
        <v>974</v>
      </c>
      <c r="O1143" s="2" t="s">
        <v>2004</v>
      </c>
      <c r="P1143" s="2" t="s">
        <v>977</v>
      </c>
      <c r="Q1143" s="2" t="s">
        <v>986</v>
      </c>
      <c r="R1143" s="2" t="s">
        <v>2223</v>
      </c>
    </row>
    <row r="1144" spans="5:18" ht="45" x14ac:dyDescent="0.25">
      <c r="J1144" s="5"/>
      <c r="K1144" s="3"/>
      <c r="L1144" s="3"/>
      <c r="N1144" s="2" t="s">
        <v>974</v>
      </c>
      <c r="O1144" s="2" t="s">
        <v>1606</v>
      </c>
      <c r="P1144" s="7" t="s">
        <v>980</v>
      </c>
      <c r="Q1144" s="2" t="s">
        <v>540</v>
      </c>
    </row>
    <row r="1145" spans="5:18" ht="45" x14ac:dyDescent="0.25">
      <c r="F1145" s="10">
        <v>4</v>
      </c>
      <c r="H1145" s="2" t="s">
        <v>1657</v>
      </c>
      <c r="I1145" s="2" t="s">
        <v>29</v>
      </c>
      <c r="J1145" s="5">
        <v>40217</v>
      </c>
      <c r="K1145" s="3">
        <v>40254</v>
      </c>
      <c r="L1145" s="7" t="s">
        <v>474</v>
      </c>
      <c r="N1145" s="2" t="s">
        <v>974</v>
      </c>
      <c r="O1145" s="2" t="s">
        <v>1658</v>
      </c>
      <c r="P1145" s="2" t="s">
        <v>980</v>
      </c>
      <c r="Q1145" s="2" t="s">
        <v>540</v>
      </c>
      <c r="R1145" s="2" t="s">
        <v>1661</v>
      </c>
    </row>
    <row r="1146" spans="5:18" ht="30" x14ac:dyDescent="0.25">
      <c r="J1146" s="5"/>
      <c r="K1146" s="3"/>
      <c r="L1146" s="3"/>
      <c r="N1146" s="2" t="s">
        <v>974</v>
      </c>
      <c r="O1146" s="2" t="s">
        <v>1659</v>
      </c>
      <c r="P1146" s="2" t="s">
        <v>977</v>
      </c>
      <c r="Q1146" s="2" t="s">
        <v>540</v>
      </c>
    </row>
    <row r="1147" spans="5:18" ht="60" x14ac:dyDescent="0.25">
      <c r="J1147" s="5"/>
      <c r="K1147" s="3"/>
      <c r="L1147" s="3"/>
      <c r="N1147" s="2" t="s">
        <v>974</v>
      </c>
      <c r="O1147" s="2" t="s">
        <v>1660</v>
      </c>
      <c r="P1147" s="2" t="s">
        <v>980</v>
      </c>
      <c r="Q1147" s="2" t="s">
        <v>540</v>
      </c>
      <c r="R1147" s="2" t="s">
        <v>1661</v>
      </c>
    </row>
    <row r="1148" spans="5:18" ht="30" x14ac:dyDescent="0.25">
      <c r="F1148" s="10">
        <v>5</v>
      </c>
      <c r="H1148" s="2" t="s">
        <v>841</v>
      </c>
      <c r="I1148" s="2" t="s">
        <v>29</v>
      </c>
      <c r="J1148" s="5">
        <v>40221</v>
      </c>
      <c r="K1148" s="3">
        <v>40254</v>
      </c>
      <c r="L1148" s="7" t="s">
        <v>1279</v>
      </c>
      <c r="N1148" s="2" t="s">
        <v>974</v>
      </c>
    </row>
    <row r="1149" spans="5:18" ht="30" x14ac:dyDescent="0.25">
      <c r="E1149" s="10" t="s">
        <v>1656</v>
      </c>
      <c r="F1149" s="10">
        <v>1</v>
      </c>
      <c r="G1149" s="2" t="s">
        <v>1305</v>
      </c>
      <c r="J1149" s="5"/>
      <c r="K1149" s="5"/>
    </row>
    <row r="1150" spans="5:18" ht="90" x14ac:dyDescent="0.25">
      <c r="H1150" s="2" t="s">
        <v>1306</v>
      </c>
      <c r="J1150" s="5"/>
      <c r="K1150" s="3">
        <v>40254</v>
      </c>
      <c r="L1150" s="4" t="s">
        <v>474</v>
      </c>
      <c r="M1150" s="2" t="s">
        <v>1698</v>
      </c>
      <c r="N1150" s="2" t="s">
        <v>33</v>
      </c>
      <c r="O1150" s="2" t="s">
        <v>2005</v>
      </c>
    </row>
    <row r="1151" spans="5:18" x14ac:dyDescent="0.25">
      <c r="E1151" s="10" t="s">
        <v>127</v>
      </c>
      <c r="F1151" s="10">
        <v>1</v>
      </c>
      <c r="G1151" s="2" t="s">
        <v>891</v>
      </c>
      <c r="J1151" s="5"/>
      <c r="K1151" s="5"/>
    </row>
    <row r="1152" spans="5:18" ht="45" x14ac:dyDescent="0.25">
      <c r="E1152" s="2"/>
      <c r="F1152" s="10">
        <v>2</v>
      </c>
      <c r="H1152" s="2" t="s">
        <v>805</v>
      </c>
      <c r="I1152" s="2" t="s">
        <v>29</v>
      </c>
      <c r="J1152" s="5">
        <v>40220</v>
      </c>
      <c r="K1152" s="3">
        <v>40254</v>
      </c>
      <c r="L1152" s="7" t="s">
        <v>1279</v>
      </c>
      <c r="N1152" s="2" t="s">
        <v>974</v>
      </c>
      <c r="O1152" s="2" t="s">
        <v>1402</v>
      </c>
      <c r="P1152" s="2" t="s">
        <v>977</v>
      </c>
      <c r="Q1152" s="2" t="s">
        <v>540</v>
      </c>
      <c r="R1152" s="2" t="s">
        <v>2360</v>
      </c>
    </row>
    <row r="1153" spans="1:18" ht="30" x14ac:dyDescent="0.25">
      <c r="F1153" s="10">
        <v>4</v>
      </c>
      <c r="H1153" s="2" t="s">
        <v>930</v>
      </c>
      <c r="I1153" s="2" t="s">
        <v>29</v>
      </c>
      <c r="J1153" s="3">
        <v>40231</v>
      </c>
      <c r="K1153" s="3">
        <v>40254</v>
      </c>
      <c r="L1153" s="7" t="s">
        <v>1279</v>
      </c>
      <c r="N1153" s="2" t="s">
        <v>974</v>
      </c>
    </row>
    <row r="1154" spans="1:18" ht="60" x14ac:dyDescent="0.25">
      <c r="F1154" s="10">
        <v>5</v>
      </c>
      <c r="H1154" s="2" t="s">
        <v>651</v>
      </c>
      <c r="I1154" s="2" t="s">
        <v>29</v>
      </c>
      <c r="J1154" s="5">
        <v>40217</v>
      </c>
      <c r="K1154" s="3">
        <v>40254</v>
      </c>
      <c r="L1154" s="7" t="s">
        <v>1279</v>
      </c>
      <c r="N1154" s="2" t="s">
        <v>974</v>
      </c>
      <c r="O1154" s="2" t="s">
        <v>1403</v>
      </c>
      <c r="P1154" s="2" t="s">
        <v>982</v>
      </c>
      <c r="Q1154" s="2" t="s">
        <v>540</v>
      </c>
    </row>
    <row r="1155" spans="1:18" ht="60" x14ac:dyDescent="0.25">
      <c r="F1155" s="10">
        <v>6</v>
      </c>
      <c r="H1155" s="2" t="s">
        <v>2224</v>
      </c>
      <c r="I1155" s="2" t="s">
        <v>29</v>
      </c>
      <c r="J1155" s="5">
        <v>40220</v>
      </c>
      <c r="K1155" s="3">
        <v>40254</v>
      </c>
      <c r="L1155" s="7" t="s">
        <v>1279</v>
      </c>
      <c r="N1155" s="2" t="s">
        <v>974</v>
      </c>
      <c r="O1155" s="2" t="s">
        <v>1404</v>
      </c>
      <c r="P1155" s="2" t="s">
        <v>977</v>
      </c>
      <c r="Q1155" s="2" t="s">
        <v>540</v>
      </c>
      <c r="R1155" s="2" t="s">
        <v>2438</v>
      </c>
    </row>
    <row r="1156" spans="1:18" ht="45" x14ac:dyDescent="0.25">
      <c r="F1156" s="10">
        <v>8</v>
      </c>
      <c r="H1156" s="2" t="s">
        <v>806</v>
      </c>
      <c r="I1156" s="2" t="s">
        <v>29</v>
      </c>
      <c r="J1156" s="5">
        <v>40217</v>
      </c>
      <c r="K1156" s="3">
        <v>40254</v>
      </c>
      <c r="L1156" s="7" t="s">
        <v>1279</v>
      </c>
      <c r="N1156" s="2" t="s">
        <v>974</v>
      </c>
      <c r="O1156" s="2" t="s">
        <v>507</v>
      </c>
      <c r="P1156" s="2" t="s">
        <v>977</v>
      </c>
      <c r="Q1156" s="2" t="s">
        <v>540</v>
      </c>
      <c r="R1156" s="2" t="s">
        <v>2437</v>
      </c>
    </row>
    <row r="1157" spans="1:18" ht="30" x14ac:dyDescent="0.25">
      <c r="F1157" s="10">
        <v>9</v>
      </c>
      <c r="G1157" s="2" t="s">
        <v>931</v>
      </c>
      <c r="J1157" s="5"/>
    </row>
    <row r="1158" spans="1:18" x14ac:dyDescent="0.25">
      <c r="F1158" s="10">
        <v>10</v>
      </c>
      <c r="H1158" s="2" t="s">
        <v>932</v>
      </c>
      <c r="I1158" s="2" t="s">
        <v>30</v>
      </c>
      <c r="J1158" s="3">
        <v>40231</v>
      </c>
      <c r="K1158" s="3">
        <v>40254</v>
      </c>
      <c r="L1158" s="7" t="s">
        <v>1279</v>
      </c>
      <c r="N1158" s="2" t="s">
        <v>974</v>
      </c>
      <c r="O1158" s="2" t="s">
        <v>1405</v>
      </c>
      <c r="P1158" s="2" t="s">
        <v>980</v>
      </c>
      <c r="Q1158" s="2" t="s">
        <v>540</v>
      </c>
      <c r="R1158" s="2" t="s">
        <v>2712</v>
      </c>
    </row>
    <row r="1159" spans="1:18" x14ac:dyDescent="0.25">
      <c r="F1159" s="10">
        <v>11</v>
      </c>
      <c r="G1159" s="2" t="s">
        <v>933</v>
      </c>
      <c r="J1159" s="5"/>
    </row>
    <row r="1160" spans="1:18" ht="30" x14ac:dyDescent="0.25">
      <c r="F1160" s="10">
        <v>12</v>
      </c>
      <c r="H1160" s="2" t="s">
        <v>934</v>
      </c>
      <c r="I1160" s="2" t="s">
        <v>30</v>
      </c>
      <c r="J1160" s="3">
        <v>40231</v>
      </c>
      <c r="K1160" s="3">
        <v>40254</v>
      </c>
      <c r="L1160" s="7" t="s">
        <v>1279</v>
      </c>
      <c r="N1160" s="2" t="s">
        <v>974</v>
      </c>
    </row>
    <row r="1162" spans="1:18" ht="30" x14ac:dyDescent="0.25">
      <c r="A1162" s="7" t="s">
        <v>780</v>
      </c>
      <c r="B1162" s="26" t="s">
        <v>889</v>
      </c>
      <c r="C1162" s="26" t="s">
        <v>460</v>
      </c>
      <c r="D1162" s="26" t="s">
        <v>890</v>
      </c>
      <c r="E1162" s="10" t="s">
        <v>121</v>
      </c>
      <c r="F1162" s="10">
        <v>1</v>
      </c>
      <c r="G1162" s="2" t="s">
        <v>892</v>
      </c>
    </row>
    <row r="1163" spans="1:18" ht="75" x14ac:dyDescent="0.25">
      <c r="B1163" s="26"/>
      <c r="C1163" s="26"/>
      <c r="D1163" s="26"/>
      <c r="F1163" s="10">
        <v>2</v>
      </c>
      <c r="H1163" s="2" t="s">
        <v>1148</v>
      </c>
      <c r="I1163" s="2" t="s">
        <v>30</v>
      </c>
      <c r="J1163" s="5">
        <v>40259</v>
      </c>
      <c r="K1163" s="3">
        <v>40254</v>
      </c>
      <c r="L1163" s="7" t="s">
        <v>1288</v>
      </c>
      <c r="N1163" s="2" t="s">
        <v>974</v>
      </c>
    </row>
    <row r="1164" spans="1:18" ht="135" x14ac:dyDescent="0.25">
      <c r="B1164" s="26"/>
      <c r="C1164" s="26"/>
      <c r="D1164" s="26"/>
      <c r="F1164" s="10">
        <v>3</v>
      </c>
      <c r="H1164" s="2" t="s">
        <v>1156</v>
      </c>
      <c r="I1164" s="2" t="s">
        <v>33</v>
      </c>
      <c r="J1164" s="3">
        <v>40234</v>
      </c>
      <c r="K1164" s="3" t="s">
        <v>33</v>
      </c>
      <c r="L1164" s="7" t="s">
        <v>1288</v>
      </c>
      <c r="N1164" s="2" t="s">
        <v>974</v>
      </c>
    </row>
    <row r="1165" spans="1:18" ht="45" x14ac:dyDescent="0.25">
      <c r="B1165" s="26"/>
      <c r="C1165" s="26"/>
      <c r="D1165" s="26"/>
      <c r="F1165" s="10">
        <v>4</v>
      </c>
      <c r="H1165" s="7" t="s">
        <v>1147</v>
      </c>
      <c r="K1165" s="2"/>
      <c r="L1165" s="2"/>
    </row>
    <row r="1166" spans="1:18" ht="60" x14ac:dyDescent="0.25">
      <c r="B1166" s="26"/>
      <c r="C1166" s="26"/>
      <c r="D1166" s="26"/>
      <c r="F1166" s="10">
        <v>5</v>
      </c>
      <c r="H1166" s="6" t="s">
        <v>1170</v>
      </c>
      <c r="I1166" s="2" t="s">
        <v>29</v>
      </c>
      <c r="J1166" s="5">
        <v>40259</v>
      </c>
      <c r="K1166" s="3">
        <v>40254</v>
      </c>
      <c r="L1166" s="7" t="s">
        <v>1288</v>
      </c>
      <c r="N1166" s="2" t="s">
        <v>974</v>
      </c>
      <c r="O1166" s="2" t="s">
        <v>1620</v>
      </c>
      <c r="P1166" s="2" t="s">
        <v>980</v>
      </c>
      <c r="Q1166" s="2" t="s">
        <v>540</v>
      </c>
      <c r="R1166" s="2" t="s">
        <v>1775</v>
      </c>
    </row>
    <row r="1167" spans="1:18" x14ac:dyDescent="0.25">
      <c r="B1167" s="26"/>
      <c r="C1167" s="26"/>
      <c r="D1167" s="26"/>
      <c r="F1167" s="10">
        <v>6</v>
      </c>
      <c r="H1167" s="6" t="s">
        <v>1149</v>
      </c>
      <c r="I1167" s="2" t="s">
        <v>30</v>
      </c>
      <c r="J1167" s="5">
        <v>40259</v>
      </c>
      <c r="K1167" s="3">
        <v>40254</v>
      </c>
      <c r="L1167" s="7" t="s">
        <v>1288</v>
      </c>
      <c r="N1167" s="2" t="s">
        <v>974</v>
      </c>
      <c r="O1167" s="2" t="s">
        <v>1595</v>
      </c>
    </row>
    <row r="1168" spans="1:18" ht="90" x14ac:dyDescent="0.25">
      <c r="B1168" s="26"/>
      <c r="C1168" s="26"/>
      <c r="D1168" s="26"/>
      <c r="F1168" s="10">
        <v>7</v>
      </c>
      <c r="H1168" s="6" t="s">
        <v>1171</v>
      </c>
      <c r="I1168" s="2" t="s">
        <v>30</v>
      </c>
      <c r="J1168" s="5">
        <v>40259</v>
      </c>
      <c r="K1168" s="3">
        <v>40254</v>
      </c>
      <c r="L1168" s="7" t="s">
        <v>1288</v>
      </c>
      <c r="N1168" s="2" t="s">
        <v>974</v>
      </c>
    </row>
    <row r="1169" spans="1:18" ht="75" x14ac:dyDescent="0.25">
      <c r="B1169" s="26"/>
      <c r="C1169" s="26"/>
      <c r="D1169" s="26"/>
      <c r="F1169" s="10">
        <v>8</v>
      </c>
      <c r="H1169" s="36" t="s">
        <v>1172</v>
      </c>
      <c r="I1169" s="2" t="s">
        <v>30</v>
      </c>
      <c r="J1169" s="5">
        <v>40259</v>
      </c>
      <c r="K1169" s="3">
        <v>40254</v>
      </c>
      <c r="L1169" s="7" t="s">
        <v>1288</v>
      </c>
      <c r="N1169" s="2" t="s">
        <v>974</v>
      </c>
    </row>
    <row r="1170" spans="1:18" ht="75" x14ac:dyDescent="0.25">
      <c r="B1170" s="26"/>
      <c r="C1170" s="26"/>
      <c r="D1170" s="26"/>
      <c r="F1170" s="10">
        <v>9</v>
      </c>
      <c r="H1170" s="7" t="s">
        <v>1150</v>
      </c>
      <c r="I1170" s="2" t="s">
        <v>29</v>
      </c>
      <c r="J1170" s="5">
        <v>40259</v>
      </c>
      <c r="K1170" s="3">
        <v>40254</v>
      </c>
      <c r="L1170" s="7" t="s">
        <v>1288</v>
      </c>
      <c r="N1170" s="2" t="s">
        <v>974</v>
      </c>
      <c r="O1170" s="2" t="s">
        <v>1452</v>
      </c>
      <c r="P1170" s="2" t="s">
        <v>977</v>
      </c>
      <c r="Q1170" s="2" t="s">
        <v>540</v>
      </c>
    </row>
    <row r="1171" spans="1:18" ht="30" x14ac:dyDescent="0.25">
      <c r="B1171" s="26"/>
      <c r="C1171" s="26"/>
      <c r="D1171" s="26"/>
      <c r="F1171" s="10">
        <v>10</v>
      </c>
      <c r="H1171" s="2" t="s">
        <v>1173</v>
      </c>
      <c r="I1171" s="2" t="s">
        <v>29</v>
      </c>
      <c r="J1171" s="5">
        <v>40259</v>
      </c>
      <c r="K1171" s="3">
        <v>40254</v>
      </c>
      <c r="L1171" s="7" t="s">
        <v>1288</v>
      </c>
      <c r="N1171" s="2" t="s">
        <v>974</v>
      </c>
    </row>
    <row r="1172" spans="1:18" ht="60" x14ac:dyDescent="0.25">
      <c r="B1172" s="26"/>
      <c r="C1172" s="26"/>
      <c r="D1172" s="26"/>
      <c r="F1172" s="10">
        <v>11</v>
      </c>
      <c r="H1172" s="2" t="s">
        <v>1174</v>
      </c>
      <c r="I1172" s="2" t="s">
        <v>30</v>
      </c>
      <c r="J1172" s="5">
        <v>40259</v>
      </c>
      <c r="K1172" s="3">
        <v>40254</v>
      </c>
      <c r="L1172" s="7" t="s">
        <v>1288</v>
      </c>
      <c r="N1172" s="2" t="s">
        <v>974</v>
      </c>
      <c r="O1172" s="2" t="s">
        <v>1453</v>
      </c>
      <c r="P1172" s="2" t="s">
        <v>977</v>
      </c>
      <c r="Q1172" s="2" t="s">
        <v>540</v>
      </c>
    </row>
    <row r="1173" spans="1:18" ht="105" x14ac:dyDescent="0.25">
      <c r="B1173" s="26"/>
      <c r="C1173" s="26"/>
      <c r="D1173" s="26"/>
      <c r="F1173" s="10">
        <v>12</v>
      </c>
      <c r="H1173" s="2" t="s">
        <v>1175</v>
      </c>
      <c r="I1173" s="2" t="s">
        <v>30</v>
      </c>
      <c r="J1173" s="5">
        <v>40259</v>
      </c>
      <c r="K1173" s="4"/>
      <c r="L1173" s="7" t="s">
        <v>1288</v>
      </c>
      <c r="N1173" s="2" t="s">
        <v>974</v>
      </c>
      <c r="O1173" s="2" t="s">
        <v>1454</v>
      </c>
      <c r="P1173" s="2" t="s">
        <v>980</v>
      </c>
      <c r="Q1173" s="2" t="s">
        <v>540</v>
      </c>
      <c r="R1173" s="2" t="s">
        <v>2748</v>
      </c>
    </row>
    <row r="1174" spans="1:18" ht="60" x14ac:dyDescent="0.25">
      <c r="B1174" s="26"/>
      <c r="C1174" s="26"/>
      <c r="D1174" s="26"/>
      <c r="F1174" s="10">
        <v>13</v>
      </c>
      <c r="H1174" s="2" t="s">
        <v>1176</v>
      </c>
      <c r="I1174" s="2" t="s">
        <v>30</v>
      </c>
      <c r="J1174" s="5" t="s">
        <v>33</v>
      </c>
      <c r="K1174" s="5" t="s">
        <v>33</v>
      </c>
      <c r="L1174" s="7" t="s">
        <v>1288</v>
      </c>
      <c r="N1174" s="2" t="s">
        <v>974</v>
      </c>
    </row>
    <row r="1176" spans="1:18" ht="60" x14ac:dyDescent="0.25">
      <c r="A1176" s="19" t="s">
        <v>1031</v>
      </c>
      <c r="B1176" s="19" t="s">
        <v>1168</v>
      </c>
      <c r="C1176" s="7" t="s">
        <v>1059</v>
      </c>
      <c r="D1176" s="19" t="s">
        <v>1169</v>
      </c>
      <c r="E1176" s="10" t="s">
        <v>121</v>
      </c>
      <c r="F1176" s="10">
        <v>1</v>
      </c>
      <c r="G1176" s="2" t="s">
        <v>1177</v>
      </c>
    </row>
    <row r="1177" spans="1:18" ht="75" x14ac:dyDescent="0.25">
      <c r="A1177" s="19"/>
      <c r="B1177" s="19"/>
      <c r="D1177" s="19"/>
      <c r="H1177" s="2" t="s">
        <v>1178</v>
      </c>
      <c r="J1177" s="3">
        <v>40294</v>
      </c>
      <c r="K1177" s="4"/>
      <c r="L1177" s="4"/>
      <c r="N1177" s="2" t="s">
        <v>974</v>
      </c>
      <c r="O1177" s="2" t="s">
        <v>1455</v>
      </c>
      <c r="P1177" s="2" t="s">
        <v>982</v>
      </c>
      <c r="Q1177" s="2" t="s">
        <v>540</v>
      </c>
      <c r="R1177" s="2" t="s">
        <v>1775</v>
      </c>
    </row>
    <row r="1179" spans="1:18" x14ac:dyDescent="0.25">
      <c r="A1179" s="7" t="s">
        <v>781</v>
      </c>
      <c r="B1179" s="26" t="s">
        <v>893</v>
      </c>
      <c r="C1179" s="26" t="s">
        <v>39</v>
      </c>
      <c r="D1179" s="26" t="s">
        <v>896</v>
      </c>
      <c r="E1179" s="10" t="s">
        <v>121</v>
      </c>
      <c r="F1179" s="10">
        <v>1</v>
      </c>
      <c r="G1179" s="2" t="s">
        <v>810</v>
      </c>
    </row>
    <row r="1180" spans="1:18" ht="180" x14ac:dyDescent="0.25">
      <c r="B1180" s="26"/>
      <c r="C1180" s="26"/>
      <c r="D1180" s="26"/>
      <c r="F1180" s="10">
        <v>2</v>
      </c>
      <c r="H1180" s="2" t="s">
        <v>484</v>
      </c>
      <c r="I1180" s="2" t="s">
        <v>29</v>
      </c>
      <c r="J1180" s="5">
        <v>40220</v>
      </c>
      <c r="K1180" s="3">
        <v>40254</v>
      </c>
      <c r="L1180" s="4"/>
      <c r="N1180" s="2" t="s">
        <v>974</v>
      </c>
      <c r="O1180" s="2" t="s">
        <v>1721</v>
      </c>
      <c r="P1180" s="2" t="s">
        <v>977</v>
      </c>
      <c r="Q1180" s="2" t="s">
        <v>540</v>
      </c>
      <c r="R1180" s="2" t="s">
        <v>2791</v>
      </c>
    </row>
    <row r="1181" spans="1:18" ht="60" x14ac:dyDescent="0.25">
      <c r="B1181" s="26"/>
      <c r="C1181" s="26"/>
      <c r="D1181" s="26"/>
      <c r="J1181" s="5"/>
      <c r="N1181" s="2" t="s">
        <v>974</v>
      </c>
      <c r="O1181" s="2" t="s">
        <v>1720</v>
      </c>
      <c r="P1181" s="2" t="s">
        <v>977</v>
      </c>
      <c r="Q1181" s="2" t="s">
        <v>540</v>
      </c>
    </row>
    <row r="1182" spans="1:18" ht="75" x14ac:dyDescent="0.25">
      <c r="B1182" s="26"/>
      <c r="C1182" s="26"/>
      <c r="D1182" s="26"/>
      <c r="J1182" s="5"/>
      <c r="N1182" s="2" t="s">
        <v>974</v>
      </c>
      <c r="O1182" s="2" t="s">
        <v>1722</v>
      </c>
      <c r="P1182" s="2" t="s">
        <v>977</v>
      </c>
      <c r="Q1182" s="2" t="s">
        <v>540</v>
      </c>
      <c r="R1182" s="2" t="s">
        <v>1723</v>
      </c>
    </row>
    <row r="1183" spans="1:18" ht="30" x14ac:dyDescent="0.25">
      <c r="B1183" s="26"/>
      <c r="C1183" s="26"/>
      <c r="D1183" s="26"/>
      <c r="F1183" s="10">
        <v>3</v>
      </c>
      <c r="G1183" s="2" t="s">
        <v>917</v>
      </c>
    </row>
    <row r="1184" spans="1:18" x14ac:dyDescent="0.25">
      <c r="B1184" s="26"/>
      <c r="C1184" s="26"/>
      <c r="D1184" s="26"/>
      <c r="F1184" s="10">
        <v>4</v>
      </c>
      <c r="G1184" s="2" t="s">
        <v>897</v>
      </c>
    </row>
    <row r="1185" spans="2:18" ht="30" x14ac:dyDescent="0.25">
      <c r="B1185" s="26"/>
      <c r="C1185" s="26"/>
      <c r="D1185" s="26"/>
      <c r="F1185" s="10">
        <v>5</v>
      </c>
      <c r="H1185" s="2" t="s">
        <v>918</v>
      </c>
      <c r="I1185" s="2" t="s">
        <v>30</v>
      </c>
      <c r="J1185" s="5">
        <v>40220</v>
      </c>
      <c r="K1185" s="3">
        <v>40254</v>
      </c>
      <c r="L1185" s="7" t="s">
        <v>1279</v>
      </c>
      <c r="N1185" s="2" t="s">
        <v>974</v>
      </c>
    </row>
    <row r="1186" spans="2:18" ht="30" x14ac:dyDescent="0.25">
      <c r="B1186" s="26"/>
      <c r="C1186" s="26"/>
      <c r="D1186" s="26"/>
      <c r="F1186" s="10">
        <v>6</v>
      </c>
      <c r="H1186" s="2" t="s">
        <v>919</v>
      </c>
      <c r="I1186" s="2" t="s">
        <v>30</v>
      </c>
      <c r="J1186" s="5">
        <v>40220</v>
      </c>
      <c r="K1186" s="3">
        <v>40254</v>
      </c>
      <c r="L1186" s="7" t="s">
        <v>1279</v>
      </c>
      <c r="N1186" s="2" t="s">
        <v>974</v>
      </c>
    </row>
    <row r="1187" spans="2:18" x14ac:dyDescent="0.25">
      <c r="B1187" s="26"/>
      <c r="C1187" s="26"/>
      <c r="D1187" s="26"/>
      <c r="F1187" s="10">
        <v>7</v>
      </c>
      <c r="H1187" s="2" t="s">
        <v>898</v>
      </c>
      <c r="I1187" s="2" t="s">
        <v>29</v>
      </c>
      <c r="J1187" s="5">
        <v>40220</v>
      </c>
      <c r="K1187" s="3">
        <v>40254</v>
      </c>
      <c r="L1187" s="7" t="s">
        <v>1279</v>
      </c>
      <c r="N1187" s="2" t="s">
        <v>974</v>
      </c>
    </row>
    <row r="1188" spans="2:18" ht="45" x14ac:dyDescent="0.25">
      <c r="F1188" s="10">
        <v>8</v>
      </c>
      <c r="H1188" s="2" t="s">
        <v>904</v>
      </c>
      <c r="I1188" s="2" t="s">
        <v>29</v>
      </c>
      <c r="J1188" s="5">
        <v>40220</v>
      </c>
      <c r="K1188" s="3">
        <v>40254</v>
      </c>
      <c r="L1188" s="7" t="s">
        <v>1279</v>
      </c>
      <c r="N1188" s="2" t="s">
        <v>974</v>
      </c>
    </row>
    <row r="1189" spans="2:18" ht="45" x14ac:dyDescent="0.25">
      <c r="F1189" s="10">
        <v>9</v>
      </c>
      <c r="H1189" s="2" t="s">
        <v>734</v>
      </c>
      <c r="I1189" s="2" t="s">
        <v>29</v>
      </c>
      <c r="J1189" s="5">
        <v>40220</v>
      </c>
      <c r="K1189" s="3">
        <v>40254</v>
      </c>
      <c r="L1189" s="7" t="s">
        <v>1279</v>
      </c>
      <c r="N1189" s="2" t="s">
        <v>974</v>
      </c>
      <c r="O1189" s="2" t="s">
        <v>482</v>
      </c>
      <c r="P1189" s="2" t="s">
        <v>982</v>
      </c>
      <c r="Q1189" s="2" t="s">
        <v>986</v>
      </c>
      <c r="R1189" s="2" t="s">
        <v>2735</v>
      </c>
    </row>
    <row r="1190" spans="2:18" x14ac:dyDescent="0.25">
      <c r="B1190" s="26"/>
      <c r="C1190" s="26"/>
      <c r="D1190" s="26"/>
      <c r="E1190" s="10" t="s">
        <v>767</v>
      </c>
      <c r="F1190" s="10">
        <v>1</v>
      </c>
      <c r="G1190" s="2" t="s">
        <v>920</v>
      </c>
    </row>
    <row r="1191" spans="2:18" ht="30" x14ac:dyDescent="0.25">
      <c r="B1191" s="26"/>
      <c r="C1191" s="26"/>
      <c r="D1191" s="26"/>
      <c r="F1191" s="10">
        <v>2</v>
      </c>
      <c r="H1191" s="2" t="s">
        <v>899</v>
      </c>
      <c r="I1191" s="2" t="s">
        <v>30</v>
      </c>
      <c r="J1191" s="5">
        <v>40220</v>
      </c>
      <c r="K1191" s="3" t="s">
        <v>33</v>
      </c>
      <c r="L1191" s="7" t="s">
        <v>1279</v>
      </c>
      <c r="N1191" s="2" t="s">
        <v>974</v>
      </c>
    </row>
    <row r="1192" spans="2:18" ht="90" x14ac:dyDescent="0.25">
      <c r="B1192" s="26"/>
      <c r="C1192" s="26"/>
      <c r="D1192" s="26"/>
      <c r="F1192" s="10">
        <v>3</v>
      </c>
      <c r="H1192" s="2" t="s">
        <v>921</v>
      </c>
      <c r="I1192" s="2" t="s">
        <v>30</v>
      </c>
      <c r="J1192" s="5">
        <v>40220</v>
      </c>
      <c r="K1192" s="3" t="s">
        <v>33</v>
      </c>
      <c r="L1192" s="7" t="s">
        <v>1279</v>
      </c>
      <c r="N1192" s="2" t="s">
        <v>974</v>
      </c>
      <c r="O1192" s="2" t="s">
        <v>1724</v>
      </c>
      <c r="P1192" s="2" t="s">
        <v>977</v>
      </c>
      <c r="Q1192" s="2" t="s">
        <v>540</v>
      </c>
      <c r="R1192" s="2" t="s">
        <v>14</v>
      </c>
    </row>
    <row r="1193" spans="2:18" x14ac:dyDescent="0.25">
      <c r="B1193" s="26"/>
      <c r="C1193" s="26"/>
      <c r="D1193" s="26"/>
      <c r="E1193" s="10" t="s">
        <v>489</v>
      </c>
      <c r="F1193" s="10">
        <v>1</v>
      </c>
      <c r="G1193" s="2" t="s">
        <v>490</v>
      </c>
      <c r="J1193" s="5"/>
      <c r="K1193" s="5"/>
    </row>
    <row r="1194" spans="2:18" ht="30" x14ac:dyDescent="0.25">
      <c r="B1194" s="26"/>
      <c r="C1194" s="26"/>
      <c r="D1194" s="26"/>
      <c r="H1194" s="2" t="s">
        <v>899</v>
      </c>
      <c r="I1194" s="2" t="s">
        <v>30</v>
      </c>
      <c r="J1194" s="3" t="s">
        <v>33</v>
      </c>
      <c r="K1194" s="3" t="s">
        <v>33</v>
      </c>
      <c r="L1194" s="4"/>
      <c r="N1194" s="2" t="s">
        <v>974</v>
      </c>
    </row>
    <row r="1195" spans="2:18" ht="45" x14ac:dyDescent="0.25">
      <c r="B1195" s="26"/>
      <c r="C1195" s="26"/>
      <c r="D1195" s="26"/>
      <c r="H1195" s="2" t="s">
        <v>1987</v>
      </c>
      <c r="I1195" s="2" t="s">
        <v>30</v>
      </c>
      <c r="J1195" s="3" t="s">
        <v>33</v>
      </c>
      <c r="K1195" s="3" t="s">
        <v>33</v>
      </c>
      <c r="L1195" s="4"/>
      <c r="N1195" s="2" t="s">
        <v>974</v>
      </c>
      <c r="O1195" s="2" t="s">
        <v>491</v>
      </c>
      <c r="P1195" s="2" t="s">
        <v>980</v>
      </c>
      <c r="Q1195" s="2" t="s">
        <v>540</v>
      </c>
      <c r="R1195" s="2" t="s">
        <v>14</v>
      </c>
    </row>
    <row r="1196" spans="2:18" ht="30" x14ac:dyDescent="0.25">
      <c r="B1196" s="26"/>
      <c r="C1196" s="26"/>
      <c r="D1196" s="26"/>
      <c r="E1196" s="10" t="s">
        <v>771</v>
      </c>
      <c r="F1196" s="10">
        <v>1</v>
      </c>
      <c r="G1196" s="2" t="s">
        <v>900</v>
      </c>
    </row>
    <row r="1197" spans="2:18" ht="30" x14ac:dyDescent="0.25">
      <c r="B1197" s="26"/>
      <c r="C1197" s="26"/>
      <c r="D1197" s="26"/>
      <c r="F1197" s="10">
        <v>2</v>
      </c>
      <c r="H1197" s="2" t="s">
        <v>899</v>
      </c>
      <c r="I1197" s="2" t="s">
        <v>30</v>
      </c>
      <c r="J1197" s="5">
        <v>40220</v>
      </c>
      <c r="K1197" s="3" t="s">
        <v>33</v>
      </c>
      <c r="L1197" s="7" t="s">
        <v>1279</v>
      </c>
      <c r="N1197" s="2" t="s">
        <v>974</v>
      </c>
    </row>
    <row r="1198" spans="2:18" ht="105" x14ac:dyDescent="0.25">
      <c r="B1198" s="26"/>
      <c r="C1198" s="26"/>
      <c r="D1198" s="26"/>
      <c r="F1198" s="10">
        <v>3</v>
      </c>
      <c r="H1198" s="2" t="s">
        <v>901</v>
      </c>
      <c r="I1198" s="2" t="s">
        <v>30</v>
      </c>
      <c r="J1198" s="5">
        <v>40220</v>
      </c>
      <c r="K1198" s="3" t="s">
        <v>33</v>
      </c>
      <c r="L1198" s="7" t="s">
        <v>1279</v>
      </c>
      <c r="N1198" s="2" t="s">
        <v>974</v>
      </c>
      <c r="O1198" s="2" t="s">
        <v>483</v>
      </c>
      <c r="P1198" s="2" t="s">
        <v>977</v>
      </c>
      <c r="Q1198" s="2" t="s">
        <v>540</v>
      </c>
      <c r="R1198" s="2" t="s">
        <v>2792</v>
      </c>
    </row>
    <row r="1199" spans="2:18" ht="30" x14ac:dyDescent="0.25">
      <c r="B1199" s="26"/>
      <c r="C1199" s="26"/>
      <c r="D1199" s="26"/>
      <c r="E1199" s="10" t="s">
        <v>492</v>
      </c>
      <c r="F1199" s="10">
        <v>1</v>
      </c>
      <c r="G1199" s="2" t="s">
        <v>493</v>
      </c>
      <c r="J1199" s="5"/>
      <c r="K1199" s="5"/>
      <c r="N1199" s="2" t="s">
        <v>974</v>
      </c>
    </row>
    <row r="1200" spans="2:18" ht="30" x14ac:dyDescent="0.25">
      <c r="B1200" s="26"/>
      <c r="C1200" s="26"/>
      <c r="D1200" s="26"/>
      <c r="F1200" s="10">
        <v>2</v>
      </c>
      <c r="H1200" s="2" t="s">
        <v>899</v>
      </c>
      <c r="I1200" s="2" t="s">
        <v>30</v>
      </c>
      <c r="J1200" s="3" t="s">
        <v>33</v>
      </c>
      <c r="K1200" s="3" t="s">
        <v>33</v>
      </c>
      <c r="L1200" s="4"/>
      <c r="N1200" s="2" t="s">
        <v>974</v>
      </c>
    </row>
    <row r="1201" spans="1:18" ht="45" x14ac:dyDescent="0.25">
      <c r="B1201" s="26"/>
      <c r="C1201" s="26"/>
      <c r="D1201" s="26"/>
      <c r="F1201" s="10">
        <v>3</v>
      </c>
      <c r="H1201" s="2" t="s">
        <v>1988</v>
      </c>
      <c r="I1201" s="2" t="s">
        <v>30</v>
      </c>
      <c r="J1201" s="3" t="s">
        <v>33</v>
      </c>
      <c r="K1201" s="3" t="s">
        <v>33</v>
      </c>
      <c r="L1201" s="4"/>
      <c r="N1201" s="2" t="s">
        <v>974</v>
      </c>
      <c r="O1201" s="2" t="s">
        <v>494</v>
      </c>
      <c r="P1201" s="2" t="s">
        <v>980</v>
      </c>
      <c r="Q1201" s="2" t="s">
        <v>540</v>
      </c>
      <c r="R1201" s="2" t="s">
        <v>14</v>
      </c>
    </row>
    <row r="1202" spans="1:18" x14ac:dyDescent="0.25">
      <c r="B1202" s="26"/>
      <c r="C1202" s="26"/>
      <c r="D1202" s="26"/>
    </row>
    <row r="1203" spans="1:18" ht="30" x14ac:dyDescent="0.25">
      <c r="A1203" s="7" t="s">
        <v>855</v>
      </c>
      <c r="B1203" s="26" t="s">
        <v>894</v>
      </c>
      <c r="C1203" s="26" t="s">
        <v>258</v>
      </c>
      <c r="D1203" s="26" t="s">
        <v>895</v>
      </c>
      <c r="E1203" s="10" t="s">
        <v>121</v>
      </c>
      <c r="F1203" s="10">
        <v>1</v>
      </c>
      <c r="G1203" s="7" t="s">
        <v>902</v>
      </c>
    </row>
    <row r="1204" spans="1:18" ht="30" x14ac:dyDescent="0.25">
      <c r="F1204" s="10">
        <v>2</v>
      </c>
      <c r="H1204" s="2" t="s">
        <v>903</v>
      </c>
      <c r="I1204" s="2" t="s">
        <v>29</v>
      </c>
      <c r="J1204" s="5">
        <v>40220</v>
      </c>
      <c r="K1204" s="3">
        <v>40254</v>
      </c>
      <c r="L1204" s="7" t="s">
        <v>1279</v>
      </c>
      <c r="N1204" s="2" t="s">
        <v>974</v>
      </c>
    </row>
    <row r="1206" spans="1:18" ht="30" x14ac:dyDescent="0.25">
      <c r="A1206" s="7" t="s">
        <v>779</v>
      </c>
      <c r="B1206" s="26" t="s">
        <v>804</v>
      </c>
      <c r="C1206" s="26" t="s">
        <v>39</v>
      </c>
      <c r="D1206" s="26" t="s">
        <v>3953</v>
      </c>
      <c r="E1206" s="10" t="s">
        <v>121</v>
      </c>
      <c r="F1206" s="10">
        <v>1</v>
      </c>
      <c r="G1206" s="2" t="s">
        <v>3954</v>
      </c>
      <c r="L1206" s="32" t="s">
        <v>581</v>
      </c>
    </row>
    <row r="1207" spans="1:18" ht="105" x14ac:dyDescent="0.25">
      <c r="F1207" s="10">
        <v>2</v>
      </c>
      <c r="H1207" s="2" t="s">
        <v>822</v>
      </c>
      <c r="I1207" s="2" t="s">
        <v>29</v>
      </c>
      <c r="J1207" s="5">
        <v>40220</v>
      </c>
      <c r="K1207" s="3">
        <v>40254</v>
      </c>
      <c r="L1207" s="32" t="s">
        <v>581</v>
      </c>
      <c r="N1207" s="2" t="s">
        <v>974</v>
      </c>
      <c r="O1207" s="2" t="s">
        <v>496</v>
      </c>
      <c r="P1207" s="2" t="s">
        <v>982</v>
      </c>
      <c r="Q1207" s="2" t="s">
        <v>540</v>
      </c>
      <c r="R1207" s="2" t="s">
        <v>1725</v>
      </c>
    </row>
    <row r="1208" spans="1:18" ht="45" x14ac:dyDescent="0.25">
      <c r="F1208" s="10">
        <v>3</v>
      </c>
      <c r="H1208" s="2" t="s">
        <v>910</v>
      </c>
      <c r="I1208" s="2" t="s">
        <v>29</v>
      </c>
      <c r="J1208" s="5">
        <v>40220</v>
      </c>
      <c r="K1208" s="3">
        <v>40254</v>
      </c>
      <c r="L1208" s="32" t="s">
        <v>581</v>
      </c>
      <c r="N1208" s="2" t="s">
        <v>974</v>
      </c>
      <c r="O1208" s="2" t="s">
        <v>485</v>
      </c>
      <c r="P1208" s="2" t="s">
        <v>977</v>
      </c>
      <c r="Q1208" s="2" t="s">
        <v>540</v>
      </c>
      <c r="R1208" s="2" t="s">
        <v>574</v>
      </c>
    </row>
    <row r="1209" spans="1:18" ht="60" x14ac:dyDescent="0.25">
      <c r="F1209" s="10">
        <v>4</v>
      </c>
      <c r="H1209" s="2" t="s">
        <v>911</v>
      </c>
      <c r="I1209" s="2" t="s">
        <v>29</v>
      </c>
      <c r="J1209" s="5">
        <v>40221</v>
      </c>
      <c r="K1209" s="3">
        <v>40254</v>
      </c>
      <c r="L1209" s="32" t="s">
        <v>581</v>
      </c>
      <c r="N1209" s="2" t="s">
        <v>974</v>
      </c>
    </row>
    <row r="1210" spans="1:18" ht="45" x14ac:dyDescent="0.25">
      <c r="F1210" s="10">
        <v>5</v>
      </c>
      <c r="G1210" s="2" t="s">
        <v>912</v>
      </c>
      <c r="L1210" s="32" t="s">
        <v>581</v>
      </c>
    </row>
    <row r="1211" spans="1:18" ht="30" x14ac:dyDescent="0.25">
      <c r="F1211" s="10">
        <v>6</v>
      </c>
      <c r="H1211" s="2" t="s">
        <v>823</v>
      </c>
      <c r="I1211" s="2" t="s">
        <v>29</v>
      </c>
      <c r="J1211" s="5">
        <v>40220</v>
      </c>
      <c r="K1211" s="3">
        <v>40254</v>
      </c>
      <c r="L1211" s="32" t="s">
        <v>581</v>
      </c>
      <c r="N1211" s="2" t="s">
        <v>974</v>
      </c>
    </row>
    <row r="1212" spans="1:18" ht="30" x14ac:dyDescent="0.25">
      <c r="F1212" s="10">
        <v>7</v>
      </c>
      <c r="H1212" s="2" t="s">
        <v>1280</v>
      </c>
      <c r="I1212" s="2" t="s">
        <v>29</v>
      </c>
      <c r="J1212" s="5">
        <v>40220</v>
      </c>
      <c r="K1212" s="3">
        <v>40254</v>
      </c>
      <c r="L1212" s="32" t="s">
        <v>581</v>
      </c>
      <c r="N1212" s="2" t="s">
        <v>974</v>
      </c>
    </row>
    <row r="1213" spans="1:18" ht="45" x14ac:dyDescent="0.25">
      <c r="F1213" s="10">
        <v>8</v>
      </c>
      <c r="H1213" s="2" t="s">
        <v>913</v>
      </c>
      <c r="I1213" s="2" t="s">
        <v>29</v>
      </c>
      <c r="J1213" s="5">
        <v>40220</v>
      </c>
      <c r="K1213" s="3">
        <v>40254</v>
      </c>
      <c r="L1213" s="32" t="s">
        <v>581</v>
      </c>
      <c r="N1213" s="2" t="s">
        <v>974</v>
      </c>
    </row>
    <row r="1214" spans="1:18" ht="45" x14ac:dyDescent="0.25">
      <c r="F1214" s="10">
        <v>9</v>
      </c>
      <c r="H1214" s="2" t="s">
        <v>914</v>
      </c>
      <c r="I1214" s="2" t="s">
        <v>29</v>
      </c>
      <c r="J1214" s="5">
        <v>40220</v>
      </c>
      <c r="K1214" s="3">
        <v>40254</v>
      </c>
      <c r="L1214" s="32" t="s">
        <v>581</v>
      </c>
      <c r="N1214" s="2" t="s">
        <v>974</v>
      </c>
    </row>
    <row r="1215" spans="1:18" x14ac:dyDescent="0.25">
      <c r="F1215" s="10">
        <v>10</v>
      </c>
      <c r="G1215" s="2" t="s">
        <v>824</v>
      </c>
      <c r="L1215" s="32" t="s">
        <v>581</v>
      </c>
    </row>
    <row r="1216" spans="1:18" ht="30" x14ac:dyDescent="0.25">
      <c r="F1216" s="10">
        <v>11</v>
      </c>
      <c r="H1216" s="2" t="s">
        <v>825</v>
      </c>
      <c r="I1216" s="2" t="s">
        <v>29</v>
      </c>
      <c r="J1216" s="5">
        <v>40220</v>
      </c>
      <c r="K1216" s="3">
        <v>40254</v>
      </c>
      <c r="L1216" s="32" t="s">
        <v>581</v>
      </c>
      <c r="N1216" s="2" t="s">
        <v>974</v>
      </c>
    </row>
    <row r="1217" spans="6:18" ht="45" x14ac:dyDescent="0.25">
      <c r="F1217" s="10">
        <v>12</v>
      </c>
      <c r="H1217" s="2" t="s">
        <v>814</v>
      </c>
      <c r="I1217" s="2" t="s">
        <v>29</v>
      </c>
      <c r="J1217" s="5">
        <v>40220</v>
      </c>
      <c r="K1217" s="3">
        <v>40254</v>
      </c>
      <c r="L1217" s="32" t="s">
        <v>581</v>
      </c>
      <c r="N1217" s="2" t="s">
        <v>974</v>
      </c>
    </row>
    <row r="1218" spans="6:18" x14ac:dyDescent="0.25">
      <c r="F1218" s="10">
        <v>13</v>
      </c>
      <c r="H1218" s="2" t="s">
        <v>815</v>
      </c>
      <c r="I1218" s="2" t="s">
        <v>29</v>
      </c>
      <c r="J1218" s="5">
        <v>40220</v>
      </c>
      <c r="K1218" s="3">
        <v>40254</v>
      </c>
      <c r="L1218" s="32" t="s">
        <v>581</v>
      </c>
      <c r="N1218" s="2" t="s">
        <v>974</v>
      </c>
    </row>
    <row r="1219" spans="6:18" ht="30" x14ac:dyDescent="0.25">
      <c r="F1219" s="10">
        <v>14</v>
      </c>
      <c r="G1219" s="2" t="s">
        <v>816</v>
      </c>
      <c r="L1219" s="32" t="s">
        <v>581</v>
      </c>
    </row>
    <row r="1220" spans="6:18" ht="30" x14ac:dyDescent="0.25">
      <c r="F1220" s="10">
        <v>15</v>
      </c>
      <c r="H1220" s="2" t="s">
        <v>826</v>
      </c>
      <c r="I1220" s="2" t="s">
        <v>29</v>
      </c>
      <c r="J1220" s="5">
        <v>40220</v>
      </c>
      <c r="K1220" s="3">
        <v>40254</v>
      </c>
      <c r="L1220" s="32" t="s">
        <v>581</v>
      </c>
      <c r="N1220" s="2" t="s">
        <v>974</v>
      </c>
    </row>
    <row r="1221" spans="6:18" ht="60" x14ac:dyDescent="0.25">
      <c r="F1221" s="10">
        <v>16</v>
      </c>
      <c r="H1221" s="2" t="s">
        <v>817</v>
      </c>
      <c r="I1221" s="2" t="s">
        <v>29</v>
      </c>
      <c r="J1221" s="5">
        <v>40220</v>
      </c>
      <c r="K1221" s="3">
        <v>40254</v>
      </c>
      <c r="L1221" s="32" t="s">
        <v>581</v>
      </c>
      <c r="N1221" s="2" t="s">
        <v>974</v>
      </c>
      <c r="O1221" s="2" t="s">
        <v>486</v>
      </c>
      <c r="P1221" s="2" t="s">
        <v>977</v>
      </c>
      <c r="Q1221" s="2" t="s">
        <v>540</v>
      </c>
      <c r="R1221" s="2" t="s">
        <v>574</v>
      </c>
    </row>
    <row r="1222" spans="6:18" ht="30" x14ac:dyDescent="0.25">
      <c r="F1222" s="10">
        <v>17</v>
      </c>
      <c r="G1222" s="2" t="s">
        <v>827</v>
      </c>
      <c r="L1222" s="32" t="s">
        <v>581</v>
      </c>
    </row>
    <row r="1223" spans="6:18" ht="120" x14ac:dyDescent="0.25">
      <c r="F1223" s="10">
        <v>18</v>
      </c>
      <c r="H1223" s="2" t="s">
        <v>818</v>
      </c>
      <c r="I1223" s="2" t="s">
        <v>29</v>
      </c>
      <c r="J1223" s="5">
        <v>40220</v>
      </c>
      <c r="K1223" s="3">
        <v>40254</v>
      </c>
      <c r="L1223" s="32" t="s">
        <v>581</v>
      </c>
      <c r="N1223" s="2" t="s">
        <v>974</v>
      </c>
      <c r="O1223" s="2" t="s">
        <v>495</v>
      </c>
      <c r="P1223" s="2" t="s">
        <v>977</v>
      </c>
      <c r="Q1223" s="2" t="s">
        <v>540</v>
      </c>
    </row>
    <row r="1224" spans="6:18" ht="75" x14ac:dyDescent="0.25">
      <c r="F1224" s="10">
        <v>19</v>
      </c>
      <c r="H1224" s="2" t="s">
        <v>819</v>
      </c>
      <c r="I1224" s="2" t="s">
        <v>29</v>
      </c>
      <c r="J1224" s="5">
        <v>40220</v>
      </c>
      <c r="K1224" s="3">
        <v>40254</v>
      </c>
      <c r="L1224" s="32" t="s">
        <v>581</v>
      </c>
      <c r="N1224" s="2" t="s">
        <v>974</v>
      </c>
      <c r="O1224" s="2" t="s">
        <v>488</v>
      </c>
      <c r="P1224" s="2" t="s">
        <v>977</v>
      </c>
      <c r="Q1224" s="2" t="s">
        <v>986</v>
      </c>
      <c r="R1224" s="2" t="s">
        <v>1144</v>
      </c>
    </row>
    <row r="1225" spans="6:18" ht="45" x14ac:dyDescent="0.25">
      <c r="H1225" s="2" t="s">
        <v>487</v>
      </c>
      <c r="I1225" s="2" t="s">
        <v>29</v>
      </c>
      <c r="J1225" s="5">
        <v>40220</v>
      </c>
      <c r="K1225" s="3">
        <v>40254</v>
      </c>
      <c r="L1225" s="32" t="s">
        <v>581</v>
      </c>
      <c r="N1225" s="2" t="s">
        <v>974</v>
      </c>
    </row>
    <row r="1226" spans="6:18" ht="30" x14ac:dyDescent="0.25">
      <c r="F1226" s="10">
        <v>20</v>
      </c>
      <c r="H1226" s="2" t="s">
        <v>828</v>
      </c>
      <c r="I1226" s="2" t="s">
        <v>29</v>
      </c>
      <c r="J1226" s="5">
        <v>40220</v>
      </c>
      <c r="K1226" s="3">
        <v>40254</v>
      </c>
      <c r="L1226" s="32" t="s">
        <v>581</v>
      </c>
      <c r="N1226" s="2" t="s">
        <v>974</v>
      </c>
    </row>
    <row r="1227" spans="6:18" ht="30" x14ac:dyDescent="0.25">
      <c r="F1227" s="10">
        <v>21</v>
      </c>
      <c r="H1227" s="7" t="s">
        <v>923</v>
      </c>
      <c r="I1227" s="2" t="s">
        <v>29</v>
      </c>
      <c r="J1227" s="5">
        <v>40220</v>
      </c>
      <c r="K1227" s="3">
        <v>40254</v>
      </c>
      <c r="L1227" s="32" t="s">
        <v>581</v>
      </c>
      <c r="N1227" s="2" t="s">
        <v>974</v>
      </c>
    </row>
    <row r="1228" spans="6:18" ht="30" x14ac:dyDescent="0.25">
      <c r="F1228" s="10">
        <v>22</v>
      </c>
      <c r="H1228" s="2" t="s">
        <v>820</v>
      </c>
      <c r="I1228" s="2" t="s">
        <v>29</v>
      </c>
      <c r="J1228" s="5">
        <v>40220</v>
      </c>
      <c r="K1228" s="3">
        <v>40254</v>
      </c>
      <c r="L1228" s="32" t="s">
        <v>581</v>
      </c>
      <c r="N1228" s="2" t="s">
        <v>974</v>
      </c>
    </row>
    <row r="1229" spans="6:18" ht="30" x14ac:dyDescent="0.25">
      <c r="F1229" s="10">
        <v>23</v>
      </c>
      <c r="G1229" s="2" t="s">
        <v>829</v>
      </c>
      <c r="L1229" s="32" t="s">
        <v>581</v>
      </c>
    </row>
    <row r="1230" spans="6:18" ht="30" x14ac:dyDescent="0.25">
      <c r="F1230" s="10">
        <v>24</v>
      </c>
      <c r="H1230" s="2" t="s">
        <v>830</v>
      </c>
      <c r="I1230" s="2" t="s">
        <v>29</v>
      </c>
      <c r="J1230" s="5">
        <v>40220</v>
      </c>
      <c r="K1230" s="3">
        <v>40254</v>
      </c>
      <c r="L1230" s="32" t="s">
        <v>581</v>
      </c>
      <c r="N1230" s="2" t="s">
        <v>974</v>
      </c>
    </row>
    <row r="1231" spans="6:18" ht="75" x14ac:dyDescent="0.25">
      <c r="F1231" s="10">
        <v>25</v>
      </c>
      <c r="H1231" s="2" t="s">
        <v>915</v>
      </c>
      <c r="I1231" s="2" t="s">
        <v>29</v>
      </c>
      <c r="J1231" s="5">
        <v>40220</v>
      </c>
      <c r="K1231" s="3">
        <v>40254</v>
      </c>
      <c r="L1231" s="32" t="s">
        <v>581</v>
      </c>
      <c r="N1231" s="2" t="s">
        <v>974</v>
      </c>
    </row>
    <row r="1232" spans="6:18" x14ac:dyDescent="0.25">
      <c r="F1232" s="10">
        <v>26</v>
      </c>
      <c r="G1232" s="2" t="s">
        <v>832</v>
      </c>
      <c r="L1232" s="32" t="s">
        <v>581</v>
      </c>
    </row>
    <row r="1233" spans="5:18" ht="60" x14ac:dyDescent="0.25">
      <c r="F1233" s="10">
        <v>27</v>
      </c>
      <c r="H1233" s="2" t="s">
        <v>831</v>
      </c>
      <c r="I1233" s="2" t="s">
        <v>29</v>
      </c>
      <c r="J1233" s="5">
        <v>40220</v>
      </c>
      <c r="K1233" s="3">
        <v>40254</v>
      </c>
      <c r="L1233" s="32" t="s">
        <v>581</v>
      </c>
      <c r="N1233" s="2" t="s">
        <v>974</v>
      </c>
      <c r="O1233" s="2" t="s">
        <v>576</v>
      </c>
      <c r="P1233" s="2" t="s">
        <v>982</v>
      </c>
      <c r="Q1233" s="2" t="s">
        <v>540</v>
      </c>
    </row>
    <row r="1234" spans="5:18" ht="126" customHeight="1" x14ac:dyDescent="0.25">
      <c r="J1234" s="5"/>
      <c r="K1234" s="5"/>
      <c r="L1234" s="32" t="s">
        <v>581</v>
      </c>
      <c r="N1234" s="2" t="s">
        <v>974</v>
      </c>
      <c r="O1234" s="2" t="s">
        <v>575</v>
      </c>
      <c r="P1234" s="2" t="s">
        <v>980</v>
      </c>
      <c r="Q1234" s="2" t="s">
        <v>540</v>
      </c>
      <c r="R1234" s="2" t="s">
        <v>2790</v>
      </c>
    </row>
    <row r="1235" spans="5:18" ht="75" x14ac:dyDescent="0.25">
      <c r="J1235" s="5"/>
      <c r="K1235" s="5"/>
      <c r="L1235" s="32" t="s">
        <v>581</v>
      </c>
      <c r="N1235" s="2" t="s">
        <v>974</v>
      </c>
      <c r="O1235" s="2" t="s">
        <v>578</v>
      </c>
      <c r="P1235" s="2" t="s">
        <v>980</v>
      </c>
      <c r="Q1235" s="2" t="s">
        <v>540</v>
      </c>
    </row>
    <row r="1236" spans="5:18" ht="30" x14ac:dyDescent="0.25">
      <c r="F1236" s="10">
        <v>28</v>
      </c>
      <c r="H1236" s="2" t="s">
        <v>821</v>
      </c>
      <c r="I1236" s="2" t="s">
        <v>29</v>
      </c>
      <c r="J1236" s="5">
        <v>40220</v>
      </c>
      <c r="K1236" s="3">
        <v>40254</v>
      </c>
      <c r="L1236" s="32" t="s">
        <v>581</v>
      </c>
      <c r="N1236" s="2" t="s">
        <v>974</v>
      </c>
    </row>
    <row r="1237" spans="5:18" ht="30" x14ac:dyDescent="0.25">
      <c r="F1237" s="10">
        <v>29</v>
      </c>
      <c r="H1237" s="2" t="s">
        <v>916</v>
      </c>
      <c r="I1237" s="2" t="s">
        <v>29</v>
      </c>
      <c r="J1237" s="5">
        <v>40220</v>
      </c>
      <c r="K1237" s="3">
        <v>40254</v>
      </c>
      <c r="L1237" s="32" t="s">
        <v>581</v>
      </c>
      <c r="N1237" s="2" t="s">
        <v>974</v>
      </c>
    </row>
    <row r="1238" spans="5:18" ht="30" x14ac:dyDescent="0.25">
      <c r="F1238" s="10">
        <v>30</v>
      </c>
      <c r="H1238" s="2" t="s">
        <v>833</v>
      </c>
      <c r="I1238" s="2" t="s">
        <v>29</v>
      </c>
      <c r="J1238" s="5">
        <v>40220</v>
      </c>
      <c r="K1238" s="3">
        <v>40254</v>
      </c>
      <c r="L1238" s="32" t="s">
        <v>581</v>
      </c>
      <c r="N1238" s="2" t="s">
        <v>974</v>
      </c>
    </row>
    <row r="1239" spans="5:18" ht="30" x14ac:dyDescent="0.25">
      <c r="F1239" s="10">
        <v>31</v>
      </c>
      <c r="H1239" s="2" t="s">
        <v>577</v>
      </c>
      <c r="I1239" s="2" t="s">
        <v>30</v>
      </c>
      <c r="J1239" s="5" t="s">
        <v>33</v>
      </c>
      <c r="K1239" s="5" t="s">
        <v>33</v>
      </c>
      <c r="L1239" s="32" t="s">
        <v>581</v>
      </c>
      <c r="N1239" s="2" t="s">
        <v>974</v>
      </c>
      <c r="O1239" s="2" t="s">
        <v>1145</v>
      </c>
      <c r="Q1239" s="2" t="s">
        <v>540</v>
      </c>
    </row>
    <row r="1240" spans="5:18" ht="30" x14ac:dyDescent="0.25">
      <c r="E1240" s="10" t="s">
        <v>590</v>
      </c>
      <c r="F1240" s="10">
        <v>1</v>
      </c>
      <c r="G1240" s="2" t="s">
        <v>1281</v>
      </c>
      <c r="L1240" s="32" t="s">
        <v>581</v>
      </c>
    </row>
    <row r="1241" spans="5:18" ht="30" x14ac:dyDescent="0.25">
      <c r="F1241" s="10">
        <v>2</v>
      </c>
      <c r="H1241" s="2" t="s">
        <v>1282</v>
      </c>
      <c r="I1241" s="2" t="s">
        <v>29</v>
      </c>
      <c r="J1241" s="5">
        <v>40220</v>
      </c>
      <c r="K1241" s="4"/>
      <c r="L1241" s="32" t="s">
        <v>581</v>
      </c>
      <c r="N1241" s="2" t="s">
        <v>974</v>
      </c>
    </row>
    <row r="1242" spans="5:18" ht="105" x14ac:dyDescent="0.25">
      <c r="F1242" s="10">
        <v>3</v>
      </c>
      <c r="H1242" s="2" t="s">
        <v>497</v>
      </c>
      <c r="I1242" s="2" t="s">
        <v>29</v>
      </c>
      <c r="J1242" s="5">
        <v>40220</v>
      </c>
      <c r="K1242" s="4"/>
      <c r="L1242" s="32" t="s">
        <v>581</v>
      </c>
      <c r="N1242" s="2" t="s">
        <v>974</v>
      </c>
      <c r="O1242" s="2" t="s">
        <v>501</v>
      </c>
      <c r="P1242" s="2" t="s">
        <v>980</v>
      </c>
      <c r="Q1242" s="2" t="s">
        <v>540</v>
      </c>
      <c r="R1242" s="2" t="s">
        <v>2716</v>
      </c>
    </row>
    <row r="1243" spans="5:18" x14ac:dyDescent="0.25">
      <c r="F1243" s="10">
        <v>4</v>
      </c>
      <c r="H1243" s="2" t="s">
        <v>834</v>
      </c>
      <c r="I1243" s="2" t="s">
        <v>29</v>
      </c>
      <c r="J1243" s="5">
        <v>40220</v>
      </c>
      <c r="K1243" s="4"/>
      <c r="L1243" s="32" t="s">
        <v>581</v>
      </c>
      <c r="N1243" s="2" t="s">
        <v>974</v>
      </c>
    </row>
    <row r="1244" spans="5:18" ht="30" x14ac:dyDescent="0.25">
      <c r="E1244" s="10" t="s">
        <v>374</v>
      </c>
      <c r="F1244" s="10">
        <v>1</v>
      </c>
      <c r="G1244" s="2" t="s">
        <v>1283</v>
      </c>
      <c r="J1244" s="5"/>
      <c r="K1244" s="5"/>
      <c r="L1244" s="32" t="s">
        <v>581</v>
      </c>
    </row>
    <row r="1245" spans="5:18" ht="30" x14ac:dyDescent="0.25">
      <c r="F1245" s="10">
        <v>2</v>
      </c>
      <c r="H1245" s="2" t="s">
        <v>823</v>
      </c>
      <c r="I1245" s="2" t="s">
        <v>29</v>
      </c>
      <c r="J1245" s="5">
        <v>40220</v>
      </c>
      <c r="K1245" s="4"/>
      <c r="L1245" s="32" t="s">
        <v>581</v>
      </c>
      <c r="N1245" s="2" t="s">
        <v>974</v>
      </c>
    </row>
    <row r="1246" spans="5:18" ht="45" x14ac:dyDescent="0.25">
      <c r="F1246" s="10">
        <v>3</v>
      </c>
      <c r="H1246" s="2" t="s">
        <v>836</v>
      </c>
      <c r="I1246" s="2" t="s">
        <v>29</v>
      </c>
      <c r="J1246" s="5">
        <v>40220</v>
      </c>
      <c r="K1246" s="4"/>
      <c r="L1246" s="32" t="s">
        <v>581</v>
      </c>
      <c r="N1246" s="2" t="s">
        <v>974</v>
      </c>
      <c r="O1246" s="2" t="s">
        <v>498</v>
      </c>
      <c r="P1246" s="2" t="s">
        <v>977</v>
      </c>
      <c r="Q1246" s="2" t="s">
        <v>540</v>
      </c>
    </row>
    <row r="1247" spans="5:18" x14ac:dyDescent="0.25">
      <c r="F1247" s="10">
        <v>4</v>
      </c>
      <c r="G1247" s="2" t="s">
        <v>824</v>
      </c>
      <c r="L1247" s="32" t="s">
        <v>581</v>
      </c>
    </row>
    <row r="1248" spans="5:18" ht="30" x14ac:dyDescent="0.25">
      <c r="F1248" s="10">
        <v>5</v>
      </c>
      <c r="H1248" s="2" t="s">
        <v>825</v>
      </c>
      <c r="I1248" s="2" t="s">
        <v>29</v>
      </c>
      <c r="J1248" s="5">
        <v>40220</v>
      </c>
      <c r="K1248" s="4"/>
      <c r="L1248" s="32" t="s">
        <v>581</v>
      </c>
      <c r="N1248" s="2" t="s">
        <v>974</v>
      </c>
    </row>
    <row r="1249" spans="1:18" ht="30" x14ac:dyDescent="0.25">
      <c r="F1249" s="10">
        <v>6</v>
      </c>
      <c r="H1249" s="2" t="s">
        <v>1313</v>
      </c>
      <c r="I1249" s="2" t="s">
        <v>29</v>
      </c>
      <c r="J1249" s="5">
        <v>40234</v>
      </c>
      <c r="K1249" s="4"/>
      <c r="L1249" s="32" t="s">
        <v>581</v>
      </c>
      <c r="N1249" s="2" t="s">
        <v>974</v>
      </c>
    </row>
    <row r="1250" spans="1:18" ht="60" x14ac:dyDescent="0.25">
      <c r="F1250" s="10">
        <v>7</v>
      </c>
      <c r="H1250" s="2" t="s">
        <v>839</v>
      </c>
      <c r="I1250" s="2" t="s">
        <v>29</v>
      </c>
      <c r="J1250" s="5">
        <v>40220</v>
      </c>
      <c r="K1250" s="4"/>
      <c r="L1250" s="32" t="s">
        <v>581</v>
      </c>
      <c r="N1250" s="2" t="s">
        <v>974</v>
      </c>
      <c r="O1250" s="2" t="s">
        <v>499</v>
      </c>
      <c r="P1250" s="2" t="s">
        <v>980</v>
      </c>
      <c r="Q1250" s="2" t="s">
        <v>540</v>
      </c>
      <c r="R1250" s="2" t="s">
        <v>579</v>
      </c>
    </row>
    <row r="1251" spans="1:18" ht="30" x14ac:dyDescent="0.25">
      <c r="E1251" s="10" t="s">
        <v>1284</v>
      </c>
      <c r="F1251" s="10">
        <v>1</v>
      </c>
      <c r="G1251" s="2" t="s">
        <v>1285</v>
      </c>
      <c r="J1251" s="5"/>
      <c r="K1251" s="5"/>
      <c r="L1251" s="32" t="s">
        <v>581</v>
      </c>
    </row>
    <row r="1252" spans="1:18" ht="135" x14ac:dyDescent="0.25">
      <c r="F1252" s="10">
        <v>2</v>
      </c>
      <c r="H1252" s="2" t="s">
        <v>1286</v>
      </c>
      <c r="I1252" s="2" t="s">
        <v>29</v>
      </c>
      <c r="J1252" s="5">
        <v>40220</v>
      </c>
      <c r="K1252" s="4"/>
      <c r="L1252" s="32" t="s">
        <v>581</v>
      </c>
      <c r="N1252" s="2" t="s">
        <v>974</v>
      </c>
      <c r="O1252" s="2" t="s">
        <v>500</v>
      </c>
      <c r="P1252" s="7" t="s">
        <v>982</v>
      </c>
      <c r="Q1252" s="2" t="s">
        <v>540</v>
      </c>
      <c r="R1252" s="2" t="s">
        <v>1641</v>
      </c>
    </row>
    <row r="1253" spans="1:18" ht="45" x14ac:dyDescent="0.25">
      <c r="E1253" s="10" t="s">
        <v>1287</v>
      </c>
      <c r="F1253" s="10">
        <v>1</v>
      </c>
      <c r="G1253" s="2" t="s">
        <v>835</v>
      </c>
      <c r="L1253" s="32" t="s">
        <v>581</v>
      </c>
    </row>
    <row r="1254" spans="1:18" x14ac:dyDescent="0.25">
      <c r="F1254" s="10">
        <v>2</v>
      </c>
      <c r="H1254" s="2" t="s">
        <v>1286</v>
      </c>
      <c r="I1254" s="2" t="s">
        <v>29</v>
      </c>
      <c r="J1254" s="5">
        <v>40220</v>
      </c>
      <c r="K1254" s="4"/>
      <c r="L1254" s="32" t="s">
        <v>581</v>
      </c>
      <c r="N1254" s="2" t="s">
        <v>974</v>
      </c>
    </row>
    <row r="1255" spans="1:18" ht="30" x14ac:dyDescent="0.25">
      <c r="E1255" s="10" t="s">
        <v>837</v>
      </c>
      <c r="F1255" s="10">
        <v>1</v>
      </c>
      <c r="G1255" s="2" t="s">
        <v>838</v>
      </c>
      <c r="L1255" s="32" t="s">
        <v>581</v>
      </c>
    </row>
    <row r="1256" spans="1:18" ht="60" x14ac:dyDescent="0.25">
      <c r="F1256" s="10">
        <v>2</v>
      </c>
      <c r="H1256" s="2" t="s">
        <v>1257</v>
      </c>
      <c r="I1256" s="2" t="s">
        <v>29</v>
      </c>
      <c r="J1256" s="5">
        <v>40231</v>
      </c>
      <c r="K1256" s="3">
        <v>40254</v>
      </c>
      <c r="L1256" s="32" t="s">
        <v>581</v>
      </c>
      <c r="N1256" s="2" t="s">
        <v>974</v>
      </c>
      <c r="O1256" s="2" t="s">
        <v>3706</v>
      </c>
      <c r="P1256" s="2" t="s">
        <v>977</v>
      </c>
      <c r="Q1256" s="2" t="s">
        <v>540</v>
      </c>
    </row>
    <row r="1257" spans="1:18" ht="45" x14ac:dyDescent="0.25">
      <c r="F1257" s="10">
        <v>3</v>
      </c>
      <c r="H1257" s="2" t="s">
        <v>842</v>
      </c>
      <c r="I1257" s="2" t="s">
        <v>29</v>
      </c>
      <c r="J1257" s="5">
        <v>40220</v>
      </c>
      <c r="K1257" s="3">
        <v>40254</v>
      </c>
      <c r="L1257" s="32" t="s">
        <v>581</v>
      </c>
      <c r="N1257" s="2" t="s">
        <v>974</v>
      </c>
    </row>
    <row r="1258" spans="1:18" ht="30" x14ac:dyDescent="0.25">
      <c r="F1258" s="10">
        <v>4</v>
      </c>
      <c r="H1258" s="2" t="s">
        <v>839</v>
      </c>
      <c r="I1258" s="2" t="s">
        <v>29</v>
      </c>
      <c r="J1258" s="5">
        <v>40220</v>
      </c>
      <c r="K1258" s="3">
        <v>40254</v>
      </c>
      <c r="L1258" s="32" t="s">
        <v>581</v>
      </c>
      <c r="N1258" s="2" t="s">
        <v>974</v>
      </c>
    </row>
    <row r="1259" spans="1:18" ht="30" x14ac:dyDescent="0.25">
      <c r="E1259" s="10" t="s">
        <v>692</v>
      </c>
      <c r="F1259" s="10">
        <v>1</v>
      </c>
      <c r="G1259" s="2" t="s">
        <v>19</v>
      </c>
      <c r="J1259" s="5"/>
      <c r="K1259" s="5"/>
      <c r="L1259" s="32" t="s">
        <v>581</v>
      </c>
    </row>
    <row r="1260" spans="1:18" x14ac:dyDescent="0.25">
      <c r="H1260" s="2" t="s">
        <v>20</v>
      </c>
      <c r="I1260" s="2" t="s">
        <v>29</v>
      </c>
      <c r="J1260" s="3">
        <v>40234</v>
      </c>
      <c r="K1260" s="4"/>
      <c r="L1260" s="32" t="s">
        <v>581</v>
      </c>
      <c r="N1260" s="2" t="s">
        <v>974</v>
      </c>
    </row>
    <row r="1261" spans="1:18" x14ac:dyDescent="0.25">
      <c r="L1261" s="32" t="s">
        <v>581</v>
      </c>
    </row>
    <row r="1262" spans="1:18" ht="45" x14ac:dyDescent="0.25">
      <c r="A1262" s="7" t="s">
        <v>778</v>
      </c>
      <c r="B1262" s="26" t="s">
        <v>803</v>
      </c>
      <c r="C1262" s="26" t="s">
        <v>39</v>
      </c>
      <c r="D1262" s="26" t="s">
        <v>3955</v>
      </c>
      <c r="E1262" s="10" t="s">
        <v>121</v>
      </c>
      <c r="F1262" s="10">
        <v>1</v>
      </c>
      <c r="G1262" s="2" t="s">
        <v>3864</v>
      </c>
      <c r="L1262" s="32" t="s">
        <v>581</v>
      </c>
    </row>
    <row r="1263" spans="1:18" ht="75" x14ac:dyDescent="0.25">
      <c r="B1263" s="26"/>
      <c r="C1263" s="26"/>
      <c r="D1263" s="26"/>
      <c r="F1263" s="10">
        <v>2</v>
      </c>
      <c r="H1263" s="2" t="s">
        <v>935</v>
      </c>
      <c r="I1263" s="2" t="s">
        <v>29</v>
      </c>
      <c r="J1263" s="3">
        <v>40231</v>
      </c>
      <c r="K1263" s="4"/>
      <c r="L1263" s="32" t="s">
        <v>581</v>
      </c>
      <c r="N1263" s="2" t="s">
        <v>974</v>
      </c>
      <c r="O1263" s="2" t="s">
        <v>508</v>
      </c>
      <c r="P1263" s="2" t="s">
        <v>980</v>
      </c>
      <c r="Q1263" s="2" t="s">
        <v>540</v>
      </c>
    </row>
    <row r="1264" spans="1:18" ht="45" x14ac:dyDescent="0.25">
      <c r="B1264" s="26"/>
      <c r="C1264" s="26"/>
      <c r="D1264" s="26"/>
      <c r="F1264" s="10">
        <v>3</v>
      </c>
      <c r="H1264" s="2" t="s">
        <v>936</v>
      </c>
      <c r="I1264" s="2" t="s">
        <v>29</v>
      </c>
      <c r="J1264" s="3">
        <v>40231</v>
      </c>
      <c r="K1264" s="4"/>
      <c r="L1264" s="32" t="s">
        <v>581</v>
      </c>
      <c r="N1264" s="2" t="s">
        <v>974</v>
      </c>
      <c r="O1264" s="2" t="s">
        <v>509</v>
      </c>
      <c r="P1264" s="2" t="s">
        <v>980</v>
      </c>
      <c r="Q1264" s="2" t="s">
        <v>540</v>
      </c>
    </row>
    <row r="1265" spans="2:18" ht="45" x14ac:dyDescent="0.25">
      <c r="B1265" s="26"/>
      <c r="C1265" s="26"/>
      <c r="D1265" s="26"/>
      <c r="F1265" s="10">
        <v>4</v>
      </c>
      <c r="H1265" s="2" t="s">
        <v>3748</v>
      </c>
      <c r="I1265" s="2" t="s">
        <v>29</v>
      </c>
      <c r="J1265" s="3">
        <v>40231</v>
      </c>
      <c r="K1265" s="4"/>
      <c r="L1265" s="32" t="s">
        <v>581</v>
      </c>
      <c r="N1265" s="2" t="s">
        <v>974</v>
      </c>
      <c r="O1265" s="2" t="s">
        <v>509</v>
      </c>
      <c r="P1265" s="2" t="s">
        <v>980</v>
      </c>
      <c r="Q1265" s="2" t="s">
        <v>540</v>
      </c>
    </row>
    <row r="1266" spans="2:18" ht="165" x14ac:dyDescent="0.25">
      <c r="B1266" s="26"/>
      <c r="C1266" s="26"/>
      <c r="D1266" s="26"/>
      <c r="F1266" s="10">
        <v>5</v>
      </c>
      <c r="H1266" s="2" t="s">
        <v>939</v>
      </c>
      <c r="I1266" s="2" t="s">
        <v>29</v>
      </c>
      <c r="J1266" s="3">
        <v>40231</v>
      </c>
      <c r="K1266" s="4"/>
      <c r="L1266" s="32" t="s">
        <v>581</v>
      </c>
      <c r="N1266" s="2" t="s">
        <v>974</v>
      </c>
      <c r="O1266" s="2" t="s">
        <v>1729</v>
      </c>
      <c r="P1266" s="2" t="s">
        <v>977</v>
      </c>
      <c r="Q1266" s="2" t="s">
        <v>540</v>
      </c>
    </row>
    <row r="1267" spans="2:18" ht="45" x14ac:dyDescent="0.25">
      <c r="B1267" s="26"/>
      <c r="C1267" s="26"/>
      <c r="D1267" s="26"/>
      <c r="J1267" s="3"/>
      <c r="K1267" s="4"/>
      <c r="L1267" s="32" t="s">
        <v>581</v>
      </c>
      <c r="N1267" s="2" t="s">
        <v>974</v>
      </c>
      <c r="O1267" s="2" t="s">
        <v>1730</v>
      </c>
      <c r="Q1267" s="2" t="s">
        <v>540</v>
      </c>
    </row>
    <row r="1268" spans="2:18" ht="75" x14ac:dyDescent="0.25">
      <c r="B1268" s="26"/>
      <c r="C1268" s="26"/>
      <c r="D1268" s="26"/>
      <c r="J1268" s="3"/>
      <c r="K1268" s="4"/>
      <c r="L1268" s="32" t="s">
        <v>581</v>
      </c>
      <c r="N1268" s="2" t="s">
        <v>974</v>
      </c>
      <c r="O1268" s="2" t="s">
        <v>1728</v>
      </c>
      <c r="Q1268" s="2" t="s">
        <v>540</v>
      </c>
    </row>
    <row r="1269" spans="2:18" ht="30" x14ac:dyDescent="0.25">
      <c r="B1269" s="26"/>
      <c r="C1269" s="26"/>
      <c r="D1269" s="26"/>
      <c r="J1269" s="3"/>
      <c r="K1269" s="4"/>
      <c r="L1269" s="32" t="s">
        <v>581</v>
      </c>
      <c r="N1269" s="2" t="s">
        <v>974</v>
      </c>
      <c r="O1269" s="2" t="s">
        <v>1727</v>
      </c>
      <c r="Q1269" s="2" t="s">
        <v>540</v>
      </c>
      <c r="R1269" s="2" t="s">
        <v>1731</v>
      </c>
    </row>
    <row r="1270" spans="2:18" ht="60" x14ac:dyDescent="0.25">
      <c r="B1270" s="26"/>
      <c r="C1270" s="26"/>
      <c r="D1270" s="26"/>
      <c r="J1270" s="3"/>
      <c r="K1270" s="4"/>
      <c r="L1270" s="32" t="s">
        <v>581</v>
      </c>
      <c r="N1270" s="2" t="s">
        <v>974</v>
      </c>
      <c r="O1270" s="2" t="s">
        <v>1726</v>
      </c>
      <c r="Q1270" s="2" t="s">
        <v>540</v>
      </c>
    </row>
    <row r="1271" spans="2:18" ht="45" x14ac:dyDescent="0.25">
      <c r="B1271" s="26"/>
      <c r="C1271" s="26"/>
      <c r="D1271" s="26"/>
      <c r="F1271" s="10">
        <v>6</v>
      </c>
      <c r="H1271" s="2" t="s">
        <v>3749</v>
      </c>
      <c r="I1271" s="2" t="s">
        <v>29</v>
      </c>
      <c r="J1271" s="3">
        <v>40231</v>
      </c>
      <c r="K1271" s="4"/>
      <c r="L1271" s="32" t="s">
        <v>581</v>
      </c>
      <c r="N1271" s="2" t="s">
        <v>974</v>
      </c>
      <c r="O1271" s="2" t="s">
        <v>510</v>
      </c>
      <c r="P1271" s="2" t="s">
        <v>980</v>
      </c>
      <c r="Q1271" s="2" t="s">
        <v>540</v>
      </c>
    </row>
    <row r="1272" spans="2:18" ht="30" x14ac:dyDescent="0.25">
      <c r="B1272" s="26"/>
      <c r="C1272" s="26"/>
      <c r="D1272" s="26"/>
      <c r="F1272" s="10">
        <v>7</v>
      </c>
      <c r="H1272" s="2" t="s">
        <v>937</v>
      </c>
      <c r="I1272" s="2" t="s">
        <v>29</v>
      </c>
      <c r="J1272" s="3">
        <v>40231</v>
      </c>
      <c r="K1272" s="4"/>
      <c r="L1272" s="32" t="s">
        <v>581</v>
      </c>
      <c r="N1272" s="2" t="s">
        <v>974</v>
      </c>
    </row>
    <row r="1273" spans="2:18" ht="150" x14ac:dyDescent="0.25">
      <c r="B1273" s="26"/>
      <c r="C1273" s="26"/>
      <c r="D1273" s="26"/>
      <c r="F1273" s="10">
        <v>8</v>
      </c>
      <c r="H1273" s="2" t="s">
        <v>3707</v>
      </c>
      <c r="I1273" s="2" t="s">
        <v>29</v>
      </c>
      <c r="J1273" s="3">
        <v>40231</v>
      </c>
      <c r="K1273" s="4"/>
      <c r="L1273" s="32" t="s">
        <v>581</v>
      </c>
      <c r="N1273" s="2" t="s">
        <v>974</v>
      </c>
      <c r="O1273" s="2" t="s">
        <v>511</v>
      </c>
      <c r="P1273" s="2" t="s">
        <v>980</v>
      </c>
      <c r="Q1273" s="2" t="s">
        <v>540</v>
      </c>
    </row>
    <row r="1274" spans="2:18" x14ac:dyDescent="0.25">
      <c r="B1274" s="26"/>
      <c r="C1274" s="26"/>
      <c r="D1274" s="26"/>
      <c r="F1274" s="10">
        <v>9</v>
      </c>
      <c r="H1274" s="2" t="s">
        <v>938</v>
      </c>
      <c r="I1274" s="2" t="s">
        <v>29</v>
      </c>
      <c r="J1274" s="3">
        <v>40231</v>
      </c>
      <c r="K1274" s="4"/>
      <c r="L1274" s="32" t="s">
        <v>581</v>
      </c>
      <c r="N1274" s="2" t="s">
        <v>974</v>
      </c>
    </row>
    <row r="1275" spans="2:18" ht="30" x14ac:dyDescent="0.25">
      <c r="B1275" s="26"/>
      <c r="C1275" s="26"/>
      <c r="D1275" s="26"/>
      <c r="F1275" s="10">
        <v>10</v>
      </c>
      <c r="G1275" s="2" t="s">
        <v>945</v>
      </c>
      <c r="L1275" s="32" t="s">
        <v>581</v>
      </c>
    </row>
    <row r="1276" spans="2:18" ht="165" x14ac:dyDescent="0.25">
      <c r="B1276" s="26"/>
      <c r="C1276" s="26"/>
      <c r="D1276" s="26"/>
      <c r="F1276" s="10">
        <v>11</v>
      </c>
      <c r="H1276" s="2" t="s">
        <v>23</v>
      </c>
      <c r="I1276" s="2" t="s">
        <v>30</v>
      </c>
      <c r="J1276" s="3">
        <v>40231</v>
      </c>
      <c r="K1276" s="4"/>
      <c r="L1276" s="32" t="s">
        <v>581</v>
      </c>
      <c r="N1276" s="2" t="s">
        <v>974</v>
      </c>
      <c r="O1276" s="2" t="s">
        <v>512</v>
      </c>
      <c r="P1276" s="2" t="s">
        <v>977</v>
      </c>
      <c r="Q1276" s="2" t="s">
        <v>540</v>
      </c>
    </row>
    <row r="1277" spans="2:18" ht="30" x14ac:dyDescent="0.25">
      <c r="B1277" s="26"/>
      <c r="C1277" s="26"/>
      <c r="D1277" s="26"/>
      <c r="F1277" s="10">
        <v>12</v>
      </c>
      <c r="H1277" s="2" t="s">
        <v>1258</v>
      </c>
      <c r="I1277" s="2" t="s">
        <v>30</v>
      </c>
      <c r="J1277" s="3">
        <v>40231</v>
      </c>
      <c r="K1277" s="4"/>
      <c r="L1277" s="32" t="s">
        <v>581</v>
      </c>
      <c r="N1277" s="2" t="s">
        <v>974</v>
      </c>
    </row>
    <row r="1278" spans="2:18" ht="60" x14ac:dyDescent="0.25">
      <c r="B1278" s="26"/>
      <c r="C1278" s="26"/>
      <c r="D1278" s="26"/>
      <c r="F1278" s="10">
        <v>13</v>
      </c>
      <c r="H1278" s="2" t="s">
        <v>940</v>
      </c>
      <c r="I1278" s="2" t="s">
        <v>30</v>
      </c>
      <c r="J1278" s="3">
        <v>40231</v>
      </c>
      <c r="K1278" s="4"/>
      <c r="L1278" s="32" t="s">
        <v>581</v>
      </c>
      <c r="N1278" s="2" t="s">
        <v>974</v>
      </c>
      <c r="O1278" s="2" t="s">
        <v>530</v>
      </c>
    </row>
    <row r="1279" spans="2:18" ht="225" x14ac:dyDescent="0.25">
      <c r="B1279" s="26"/>
      <c r="C1279" s="26"/>
      <c r="D1279" s="26"/>
      <c r="F1279" s="10">
        <v>14</v>
      </c>
      <c r="H1279" s="2" t="s">
        <v>3708</v>
      </c>
      <c r="I1279" s="2" t="s">
        <v>30</v>
      </c>
      <c r="J1279" s="3">
        <v>40231</v>
      </c>
      <c r="K1279" s="4"/>
      <c r="L1279" s="32" t="s">
        <v>581</v>
      </c>
      <c r="N1279" s="2" t="s">
        <v>974</v>
      </c>
    </row>
    <row r="1280" spans="2:18" ht="30" x14ac:dyDescent="0.25">
      <c r="B1280" s="26"/>
      <c r="C1280" s="26"/>
      <c r="D1280" s="26"/>
      <c r="F1280" s="10">
        <v>15</v>
      </c>
      <c r="H1280" s="2" t="s">
        <v>941</v>
      </c>
      <c r="I1280" s="2" t="s">
        <v>30</v>
      </c>
      <c r="J1280" s="3">
        <v>40231</v>
      </c>
      <c r="K1280" s="4"/>
      <c r="L1280" s="32" t="s">
        <v>581</v>
      </c>
      <c r="N1280" s="2" t="s">
        <v>974</v>
      </c>
    </row>
    <row r="1281" spans="2:17" ht="30" x14ac:dyDescent="0.25">
      <c r="B1281" s="26"/>
      <c r="C1281" s="26"/>
      <c r="D1281" s="26"/>
      <c r="F1281" s="10">
        <v>16</v>
      </c>
      <c r="H1281" s="2" t="s">
        <v>942</v>
      </c>
      <c r="I1281" s="2" t="s">
        <v>30</v>
      </c>
      <c r="J1281" s="3">
        <v>40231</v>
      </c>
      <c r="K1281" s="4"/>
      <c r="L1281" s="32" t="s">
        <v>581</v>
      </c>
      <c r="N1281" s="2" t="s">
        <v>974</v>
      </c>
    </row>
    <row r="1282" spans="2:17" ht="45" x14ac:dyDescent="0.25">
      <c r="B1282" s="26"/>
      <c r="C1282" s="26"/>
      <c r="D1282" s="26"/>
      <c r="F1282" s="10">
        <v>17</v>
      </c>
      <c r="H1282" s="2" t="s">
        <v>946</v>
      </c>
      <c r="I1282" s="2" t="s">
        <v>30</v>
      </c>
      <c r="J1282" s="3">
        <v>40231</v>
      </c>
      <c r="K1282" s="4"/>
      <c r="L1282" s="32" t="s">
        <v>581</v>
      </c>
      <c r="N1282" s="2" t="s">
        <v>974</v>
      </c>
    </row>
    <row r="1283" spans="2:17" ht="75" x14ac:dyDescent="0.25">
      <c r="B1283" s="26"/>
      <c r="C1283" s="26"/>
      <c r="D1283" s="26"/>
      <c r="F1283" s="10">
        <v>18</v>
      </c>
      <c r="H1283" s="2" t="s">
        <v>1259</v>
      </c>
      <c r="I1283" s="2" t="s">
        <v>30</v>
      </c>
      <c r="J1283" s="3">
        <v>40231</v>
      </c>
      <c r="K1283" s="4"/>
      <c r="L1283" s="32" t="s">
        <v>581</v>
      </c>
      <c r="N1283" s="2" t="s">
        <v>974</v>
      </c>
      <c r="O1283" s="2" t="s">
        <v>1732</v>
      </c>
      <c r="P1283" s="2" t="s">
        <v>977</v>
      </c>
      <c r="Q1283" s="2" t="s">
        <v>540</v>
      </c>
    </row>
    <row r="1284" spans="2:17" x14ac:dyDescent="0.25">
      <c r="B1284" s="26"/>
      <c r="C1284" s="26"/>
      <c r="D1284" s="26"/>
      <c r="E1284" s="10" t="s">
        <v>943</v>
      </c>
      <c r="F1284" s="10">
        <v>1</v>
      </c>
      <c r="G1284" s="2" t="s">
        <v>944</v>
      </c>
      <c r="L1284" s="32" t="s">
        <v>581</v>
      </c>
    </row>
    <row r="1285" spans="2:17" x14ac:dyDescent="0.25">
      <c r="B1285" s="26"/>
      <c r="C1285" s="26"/>
      <c r="D1285" s="26"/>
      <c r="F1285" s="10">
        <v>2</v>
      </c>
      <c r="H1285" s="2" t="s">
        <v>947</v>
      </c>
      <c r="I1285" s="2" t="s">
        <v>30</v>
      </c>
      <c r="J1285" s="3">
        <v>40231</v>
      </c>
      <c r="K1285" s="4"/>
      <c r="L1285" s="32" t="s">
        <v>581</v>
      </c>
      <c r="N1285" s="2" t="s">
        <v>974</v>
      </c>
    </row>
    <row r="1286" spans="2:17" ht="30" x14ac:dyDescent="0.25">
      <c r="B1286" s="26"/>
      <c r="C1286" s="26"/>
      <c r="D1286" s="26"/>
      <c r="F1286" s="10">
        <v>3</v>
      </c>
      <c r="H1286" s="2" t="s">
        <v>948</v>
      </c>
      <c r="I1286" s="2" t="s">
        <v>30</v>
      </c>
      <c r="J1286" s="3">
        <v>40231</v>
      </c>
      <c r="K1286" s="4"/>
      <c r="L1286" s="32" t="s">
        <v>581</v>
      </c>
      <c r="N1286" s="2" t="s">
        <v>974</v>
      </c>
    </row>
    <row r="1287" spans="2:17" ht="30" x14ac:dyDescent="0.25">
      <c r="B1287" s="26"/>
      <c r="C1287" s="26"/>
      <c r="D1287" s="26"/>
      <c r="E1287" s="10" t="s">
        <v>949</v>
      </c>
      <c r="F1287" s="10">
        <v>1</v>
      </c>
      <c r="G1287" s="2" t="s">
        <v>3750</v>
      </c>
      <c r="L1287" s="32" t="s">
        <v>581</v>
      </c>
    </row>
    <row r="1288" spans="2:17" ht="30" x14ac:dyDescent="0.25">
      <c r="B1288" s="26"/>
      <c r="C1288" s="26"/>
      <c r="D1288" s="26"/>
      <c r="F1288" s="10">
        <v>2</v>
      </c>
      <c r="H1288" s="2" t="s">
        <v>3759</v>
      </c>
      <c r="I1288" s="2" t="s">
        <v>30</v>
      </c>
      <c r="J1288" s="3">
        <v>40231</v>
      </c>
      <c r="K1288" s="4"/>
      <c r="L1288" s="32" t="s">
        <v>581</v>
      </c>
      <c r="N1288" s="2" t="s">
        <v>974</v>
      </c>
    </row>
    <row r="1289" spans="2:17" x14ac:dyDescent="0.25">
      <c r="B1289" s="26"/>
      <c r="C1289" s="26"/>
      <c r="D1289" s="26"/>
      <c r="F1289" s="10">
        <v>3</v>
      </c>
      <c r="H1289" s="2" t="s">
        <v>950</v>
      </c>
      <c r="I1289" s="2" t="s">
        <v>30</v>
      </c>
      <c r="J1289" s="3">
        <v>40231</v>
      </c>
      <c r="K1289" s="4"/>
      <c r="L1289" s="32" t="s">
        <v>581</v>
      </c>
      <c r="N1289" s="2" t="s">
        <v>974</v>
      </c>
    </row>
    <row r="1290" spans="2:17" ht="30" x14ac:dyDescent="0.25">
      <c r="B1290" s="26"/>
      <c r="C1290" s="26"/>
      <c r="D1290" s="26"/>
      <c r="E1290" s="10" t="s">
        <v>692</v>
      </c>
      <c r="F1290" s="10">
        <v>1</v>
      </c>
      <c r="G1290" s="2" t="s">
        <v>951</v>
      </c>
      <c r="L1290" s="32" t="s">
        <v>581</v>
      </c>
    </row>
    <row r="1291" spans="2:17" ht="30" x14ac:dyDescent="0.25">
      <c r="B1291" s="26"/>
      <c r="C1291" s="26"/>
      <c r="D1291" s="26"/>
      <c r="F1291" s="10">
        <v>2</v>
      </c>
      <c r="H1291" s="2" t="s">
        <v>952</v>
      </c>
      <c r="I1291" s="2" t="s">
        <v>30</v>
      </c>
      <c r="J1291" s="3">
        <v>40231</v>
      </c>
      <c r="K1291" s="4"/>
      <c r="L1291" s="32" t="s">
        <v>581</v>
      </c>
      <c r="N1291" s="2" t="s">
        <v>974</v>
      </c>
    </row>
    <row r="1292" spans="2:17" ht="30" x14ac:dyDescent="0.25">
      <c r="B1292" s="26"/>
      <c r="C1292" s="26"/>
      <c r="D1292" s="26"/>
      <c r="F1292" s="10">
        <v>3</v>
      </c>
      <c r="H1292" s="2" t="s">
        <v>953</v>
      </c>
      <c r="I1292" s="2" t="s">
        <v>30</v>
      </c>
      <c r="J1292" s="3">
        <v>40231</v>
      </c>
      <c r="K1292" s="4"/>
      <c r="L1292" s="32" t="s">
        <v>581</v>
      </c>
      <c r="N1292" s="2" t="s">
        <v>974</v>
      </c>
    </row>
    <row r="1293" spans="2:17" ht="30" x14ac:dyDescent="0.25">
      <c r="B1293" s="26"/>
      <c r="C1293" s="26"/>
      <c r="D1293" s="26"/>
      <c r="E1293" s="10" t="s">
        <v>123</v>
      </c>
      <c r="F1293" s="10">
        <v>1</v>
      </c>
      <c r="G1293" s="2" t="s">
        <v>3751</v>
      </c>
      <c r="L1293" s="32" t="s">
        <v>581</v>
      </c>
    </row>
    <row r="1294" spans="2:17" x14ac:dyDescent="0.25">
      <c r="B1294" s="26"/>
      <c r="C1294" s="26"/>
      <c r="D1294" s="26"/>
      <c r="F1294" s="10">
        <v>2</v>
      </c>
      <c r="H1294" s="2" t="s">
        <v>954</v>
      </c>
      <c r="I1294" s="2" t="s">
        <v>30</v>
      </c>
      <c r="J1294" s="3">
        <v>40231</v>
      </c>
      <c r="K1294" s="4"/>
      <c r="L1294" s="32" t="s">
        <v>581</v>
      </c>
      <c r="N1294" s="2" t="s">
        <v>974</v>
      </c>
    </row>
    <row r="1295" spans="2:17" ht="90" x14ac:dyDescent="0.25">
      <c r="B1295" s="26"/>
      <c r="C1295" s="26"/>
      <c r="D1295" s="26"/>
      <c r="F1295" s="10">
        <v>3</v>
      </c>
      <c r="H1295" s="2" t="s">
        <v>956</v>
      </c>
      <c r="I1295" s="2" t="s">
        <v>30</v>
      </c>
      <c r="J1295" s="3">
        <v>40231</v>
      </c>
      <c r="K1295" s="4"/>
      <c r="L1295" s="32" t="s">
        <v>581</v>
      </c>
      <c r="N1295" s="2" t="s">
        <v>974</v>
      </c>
      <c r="O1295" s="2" t="s">
        <v>531</v>
      </c>
      <c r="P1295" s="2" t="s">
        <v>977</v>
      </c>
      <c r="Q1295" s="2" t="s">
        <v>540</v>
      </c>
    </row>
    <row r="1296" spans="2:17" ht="30" x14ac:dyDescent="0.25">
      <c r="B1296" s="26"/>
      <c r="C1296" s="26"/>
      <c r="D1296" s="26"/>
      <c r="F1296" s="10">
        <v>4</v>
      </c>
      <c r="H1296" s="2" t="s">
        <v>957</v>
      </c>
      <c r="I1296" s="2" t="s">
        <v>30</v>
      </c>
      <c r="J1296" s="3">
        <v>40231</v>
      </c>
      <c r="K1296" s="4"/>
      <c r="L1296" s="32" t="s">
        <v>581</v>
      </c>
      <c r="N1296" s="2" t="s">
        <v>974</v>
      </c>
    </row>
    <row r="1297" spans="1:18" ht="150" x14ac:dyDescent="0.25">
      <c r="B1297" s="26"/>
      <c r="C1297" s="26"/>
      <c r="D1297" s="26"/>
      <c r="F1297" s="10">
        <v>5</v>
      </c>
      <c r="H1297" s="2" t="s">
        <v>3752</v>
      </c>
      <c r="I1297" s="2" t="s">
        <v>30</v>
      </c>
      <c r="J1297" s="3">
        <v>40231</v>
      </c>
      <c r="K1297" s="4"/>
      <c r="L1297" s="32" t="s">
        <v>581</v>
      </c>
      <c r="N1297" s="2" t="s">
        <v>974</v>
      </c>
      <c r="O1297" s="2" t="s">
        <v>532</v>
      </c>
      <c r="P1297" s="2" t="s">
        <v>977</v>
      </c>
      <c r="Q1297" s="2" t="s">
        <v>540</v>
      </c>
    </row>
    <row r="1298" spans="1:18" ht="150" x14ac:dyDescent="0.25">
      <c r="B1298" s="26"/>
      <c r="C1298" s="26"/>
      <c r="D1298" s="26"/>
      <c r="F1298" s="10">
        <v>6</v>
      </c>
      <c r="H1298" s="2" t="s">
        <v>1260</v>
      </c>
      <c r="I1298" s="2" t="s">
        <v>30</v>
      </c>
      <c r="J1298" s="3">
        <v>40231</v>
      </c>
      <c r="K1298" s="4"/>
      <c r="L1298" s="32" t="s">
        <v>581</v>
      </c>
      <c r="N1298" s="2" t="s">
        <v>974</v>
      </c>
      <c r="O1298" s="2" t="s">
        <v>533</v>
      </c>
      <c r="P1298" s="2" t="s">
        <v>980</v>
      </c>
      <c r="Q1298" s="2" t="s">
        <v>540</v>
      </c>
      <c r="R1298" s="2" t="s">
        <v>2251</v>
      </c>
    </row>
    <row r="1299" spans="1:18" ht="30" x14ac:dyDescent="0.25">
      <c r="B1299" s="26"/>
      <c r="C1299" s="26"/>
      <c r="D1299" s="26"/>
      <c r="E1299" s="10" t="s">
        <v>958</v>
      </c>
      <c r="F1299" s="10">
        <v>1</v>
      </c>
      <c r="G1299" s="2" t="s">
        <v>3753</v>
      </c>
      <c r="L1299" s="32" t="s">
        <v>581</v>
      </c>
    </row>
    <row r="1300" spans="1:18" x14ac:dyDescent="0.25">
      <c r="B1300" s="26"/>
      <c r="C1300" s="26"/>
      <c r="D1300" s="26"/>
      <c r="F1300" s="10">
        <v>2</v>
      </c>
      <c r="H1300" s="2" t="s">
        <v>959</v>
      </c>
      <c r="I1300" s="2" t="s">
        <v>30</v>
      </c>
      <c r="J1300" s="3">
        <v>40231</v>
      </c>
      <c r="K1300" s="4"/>
      <c r="L1300" s="32" t="s">
        <v>581</v>
      </c>
    </row>
    <row r="1301" spans="1:18" ht="30" x14ac:dyDescent="0.25">
      <c r="B1301" s="26"/>
      <c r="C1301" s="26"/>
      <c r="D1301" s="26"/>
      <c r="F1301" s="10">
        <v>3</v>
      </c>
      <c r="H1301" s="2" t="s">
        <v>3754</v>
      </c>
      <c r="I1301" s="2" t="s">
        <v>30</v>
      </c>
      <c r="J1301" s="3">
        <v>40231</v>
      </c>
      <c r="K1301" s="4"/>
      <c r="L1301" s="32" t="s">
        <v>581</v>
      </c>
      <c r="N1301" s="2" t="s">
        <v>974</v>
      </c>
    </row>
    <row r="1302" spans="1:18" ht="105" x14ac:dyDescent="0.25">
      <c r="B1302" s="26"/>
      <c r="C1302" s="26"/>
      <c r="D1302" s="26"/>
      <c r="F1302" s="10">
        <v>4</v>
      </c>
      <c r="H1302" s="2" t="s">
        <v>955</v>
      </c>
      <c r="I1302" s="2" t="s">
        <v>30</v>
      </c>
      <c r="J1302" s="3">
        <v>40231</v>
      </c>
      <c r="K1302" s="4"/>
      <c r="L1302" s="32" t="s">
        <v>581</v>
      </c>
      <c r="N1302" s="2" t="s">
        <v>974</v>
      </c>
      <c r="O1302" s="2" t="s">
        <v>536</v>
      </c>
      <c r="P1302" s="2" t="s">
        <v>977</v>
      </c>
      <c r="Q1302" s="2" t="s">
        <v>540</v>
      </c>
    </row>
    <row r="1303" spans="1:18" x14ac:dyDescent="0.25">
      <c r="B1303" s="26"/>
      <c r="C1303" s="26"/>
      <c r="D1303" s="26"/>
      <c r="E1303" s="10" t="s">
        <v>126</v>
      </c>
      <c r="F1303" s="10">
        <v>1</v>
      </c>
      <c r="G1303" s="2" t="s">
        <v>21</v>
      </c>
      <c r="K1303" s="2"/>
      <c r="L1303" s="32" t="s">
        <v>581</v>
      </c>
    </row>
    <row r="1304" spans="1:18" ht="105" x14ac:dyDescent="0.25">
      <c r="B1304" s="26"/>
      <c r="C1304" s="26"/>
      <c r="D1304" s="26"/>
      <c r="F1304" s="10">
        <v>2</v>
      </c>
      <c r="H1304" s="2" t="s">
        <v>22</v>
      </c>
      <c r="I1304" s="2" t="s">
        <v>29</v>
      </c>
      <c r="J1304" s="3">
        <v>40231</v>
      </c>
      <c r="K1304" s="4"/>
      <c r="L1304" s="32" t="s">
        <v>581</v>
      </c>
      <c r="N1304" s="2" t="s">
        <v>974</v>
      </c>
      <c r="O1304" s="2" t="s">
        <v>537</v>
      </c>
      <c r="P1304" s="2" t="s">
        <v>982</v>
      </c>
      <c r="Q1304" s="2" t="s">
        <v>540</v>
      </c>
      <c r="R1304" s="2" t="s">
        <v>1146</v>
      </c>
    </row>
    <row r="1305" spans="1:18" ht="30" x14ac:dyDescent="0.25">
      <c r="B1305" s="26"/>
      <c r="C1305" s="26"/>
      <c r="D1305" s="26"/>
      <c r="F1305" s="10">
        <v>3</v>
      </c>
      <c r="G1305" s="2" t="s">
        <v>3865</v>
      </c>
      <c r="L1305" s="32" t="s">
        <v>581</v>
      </c>
    </row>
    <row r="1306" spans="1:18" x14ac:dyDescent="0.25">
      <c r="B1306" s="26"/>
      <c r="C1306" s="26"/>
      <c r="D1306" s="26"/>
      <c r="F1306" s="10">
        <v>4</v>
      </c>
      <c r="H1306" s="2" t="s">
        <v>935</v>
      </c>
      <c r="I1306" s="2" t="s">
        <v>29</v>
      </c>
      <c r="J1306" s="3">
        <v>40231</v>
      </c>
      <c r="K1306" s="4"/>
      <c r="L1306" s="32" t="s">
        <v>581</v>
      </c>
      <c r="N1306" s="2" t="s">
        <v>974</v>
      </c>
      <c r="O1306" s="2" t="s">
        <v>538</v>
      </c>
    </row>
    <row r="1307" spans="1:18" x14ac:dyDescent="0.25">
      <c r="B1307" s="26"/>
      <c r="C1307" s="26"/>
      <c r="D1307" s="26"/>
    </row>
    <row r="1308" spans="1:18" ht="45" x14ac:dyDescent="0.25">
      <c r="A1308" s="7" t="s">
        <v>644</v>
      </c>
      <c r="B1308" s="7" t="s">
        <v>790</v>
      </c>
      <c r="C1308" s="7" t="s">
        <v>39</v>
      </c>
      <c r="D1308" s="7" t="s">
        <v>3956</v>
      </c>
      <c r="E1308" s="10" t="s">
        <v>121</v>
      </c>
      <c r="F1308" s="10">
        <v>1</v>
      </c>
      <c r="G1308" s="2" t="s">
        <v>466</v>
      </c>
    </row>
    <row r="1309" spans="1:18" ht="30" x14ac:dyDescent="0.25">
      <c r="F1309" s="10">
        <v>2</v>
      </c>
      <c r="H1309" s="2" t="s">
        <v>808</v>
      </c>
      <c r="I1309" s="2" t="s">
        <v>29</v>
      </c>
      <c r="J1309" s="5">
        <v>40220</v>
      </c>
      <c r="K1309" s="4"/>
      <c r="L1309" s="7" t="s">
        <v>1288</v>
      </c>
      <c r="N1309" s="2" t="s">
        <v>974</v>
      </c>
    </row>
    <row r="1310" spans="1:18" x14ac:dyDescent="0.25">
      <c r="E1310" s="2"/>
      <c r="F1310" s="10">
        <v>3</v>
      </c>
      <c r="G1310" s="2" t="s">
        <v>809</v>
      </c>
      <c r="K1310" s="2"/>
    </row>
    <row r="1311" spans="1:18" ht="75" x14ac:dyDescent="0.25">
      <c r="F1311" s="10">
        <v>4</v>
      </c>
      <c r="H1311" s="2" t="s">
        <v>813</v>
      </c>
      <c r="I1311" s="2" t="s">
        <v>30</v>
      </c>
      <c r="J1311" s="5">
        <v>40220</v>
      </c>
      <c r="K1311" s="4"/>
      <c r="L1311" s="7" t="s">
        <v>1288</v>
      </c>
      <c r="N1311" s="2" t="s">
        <v>974</v>
      </c>
      <c r="O1311" s="2" t="s">
        <v>2789</v>
      </c>
      <c r="P1311" s="2" t="s">
        <v>977</v>
      </c>
      <c r="Q1311" s="2" t="s">
        <v>540</v>
      </c>
    </row>
    <row r="1312" spans="1:18" ht="30" x14ac:dyDescent="0.25">
      <c r="F1312" s="10">
        <v>5</v>
      </c>
      <c r="H1312" s="7" t="s">
        <v>1797</v>
      </c>
      <c r="I1312" s="2" t="s">
        <v>30</v>
      </c>
      <c r="J1312" s="3">
        <v>40297</v>
      </c>
      <c r="K1312" s="4"/>
      <c r="L1312" s="7" t="s">
        <v>1288</v>
      </c>
      <c r="N1312" s="2" t="s">
        <v>974</v>
      </c>
    </row>
    <row r="1313" spans="1:17" x14ac:dyDescent="0.25">
      <c r="E1313" s="10" t="s">
        <v>123</v>
      </c>
      <c r="F1313" s="10">
        <v>1</v>
      </c>
      <c r="G1313" s="2" t="s">
        <v>810</v>
      </c>
    </row>
    <row r="1314" spans="1:17" ht="30" x14ac:dyDescent="0.25">
      <c r="F1314" s="10">
        <v>2</v>
      </c>
      <c r="H1314" s="2" t="s">
        <v>811</v>
      </c>
      <c r="I1314" s="2" t="s">
        <v>29</v>
      </c>
      <c r="J1314" s="5">
        <v>40217</v>
      </c>
      <c r="K1314" s="4"/>
      <c r="L1314" s="7" t="s">
        <v>1288</v>
      </c>
      <c r="N1314" s="2" t="s">
        <v>974</v>
      </c>
    </row>
    <row r="1315" spans="1:17" x14ac:dyDescent="0.25">
      <c r="F1315" s="10">
        <v>3</v>
      </c>
      <c r="G1315" s="2" t="s">
        <v>809</v>
      </c>
    </row>
    <row r="1316" spans="1:17" x14ac:dyDescent="0.25">
      <c r="F1316" s="10">
        <v>4</v>
      </c>
      <c r="H1316" s="2" t="s">
        <v>726</v>
      </c>
      <c r="I1316" s="2" t="s">
        <v>30</v>
      </c>
      <c r="J1316" s="5">
        <v>40220</v>
      </c>
      <c r="K1316" s="4"/>
      <c r="L1316" s="7" t="s">
        <v>1288</v>
      </c>
      <c r="N1316" s="2" t="s">
        <v>974</v>
      </c>
    </row>
    <row r="1317" spans="1:17" x14ac:dyDescent="0.25">
      <c r="E1317" s="10" t="s">
        <v>126</v>
      </c>
      <c r="F1317" s="10">
        <v>1</v>
      </c>
      <c r="G1317" s="2" t="s">
        <v>812</v>
      </c>
    </row>
    <row r="1318" spans="1:17" ht="60" x14ac:dyDescent="0.25">
      <c r="F1318" s="10">
        <v>2</v>
      </c>
      <c r="H1318" s="2" t="s">
        <v>811</v>
      </c>
      <c r="I1318" s="2" t="s">
        <v>30</v>
      </c>
      <c r="J1318" s="5">
        <v>40220</v>
      </c>
      <c r="K1318" s="4"/>
      <c r="L1318" s="7" t="s">
        <v>1288</v>
      </c>
      <c r="N1318" s="2" t="s">
        <v>974</v>
      </c>
      <c r="O1318" s="2" t="s">
        <v>2788</v>
      </c>
      <c r="P1318" s="2" t="s">
        <v>977</v>
      </c>
      <c r="Q1318" s="2" t="s">
        <v>540</v>
      </c>
    </row>
    <row r="1319" spans="1:17" x14ac:dyDescent="0.25">
      <c r="F1319" s="10">
        <v>3</v>
      </c>
      <c r="G1319" s="2" t="s">
        <v>809</v>
      </c>
    </row>
    <row r="1320" spans="1:17" x14ac:dyDescent="0.25">
      <c r="F1320" s="10">
        <v>4</v>
      </c>
      <c r="H1320" s="2" t="s">
        <v>726</v>
      </c>
      <c r="I1320" s="2" t="s">
        <v>30</v>
      </c>
      <c r="J1320" s="5">
        <v>40220</v>
      </c>
      <c r="K1320" s="4"/>
      <c r="L1320" s="7" t="s">
        <v>1288</v>
      </c>
      <c r="N1320" s="2" t="s">
        <v>974</v>
      </c>
    </row>
    <row r="1322" spans="1:17" ht="45" x14ac:dyDescent="0.25">
      <c r="A1322" s="7" t="s">
        <v>645</v>
      </c>
      <c r="B1322" s="26" t="s">
        <v>791</v>
      </c>
      <c r="C1322" s="7" t="s">
        <v>39</v>
      </c>
      <c r="D1322" s="26" t="s">
        <v>3957</v>
      </c>
      <c r="E1322" s="10" t="s">
        <v>121</v>
      </c>
      <c r="F1322" s="10">
        <v>1</v>
      </c>
      <c r="G1322" s="2" t="s">
        <v>2152</v>
      </c>
    </row>
    <row r="1323" spans="1:17" ht="30" x14ac:dyDescent="0.25">
      <c r="B1323" s="26"/>
      <c r="D1323" s="26"/>
      <c r="F1323" s="10">
        <v>2</v>
      </c>
      <c r="H1323" s="2" t="s">
        <v>2153</v>
      </c>
      <c r="I1323" s="2" t="s">
        <v>29</v>
      </c>
      <c r="J1323" s="3">
        <v>40353</v>
      </c>
      <c r="K1323" s="4"/>
      <c r="L1323" s="4"/>
      <c r="N1323" s="2" t="s">
        <v>974</v>
      </c>
    </row>
    <row r="1324" spans="1:17" x14ac:dyDescent="0.25">
      <c r="B1324" s="26"/>
      <c r="D1324" s="26"/>
      <c r="E1324" s="10" t="s">
        <v>123</v>
      </c>
      <c r="F1324" s="10">
        <v>1</v>
      </c>
      <c r="G1324" s="2" t="s">
        <v>812</v>
      </c>
      <c r="J1324" s="5"/>
      <c r="K1324" s="5"/>
      <c r="L1324" s="5"/>
    </row>
    <row r="1325" spans="1:17" ht="45" x14ac:dyDescent="0.25">
      <c r="B1325" s="26"/>
      <c r="D1325" s="26"/>
      <c r="F1325" s="10">
        <v>2</v>
      </c>
      <c r="H1325" s="2" t="s">
        <v>2154</v>
      </c>
      <c r="I1325" s="2" t="s">
        <v>29</v>
      </c>
      <c r="J1325" s="3">
        <v>40353</v>
      </c>
      <c r="K1325" s="4"/>
      <c r="L1325" s="4"/>
      <c r="N1325" s="2" t="s">
        <v>974</v>
      </c>
      <c r="Q1325" s="2" t="s">
        <v>540</v>
      </c>
    </row>
    <row r="1326" spans="1:17" ht="30" x14ac:dyDescent="0.25">
      <c r="B1326" s="26"/>
      <c r="D1326" s="26"/>
      <c r="F1326" s="10">
        <v>3</v>
      </c>
      <c r="G1326" s="2" t="s">
        <v>2152</v>
      </c>
      <c r="J1326" s="5"/>
      <c r="K1326" s="5"/>
      <c r="L1326" s="5"/>
    </row>
    <row r="1327" spans="1:17" ht="30" x14ac:dyDescent="0.25">
      <c r="B1327" s="26"/>
      <c r="D1327" s="26"/>
      <c r="F1327" s="10">
        <v>4</v>
      </c>
      <c r="H1327" s="2" t="s">
        <v>2153</v>
      </c>
      <c r="I1327" s="2" t="s">
        <v>29</v>
      </c>
      <c r="J1327" s="3">
        <v>40353</v>
      </c>
      <c r="K1327" s="4"/>
      <c r="L1327" s="4"/>
      <c r="N1327" s="2" t="s">
        <v>974</v>
      </c>
    </row>
    <row r="1328" spans="1:17" x14ac:dyDescent="0.25">
      <c r="B1328" s="26"/>
      <c r="D1328" s="26"/>
    </row>
    <row r="1329" spans="1:17" ht="30" x14ac:dyDescent="0.25">
      <c r="A1329" s="7" t="s">
        <v>647</v>
      </c>
      <c r="B1329" s="26" t="s">
        <v>795</v>
      </c>
      <c r="C1329" s="7" t="s">
        <v>39</v>
      </c>
      <c r="D1329" s="26" t="s">
        <v>3958</v>
      </c>
      <c r="E1329" s="10" t="s">
        <v>121</v>
      </c>
      <c r="F1329" s="10">
        <v>1</v>
      </c>
      <c r="G1329" s="2" t="s">
        <v>2150</v>
      </c>
    </row>
    <row r="1330" spans="1:17" ht="30" x14ac:dyDescent="0.25">
      <c r="B1330" s="26"/>
      <c r="D1330" s="26"/>
      <c r="F1330" s="10">
        <v>2</v>
      </c>
      <c r="H1330" s="2" t="s">
        <v>2151</v>
      </c>
      <c r="I1330" s="2" t="s">
        <v>29</v>
      </c>
      <c r="J1330" s="5">
        <v>40344</v>
      </c>
      <c r="K1330" s="4"/>
      <c r="L1330" s="4"/>
      <c r="N1330" s="2" t="s">
        <v>974</v>
      </c>
      <c r="O1330" s="2" t="s">
        <v>3035</v>
      </c>
      <c r="P1330" s="2" t="s">
        <v>980</v>
      </c>
      <c r="Q1330" s="2" t="s">
        <v>540</v>
      </c>
    </row>
    <row r="1331" spans="1:17" x14ac:dyDescent="0.25">
      <c r="B1331" s="26"/>
      <c r="D1331" s="26"/>
    </row>
    <row r="1332" spans="1:17" ht="60" x14ac:dyDescent="0.25">
      <c r="A1332" s="7" t="s">
        <v>856</v>
      </c>
      <c r="B1332" s="26" t="s">
        <v>922</v>
      </c>
      <c r="C1332" s="26" t="s">
        <v>39</v>
      </c>
      <c r="D1332" s="26" t="s">
        <v>3959</v>
      </c>
      <c r="E1332" s="10" t="s">
        <v>121</v>
      </c>
      <c r="F1332" s="10">
        <v>1</v>
      </c>
      <c r="G1332" s="2" t="s">
        <v>924</v>
      </c>
    </row>
    <row r="1333" spans="1:17" ht="30" x14ac:dyDescent="0.25">
      <c r="H1333" s="7" t="s">
        <v>2155</v>
      </c>
      <c r="I1333" s="2" t="s">
        <v>29</v>
      </c>
      <c r="J1333" s="5">
        <v>40344</v>
      </c>
      <c r="K1333" s="4"/>
      <c r="L1333" s="4"/>
      <c r="N1333" s="2" t="s">
        <v>974</v>
      </c>
    </row>
    <row r="1335" spans="1:17" ht="75" x14ac:dyDescent="0.25">
      <c r="A1335" s="7" t="s">
        <v>857</v>
      </c>
      <c r="B1335" s="26" t="s">
        <v>960</v>
      </c>
      <c r="C1335" s="26" t="s">
        <v>39</v>
      </c>
      <c r="D1335" s="26" t="s">
        <v>961</v>
      </c>
      <c r="E1335" s="10" t="s">
        <v>121</v>
      </c>
      <c r="F1335" s="10">
        <v>1</v>
      </c>
      <c r="G1335" s="2" t="s">
        <v>962</v>
      </c>
    </row>
    <row r="1336" spans="1:17" ht="30" x14ac:dyDescent="0.25">
      <c r="F1336" s="10">
        <v>2</v>
      </c>
      <c r="H1336" s="2" t="s">
        <v>963</v>
      </c>
    </row>
    <row r="1337" spans="1:17" ht="45" x14ac:dyDescent="0.25">
      <c r="F1337" s="10">
        <v>3</v>
      </c>
      <c r="H1337" s="2" t="s">
        <v>964</v>
      </c>
    </row>
    <row r="1339" spans="1:17" ht="45" x14ac:dyDescent="0.25">
      <c r="A1339" s="7" t="s">
        <v>859</v>
      </c>
      <c r="B1339" s="26" t="s">
        <v>3516</v>
      </c>
      <c r="C1339" s="7" t="s">
        <v>39</v>
      </c>
      <c r="D1339" s="26" t="s">
        <v>3383</v>
      </c>
      <c r="E1339" s="10" t="s">
        <v>121</v>
      </c>
      <c r="F1339" s="10">
        <v>1</v>
      </c>
      <c r="G1339" s="2" t="s">
        <v>843</v>
      </c>
    </row>
    <row r="1340" spans="1:17" ht="30" x14ac:dyDescent="0.25">
      <c r="B1340" s="26"/>
      <c r="D1340" s="26"/>
      <c r="F1340" s="10">
        <v>2</v>
      </c>
      <c r="H1340" s="2" t="s">
        <v>3517</v>
      </c>
      <c r="J1340" s="5">
        <v>40231</v>
      </c>
      <c r="K1340" s="3">
        <v>40254</v>
      </c>
      <c r="L1340" s="7" t="s">
        <v>1288</v>
      </c>
      <c r="N1340" s="2" t="s">
        <v>974</v>
      </c>
    </row>
    <row r="1341" spans="1:17" x14ac:dyDescent="0.25">
      <c r="B1341" s="26"/>
      <c r="D1341" s="26"/>
      <c r="F1341" s="10">
        <v>3</v>
      </c>
      <c r="G1341" s="2" t="s">
        <v>3384</v>
      </c>
    </row>
    <row r="1342" spans="1:17" ht="30" x14ac:dyDescent="0.25">
      <c r="B1342" s="26"/>
      <c r="D1342" s="26"/>
      <c r="F1342" s="10">
        <v>4</v>
      </c>
      <c r="H1342" s="2" t="s">
        <v>3518</v>
      </c>
      <c r="J1342" s="5">
        <v>40231</v>
      </c>
      <c r="K1342" s="3">
        <v>40254</v>
      </c>
      <c r="L1342" s="7" t="s">
        <v>1288</v>
      </c>
      <c r="N1342" s="2" t="s">
        <v>974</v>
      </c>
    </row>
    <row r="1343" spans="1:17" x14ac:dyDescent="0.25">
      <c r="B1343" s="26"/>
      <c r="D1343" s="26"/>
      <c r="F1343" s="10">
        <v>5</v>
      </c>
      <c r="G1343" s="2" t="s">
        <v>1108</v>
      </c>
    </row>
    <row r="1344" spans="1:17" ht="75" x14ac:dyDescent="0.25">
      <c r="F1344" s="10">
        <v>6</v>
      </c>
      <c r="H1344" s="2" t="s">
        <v>3519</v>
      </c>
      <c r="I1344" s="2" t="s">
        <v>29</v>
      </c>
      <c r="J1344" s="5">
        <v>40231</v>
      </c>
      <c r="K1344" s="3">
        <v>40254</v>
      </c>
      <c r="L1344" s="7" t="s">
        <v>1288</v>
      </c>
      <c r="N1344" s="2" t="s">
        <v>974</v>
      </c>
      <c r="O1344" s="2" t="s">
        <v>3385</v>
      </c>
      <c r="P1344" s="7" t="s">
        <v>982</v>
      </c>
      <c r="Q1344" s="2" t="s">
        <v>540</v>
      </c>
    </row>
    <row r="1345" spans="1:14" ht="45" x14ac:dyDescent="0.25">
      <c r="F1345" s="10">
        <v>7</v>
      </c>
      <c r="H1345" s="2" t="s">
        <v>3520</v>
      </c>
      <c r="I1345" s="2" t="s">
        <v>29</v>
      </c>
      <c r="J1345" s="5">
        <v>40231</v>
      </c>
      <c r="K1345" s="3">
        <v>40254</v>
      </c>
      <c r="L1345" s="7" t="s">
        <v>1288</v>
      </c>
      <c r="N1345" s="2" t="s">
        <v>974</v>
      </c>
    </row>
    <row r="1346" spans="1:14" ht="45" x14ac:dyDescent="0.25">
      <c r="E1346" s="10" t="s">
        <v>123</v>
      </c>
      <c r="F1346" s="10">
        <v>1</v>
      </c>
      <c r="G1346" s="2" t="s">
        <v>3866</v>
      </c>
      <c r="J1346" s="5"/>
      <c r="K1346" s="5"/>
      <c r="L1346" s="3"/>
    </row>
    <row r="1347" spans="1:14" x14ac:dyDescent="0.25">
      <c r="F1347" s="10">
        <v>2</v>
      </c>
      <c r="H1347" s="2" t="s">
        <v>1109</v>
      </c>
      <c r="J1347" s="5">
        <v>40231</v>
      </c>
      <c r="K1347" s="3">
        <v>40254</v>
      </c>
      <c r="L1347" s="7" t="s">
        <v>1288</v>
      </c>
      <c r="N1347" s="2" t="s">
        <v>974</v>
      </c>
    </row>
    <row r="1348" spans="1:14" ht="45" x14ac:dyDescent="0.25">
      <c r="E1348" s="10" t="s">
        <v>126</v>
      </c>
      <c r="F1348" s="10">
        <v>1</v>
      </c>
      <c r="G1348" s="2" t="s">
        <v>1110</v>
      </c>
      <c r="J1348" s="5"/>
      <c r="K1348" s="5"/>
      <c r="L1348" s="3"/>
    </row>
    <row r="1349" spans="1:14" ht="30" x14ac:dyDescent="0.25">
      <c r="F1349" s="10">
        <v>2</v>
      </c>
      <c r="H1349" s="2" t="s">
        <v>3521</v>
      </c>
      <c r="J1349" s="5">
        <v>40255</v>
      </c>
      <c r="K1349" s="3">
        <v>40254</v>
      </c>
      <c r="L1349" s="7" t="s">
        <v>1288</v>
      </c>
      <c r="N1349" s="2" t="s">
        <v>974</v>
      </c>
    </row>
    <row r="1350" spans="1:14" ht="45" x14ac:dyDescent="0.25">
      <c r="E1350" s="10" t="s">
        <v>127</v>
      </c>
      <c r="F1350" s="10">
        <v>1</v>
      </c>
      <c r="G1350" s="2" t="s">
        <v>1111</v>
      </c>
      <c r="J1350" s="5"/>
      <c r="K1350" s="5"/>
      <c r="L1350" s="3"/>
    </row>
    <row r="1351" spans="1:14" ht="75" x14ac:dyDescent="0.25">
      <c r="F1351" s="10">
        <v>2</v>
      </c>
      <c r="H1351" s="2" t="s">
        <v>1112</v>
      </c>
      <c r="J1351" s="5">
        <v>40255</v>
      </c>
      <c r="K1351" s="3">
        <v>40254</v>
      </c>
      <c r="L1351" s="7" t="s">
        <v>1288</v>
      </c>
      <c r="N1351" s="2" t="s">
        <v>974</v>
      </c>
    </row>
    <row r="1352" spans="1:14" x14ac:dyDescent="0.25">
      <c r="B1352" s="26"/>
      <c r="D1352" s="26"/>
      <c r="F1352" s="10">
        <v>3</v>
      </c>
      <c r="G1352" s="2" t="s">
        <v>1113</v>
      </c>
    </row>
    <row r="1353" spans="1:14" ht="30" x14ac:dyDescent="0.25">
      <c r="B1353" s="26"/>
      <c r="D1353" s="26"/>
      <c r="F1353" s="10">
        <v>4</v>
      </c>
      <c r="H1353" s="2" t="s">
        <v>1114</v>
      </c>
      <c r="J1353" s="5">
        <v>40255</v>
      </c>
      <c r="K1353" s="3">
        <v>40254</v>
      </c>
      <c r="L1353" s="7" t="s">
        <v>1288</v>
      </c>
      <c r="N1353" s="2" t="s">
        <v>974</v>
      </c>
    </row>
    <row r="1354" spans="1:14" ht="60" x14ac:dyDescent="0.25">
      <c r="B1354" s="26"/>
      <c r="D1354" s="26"/>
      <c r="F1354" s="10">
        <v>5</v>
      </c>
      <c r="H1354" s="2" t="s">
        <v>1115</v>
      </c>
      <c r="J1354" s="5">
        <v>40255</v>
      </c>
      <c r="K1354" s="3">
        <v>40254</v>
      </c>
      <c r="L1354" s="7" t="s">
        <v>1288</v>
      </c>
      <c r="M1354" s="2" t="s">
        <v>1129</v>
      </c>
      <c r="N1354" s="2" t="s">
        <v>974</v>
      </c>
    </row>
    <row r="1355" spans="1:14" ht="30" x14ac:dyDescent="0.25">
      <c r="B1355" s="26"/>
      <c r="D1355" s="26"/>
      <c r="F1355" s="10">
        <v>6</v>
      </c>
      <c r="H1355" s="2" t="s">
        <v>3960</v>
      </c>
      <c r="J1355" s="3">
        <v>40262</v>
      </c>
      <c r="K1355" s="4"/>
      <c r="L1355" s="7" t="s">
        <v>1288</v>
      </c>
      <c r="M1355" s="2" t="s">
        <v>1129</v>
      </c>
      <c r="N1355" s="2" t="s">
        <v>974</v>
      </c>
    </row>
    <row r="1356" spans="1:14" ht="30" x14ac:dyDescent="0.25">
      <c r="B1356" s="26"/>
      <c r="D1356" s="26"/>
      <c r="F1356" s="10">
        <v>7</v>
      </c>
      <c r="H1356" s="2" t="s">
        <v>1118</v>
      </c>
      <c r="J1356" s="3">
        <v>40262</v>
      </c>
      <c r="K1356" s="4"/>
      <c r="L1356" s="7" t="s">
        <v>1288</v>
      </c>
      <c r="M1356" s="2" t="s">
        <v>1129</v>
      </c>
      <c r="N1356" s="2" t="s">
        <v>974</v>
      </c>
    </row>
    <row r="1358" spans="1:14" ht="45" x14ac:dyDescent="0.25">
      <c r="A1358" s="7" t="s">
        <v>860</v>
      </c>
      <c r="B1358" s="26" t="s">
        <v>1261</v>
      </c>
      <c r="C1358" s="26" t="s">
        <v>258</v>
      </c>
      <c r="D1358" s="26" t="s">
        <v>1262</v>
      </c>
      <c r="E1358" s="10" t="s">
        <v>121</v>
      </c>
      <c r="F1358" s="10">
        <v>1</v>
      </c>
      <c r="G1358" s="2" t="s">
        <v>1263</v>
      </c>
    </row>
    <row r="1359" spans="1:14" ht="30" x14ac:dyDescent="0.25">
      <c r="F1359" s="10">
        <v>2</v>
      </c>
      <c r="H1359" s="2" t="s">
        <v>1264</v>
      </c>
      <c r="I1359" s="2" t="s">
        <v>29</v>
      </c>
      <c r="J1359" s="5">
        <v>40231</v>
      </c>
      <c r="K1359" s="3">
        <v>40254</v>
      </c>
      <c r="L1359" s="7" t="s">
        <v>1288</v>
      </c>
      <c r="N1359" s="2" t="s">
        <v>974</v>
      </c>
    </row>
    <row r="1360" spans="1:14" ht="45" x14ac:dyDescent="0.25">
      <c r="F1360" s="10">
        <v>3</v>
      </c>
      <c r="H1360" s="2" t="s">
        <v>1265</v>
      </c>
      <c r="I1360" s="2" t="s">
        <v>29</v>
      </c>
      <c r="J1360" s="5">
        <v>40231</v>
      </c>
      <c r="K1360" s="3">
        <v>40254</v>
      </c>
      <c r="L1360" s="7" t="s">
        <v>1288</v>
      </c>
      <c r="N1360" s="2" t="s">
        <v>974</v>
      </c>
    </row>
    <row r="1361" spans="1:18" ht="30" x14ac:dyDescent="0.25">
      <c r="E1361" s="10" t="s">
        <v>123</v>
      </c>
      <c r="F1361" s="10">
        <v>1</v>
      </c>
      <c r="G1361" s="2" t="s">
        <v>1098</v>
      </c>
    </row>
    <row r="1362" spans="1:18" ht="60" x14ac:dyDescent="0.25">
      <c r="F1362" s="10">
        <v>2</v>
      </c>
      <c r="H1362" s="2" t="s">
        <v>1097</v>
      </c>
      <c r="I1362" s="2" t="s">
        <v>29</v>
      </c>
      <c r="J1362" s="3">
        <v>40255</v>
      </c>
      <c r="K1362" s="3">
        <v>40254</v>
      </c>
      <c r="L1362" s="7" t="s">
        <v>1288</v>
      </c>
      <c r="N1362" s="2" t="s">
        <v>974</v>
      </c>
    </row>
    <row r="1363" spans="1:18" x14ac:dyDescent="0.25">
      <c r="F1363" s="10">
        <v>3</v>
      </c>
      <c r="G1363" s="2" t="s">
        <v>1266</v>
      </c>
    </row>
    <row r="1364" spans="1:18" ht="105" x14ac:dyDescent="0.25">
      <c r="F1364" s="10">
        <v>4</v>
      </c>
      <c r="H1364" s="2" t="s">
        <v>1099</v>
      </c>
      <c r="I1364" s="2" t="s">
        <v>29</v>
      </c>
      <c r="J1364" s="3">
        <v>40255</v>
      </c>
      <c r="K1364" s="3">
        <v>40254</v>
      </c>
      <c r="L1364" s="7" t="s">
        <v>1288</v>
      </c>
      <c r="M1364" s="2" t="s">
        <v>1106</v>
      </c>
      <c r="N1364" s="2" t="s">
        <v>974</v>
      </c>
    </row>
    <row r="1366" spans="1:18" ht="45" x14ac:dyDescent="0.25">
      <c r="A1366" s="7" t="s">
        <v>429</v>
      </c>
      <c r="B1366" s="7" t="s">
        <v>633</v>
      </c>
      <c r="C1366" s="7" t="s">
        <v>39</v>
      </c>
      <c r="D1366" s="7" t="s">
        <v>634</v>
      </c>
      <c r="E1366" s="10" t="s">
        <v>121</v>
      </c>
      <c r="F1366" s="10">
        <v>1</v>
      </c>
      <c r="G1366" s="2" t="s">
        <v>1070</v>
      </c>
    </row>
    <row r="1367" spans="1:18" ht="45" x14ac:dyDescent="0.25">
      <c r="F1367" s="10">
        <v>2</v>
      </c>
      <c r="H1367" s="2" t="s">
        <v>1071</v>
      </c>
      <c r="I1367" s="2" t="s">
        <v>30</v>
      </c>
      <c r="J1367" s="3">
        <v>40255</v>
      </c>
      <c r="K1367" s="4"/>
      <c r="L1367" s="32" t="s">
        <v>581</v>
      </c>
      <c r="N1367" s="2" t="s">
        <v>974</v>
      </c>
    </row>
    <row r="1368" spans="1:18" ht="51" customHeight="1" x14ac:dyDescent="0.25">
      <c r="F1368" s="10">
        <v>3</v>
      </c>
      <c r="H1368" s="2" t="s">
        <v>1072</v>
      </c>
      <c r="I1368" s="2" t="s">
        <v>30</v>
      </c>
      <c r="J1368" s="3">
        <v>40255</v>
      </c>
      <c r="K1368" s="4"/>
      <c r="L1368" s="32" t="s">
        <v>581</v>
      </c>
      <c r="N1368" s="2" t="s">
        <v>974</v>
      </c>
    </row>
    <row r="1369" spans="1:18" ht="30" x14ac:dyDescent="0.25">
      <c r="F1369" s="10">
        <v>4</v>
      </c>
      <c r="G1369" s="2" t="s">
        <v>1073</v>
      </c>
    </row>
    <row r="1370" spans="1:18" ht="30" x14ac:dyDescent="0.25">
      <c r="F1370" s="10">
        <v>5</v>
      </c>
      <c r="H1370" s="2" t="s">
        <v>1087</v>
      </c>
      <c r="I1370" s="2" t="s">
        <v>29</v>
      </c>
      <c r="J1370" s="3">
        <v>40255</v>
      </c>
      <c r="K1370" s="4"/>
      <c r="L1370" s="32" t="s">
        <v>581</v>
      </c>
      <c r="N1370" s="2" t="s">
        <v>974</v>
      </c>
    </row>
    <row r="1371" spans="1:18" ht="165" x14ac:dyDescent="0.25">
      <c r="F1371" s="10">
        <v>6</v>
      </c>
      <c r="H1371" s="2" t="s">
        <v>3522</v>
      </c>
      <c r="I1371" s="2" t="s">
        <v>29</v>
      </c>
      <c r="J1371" s="3">
        <v>40255</v>
      </c>
      <c r="K1371" s="4"/>
      <c r="L1371" s="32" t="s">
        <v>581</v>
      </c>
      <c r="N1371" s="2" t="s">
        <v>974</v>
      </c>
    </row>
    <row r="1372" spans="1:18" x14ac:dyDescent="0.25">
      <c r="F1372" s="10">
        <v>7</v>
      </c>
      <c r="H1372" s="2" t="s">
        <v>1074</v>
      </c>
      <c r="I1372" s="2" t="s">
        <v>29</v>
      </c>
      <c r="J1372" s="3">
        <v>40255</v>
      </c>
      <c r="K1372" s="4"/>
      <c r="L1372" s="32" t="s">
        <v>581</v>
      </c>
      <c r="N1372" s="2" t="s">
        <v>974</v>
      </c>
    </row>
    <row r="1373" spans="1:18" ht="30" x14ac:dyDescent="0.25">
      <c r="F1373" s="10">
        <v>8</v>
      </c>
      <c r="H1373" s="2" t="s">
        <v>1075</v>
      </c>
    </row>
    <row r="1374" spans="1:18" x14ac:dyDescent="0.25">
      <c r="F1374" s="10">
        <v>9</v>
      </c>
      <c r="H1374" s="2" t="s">
        <v>1076</v>
      </c>
      <c r="I1374" s="2" t="s">
        <v>29</v>
      </c>
      <c r="J1374" s="3">
        <v>40255</v>
      </c>
      <c r="K1374" s="4"/>
      <c r="L1374" s="32" t="s">
        <v>581</v>
      </c>
      <c r="N1374" s="2" t="s">
        <v>974</v>
      </c>
    </row>
    <row r="1375" spans="1:18" ht="30" x14ac:dyDescent="0.25">
      <c r="F1375" s="10">
        <v>10</v>
      </c>
      <c r="H1375" s="2" t="s">
        <v>1080</v>
      </c>
      <c r="I1375" s="2" t="s">
        <v>29</v>
      </c>
      <c r="J1375" s="3">
        <v>40255</v>
      </c>
      <c r="K1375" s="4"/>
      <c r="L1375" s="32" t="s">
        <v>581</v>
      </c>
      <c r="N1375" s="2" t="s">
        <v>974</v>
      </c>
    </row>
    <row r="1376" spans="1:18" ht="30" x14ac:dyDescent="0.25">
      <c r="F1376" s="10">
        <v>11</v>
      </c>
      <c r="H1376" s="2" t="s">
        <v>1094</v>
      </c>
      <c r="I1376" s="2" t="s">
        <v>30</v>
      </c>
      <c r="J1376" s="3">
        <v>40255</v>
      </c>
      <c r="K1376" s="4"/>
      <c r="L1376" s="32" t="s">
        <v>581</v>
      </c>
      <c r="N1376" s="2" t="s">
        <v>974</v>
      </c>
      <c r="O1376" s="2" t="s">
        <v>2302</v>
      </c>
      <c r="P1376" s="2" t="s">
        <v>982</v>
      </c>
      <c r="Q1376" s="2" t="s">
        <v>540</v>
      </c>
      <c r="R1376" s="2" t="s">
        <v>2354</v>
      </c>
    </row>
    <row r="1377" spans="5:18" x14ac:dyDescent="0.25">
      <c r="F1377" s="10">
        <v>12</v>
      </c>
      <c r="H1377" s="2" t="s">
        <v>1079</v>
      </c>
      <c r="I1377" s="2" t="s">
        <v>29</v>
      </c>
      <c r="J1377" s="3">
        <v>40255</v>
      </c>
      <c r="K1377" s="4"/>
      <c r="L1377" s="32" t="s">
        <v>581</v>
      </c>
      <c r="N1377" s="2" t="s">
        <v>974</v>
      </c>
    </row>
    <row r="1378" spans="5:18" x14ac:dyDescent="0.25">
      <c r="F1378" s="10">
        <v>13</v>
      </c>
      <c r="H1378" s="2" t="s">
        <v>1077</v>
      </c>
      <c r="I1378" s="2" t="s">
        <v>29</v>
      </c>
      <c r="J1378" s="3">
        <v>40255</v>
      </c>
      <c r="K1378" s="4"/>
      <c r="L1378" s="32" t="s">
        <v>581</v>
      </c>
      <c r="N1378" s="2" t="s">
        <v>974</v>
      </c>
    </row>
    <row r="1379" spans="5:18" x14ac:dyDescent="0.25">
      <c r="F1379" s="10">
        <v>14</v>
      </c>
      <c r="H1379" s="2" t="s">
        <v>1078</v>
      </c>
      <c r="I1379" s="2" t="s">
        <v>29</v>
      </c>
      <c r="J1379" s="3">
        <v>40255</v>
      </c>
      <c r="K1379" s="4"/>
      <c r="L1379" s="32" t="s">
        <v>581</v>
      </c>
      <c r="N1379" s="2" t="s">
        <v>974</v>
      </c>
    </row>
    <row r="1380" spans="5:18" ht="75" x14ac:dyDescent="0.25">
      <c r="F1380" s="10">
        <v>15</v>
      </c>
      <c r="H1380" s="2" t="s">
        <v>3523</v>
      </c>
      <c r="I1380" s="2" t="s">
        <v>29</v>
      </c>
      <c r="J1380" s="3">
        <v>40255</v>
      </c>
      <c r="K1380" s="4"/>
      <c r="L1380" s="32" t="s">
        <v>581</v>
      </c>
      <c r="N1380" s="2" t="s">
        <v>974</v>
      </c>
      <c r="O1380" s="2" t="s">
        <v>2303</v>
      </c>
    </row>
    <row r="1381" spans="5:18" ht="90" x14ac:dyDescent="0.25">
      <c r="F1381" s="10">
        <v>16</v>
      </c>
      <c r="H1381" s="2" t="s">
        <v>1081</v>
      </c>
      <c r="I1381" s="2" t="s">
        <v>29</v>
      </c>
      <c r="J1381" s="3">
        <v>40255</v>
      </c>
      <c r="K1381" s="4"/>
      <c r="L1381" s="32" t="s">
        <v>581</v>
      </c>
      <c r="N1381" s="2" t="s">
        <v>974</v>
      </c>
    </row>
    <row r="1382" spans="5:18" ht="30" x14ac:dyDescent="0.25">
      <c r="F1382" s="10">
        <v>17</v>
      </c>
      <c r="G1382" s="2" t="s">
        <v>1082</v>
      </c>
    </row>
    <row r="1383" spans="5:18" ht="90" x14ac:dyDescent="0.25">
      <c r="F1383" s="10">
        <v>18</v>
      </c>
      <c r="H1383" s="2" t="s">
        <v>1083</v>
      </c>
      <c r="I1383" s="2" t="s">
        <v>30</v>
      </c>
      <c r="J1383" s="3">
        <v>40255</v>
      </c>
      <c r="K1383" s="4"/>
      <c r="L1383" s="32" t="s">
        <v>581</v>
      </c>
      <c r="N1383" s="2" t="s">
        <v>974</v>
      </c>
      <c r="O1383" s="2" t="s">
        <v>2786</v>
      </c>
      <c r="P1383" s="2" t="s">
        <v>982</v>
      </c>
      <c r="Q1383" s="2" t="s">
        <v>540</v>
      </c>
      <c r="R1383" s="2" t="s">
        <v>2170</v>
      </c>
    </row>
    <row r="1384" spans="5:18" ht="30" x14ac:dyDescent="0.25">
      <c r="E1384" s="10" t="s">
        <v>2304</v>
      </c>
      <c r="F1384" s="10">
        <v>1</v>
      </c>
      <c r="G1384" s="2" t="s">
        <v>1084</v>
      </c>
    </row>
    <row r="1385" spans="5:18" ht="30" x14ac:dyDescent="0.25">
      <c r="F1385" s="10">
        <v>2</v>
      </c>
      <c r="H1385" s="2" t="s">
        <v>1083</v>
      </c>
      <c r="I1385" s="2" t="s">
        <v>30</v>
      </c>
      <c r="J1385" s="3">
        <v>40255</v>
      </c>
      <c r="K1385" s="4"/>
      <c r="L1385" s="32" t="s">
        <v>581</v>
      </c>
      <c r="N1385" s="2" t="s">
        <v>974</v>
      </c>
    </row>
    <row r="1386" spans="5:18" ht="45" x14ac:dyDescent="0.25">
      <c r="E1386" s="10" t="s">
        <v>123</v>
      </c>
      <c r="F1386" s="10">
        <v>1</v>
      </c>
      <c r="G1386" s="2" t="s">
        <v>1085</v>
      </c>
    </row>
    <row r="1387" spans="5:18" ht="45" x14ac:dyDescent="0.25">
      <c r="F1387" s="10">
        <v>2</v>
      </c>
      <c r="H1387" s="2" t="s">
        <v>1086</v>
      </c>
      <c r="I1387" s="2" t="s">
        <v>29</v>
      </c>
      <c r="J1387" s="3">
        <v>40255</v>
      </c>
      <c r="K1387" s="4"/>
      <c r="L1387" s="32" t="s">
        <v>581</v>
      </c>
      <c r="N1387" s="2" t="s">
        <v>974</v>
      </c>
    </row>
    <row r="1388" spans="5:18" x14ac:dyDescent="0.25">
      <c r="E1388" s="10" t="s">
        <v>130</v>
      </c>
      <c r="F1388" s="10">
        <v>1</v>
      </c>
      <c r="G1388" s="2" t="s">
        <v>1096</v>
      </c>
    </row>
    <row r="1389" spans="5:18" ht="60" x14ac:dyDescent="0.25">
      <c r="F1389" s="10">
        <v>2</v>
      </c>
      <c r="H1389" s="2" t="s">
        <v>3386</v>
      </c>
      <c r="I1389" s="2" t="s">
        <v>30</v>
      </c>
      <c r="J1389" s="3">
        <v>40255</v>
      </c>
      <c r="K1389" s="4"/>
      <c r="L1389" s="4"/>
      <c r="N1389" s="2" t="s">
        <v>974</v>
      </c>
    </row>
    <row r="1390" spans="5:18" ht="45" x14ac:dyDescent="0.25">
      <c r="E1390" s="10" t="s">
        <v>2305</v>
      </c>
      <c r="F1390" s="10">
        <v>1</v>
      </c>
      <c r="H1390" s="2" t="s">
        <v>1088</v>
      </c>
      <c r="J1390" s="3"/>
      <c r="K1390" s="3"/>
      <c r="L1390" s="32"/>
    </row>
    <row r="1391" spans="5:18" x14ac:dyDescent="0.25">
      <c r="F1391" s="10">
        <v>2</v>
      </c>
      <c r="H1391" s="2" t="s">
        <v>1089</v>
      </c>
      <c r="I1391" s="2" t="s">
        <v>29</v>
      </c>
      <c r="J1391" s="3">
        <v>40255</v>
      </c>
      <c r="K1391" s="4"/>
      <c r="L1391" s="32" t="s">
        <v>581</v>
      </c>
      <c r="N1391" s="2" t="s">
        <v>974</v>
      </c>
    </row>
    <row r="1392" spans="5:18" ht="90" x14ac:dyDescent="0.25">
      <c r="F1392" s="10">
        <v>3</v>
      </c>
      <c r="H1392" s="2" t="s">
        <v>3524</v>
      </c>
      <c r="I1392" s="2" t="s">
        <v>29</v>
      </c>
      <c r="J1392" s="3">
        <v>40255</v>
      </c>
      <c r="K1392" s="4"/>
      <c r="L1392" s="32" t="s">
        <v>581</v>
      </c>
      <c r="N1392" s="2" t="s">
        <v>974</v>
      </c>
    </row>
    <row r="1393" spans="1:18" ht="30" x14ac:dyDescent="0.25">
      <c r="F1393" s="10">
        <v>4</v>
      </c>
      <c r="G1393" s="2" t="s">
        <v>1090</v>
      </c>
    </row>
    <row r="1394" spans="1:18" ht="75" x14ac:dyDescent="0.25">
      <c r="F1394" s="10">
        <v>5</v>
      </c>
      <c r="H1394" s="7" t="s">
        <v>2306</v>
      </c>
      <c r="I1394" s="2" t="s">
        <v>30</v>
      </c>
      <c r="J1394" s="3">
        <v>40255</v>
      </c>
      <c r="K1394" s="4"/>
      <c r="L1394" s="32" t="s">
        <v>581</v>
      </c>
      <c r="N1394" s="2" t="s">
        <v>974</v>
      </c>
    </row>
    <row r="1395" spans="1:18" ht="30" x14ac:dyDescent="0.25">
      <c r="F1395" s="10">
        <v>6</v>
      </c>
      <c r="H1395" s="2" t="s">
        <v>3570</v>
      </c>
      <c r="I1395" s="2" t="s">
        <v>30</v>
      </c>
      <c r="J1395" s="3">
        <v>40255</v>
      </c>
      <c r="K1395" s="4"/>
      <c r="L1395" s="32" t="s">
        <v>581</v>
      </c>
      <c r="N1395" s="2" t="s">
        <v>974</v>
      </c>
    </row>
    <row r="1396" spans="1:18" ht="90" x14ac:dyDescent="0.25">
      <c r="F1396" s="10">
        <v>7</v>
      </c>
      <c r="H1396" s="7" t="s">
        <v>1095</v>
      </c>
      <c r="I1396" s="2" t="s">
        <v>30</v>
      </c>
      <c r="J1396" s="3">
        <v>40255</v>
      </c>
      <c r="K1396" s="4"/>
      <c r="L1396" s="32" t="s">
        <v>581</v>
      </c>
      <c r="N1396" s="2" t="s">
        <v>974</v>
      </c>
      <c r="O1396" s="2" t="s">
        <v>2787</v>
      </c>
      <c r="P1396" s="2" t="s">
        <v>980</v>
      </c>
      <c r="Q1396" s="2" t="s">
        <v>540</v>
      </c>
      <c r="R1396" s="2" t="s">
        <v>2158</v>
      </c>
    </row>
    <row r="1398" spans="1:18" ht="60" x14ac:dyDescent="0.25">
      <c r="A1398" s="26" t="s">
        <v>1293</v>
      </c>
      <c r="B1398" s="26" t="s">
        <v>1320</v>
      </c>
      <c r="C1398" s="26" t="s">
        <v>1321</v>
      </c>
      <c r="D1398" s="26" t="s">
        <v>1322</v>
      </c>
      <c r="E1398" s="10" t="s">
        <v>121</v>
      </c>
      <c r="F1398" s="10">
        <v>1</v>
      </c>
      <c r="G1398" s="2" t="s">
        <v>562</v>
      </c>
    </row>
    <row r="1399" spans="1:18" ht="75" x14ac:dyDescent="0.25">
      <c r="A1399" s="26"/>
      <c r="B1399" s="26"/>
      <c r="C1399" s="26"/>
      <c r="D1399" s="26"/>
      <c r="F1399" s="10">
        <v>2</v>
      </c>
      <c r="G1399" s="2" t="s">
        <v>1119</v>
      </c>
    </row>
    <row r="1400" spans="1:18" ht="45" x14ac:dyDescent="0.25">
      <c r="A1400" s="26"/>
      <c r="B1400" s="26"/>
      <c r="C1400" s="26"/>
      <c r="D1400" s="26"/>
      <c r="F1400" s="10">
        <v>3</v>
      </c>
      <c r="G1400" s="2" t="s">
        <v>565</v>
      </c>
    </row>
    <row r="1401" spans="1:18" ht="45" x14ac:dyDescent="0.25">
      <c r="F1401" s="10">
        <v>4</v>
      </c>
      <c r="H1401" s="2" t="s">
        <v>563</v>
      </c>
      <c r="I1401" s="2" t="s">
        <v>29</v>
      </c>
      <c r="J1401" s="2" t="s">
        <v>33</v>
      </c>
      <c r="K1401" s="2" t="s">
        <v>33</v>
      </c>
      <c r="L1401" s="7" t="s">
        <v>14</v>
      </c>
      <c r="N1401" s="2" t="s">
        <v>974</v>
      </c>
    </row>
    <row r="1402" spans="1:18" ht="30" x14ac:dyDescent="0.25">
      <c r="F1402" s="10">
        <v>5</v>
      </c>
      <c r="H1402" s="2" t="s">
        <v>564</v>
      </c>
      <c r="I1402" s="2" t="s">
        <v>29</v>
      </c>
      <c r="J1402" s="2" t="s">
        <v>567</v>
      </c>
      <c r="K1402" s="2" t="s">
        <v>33</v>
      </c>
      <c r="L1402" s="7" t="s">
        <v>14</v>
      </c>
      <c r="N1402" s="2" t="s">
        <v>974</v>
      </c>
      <c r="O1402" s="2" t="s">
        <v>1544</v>
      </c>
      <c r="P1402" s="2" t="s">
        <v>980</v>
      </c>
      <c r="Q1402" s="2" t="s">
        <v>540</v>
      </c>
    </row>
    <row r="1403" spans="1:18" ht="45" x14ac:dyDescent="0.25">
      <c r="F1403" s="10">
        <v>6</v>
      </c>
      <c r="H1403" s="2" t="s">
        <v>572</v>
      </c>
      <c r="I1403" s="2" t="s">
        <v>30</v>
      </c>
      <c r="J1403" s="7" t="s">
        <v>33</v>
      </c>
      <c r="K1403" s="2" t="s">
        <v>33</v>
      </c>
      <c r="L1403" s="7" t="s">
        <v>14</v>
      </c>
      <c r="N1403" s="2" t="s">
        <v>974</v>
      </c>
      <c r="O1403" s="2" t="s">
        <v>2292</v>
      </c>
      <c r="P1403" s="2" t="s">
        <v>977</v>
      </c>
      <c r="Q1403" s="2" t="s">
        <v>540</v>
      </c>
    </row>
    <row r="1404" spans="1:18" ht="30" x14ac:dyDescent="0.25">
      <c r="F1404" s="10">
        <v>7</v>
      </c>
      <c r="H1404" s="2" t="s">
        <v>566</v>
      </c>
      <c r="I1404" s="2" t="s">
        <v>30</v>
      </c>
      <c r="J1404" s="2" t="s">
        <v>567</v>
      </c>
      <c r="K1404" s="2" t="s">
        <v>33</v>
      </c>
      <c r="L1404" s="7" t="s">
        <v>14</v>
      </c>
      <c r="N1404" s="2" t="s">
        <v>974</v>
      </c>
    </row>
    <row r="1406" spans="1:18" ht="60" x14ac:dyDescent="0.25">
      <c r="A1406" s="19" t="s">
        <v>1297</v>
      </c>
      <c r="B1406" s="19" t="s">
        <v>560</v>
      </c>
      <c r="C1406" s="19" t="s">
        <v>39</v>
      </c>
      <c r="D1406" s="19" t="s">
        <v>561</v>
      </c>
      <c r="E1406" s="10" t="s">
        <v>121</v>
      </c>
      <c r="F1406" s="10">
        <v>1</v>
      </c>
      <c r="G1406" s="2" t="s">
        <v>1180</v>
      </c>
    </row>
    <row r="1407" spans="1:18" ht="90" x14ac:dyDescent="0.25">
      <c r="F1407" s="10">
        <v>2</v>
      </c>
      <c r="G1407" s="2" t="s">
        <v>3961</v>
      </c>
    </row>
    <row r="1408" spans="1:18" x14ac:dyDescent="0.25">
      <c r="F1408" s="10">
        <v>3</v>
      </c>
      <c r="G1408" s="2" t="s">
        <v>568</v>
      </c>
    </row>
    <row r="1409" spans="1:18" ht="45" x14ac:dyDescent="0.25">
      <c r="F1409" s="10">
        <v>4</v>
      </c>
      <c r="H1409" s="2" t="s">
        <v>569</v>
      </c>
      <c r="I1409" s="2" t="s">
        <v>29</v>
      </c>
      <c r="J1409" s="2" t="s">
        <v>567</v>
      </c>
      <c r="K1409" s="2" t="s">
        <v>33</v>
      </c>
      <c r="L1409" s="7" t="s">
        <v>14</v>
      </c>
      <c r="N1409" s="2" t="s">
        <v>974</v>
      </c>
    </row>
    <row r="1410" spans="1:18" x14ac:dyDescent="0.25">
      <c r="F1410" s="10">
        <v>5</v>
      </c>
      <c r="G1410" s="2" t="s">
        <v>570</v>
      </c>
    </row>
    <row r="1411" spans="1:18" ht="110.25" customHeight="1" x14ac:dyDescent="0.25">
      <c r="F1411" s="10">
        <v>6</v>
      </c>
      <c r="H1411" s="2" t="s">
        <v>571</v>
      </c>
      <c r="I1411" s="2" t="s">
        <v>29</v>
      </c>
      <c r="J1411" s="3">
        <v>40353</v>
      </c>
      <c r="K1411" s="4"/>
      <c r="L1411" s="7" t="s">
        <v>14</v>
      </c>
      <c r="N1411" s="2" t="s">
        <v>974</v>
      </c>
      <c r="O1411" s="2" t="s">
        <v>3525</v>
      </c>
      <c r="P1411" s="2" t="s">
        <v>977</v>
      </c>
      <c r="Q1411" s="2" t="s">
        <v>540</v>
      </c>
      <c r="R1411" s="2" t="s">
        <v>3104</v>
      </c>
    </row>
    <row r="1412" spans="1:18" ht="60" x14ac:dyDescent="0.25">
      <c r="K1412" s="2"/>
      <c r="M1412" s="2" t="s">
        <v>2484</v>
      </c>
      <c r="N1412" s="2" t="s">
        <v>974</v>
      </c>
      <c r="O1412" s="2" t="s">
        <v>3090</v>
      </c>
      <c r="P1412" s="2" t="s">
        <v>977</v>
      </c>
      <c r="Q1412" s="2" t="s">
        <v>540</v>
      </c>
      <c r="R1412" s="2" t="s">
        <v>2452</v>
      </c>
    </row>
    <row r="1413" spans="1:18" ht="120" x14ac:dyDescent="0.25">
      <c r="K1413" s="2"/>
      <c r="N1413" s="2" t="s">
        <v>974</v>
      </c>
      <c r="O1413" s="2" t="s">
        <v>2454</v>
      </c>
      <c r="P1413" s="2" t="s">
        <v>977</v>
      </c>
      <c r="Q1413" s="2" t="s">
        <v>540</v>
      </c>
    </row>
    <row r="1415" spans="1:18" ht="45" x14ac:dyDescent="0.25">
      <c r="A1415" s="26" t="s">
        <v>1296</v>
      </c>
      <c r="B1415" s="26" t="s">
        <v>3526</v>
      </c>
      <c r="C1415" s="26" t="s">
        <v>39</v>
      </c>
      <c r="D1415" s="26" t="s">
        <v>3571</v>
      </c>
      <c r="E1415" s="10" t="s">
        <v>121</v>
      </c>
      <c r="F1415" s="10">
        <v>1</v>
      </c>
      <c r="G1415" s="2" t="s">
        <v>3572</v>
      </c>
    </row>
    <row r="1416" spans="1:18" ht="60" x14ac:dyDescent="0.25">
      <c r="H1416" s="2" t="s">
        <v>1367</v>
      </c>
      <c r="I1416" s="2" t="s">
        <v>29</v>
      </c>
      <c r="J1416" s="5">
        <v>40241</v>
      </c>
      <c r="K1416" s="3">
        <v>40254</v>
      </c>
      <c r="L1416" s="7" t="s">
        <v>14</v>
      </c>
      <c r="M1416" s="2" t="s">
        <v>580</v>
      </c>
      <c r="N1416" s="2" t="s">
        <v>974</v>
      </c>
      <c r="O1416" s="2" t="s">
        <v>1192</v>
      </c>
      <c r="P1416" s="2" t="s">
        <v>977</v>
      </c>
      <c r="Q1416" s="2" t="s">
        <v>986</v>
      </c>
      <c r="R1416" s="2" t="s">
        <v>2293</v>
      </c>
    </row>
    <row r="1417" spans="1:18" ht="45" x14ac:dyDescent="0.25">
      <c r="H1417" s="2" t="s">
        <v>529</v>
      </c>
      <c r="I1417" s="2" t="s">
        <v>30</v>
      </c>
      <c r="J1417" s="5" t="s">
        <v>33</v>
      </c>
      <c r="K1417" s="3">
        <v>40254</v>
      </c>
      <c r="L1417" s="7" t="s">
        <v>14</v>
      </c>
      <c r="M1417" s="2" t="s">
        <v>580</v>
      </c>
      <c r="N1417" s="2" t="s">
        <v>974</v>
      </c>
    </row>
    <row r="1418" spans="1:18" ht="30" x14ac:dyDescent="0.25">
      <c r="H1418" s="2" t="s">
        <v>1368</v>
      </c>
      <c r="I1418" s="2" t="s">
        <v>29</v>
      </c>
      <c r="J1418" s="5">
        <v>40241</v>
      </c>
      <c r="K1418" s="3">
        <v>40254</v>
      </c>
      <c r="L1418" s="7" t="s">
        <v>14</v>
      </c>
      <c r="M1418" s="2" t="s">
        <v>580</v>
      </c>
      <c r="N1418" s="2" t="s">
        <v>974</v>
      </c>
    </row>
    <row r="1419" spans="1:18" ht="60" x14ac:dyDescent="0.25">
      <c r="H1419" s="2" t="s">
        <v>1369</v>
      </c>
      <c r="I1419" s="2" t="s">
        <v>29</v>
      </c>
      <c r="J1419" s="5">
        <v>40241</v>
      </c>
      <c r="K1419" s="3">
        <v>40254</v>
      </c>
      <c r="L1419" s="7" t="s">
        <v>14</v>
      </c>
      <c r="M1419" s="2" t="s">
        <v>580</v>
      </c>
      <c r="N1419" s="2" t="s">
        <v>974</v>
      </c>
      <c r="O1419" s="2" t="s">
        <v>1187</v>
      </c>
      <c r="P1419" s="2" t="s">
        <v>977</v>
      </c>
      <c r="Q1419" s="2" t="s">
        <v>540</v>
      </c>
    </row>
    <row r="1420" spans="1:18" ht="60" x14ac:dyDescent="0.25">
      <c r="H1420" s="2" t="s">
        <v>1370</v>
      </c>
      <c r="I1420" s="2" t="s">
        <v>29</v>
      </c>
      <c r="J1420" s="5">
        <v>40241</v>
      </c>
      <c r="K1420" s="3">
        <v>40254</v>
      </c>
      <c r="L1420" s="7" t="s">
        <v>14</v>
      </c>
      <c r="M1420" s="2" t="s">
        <v>580</v>
      </c>
      <c r="N1420" s="2" t="s">
        <v>974</v>
      </c>
      <c r="O1420" s="2" t="s">
        <v>1188</v>
      </c>
      <c r="P1420" s="2" t="s">
        <v>980</v>
      </c>
      <c r="Q1420" s="2" t="s">
        <v>540</v>
      </c>
    </row>
    <row r="1421" spans="1:18" ht="75" x14ac:dyDescent="0.25">
      <c r="H1421" s="2" t="s">
        <v>1371</v>
      </c>
      <c r="I1421" s="2" t="s">
        <v>29</v>
      </c>
      <c r="J1421" s="5">
        <v>40241</v>
      </c>
      <c r="K1421" s="3">
        <v>40254</v>
      </c>
      <c r="L1421" s="7" t="s">
        <v>14</v>
      </c>
      <c r="M1421" s="2" t="s">
        <v>580</v>
      </c>
      <c r="N1421" s="2" t="s">
        <v>974</v>
      </c>
      <c r="O1421" s="2" t="s">
        <v>1189</v>
      </c>
      <c r="P1421" s="2" t="s">
        <v>977</v>
      </c>
      <c r="Q1421" s="2" t="s">
        <v>540</v>
      </c>
    </row>
    <row r="1422" spans="1:18" ht="45" x14ac:dyDescent="0.25">
      <c r="H1422" s="2" t="s">
        <v>1372</v>
      </c>
      <c r="I1422" s="2" t="s">
        <v>29</v>
      </c>
      <c r="J1422" s="5">
        <v>40241</v>
      </c>
      <c r="K1422" s="3">
        <v>40254</v>
      </c>
      <c r="L1422" s="7" t="s">
        <v>14</v>
      </c>
      <c r="M1422" s="2" t="s">
        <v>580</v>
      </c>
      <c r="N1422" s="2" t="s">
        <v>974</v>
      </c>
    </row>
    <row r="1423" spans="1:18" ht="75" x14ac:dyDescent="0.25">
      <c r="H1423" s="2" t="s">
        <v>1373</v>
      </c>
      <c r="I1423" s="2" t="s">
        <v>29</v>
      </c>
      <c r="J1423" s="5">
        <v>40241</v>
      </c>
      <c r="K1423" s="3">
        <v>40254</v>
      </c>
      <c r="L1423" s="7" t="s">
        <v>14</v>
      </c>
      <c r="M1423" s="2" t="s">
        <v>580</v>
      </c>
      <c r="N1423" s="2" t="s">
        <v>974</v>
      </c>
      <c r="O1423" s="2" t="s">
        <v>1190</v>
      </c>
      <c r="P1423" s="2" t="s">
        <v>977</v>
      </c>
      <c r="Q1423" s="2" t="s">
        <v>540</v>
      </c>
    </row>
    <row r="1424" spans="1:18" ht="60" x14ac:dyDescent="0.25">
      <c r="H1424" s="2" t="s">
        <v>1374</v>
      </c>
      <c r="I1424" s="2" t="s">
        <v>29</v>
      </c>
      <c r="J1424" s="5">
        <v>40241</v>
      </c>
      <c r="K1424" s="3">
        <v>40254</v>
      </c>
      <c r="L1424" s="7" t="s">
        <v>14</v>
      </c>
      <c r="M1424" s="2" t="s">
        <v>580</v>
      </c>
      <c r="N1424" s="2" t="s">
        <v>974</v>
      </c>
      <c r="O1424" s="2" t="s">
        <v>2294</v>
      </c>
      <c r="P1424" s="2" t="s">
        <v>977</v>
      </c>
      <c r="Q1424" s="2" t="s">
        <v>540</v>
      </c>
    </row>
    <row r="1425" spans="8:18" ht="30" x14ac:dyDescent="0.25">
      <c r="J1425" s="5"/>
      <c r="K1425" s="3"/>
      <c r="N1425" s="2" t="s">
        <v>974</v>
      </c>
      <c r="O1425" s="2" t="s">
        <v>1622</v>
      </c>
      <c r="P1425" s="7" t="s">
        <v>980</v>
      </c>
      <c r="Q1425" s="2" t="s">
        <v>540</v>
      </c>
    </row>
    <row r="1426" spans="8:18" ht="75" x14ac:dyDescent="0.25">
      <c r="H1426" s="2" t="s">
        <v>1375</v>
      </c>
      <c r="I1426" s="2" t="s">
        <v>29</v>
      </c>
      <c r="J1426" s="3">
        <v>40252</v>
      </c>
      <c r="K1426" s="3">
        <v>40254</v>
      </c>
      <c r="L1426" s="7" t="s">
        <v>14</v>
      </c>
      <c r="M1426" s="2" t="s">
        <v>580</v>
      </c>
      <c r="N1426" s="2" t="s">
        <v>974</v>
      </c>
      <c r="O1426" s="2" t="s">
        <v>1191</v>
      </c>
      <c r="P1426" s="2" t="s">
        <v>977</v>
      </c>
      <c r="Q1426" s="2" t="s">
        <v>986</v>
      </c>
      <c r="R1426" s="2" t="s">
        <v>2297</v>
      </c>
    </row>
    <row r="1427" spans="8:18" ht="45" x14ac:dyDescent="0.25">
      <c r="H1427" s="2" t="s">
        <v>1739</v>
      </c>
      <c r="I1427" s="2" t="s">
        <v>29</v>
      </c>
      <c r="J1427" s="3">
        <v>40252</v>
      </c>
      <c r="K1427" s="3">
        <v>40254</v>
      </c>
      <c r="L1427" s="7" t="s">
        <v>14</v>
      </c>
      <c r="M1427" s="7" t="s">
        <v>997</v>
      </c>
      <c r="N1427" s="2" t="s">
        <v>974</v>
      </c>
      <c r="O1427" s="2" t="s">
        <v>1193</v>
      </c>
      <c r="P1427" s="2" t="s">
        <v>977</v>
      </c>
      <c r="Q1427" s="2" t="s">
        <v>986</v>
      </c>
      <c r="R1427" s="2" t="s">
        <v>2296</v>
      </c>
    </row>
    <row r="1428" spans="8:18" ht="30" x14ac:dyDescent="0.25">
      <c r="J1428" s="3"/>
      <c r="K1428" s="3"/>
      <c r="M1428" s="7"/>
      <c r="N1428" s="2" t="s">
        <v>974</v>
      </c>
      <c r="O1428" s="2" t="s">
        <v>1194</v>
      </c>
      <c r="P1428" s="2" t="s">
        <v>977</v>
      </c>
      <c r="Q1428" s="2" t="s">
        <v>540</v>
      </c>
    </row>
    <row r="1429" spans="8:18" ht="45" x14ac:dyDescent="0.25">
      <c r="H1429" s="2" t="s">
        <v>3573</v>
      </c>
      <c r="I1429" s="2" t="s">
        <v>29</v>
      </c>
      <c r="J1429" s="3">
        <v>40252</v>
      </c>
      <c r="K1429" s="3">
        <v>40254</v>
      </c>
      <c r="L1429" s="7" t="s">
        <v>14</v>
      </c>
      <c r="M1429" s="7" t="s">
        <v>580</v>
      </c>
      <c r="N1429" s="2" t="s">
        <v>974</v>
      </c>
    </row>
    <row r="1430" spans="8:18" ht="30" x14ac:dyDescent="0.25">
      <c r="H1430" s="2" t="s">
        <v>3527</v>
      </c>
      <c r="I1430" s="2" t="s">
        <v>29</v>
      </c>
      <c r="J1430" s="3">
        <v>40252</v>
      </c>
      <c r="K1430" s="3">
        <v>40254</v>
      </c>
      <c r="L1430" s="7" t="s">
        <v>14</v>
      </c>
      <c r="M1430" s="7" t="s">
        <v>580</v>
      </c>
      <c r="N1430" s="2" t="s">
        <v>974</v>
      </c>
    </row>
    <row r="1431" spans="8:18" ht="30" x14ac:dyDescent="0.25">
      <c r="H1431" s="2" t="s">
        <v>1740</v>
      </c>
      <c r="I1431" s="2" t="s">
        <v>29</v>
      </c>
      <c r="J1431" s="3">
        <v>40252</v>
      </c>
      <c r="K1431" s="3">
        <v>40254</v>
      </c>
      <c r="L1431" s="7" t="s">
        <v>14</v>
      </c>
      <c r="M1431" s="7" t="s">
        <v>580</v>
      </c>
      <c r="N1431" s="2" t="s">
        <v>974</v>
      </c>
    </row>
    <row r="1432" spans="8:18" ht="30" x14ac:dyDescent="0.25">
      <c r="H1432" s="2" t="s">
        <v>1741</v>
      </c>
      <c r="I1432" s="2" t="s">
        <v>29</v>
      </c>
      <c r="J1432" s="3">
        <v>40252</v>
      </c>
      <c r="K1432" s="3">
        <v>40254</v>
      </c>
      <c r="L1432" s="7" t="s">
        <v>14</v>
      </c>
      <c r="M1432" s="7" t="s">
        <v>580</v>
      </c>
      <c r="N1432" s="2" t="s">
        <v>974</v>
      </c>
    </row>
    <row r="1433" spans="8:18" ht="30" x14ac:dyDescent="0.25">
      <c r="H1433" s="2" t="s">
        <v>1742</v>
      </c>
      <c r="I1433" s="2" t="s">
        <v>29</v>
      </c>
      <c r="J1433" s="3">
        <v>40252</v>
      </c>
      <c r="K1433" s="3">
        <v>40254</v>
      </c>
      <c r="L1433" s="7" t="s">
        <v>14</v>
      </c>
      <c r="M1433" s="7" t="s">
        <v>580</v>
      </c>
      <c r="N1433" s="2" t="s">
        <v>974</v>
      </c>
    </row>
    <row r="1434" spans="8:18" ht="60" x14ac:dyDescent="0.25">
      <c r="H1434" s="2" t="s">
        <v>3574</v>
      </c>
      <c r="I1434" s="2" t="s">
        <v>29</v>
      </c>
      <c r="J1434" s="3">
        <v>40252</v>
      </c>
      <c r="K1434" s="3">
        <v>40254</v>
      </c>
      <c r="L1434" s="7" t="s">
        <v>14</v>
      </c>
      <c r="M1434" s="7" t="s">
        <v>580</v>
      </c>
      <c r="N1434" s="2" t="s">
        <v>974</v>
      </c>
      <c r="O1434" s="2" t="s">
        <v>1195</v>
      </c>
      <c r="P1434" s="2" t="s">
        <v>980</v>
      </c>
      <c r="Q1434" s="2" t="s">
        <v>540</v>
      </c>
    </row>
    <row r="1435" spans="8:18" ht="30" x14ac:dyDescent="0.25">
      <c r="H1435" s="2" t="s">
        <v>3575</v>
      </c>
      <c r="I1435" s="2" t="s">
        <v>29</v>
      </c>
      <c r="J1435" s="3">
        <v>40252</v>
      </c>
      <c r="K1435" s="3">
        <v>40254</v>
      </c>
      <c r="L1435" s="7" t="s">
        <v>14</v>
      </c>
      <c r="M1435" s="7" t="s">
        <v>580</v>
      </c>
      <c r="N1435" s="2" t="s">
        <v>974</v>
      </c>
    </row>
    <row r="1436" spans="8:18" ht="45" x14ac:dyDescent="0.25">
      <c r="H1436" s="2" t="s">
        <v>3528</v>
      </c>
      <c r="I1436" s="2" t="s">
        <v>29</v>
      </c>
      <c r="J1436" s="2" t="s">
        <v>33</v>
      </c>
      <c r="K1436" s="7" t="s">
        <v>33</v>
      </c>
      <c r="L1436" s="7" t="s">
        <v>14</v>
      </c>
      <c r="M1436" s="2" t="s">
        <v>580</v>
      </c>
      <c r="N1436" s="2" t="s">
        <v>974</v>
      </c>
    </row>
    <row r="1437" spans="8:18" ht="45" x14ac:dyDescent="0.25">
      <c r="H1437" s="2" t="s">
        <v>3529</v>
      </c>
      <c r="I1437" s="2" t="s">
        <v>29</v>
      </c>
      <c r="J1437" s="2" t="s">
        <v>33</v>
      </c>
      <c r="K1437" s="7" t="s">
        <v>33</v>
      </c>
      <c r="L1437" s="7" t="s">
        <v>14</v>
      </c>
      <c r="M1437" s="2" t="s">
        <v>580</v>
      </c>
      <c r="N1437" s="2" t="s">
        <v>974</v>
      </c>
    </row>
    <row r="1438" spans="8:18" ht="30" x14ac:dyDescent="0.25">
      <c r="H1438" s="2" t="s">
        <v>573</v>
      </c>
      <c r="I1438" s="2" t="s">
        <v>29</v>
      </c>
      <c r="J1438" s="3">
        <v>40252</v>
      </c>
      <c r="K1438" s="3">
        <v>40254</v>
      </c>
      <c r="L1438" s="7" t="s">
        <v>14</v>
      </c>
      <c r="M1438" s="2" t="s">
        <v>580</v>
      </c>
      <c r="N1438" s="2" t="s">
        <v>974</v>
      </c>
      <c r="O1438" s="2" t="s">
        <v>1196</v>
      </c>
      <c r="P1438" s="2" t="s">
        <v>977</v>
      </c>
      <c r="Q1438" s="2" t="s">
        <v>986</v>
      </c>
      <c r="R1438" s="2" t="s">
        <v>2295</v>
      </c>
    </row>
    <row r="1439" spans="8:18" ht="75" x14ac:dyDescent="0.25">
      <c r="J1439" s="3"/>
      <c r="K1439" s="3"/>
      <c r="N1439" s="2" t="s">
        <v>974</v>
      </c>
      <c r="O1439" s="2" t="s">
        <v>1574</v>
      </c>
      <c r="P1439" s="2" t="s">
        <v>977</v>
      </c>
      <c r="Q1439" s="2" t="s">
        <v>540</v>
      </c>
      <c r="R1439" s="2" t="s">
        <v>1607</v>
      </c>
    </row>
    <row r="1440" spans="8:18" x14ac:dyDescent="0.25">
      <c r="J1440" s="3"/>
      <c r="K1440" s="3"/>
    </row>
    <row r="1441" spans="1:18" ht="45" x14ac:dyDescent="0.25">
      <c r="A1441" s="19" t="s">
        <v>1298</v>
      </c>
      <c r="B1441" s="19" t="s">
        <v>3530</v>
      </c>
      <c r="C1441" s="2" t="s">
        <v>460</v>
      </c>
      <c r="D1441" s="19" t="s">
        <v>3576</v>
      </c>
      <c r="E1441" s="10" t="s">
        <v>121</v>
      </c>
      <c r="F1441" s="10">
        <v>1</v>
      </c>
      <c r="G1441" s="2" t="s">
        <v>3577</v>
      </c>
    </row>
    <row r="1442" spans="1:18" ht="30" x14ac:dyDescent="0.25">
      <c r="H1442" s="2" t="s">
        <v>1568</v>
      </c>
      <c r="I1442" s="2" t="s">
        <v>29</v>
      </c>
      <c r="J1442" s="5">
        <v>40252</v>
      </c>
      <c r="K1442" s="4"/>
      <c r="L1442" s="4"/>
    </row>
    <row r="1444" spans="1:18" ht="60" x14ac:dyDescent="0.25">
      <c r="A1444" s="19" t="s">
        <v>1299</v>
      </c>
      <c r="B1444" s="19" t="s">
        <v>3962</v>
      </c>
      <c r="C1444" s="19" t="s">
        <v>460</v>
      </c>
      <c r="D1444" s="19" t="s">
        <v>3963</v>
      </c>
      <c r="E1444" s="2" t="s">
        <v>121</v>
      </c>
      <c r="F1444" s="10" t="s">
        <v>1008</v>
      </c>
      <c r="G1444" s="2" t="s">
        <v>1011</v>
      </c>
    </row>
    <row r="1445" spans="1:18" ht="45" x14ac:dyDescent="0.25">
      <c r="A1445" s="19"/>
      <c r="B1445" s="19"/>
      <c r="C1445" s="19"/>
      <c r="D1445" s="19"/>
      <c r="E1445" s="2"/>
      <c r="F1445" s="10" t="s">
        <v>1008</v>
      </c>
      <c r="G1445" s="2" t="s">
        <v>3964</v>
      </c>
    </row>
    <row r="1446" spans="1:18" ht="45" x14ac:dyDescent="0.25">
      <c r="A1446" s="19"/>
      <c r="B1446" s="19"/>
      <c r="C1446" s="19"/>
      <c r="D1446" s="19"/>
      <c r="E1446" s="2"/>
      <c r="F1446" s="10">
        <v>1</v>
      </c>
      <c r="G1446" s="2" t="s">
        <v>1014</v>
      </c>
    </row>
    <row r="1447" spans="1:18" ht="30" x14ac:dyDescent="0.25">
      <c r="A1447" s="19"/>
      <c r="B1447" s="19"/>
      <c r="C1447" s="19"/>
      <c r="D1447" s="19"/>
      <c r="F1447" s="10">
        <v>2</v>
      </c>
      <c r="H1447" s="2" t="s">
        <v>3965</v>
      </c>
      <c r="I1447" s="2" t="s">
        <v>30</v>
      </c>
      <c r="J1447" s="3">
        <v>40255</v>
      </c>
      <c r="K1447" s="7" t="s">
        <v>33</v>
      </c>
      <c r="L1447" s="7" t="s">
        <v>474</v>
      </c>
      <c r="N1447" s="2" t="s">
        <v>974</v>
      </c>
    </row>
    <row r="1448" spans="1:18" ht="75" x14ac:dyDescent="0.25">
      <c r="A1448" s="19"/>
      <c r="B1448" s="19"/>
      <c r="C1448" s="19"/>
      <c r="D1448" s="19"/>
      <c r="F1448" s="10">
        <v>3</v>
      </c>
      <c r="H1448" s="2" t="s">
        <v>3966</v>
      </c>
      <c r="I1448" s="2" t="s">
        <v>30</v>
      </c>
      <c r="J1448" s="3">
        <v>40255</v>
      </c>
      <c r="K1448" s="7" t="s">
        <v>33</v>
      </c>
      <c r="L1448" s="7" t="s">
        <v>474</v>
      </c>
      <c r="N1448" s="2" t="s">
        <v>974</v>
      </c>
      <c r="O1448" s="2" t="s">
        <v>2785</v>
      </c>
      <c r="P1448" s="2" t="s">
        <v>982</v>
      </c>
      <c r="Q1448" s="2" t="s">
        <v>540</v>
      </c>
      <c r="R1448" s="2" t="s">
        <v>2166</v>
      </c>
    </row>
    <row r="1449" spans="1:18" ht="45" x14ac:dyDescent="0.25">
      <c r="A1449" s="19"/>
      <c r="B1449" s="19"/>
      <c r="C1449" s="19"/>
      <c r="D1449" s="19"/>
      <c r="E1449" s="10" t="s">
        <v>123</v>
      </c>
      <c r="F1449" s="10">
        <v>1</v>
      </c>
      <c r="G1449" s="2" t="s">
        <v>3578</v>
      </c>
    </row>
    <row r="1450" spans="1:18" ht="30" x14ac:dyDescent="0.25">
      <c r="F1450" s="10">
        <v>2</v>
      </c>
      <c r="H1450" s="2" t="s">
        <v>1015</v>
      </c>
      <c r="I1450" s="2" t="s">
        <v>30</v>
      </c>
      <c r="J1450" s="3">
        <v>40255</v>
      </c>
      <c r="K1450" s="7" t="s">
        <v>33</v>
      </c>
      <c r="L1450" s="7" t="s">
        <v>474</v>
      </c>
      <c r="N1450" s="2" t="s">
        <v>974</v>
      </c>
      <c r="O1450" s="2" t="s">
        <v>3967</v>
      </c>
      <c r="P1450" s="2" t="s">
        <v>980</v>
      </c>
      <c r="Q1450" s="2" t="s">
        <v>540</v>
      </c>
      <c r="R1450" s="2" t="s">
        <v>14</v>
      </c>
    </row>
    <row r="1452" spans="1:18" ht="45" x14ac:dyDescent="0.25">
      <c r="A1452" s="19" t="s">
        <v>1001</v>
      </c>
      <c r="B1452" s="19" t="s">
        <v>1006</v>
      </c>
      <c r="C1452" s="19" t="s">
        <v>460</v>
      </c>
      <c r="D1452" s="2" t="s">
        <v>1007</v>
      </c>
      <c r="E1452" s="2" t="s">
        <v>121</v>
      </c>
      <c r="F1452" s="10" t="s">
        <v>1008</v>
      </c>
      <c r="G1452" s="2" t="s">
        <v>1011</v>
      </c>
    </row>
    <row r="1453" spans="1:18" ht="45" x14ac:dyDescent="0.25">
      <c r="E1453" s="2"/>
      <c r="F1453" s="10">
        <v>1</v>
      </c>
      <c r="G1453" s="2" t="s">
        <v>3968</v>
      </c>
    </row>
    <row r="1454" spans="1:18" ht="30" x14ac:dyDescent="0.25">
      <c r="E1454" s="2"/>
      <c r="F1454" s="10">
        <v>2</v>
      </c>
      <c r="H1454" s="2" t="s">
        <v>1012</v>
      </c>
      <c r="I1454" s="2" t="s">
        <v>30</v>
      </c>
      <c r="J1454" s="3">
        <v>40255</v>
      </c>
      <c r="K1454" s="7" t="s">
        <v>33</v>
      </c>
      <c r="L1454" s="7" t="s">
        <v>474</v>
      </c>
      <c r="N1454" s="2" t="s">
        <v>974</v>
      </c>
    </row>
    <row r="1455" spans="1:18" ht="45" x14ac:dyDescent="0.25">
      <c r="E1455" s="2"/>
      <c r="F1455" s="10">
        <v>3</v>
      </c>
      <c r="H1455" s="2" t="s">
        <v>1013</v>
      </c>
      <c r="I1455" s="2" t="s">
        <v>30</v>
      </c>
      <c r="J1455" s="3">
        <v>40255</v>
      </c>
      <c r="K1455" s="7" t="s">
        <v>33</v>
      </c>
      <c r="L1455" s="7" t="s">
        <v>474</v>
      </c>
      <c r="N1455" s="2" t="s">
        <v>974</v>
      </c>
    </row>
    <row r="1456" spans="1:18" ht="30" x14ac:dyDescent="0.25">
      <c r="E1456" s="2"/>
      <c r="F1456" s="10">
        <v>4</v>
      </c>
      <c r="H1456" s="2" t="s">
        <v>1009</v>
      </c>
      <c r="I1456" s="2" t="s">
        <v>30</v>
      </c>
      <c r="J1456" s="3">
        <v>40255</v>
      </c>
      <c r="K1456" s="7" t="s">
        <v>33</v>
      </c>
      <c r="L1456" s="7" t="s">
        <v>474</v>
      </c>
      <c r="N1456" s="2" t="s">
        <v>974</v>
      </c>
    </row>
    <row r="1457" spans="1:14" ht="60" x14ac:dyDescent="0.25">
      <c r="E1457" s="2"/>
      <c r="F1457" s="10">
        <v>5</v>
      </c>
      <c r="H1457" s="2" t="s">
        <v>1010</v>
      </c>
      <c r="I1457" s="2" t="s">
        <v>30</v>
      </c>
      <c r="J1457" s="3">
        <v>40255</v>
      </c>
      <c r="K1457" s="7" t="s">
        <v>33</v>
      </c>
      <c r="L1457" s="7" t="s">
        <v>474</v>
      </c>
      <c r="N1457" s="2" t="s">
        <v>974</v>
      </c>
    </row>
    <row r="1458" spans="1:14" x14ac:dyDescent="0.25">
      <c r="E1458" s="2"/>
    </row>
    <row r="1459" spans="1:14" ht="60" x14ac:dyDescent="0.25">
      <c r="A1459" s="19" t="s">
        <v>1023</v>
      </c>
      <c r="B1459" s="7" t="s">
        <v>3531</v>
      </c>
      <c r="C1459" s="7" t="s">
        <v>461</v>
      </c>
      <c r="D1459" s="7" t="s">
        <v>3579</v>
      </c>
      <c r="E1459" s="2" t="s">
        <v>121</v>
      </c>
      <c r="F1459" s="10">
        <v>1</v>
      </c>
      <c r="G1459" s="2" t="s">
        <v>3580</v>
      </c>
      <c r="L1459" s="32" t="s">
        <v>581</v>
      </c>
      <c r="N1459" s="2" t="s">
        <v>158</v>
      </c>
    </row>
    <row r="1460" spans="1:14" ht="30" x14ac:dyDescent="0.25">
      <c r="A1460" s="19"/>
      <c r="E1460" s="2"/>
      <c r="F1460" s="10">
        <v>2</v>
      </c>
      <c r="H1460" s="2" t="s">
        <v>3581</v>
      </c>
      <c r="I1460" s="2" t="s">
        <v>29</v>
      </c>
      <c r="J1460" s="3">
        <v>40274</v>
      </c>
      <c r="K1460" s="4"/>
      <c r="L1460" s="32" t="s">
        <v>581</v>
      </c>
      <c r="N1460" s="2" t="s">
        <v>974</v>
      </c>
    </row>
    <row r="1461" spans="1:14" ht="30" x14ac:dyDescent="0.25">
      <c r="A1461" s="19"/>
      <c r="E1461" s="2"/>
      <c r="F1461" s="10">
        <v>3</v>
      </c>
      <c r="G1461" s="2" t="s">
        <v>1522</v>
      </c>
      <c r="L1461" s="32" t="s">
        <v>581</v>
      </c>
    </row>
    <row r="1462" spans="1:14" ht="30" x14ac:dyDescent="0.25">
      <c r="A1462" s="19"/>
      <c r="E1462" s="2"/>
      <c r="F1462" s="10">
        <v>4</v>
      </c>
      <c r="H1462" s="2" t="s">
        <v>3532</v>
      </c>
      <c r="I1462" s="2" t="s">
        <v>29</v>
      </c>
      <c r="J1462" s="3">
        <v>40274</v>
      </c>
      <c r="K1462" s="4"/>
      <c r="L1462" s="32" t="s">
        <v>581</v>
      </c>
      <c r="N1462" s="2" t="s">
        <v>974</v>
      </c>
    </row>
    <row r="1463" spans="1:14" ht="60" x14ac:dyDescent="0.25">
      <c r="E1463" s="2"/>
      <c r="F1463" s="10">
        <v>5</v>
      </c>
      <c r="H1463" s="7" t="s">
        <v>3582</v>
      </c>
      <c r="I1463" s="2" t="s">
        <v>29</v>
      </c>
      <c r="J1463" s="3">
        <v>40274</v>
      </c>
      <c r="K1463" s="4"/>
      <c r="L1463" s="32" t="s">
        <v>581</v>
      </c>
      <c r="N1463" s="2" t="s">
        <v>974</v>
      </c>
    </row>
    <row r="1464" spans="1:14" ht="30" x14ac:dyDescent="0.25">
      <c r="E1464" s="2"/>
      <c r="F1464" s="10">
        <v>6</v>
      </c>
      <c r="H1464" s="2" t="s">
        <v>1035</v>
      </c>
      <c r="I1464" s="2" t="s">
        <v>29</v>
      </c>
      <c r="J1464" s="3">
        <v>40274</v>
      </c>
      <c r="K1464" s="4"/>
      <c r="L1464" s="32" t="s">
        <v>581</v>
      </c>
      <c r="N1464" s="2" t="s">
        <v>974</v>
      </c>
    </row>
    <row r="1465" spans="1:14" ht="30" x14ac:dyDescent="0.25">
      <c r="E1465" s="2"/>
      <c r="F1465" s="10">
        <v>7</v>
      </c>
      <c r="G1465" s="2" t="s">
        <v>3583</v>
      </c>
      <c r="K1465" s="2"/>
      <c r="L1465" s="32" t="s">
        <v>581</v>
      </c>
    </row>
    <row r="1466" spans="1:14" x14ac:dyDescent="0.25">
      <c r="E1466" s="2"/>
      <c r="F1466" s="10">
        <v>8</v>
      </c>
      <c r="G1466" s="2" t="s">
        <v>92</v>
      </c>
      <c r="K1466" s="3"/>
      <c r="L1466" s="32" t="s">
        <v>581</v>
      </c>
    </row>
    <row r="1467" spans="1:14" ht="45" x14ac:dyDescent="0.25">
      <c r="E1467" s="2"/>
      <c r="F1467" s="10">
        <v>9</v>
      </c>
      <c r="H1467" s="2" t="s">
        <v>3533</v>
      </c>
      <c r="I1467" s="2" t="s">
        <v>30</v>
      </c>
      <c r="J1467" s="3">
        <v>40274</v>
      </c>
      <c r="K1467" s="4"/>
      <c r="L1467" s="32" t="s">
        <v>581</v>
      </c>
      <c r="N1467" s="2" t="s">
        <v>974</v>
      </c>
    </row>
    <row r="1468" spans="1:14" x14ac:dyDescent="0.25">
      <c r="E1468" s="2"/>
      <c r="F1468" s="10">
        <v>10</v>
      </c>
      <c r="H1468" s="2" t="s">
        <v>3534</v>
      </c>
      <c r="J1468" s="3">
        <v>40274</v>
      </c>
      <c r="K1468" s="4"/>
      <c r="L1468" s="4"/>
      <c r="N1468" s="2" t="s">
        <v>974</v>
      </c>
    </row>
    <row r="1469" spans="1:14" ht="30" x14ac:dyDescent="0.25">
      <c r="E1469" s="2"/>
      <c r="F1469" s="10">
        <v>11</v>
      </c>
      <c r="H1469" s="2" t="s">
        <v>3584</v>
      </c>
      <c r="I1469" s="2" t="s">
        <v>29</v>
      </c>
      <c r="J1469" s="3">
        <v>40274</v>
      </c>
      <c r="K1469" s="4"/>
      <c r="L1469" s="32" t="s">
        <v>581</v>
      </c>
      <c r="N1469" s="2" t="s">
        <v>974</v>
      </c>
    </row>
    <row r="1470" spans="1:14" ht="75" x14ac:dyDescent="0.25">
      <c r="E1470" s="2" t="s">
        <v>123</v>
      </c>
      <c r="F1470" s="10">
        <v>1</v>
      </c>
      <c r="G1470" s="2" t="s">
        <v>3585</v>
      </c>
      <c r="K1470" s="3"/>
      <c r="L1470" s="32" t="s">
        <v>581</v>
      </c>
    </row>
    <row r="1471" spans="1:14" ht="30" x14ac:dyDescent="0.25">
      <c r="E1471" s="2"/>
      <c r="F1471" s="10">
        <v>2</v>
      </c>
      <c r="H1471" s="2" t="s">
        <v>3584</v>
      </c>
      <c r="I1471" s="2" t="s">
        <v>29</v>
      </c>
      <c r="J1471" s="3">
        <v>40274</v>
      </c>
      <c r="K1471" s="4"/>
      <c r="L1471" s="32" t="s">
        <v>581</v>
      </c>
      <c r="N1471" s="2" t="s">
        <v>974</v>
      </c>
    </row>
    <row r="1472" spans="1:14" ht="60" x14ac:dyDescent="0.25">
      <c r="E1472" s="2" t="s">
        <v>126</v>
      </c>
      <c r="F1472" s="10">
        <v>1</v>
      </c>
      <c r="G1472" s="2" t="s">
        <v>3867</v>
      </c>
      <c r="K1472" s="3"/>
      <c r="L1472" s="32" t="s">
        <v>581</v>
      </c>
    </row>
    <row r="1473" spans="1:15" ht="30" x14ac:dyDescent="0.25">
      <c r="E1473" s="2"/>
      <c r="F1473" s="10">
        <v>2</v>
      </c>
      <c r="H1473" s="2" t="s">
        <v>3584</v>
      </c>
      <c r="I1473" s="2" t="s">
        <v>30</v>
      </c>
      <c r="J1473" s="3">
        <v>40274</v>
      </c>
      <c r="K1473" s="4"/>
      <c r="L1473" s="32" t="s">
        <v>581</v>
      </c>
      <c r="N1473" s="2" t="s">
        <v>974</v>
      </c>
    </row>
    <row r="1474" spans="1:15" ht="75" x14ac:dyDescent="0.25">
      <c r="E1474" s="2" t="s">
        <v>127</v>
      </c>
      <c r="F1474" s="10">
        <v>1</v>
      </c>
      <c r="G1474" s="2" t="s">
        <v>3586</v>
      </c>
      <c r="K1474" s="3"/>
      <c r="L1474" s="32" t="s">
        <v>581</v>
      </c>
    </row>
    <row r="1475" spans="1:15" ht="75" x14ac:dyDescent="0.25">
      <c r="E1475" s="2"/>
      <c r="F1475" s="10">
        <v>2</v>
      </c>
      <c r="H1475" s="2" t="s">
        <v>3587</v>
      </c>
      <c r="I1475" s="2" t="s">
        <v>30</v>
      </c>
      <c r="J1475" s="3">
        <v>40274</v>
      </c>
      <c r="K1475" s="4"/>
      <c r="L1475" s="32" t="s">
        <v>581</v>
      </c>
      <c r="N1475" s="2" t="s">
        <v>974</v>
      </c>
      <c r="O1475" s="2" t="s">
        <v>2434</v>
      </c>
    </row>
    <row r="1476" spans="1:15" ht="60" x14ac:dyDescent="0.25">
      <c r="E1476" s="2" t="s">
        <v>469</v>
      </c>
      <c r="F1476" s="10">
        <v>1</v>
      </c>
      <c r="G1476" s="2" t="s">
        <v>3588</v>
      </c>
      <c r="K1476" s="3"/>
      <c r="L1476" s="32" t="s">
        <v>581</v>
      </c>
    </row>
    <row r="1477" spans="1:15" ht="75" x14ac:dyDescent="0.25">
      <c r="E1477" s="2"/>
      <c r="F1477" s="10">
        <v>2</v>
      </c>
      <c r="H1477" s="2" t="s">
        <v>3587</v>
      </c>
      <c r="I1477" s="2" t="s">
        <v>30</v>
      </c>
      <c r="J1477" s="3">
        <v>40274</v>
      </c>
      <c r="K1477" s="4"/>
      <c r="L1477" s="32" t="s">
        <v>581</v>
      </c>
      <c r="N1477" s="2" t="s">
        <v>974</v>
      </c>
      <c r="O1477" s="2" t="s">
        <v>2434</v>
      </c>
    </row>
    <row r="1478" spans="1:15" x14ac:dyDescent="0.25">
      <c r="E1478" s="2"/>
      <c r="K1478" s="3"/>
      <c r="L1478" s="2"/>
    </row>
    <row r="1479" spans="1:15" ht="90" x14ac:dyDescent="0.25">
      <c r="A1479" s="7" t="s">
        <v>1024</v>
      </c>
      <c r="B1479" s="7" t="s">
        <v>3535</v>
      </c>
      <c r="C1479" s="7" t="s">
        <v>461</v>
      </c>
      <c r="D1479" s="7" t="s">
        <v>3589</v>
      </c>
      <c r="E1479" s="2" t="s">
        <v>121</v>
      </c>
      <c r="F1479" s="10">
        <v>1</v>
      </c>
      <c r="G1479" s="4" t="s">
        <v>3728</v>
      </c>
      <c r="K1479" s="3"/>
      <c r="L1479" s="2"/>
    </row>
    <row r="1480" spans="1:15" x14ac:dyDescent="0.25">
      <c r="E1480" s="2"/>
      <c r="K1480" s="3"/>
      <c r="L1480" s="2"/>
    </row>
    <row r="1481" spans="1:15" ht="60" x14ac:dyDescent="0.25">
      <c r="A1481" s="7" t="s">
        <v>1002</v>
      </c>
      <c r="B1481" s="7" t="s">
        <v>1033</v>
      </c>
      <c r="C1481" s="7" t="s">
        <v>460</v>
      </c>
      <c r="D1481" s="7" t="s">
        <v>1037</v>
      </c>
      <c r="E1481" s="2" t="s">
        <v>121</v>
      </c>
      <c r="F1481" s="10">
        <v>1</v>
      </c>
      <c r="G1481" s="2" t="s">
        <v>3590</v>
      </c>
      <c r="L1481" s="32"/>
    </row>
    <row r="1482" spans="1:15" ht="30" x14ac:dyDescent="0.25">
      <c r="A1482" s="2"/>
      <c r="B1482" s="2"/>
      <c r="F1482" s="10">
        <v>2</v>
      </c>
      <c r="H1482" s="2" t="s">
        <v>1038</v>
      </c>
      <c r="I1482" s="2" t="s">
        <v>29</v>
      </c>
      <c r="J1482" s="3">
        <v>40255</v>
      </c>
      <c r="K1482" s="3">
        <v>40254</v>
      </c>
      <c r="L1482" s="32" t="s">
        <v>581</v>
      </c>
      <c r="N1482" s="2" t="s">
        <v>974</v>
      </c>
    </row>
    <row r="1483" spans="1:15" ht="30" x14ac:dyDescent="0.25">
      <c r="A1483" s="2"/>
      <c r="B1483" s="2"/>
      <c r="F1483" s="10">
        <v>3</v>
      </c>
      <c r="G1483" s="2" t="s">
        <v>1039</v>
      </c>
      <c r="K1483" s="3"/>
      <c r="L1483" s="2"/>
    </row>
    <row r="1484" spans="1:15" ht="30" x14ac:dyDescent="0.25">
      <c r="A1484" s="2"/>
      <c r="B1484" s="2"/>
      <c r="F1484" s="10">
        <v>4</v>
      </c>
      <c r="H1484" s="2" t="s">
        <v>1040</v>
      </c>
      <c r="J1484" s="3">
        <v>40255</v>
      </c>
      <c r="K1484" s="3">
        <v>40254</v>
      </c>
      <c r="L1484" s="32" t="s">
        <v>581</v>
      </c>
      <c r="N1484" s="2" t="s">
        <v>974</v>
      </c>
    </row>
    <row r="1485" spans="1:15" ht="30" x14ac:dyDescent="0.25">
      <c r="F1485" s="10">
        <v>5</v>
      </c>
      <c r="H1485" s="2" t="s">
        <v>1043</v>
      </c>
      <c r="I1485" s="2" t="s">
        <v>29</v>
      </c>
      <c r="J1485" s="3">
        <v>40255</v>
      </c>
      <c r="K1485" s="3">
        <v>40254</v>
      </c>
      <c r="L1485" s="32" t="s">
        <v>581</v>
      </c>
      <c r="N1485" s="2" t="s">
        <v>974</v>
      </c>
    </row>
    <row r="1486" spans="1:15" ht="30" x14ac:dyDescent="0.25">
      <c r="F1486" s="10">
        <v>6</v>
      </c>
      <c r="H1486" s="2" t="s">
        <v>3591</v>
      </c>
      <c r="I1486" s="2" t="s">
        <v>29</v>
      </c>
      <c r="J1486" s="3">
        <v>40255</v>
      </c>
      <c r="K1486" s="3">
        <v>40254</v>
      </c>
      <c r="L1486" s="32" t="s">
        <v>581</v>
      </c>
      <c r="N1486" s="2" t="s">
        <v>974</v>
      </c>
    </row>
    <row r="1487" spans="1:15" ht="30" x14ac:dyDescent="0.25">
      <c r="F1487" s="10">
        <v>7</v>
      </c>
      <c r="H1487" s="2" t="s">
        <v>1044</v>
      </c>
      <c r="I1487" s="2" t="s">
        <v>29</v>
      </c>
      <c r="J1487" s="3">
        <v>40255</v>
      </c>
      <c r="K1487" s="3">
        <v>40254</v>
      </c>
      <c r="L1487" s="32" t="s">
        <v>581</v>
      </c>
      <c r="N1487" s="2" t="s">
        <v>974</v>
      </c>
    </row>
    <row r="1488" spans="1:15" ht="24.75" customHeight="1" x14ac:dyDescent="0.25">
      <c r="F1488" s="10">
        <v>8</v>
      </c>
      <c r="H1488" s="2" t="s">
        <v>1045</v>
      </c>
      <c r="I1488" s="2" t="s">
        <v>29</v>
      </c>
      <c r="J1488" s="3">
        <v>40255</v>
      </c>
      <c r="K1488" s="3">
        <v>40254</v>
      </c>
      <c r="L1488" s="32" t="s">
        <v>581</v>
      </c>
      <c r="N1488" s="2" t="s">
        <v>974</v>
      </c>
    </row>
    <row r="1489" spans="5:18" x14ac:dyDescent="0.25">
      <c r="F1489" s="10">
        <v>9</v>
      </c>
      <c r="G1489" s="2" t="s">
        <v>1046</v>
      </c>
      <c r="K1489" s="2"/>
      <c r="L1489" s="2"/>
    </row>
    <row r="1490" spans="5:18" ht="30" x14ac:dyDescent="0.25">
      <c r="F1490" s="10">
        <v>10</v>
      </c>
      <c r="G1490" s="2" t="s">
        <v>3592</v>
      </c>
      <c r="K1490" s="2"/>
      <c r="L1490" s="2"/>
    </row>
    <row r="1491" spans="5:18" ht="45" x14ac:dyDescent="0.25">
      <c r="F1491" s="10">
        <v>11</v>
      </c>
      <c r="H1491" s="2" t="s">
        <v>1604</v>
      </c>
      <c r="I1491" s="2" t="s">
        <v>30</v>
      </c>
      <c r="J1491" s="42">
        <v>40294</v>
      </c>
      <c r="K1491" s="33"/>
      <c r="L1491" s="32" t="s">
        <v>581</v>
      </c>
      <c r="N1491" s="2" t="s">
        <v>974</v>
      </c>
    </row>
    <row r="1492" spans="5:18" ht="60" x14ac:dyDescent="0.25">
      <c r="F1492" s="10">
        <v>12</v>
      </c>
      <c r="H1492" s="2" t="s">
        <v>1048</v>
      </c>
      <c r="I1492" s="2" t="s">
        <v>29</v>
      </c>
      <c r="J1492" s="3">
        <v>40255</v>
      </c>
      <c r="K1492" s="3">
        <v>40254</v>
      </c>
      <c r="L1492" s="32" t="s">
        <v>581</v>
      </c>
      <c r="N1492" s="2" t="s">
        <v>974</v>
      </c>
      <c r="O1492" s="2" t="s">
        <v>2309</v>
      </c>
      <c r="P1492" s="2" t="s">
        <v>982</v>
      </c>
      <c r="Q1492" s="2" t="s">
        <v>540</v>
      </c>
      <c r="R1492" s="2" t="s">
        <v>2636</v>
      </c>
    </row>
    <row r="1493" spans="5:18" ht="30" x14ac:dyDescent="0.25">
      <c r="E1493" s="10" t="s">
        <v>837</v>
      </c>
      <c r="F1493" s="10">
        <v>1</v>
      </c>
      <c r="G1493" s="2" t="s">
        <v>1047</v>
      </c>
      <c r="K1493" s="2"/>
      <c r="L1493" s="2"/>
    </row>
    <row r="1494" spans="5:18" ht="30" x14ac:dyDescent="0.25">
      <c r="F1494" s="10">
        <v>2</v>
      </c>
      <c r="H1494" s="2" t="s">
        <v>1049</v>
      </c>
      <c r="I1494" s="2" t="s">
        <v>29</v>
      </c>
      <c r="J1494" s="3">
        <v>40255</v>
      </c>
      <c r="K1494" s="3">
        <v>40254</v>
      </c>
      <c r="L1494" s="32" t="s">
        <v>581</v>
      </c>
      <c r="N1494" s="2" t="s">
        <v>974</v>
      </c>
    </row>
    <row r="1495" spans="5:18" ht="45" x14ac:dyDescent="0.25">
      <c r="E1495" s="10" t="s">
        <v>123</v>
      </c>
      <c r="F1495" s="10">
        <v>1</v>
      </c>
      <c r="G1495" s="2" t="s">
        <v>3593</v>
      </c>
      <c r="K1495" s="2"/>
      <c r="L1495" s="2"/>
    </row>
    <row r="1496" spans="5:18" ht="30" x14ac:dyDescent="0.25">
      <c r="F1496" s="10">
        <v>2</v>
      </c>
      <c r="H1496" s="2" t="s">
        <v>1050</v>
      </c>
      <c r="I1496" s="2" t="s">
        <v>30</v>
      </c>
      <c r="J1496" s="3">
        <v>40255</v>
      </c>
      <c r="K1496" s="3">
        <v>40254</v>
      </c>
      <c r="L1496" s="32" t="s">
        <v>581</v>
      </c>
      <c r="N1496" s="2" t="s">
        <v>974</v>
      </c>
    </row>
    <row r="1497" spans="5:18" ht="45" x14ac:dyDescent="0.25">
      <c r="F1497" s="10">
        <v>3</v>
      </c>
      <c r="G1497" s="2" t="s">
        <v>1054</v>
      </c>
      <c r="K1497" s="2"/>
      <c r="L1497" s="2"/>
    </row>
    <row r="1498" spans="5:18" ht="30" x14ac:dyDescent="0.25">
      <c r="F1498" s="10">
        <v>4</v>
      </c>
      <c r="G1498" s="2" t="s">
        <v>3592</v>
      </c>
      <c r="K1498" s="2"/>
      <c r="L1498" s="2"/>
    </row>
    <row r="1499" spans="5:18" x14ac:dyDescent="0.25">
      <c r="F1499" s="10">
        <v>5</v>
      </c>
      <c r="H1499" s="2" t="s">
        <v>1051</v>
      </c>
      <c r="I1499" s="2" t="s">
        <v>29</v>
      </c>
      <c r="J1499" s="3">
        <v>40255</v>
      </c>
      <c r="K1499" s="3">
        <v>40254</v>
      </c>
      <c r="L1499" s="32" t="s">
        <v>581</v>
      </c>
      <c r="N1499" s="2" t="s">
        <v>974</v>
      </c>
    </row>
    <row r="1500" spans="5:18" ht="45" x14ac:dyDescent="0.25">
      <c r="E1500" s="10" t="s">
        <v>126</v>
      </c>
      <c r="F1500" s="10">
        <v>1</v>
      </c>
      <c r="G1500" s="2" t="s">
        <v>3593</v>
      </c>
      <c r="K1500" s="2"/>
      <c r="L1500" s="2"/>
    </row>
    <row r="1501" spans="5:18" ht="30" x14ac:dyDescent="0.25">
      <c r="F1501" s="10">
        <v>2</v>
      </c>
      <c r="H1501" s="2" t="s">
        <v>1052</v>
      </c>
      <c r="I1501" s="2" t="s">
        <v>30</v>
      </c>
      <c r="J1501" s="3">
        <v>40255</v>
      </c>
      <c r="K1501" s="3">
        <v>40254</v>
      </c>
      <c r="L1501" s="32" t="s">
        <v>581</v>
      </c>
      <c r="N1501" s="2" t="s">
        <v>974</v>
      </c>
    </row>
    <row r="1502" spans="5:18" ht="30" x14ac:dyDescent="0.25">
      <c r="F1502" s="10">
        <v>3</v>
      </c>
      <c r="G1502" s="2" t="s">
        <v>1527</v>
      </c>
      <c r="K1502" s="2"/>
      <c r="L1502" s="2"/>
    </row>
    <row r="1503" spans="5:18" x14ac:dyDescent="0.25">
      <c r="F1503" s="10">
        <v>4</v>
      </c>
      <c r="H1503" s="2" t="s">
        <v>719</v>
      </c>
      <c r="J1503" s="3">
        <v>40255</v>
      </c>
      <c r="K1503" s="3">
        <v>40254</v>
      </c>
      <c r="L1503" s="32" t="s">
        <v>581</v>
      </c>
      <c r="N1503" s="2" t="s">
        <v>974</v>
      </c>
    </row>
    <row r="1504" spans="5:18" x14ac:dyDescent="0.25">
      <c r="F1504" s="10">
        <v>5</v>
      </c>
      <c r="G1504" s="2" t="s">
        <v>720</v>
      </c>
      <c r="K1504" s="2"/>
      <c r="L1504" s="2"/>
    </row>
    <row r="1505" spans="1:18" ht="30" x14ac:dyDescent="0.25">
      <c r="F1505" s="10">
        <v>6</v>
      </c>
      <c r="H1505" s="2" t="s">
        <v>1528</v>
      </c>
      <c r="J1505" s="3">
        <v>40255</v>
      </c>
      <c r="K1505" s="3">
        <v>40254</v>
      </c>
      <c r="L1505" s="32" t="s">
        <v>581</v>
      </c>
      <c r="N1505" s="2" t="s">
        <v>974</v>
      </c>
    </row>
    <row r="1506" spans="1:18" ht="30" x14ac:dyDescent="0.25">
      <c r="F1506" s="10">
        <v>7</v>
      </c>
      <c r="G1506" s="2" t="s">
        <v>3592</v>
      </c>
      <c r="K1506" s="2"/>
      <c r="L1506" s="2"/>
    </row>
    <row r="1507" spans="1:18" x14ac:dyDescent="0.25">
      <c r="F1507" s="10">
        <v>8</v>
      </c>
      <c r="H1507" s="2" t="s">
        <v>1053</v>
      </c>
      <c r="I1507" s="2" t="s">
        <v>29</v>
      </c>
      <c r="J1507" s="3">
        <v>40255</v>
      </c>
      <c r="K1507" s="3">
        <v>40254</v>
      </c>
      <c r="L1507" s="32" t="s">
        <v>581</v>
      </c>
      <c r="N1507" s="2" t="s">
        <v>974</v>
      </c>
    </row>
    <row r="1508" spans="1:18" x14ac:dyDescent="0.25">
      <c r="J1508" s="3"/>
      <c r="K1508" s="3"/>
      <c r="L1508" s="32"/>
    </row>
    <row r="1509" spans="1:18" ht="60" x14ac:dyDescent="0.25">
      <c r="A1509" s="19" t="s">
        <v>1210</v>
      </c>
      <c r="B1509" s="19" t="s">
        <v>1708</v>
      </c>
      <c r="C1509" s="19" t="s">
        <v>1710</v>
      </c>
      <c r="D1509" s="19" t="s">
        <v>1709</v>
      </c>
      <c r="E1509" s="10" t="s">
        <v>121</v>
      </c>
      <c r="F1509" s="10">
        <v>1</v>
      </c>
      <c r="G1509" s="2" t="s">
        <v>3594</v>
      </c>
      <c r="J1509" s="3"/>
      <c r="K1509" s="3"/>
      <c r="L1509" s="32"/>
    </row>
    <row r="1510" spans="1:18" ht="90" x14ac:dyDescent="0.25">
      <c r="F1510" s="10">
        <v>2</v>
      </c>
      <c r="G1510" s="2" t="s">
        <v>3595</v>
      </c>
      <c r="J1510" s="3"/>
      <c r="K1510" s="3"/>
      <c r="L1510" s="32"/>
    </row>
    <row r="1511" spans="1:18" x14ac:dyDescent="0.25">
      <c r="F1511" s="10">
        <v>3</v>
      </c>
      <c r="H1511" s="2" t="s">
        <v>1711</v>
      </c>
      <c r="I1511" s="2" t="s">
        <v>30</v>
      </c>
      <c r="J1511" s="42">
        <v>40294</v>
      </c>
      <c r="K1511" s="22"/>
      <c r="L1511" s="22"/>
    </row>
    <row r="1512" spans="1:18" x14ac:dyDescent="0.25">
      <c r="F1512" s="10">
        <v>4</v>
      </c>
      <c r="H1512" s="2" t="s">
        <v>1712</v>
      </c>
      <c r="I1512" s="2" t="s">
        <v>30</v>
      </c>
      <c r="J1512" s="42">
        <v>40294</v>
      </c>
      <c r="K1512" s="22"/>
      <c r="L1512" s="22"/>
    </row>
    <row r="1513" spans="1:18" ht="30" x14ac:dyDescent="0.25">
      <c r="F1513" s="10">
        <v>5</v>
      </c>
      <c r="H1513" s="2" t="s">
        <v>1713</v>
      </c>
      <c r="I1513" s="2" t="s">
        <v>30</v>
      </c>
      <c r="J1513" s="42">
        <v>40294</v>
      </c>
      <c r="K1513" s="22"/>
      <c r="L1513" s="22"/>
    </row>
    <row r="1514" spans="1:18" x14ac:dyDescent="0.25">
      <c r="K1514" s="2"/>
      <c r="L1514" s="2"/>
    </row>
    <row r="1515" spans="1:18" ht="60" x14ac:dyDescent="0.25">
      <c r="A1515" s="7" t="s">
        <v>1003</v>
      </c>
      <c r="B1515" s="7" t="s">
        <v>1057</v>
      </c>
      <c r="C1515" s="7" t="s">
        <v>460</v>
      </c>
      <c r="D1515" s="7" t="s">
        <v>1058</v>
      </c>
      <c r="E1515" s="10" t="s">
        <v>121</v>
      </c>
      <c r="F1515" s="10">
        <v>1</v>
      </c>
      <c r="G1515" s="2" t="s">
        <v>1016</v>
      </c>
      <c r="L1515" s="32" t="s">
        <v>581</v>
      </c>
      <c r="N1515" s="2" t="s">
        <v>974</v>
      </c>
      <c r="O1515" s="2" t="s">
        <v>2337</v>
      </c>
      <c r="P1515" s="2" t="s">
        <v>977</v>
      </c>
      <c r="Q1515" s="2" t="s">
        <v>540</v>
      </c>
      <c r="R1515" s="2" t="s">
        <v>2414</v>
      </c>
    </row>
    <row r="1516" spans="1:18" ht="30" x14ac:dyDescent="0.25">
      <c r="F1516" s="10">
        <v>2</v>
      </c>
      <c r="H1516" s="2" t="s">
        <v>1691</v>
      </c>
      <c r="I1516" s="2" t="s">
        <v>29</v>
      </c>
      <c r="J1516" s="4"/>
      <c r="K1516" s="4"/>
      <c r="L1516" s="32" t="s">
        <v>581</v>
      </c>
      <c r="N1516" s="2" t="s">
        <v>974</v>
      </c>
      <c r="O1516" s="2" t="s">
        <v>2336</v>
      </c>
    </row>
    <row r="1517" spans="1:18" ht="45" x14ac:dyDescent="0.25">
      <c r="F1517" s="10">
        <v>3</v>
      </c>
      <c r="H1517" s="2" t="s">
        <v>1018</v>
      </c>
      <c r="I1517" s="2" t="s">
        <v>29</v>
      </c>
      <c r="J1517" s="3">
        <v>40255</v>
      </c>
      <c r="K1517" s="3">
        <v>40254</v>
      </c>
      <c r="L1517" s="32" t="s">
        <v>581</v>
      </c>
      <c r="N1517" s="2" t="s">
        <v>974</v>
      </c>
    </row>
    <row r="1518" spans="1:18" ht="45" x14ac:dyDescent="0.25">
      <c r="F1518" s="10">
        <v>4</v>
      </c>
      <c r="H1518" s="2" t="s">
        <v>1696</v>
      </c>
      <c r="I1518" s="2" t="s">
        <v>29</v>
      </c>
      <c r="J1518" s="4"/>
      <c r="K1518" s="4"/>
      <c r="L1518" s="32" t="s">
        <v>581</v>
      </c>
      <c r="N1518" s="2" t="s">
        <v>974</v>
      </c>
    </row>
    <row r="1519" spans="1:18" ht="60" x14ac:dyDescent="0.25">
      <c r="F1519" s="10">
        <v>5</v>
      </c>
      <c r="H1519" s="2" t="s">
        <v>3596</v>
      </c>
      <c r="I1519" s="2" t="s">
        <v>29</v>
      </c>
      <c r="J1519" s="3">
        <v>40274</v>
      </c>
      <c r="K1519" s="3">
        <v>40266</v>
      </c>
      <c r="L1519" s="32" t="s">
        <v>581</v>
      </c>
      <c r="N1519" s="2" t="s">
        <v>974</v>
      </c>
    </row>
    <row r="1520" spans="1:18" ht="105" x14ac:dyDescent="0.25">
      <c r="F1520" s="10">
        <v>6</v>
      </c>
      <c r="H1520" s="2" t="s">
        <v>1668</v>
      </c>
      <c r="I1520" s="2" t="s">
        <v>29</v>
      </c>
      <c r="J1520" s="3">
        <v>40255</v>
      </c>
      <c r="K1520" s="3">
        <v>40254</v>
      </c>
      <c r="L1520" s="39" t="s">
        <v>581</v>
      </c>
      <c r="N1520" s="2" t="s">
        <v>974</v>
      </c>
    </row>
    <row r="1521" spans="6:18" ht="60" x14ac:dyDescent="0.25">
      <c r="F1521" s="10">
        <v>7</v>
      </c>
      <c r="H1521" s="2" t="s">
        <v>2328</v>
      </c>
      <c r="I1521" s="2" t="s">
        <v>29</v>
      </c>
      <c r="J1521" s="3">
        <v>40255</v>
      </c>
      <c r="K1521" s="3">
        <v>40266</v>
      </c>
      <c r="L1521" s="32" t="s">
        <v>581</v>
      </c>
      <c r="N1521" s="2" t="s">
        <v>974</v>
      </c>
      <c r="O1521" s="2" t="s">
        <v>2368</v>
      </c>
      <c r="P1521" s="2" t="s">
        <v>980</v>
      </c>
      <c r="Q1521" s="2" t="s">
        <v>540</v>
      </c>
      <c r="R1521" s="2" t="s">
        <v>2414</v>
      </c>
    </row>
    <row r="1522" spans="6:18" ht="30" x14ac:dyDescent="0.25">
      <c r="J1522" s="3"/>
      <c r="K1522" s="3"/>
      <c r="L1522" s="32"/>
      <c r="N1522" s="2" t="s">
        <v>974</v>
      </c>
      <c r="O1522" s="2" t="s">
        <v>2329</v>
      </c>
      <c r="P1522" s="2" t="s">
        <v>977</v>
      </c>
      <c r="Q1522" s="2" t="s">
        <v>540</v>
      </c>
      <c r="R1522" s="2" t="s">
        <v>2414</v>
      </c>
    </row>
    <row r="1523" spans="6:18" x14ac:dyDescent="0.25">
      <c r="F1523" s="10">
        <v>8</v>
      </c>
      <c r="G1523" s="2" t="s">
        <v>1017</v>
      </c>
      <c r="L1523" s="32"/>
    </row>
    <row r="1524" spans="6:18" x14ac:dyDescent="0.25">
      <c r="F1524" s="10">
        <v>9</v>
      </c>
      <c r="G1524" s="2" t="s">
        <v>1019</v>
      </c>
      <c r="L1524" s="32"/>
    </row>
    <row r="1525" spans="6:18" ht="90" x14ac:dyDescent="0.25">
      <c r="F1525" s="10">
        <v>10</v>
      </c>
      <c r="H1525" s="2" t="s">
        <v>1020</v>
      </c>
      <c r="I1525" s="2" t="s">
        <v>29</v>
      </c>
      <c r="J1525" s="3">
        <v>40255</v>
      </c>
      <c r="K1525" s="3">
        <v>40254</v>
      </c>
      <c r="L1525" s="32" t="s">
        <v>581</v>
      </c>
      <c r="N1525" s="2" t="s">
        <v>974</v>
      </c>
      <c r="O1525" s="2" t="s">
        <v>2364</v>
      </c>
      <c r="P1525" s="2" t="s">
        <v>980</v>
      </c>
      <c r="Q1525" s="2" t="s">
        <v>540</v>
      </c>
      <c r="R1525" s="2" t="s">
        <v>2414</v>
      </c>
    </row>
    <row r="1526" spans="6:18" ht="30" x14ac:dyDescent="0.25">
      <c r="J1526" s="3"/>
      <c r="K1526" s="3"/>
      <c r="L1526" s="32"/>
      <c r="N1526" s="2" t="s">
        <v>974</v>
      </c>
      <c r="O1526" s="2" t="s">
        <v>2334</v>
      </c>
      <c r="P1526" s="2" t="s">
        <v>980</v>
      </c>
      <c r="Q1526" s="2" t="s">
        <v>540</v>
      </c>
      <c r="R1526" s="2" t="s">
        <v>2414</v>
      </c>
    </row>
    <row r="1527" spans="6:18" ht="105" x14ac:dyDescent="0.25">
      <c r="J1527" s="3"/>
      <c r="K1527" s="3"/>
      <c r="L1527" s="32"/>
      <c r="N1527" s="2" t="s">
        <v>974</v>
      </c>
      <c r="O1527" s="2" t="s">
        <v>2333</v>
      </c>
      <c r="P1527" s="2" t="s">
        <v>977</v>
      </c>
      <c r="Q1527" s="2" t="s">
        <v>540</v>
      </c>
      <c r="R1527" s="2" t="s">
        <v>2637</v>
      </c>
    </row>
    <row r="1528" spans="6:18" ht="243.75" customHeight="1" x14ac:dyDescent="0.25">
      <c r="J1528" s="3"/>
      <c r="K1528" s="3"/>
      <c r="L1528" s="32"/>
      <c r="M1528" s="2" t="s">
        <v>3040</v>
      </c>
      <c r="N1528" s="2" t="s">
        <v>974</v>
      </c>
      <c r="O1528" s="2" t="s">
        <v>3597</v>
      </c>
      <c r="Q1528" s="2" t="s">
        <v>540</v>
      </c>
      <c r="R1528" s="2" t="s">
        <v>2173</v>
      </c>
    </row>
    <row r="1529" spans="6:18" ht="63.75" customHeight="1" x14ac:dyDescent="0.25">
      <c r="F1529" s="10">
        <v>11</v>
      </c>
      <c r="H1529" s="2" t="s">
        <v>3598</v>
      </c>
      <c r="I1529" s="2" t="s">
        <v>29</v>
      </c>
      <c r="J1529" s="3">
        <v>40255</v>
      </c>
      <c r="K1529" s="3">
        <v>40254</v>
      </c>
      <c r="L1529" s="32" t="s">
        <v>581</v>
      </c>
      <c r="N1529" s="2" t="s">
        <v>974</v>
      </c>
      <c r="O1529" s="2" t="s">
        <v>3599</v>
      </c>
      <c r="P1529" s="2" t="s">
        <v>982</v>
      </c>
      <c r="Q1529" s="2" t="s">
        <v>540</v>
      </c>
      <c r="R1529" s="2" t="s">
        <v>2428</v>
      </c>
    </row>
    <row r="1530" spans="6:18" ht="30" x14ac:dyDescent="0.25">
      <c r="F1530" s="10">
        <v>12</v>
      </c>
      <c r="H1530" s="2" t="s">
        <v>3600</v>
      </c>
      <c r="I1530" s="2" t="s">
        <v>30</v>
      </c>
      <c r="J1530" s="3">
        <v>40255</v>
      </c>
      <c r="K1530" s="3">
        <v>40254</v>
      </c>
      <c r="L1530" s="32" t="s">
        <v>581</v>
      </c>
      <c r="N1530" s="2" t="s">
        <v>974</v>
      </c>
    </row>
    <row r="1531" spans="6:18" ht="30" x14ac:dyDescent="0.25">
      <c r="F1531" s="10">
        <v>13</v>
      </c>
      <c r="H1531" s="2" t="s">
        <v>3601</v>
      </c>
      <c r="I1531" s="2" t="s">
        <v>29</v>
      </c>
      <c r="J1531" s="3">
        <v>40255</v>
      </c>
      <c r="K1531" s="3">
        <v>40254</v>
      </c>
      <c r="L1531" s="32" t="s">
        <v>581</v>
      </c>
      <c r="N1531" s="2" t="s">
        <v>974</v>
      </c>
    </row>
    <row r="1532" spans="6:18" ht="38.25" customHeight="1" x14ac:dyDescent="0.25">
      <c r="F1532" s="10">
        <v>14</v>
      </c>
      <c r="H1532" s="2" t="s">
        <v>3602</v>
      </c>
      <c r="I1532" s="2" t="s">
        <v>29</v>
      </c>
      <c r="J1532" s="3">
        <v>40255</v>
      </c>
      <c r="K1532" s="3">
        <v>40254</v>
      </c>
      <c r="L1532" s="32" t="s">
        <v>581</v>
      </c>
      <c r="N1532" s="2" t="s">
        <v>974</v>
      </c>
      <c r="O1532" s="2" t="s">
        <v>3603</v>
      </c>
      <c r="P1532" s="2" t="s">
        <v>977</v>
      </c>
      <c r="Q1532" s="2" t="s">
        <v>540</v>
      </c>
      <c r="R1532" s="2" t="s">
        <v>2414</v>
      </c>
    </row>
    <row r="1533" spans="6:18" ht="30" x14ac:dyDescent="0.25">
      <c r="F1533" s="10">
        <v>15</v>
      </c>
      <c r="H1533" s="2" t="s">
        <v>3604</v>
      </c>
      <c r="I1533" s="2" t="s">
        <v>29</v>
      </c>
      <c r="J1533" s="3">
        <v>40255</v>
      </c>
      <c r="K1533" s="3">
        <v>40254</v>
      </c>
      <c r="L1533" s="32" t="s">
        <v>581</v>
      </c>
      <c r="N1533" s="2" t="s">
        <v>974</v>
      </c>
      <c r="O1533" s="2" t="s">
        <v>2330</v>
      </c>
      <c r="P1533" s="2" t="s">
        <v>977</v>
      </c>
      <c r="Q1533" s="2" t="s">
        <v>540</v>
      </c>
      <c r="R1533" s="2" t="s">
        <v>2414</v>
      </c>
    </row>
    <row r="1534" spans="6:18" ht="45" x14ac:dyDescent="0.25">
      <c r="J1534" s="3"/>
      <c r="K1534" s="3"/>
      <c r="L1534" s="32"/>
      <c r="N1534" s="2" t="s">
        <v>974</v>
      </c>
      <c r="O1534" s="2" t="s">
        <v>2365</v>
      </c>
      <c r="P1534" s="2" t="s">
        <v>977</v>
      </c>
      <c r="Q1534" s="2" t="s">
        <v>540</v>
      </c>
      <c r="R1534" s="2" t="s">
        <v>2414</v>
      </c>
    </row>
    <row r="1535" spans="6:18" ht="276.75" customHeight="1" x14ac:dyDescent="0.25">
      <c r="F1535" s="10">
        <v>16</v>
      </c>
      <c r="H1535" s="2" t="s">
        <v>3605</v>
      </c>
      <c r="I1535" s="2" t="s">
        <v>29</v>
      </c>
      <c r="J1535" s="3">
        <v>40255</v>
      </c>
      <c r="K1535" s="3">
        <v>40254</v>
      </c>
      <c r="L1535" s="32" t="s">
        <v>581</v>
      </c>
      <c r="N1535" s="2" t="s">
        <v>974</v>
      </c>
      <c r="O1535" s="2" t="s">
        <v>2331</v>
      </c>
      <c r="P1535" s="2" t="s">
        <v>977</v>
      </c>
      <c r="Q1535" s="2" t="s">
        <v>540</v>
      </c>
      <c r="R1535" s="2" t="s">
        <v>2414</v>
      </c>
    </row>
    <row r="1536" spans="6:18" ht="75" x14ac:dyDescent="0.25">
      <c r="J1536" s="3"/>
      <c r="K1536" s="3"/>
      <c r="L1536" s="32"/>
      <c r="N1536" s="2" t="s">
        <v>974</v>
      </c>
      <c r="O1536" s="2" t="s">
        <v>2429</v>
      </c>
      <c r="P1536" s="2" t="s">
        <v>977</v>
      </c>
      <c r="Q1536" s="2" t="s">
        <v>540</v>
      </c>
      <c r="R1536" s="2" t="s">
        <v>2717</v>
      </c>
    </row>
    <row r="1537" spans="6:19" ht="135" x14ac:dyDescent="0.25">
      <c r="F1537" s="10">
        <v>17</v>
      </c>
      <c r="H1537" s="2" t="s">
        <v>1670</v>
      </c>
      <c r="J1537" s="3"/>
      <c r="K1537" s="3"/>
      <c r="L1537" s="32" t="s">
        <v>581</v>
      </c>
      <c r="N1537" s="2" t="s">
        <v>974</v>
      </c>
      <c r="O1537" s="2" t="s">
        <v>2332</v>
      </c>
      <c r="P1537" s="2" t="s">
        <v>982</v>
      </c>
      <c r="Q1537" s="2" t="s">
        <v>540</v>
      </c>
      <c r="R1537" s="2" t="s">
        <v>2414</v>
      </c>
    </row>
    <row r="1538" spans="6:19" ht="150" x14ac:dyDescent="0.25">
      <c r="J1538" s="3"/>
      <c r="K1538" s="3"/>
      <c r="L1538" s="32"/>
      <c r="N1538" s="2" t="s">
        <v>974</v>
      </c>
      <c r="O1538" s="2" t="s">
        <v>2366</v>
      </c>
      <c r="P1538" s="2" t="s">
        <v>982</v>
      </c>
      <c r="Q1538" s="2" t="s">
        <v>540</v>
      </c>
      <c r="R1538" s="2" t="s">
        <v>2414</v>
      </c>
    </row>
    <row r="1539" spans="6:19" ht="49.5" customHeight="1" x14ac:dyDescent="0.25">
      <c r="F1539" s="10">
        <v>18</v>
      </c>
      <c r="H1539" s="6" t="s">
        <v>1679</v>
      </c>
      <c r="I1539" s="2" t="s">
        <v>30</v>
      </c>
      <c r="J1539" s="3">
        <v>40255</v>
      </c>
      <c r="K1539" s="3">
        <v>40254</v>
      </c>
      <c r="L1539" s="32" t="s">
        <v>581</v>
      </c>
      <c r="N1539" s="2" t="s">
        <v>974</v>
      </c>
    </row>
    <row r="1540" spans="6:19" ht="105" x14ac:dyDescent="0.25">
      <c r="F1540" s="10">
        <v>19</v>
      </c>
      <c r="H1540" s="2" t="s">
        <v>2367</v>
      </c>
      <c r="I1540" s="2" t="s">
        <v>30</v>
      </c>
      <c r="J1540" s="3">
        <v>40255</v>
      </c>
      <c r="K1540" s="3">
        <v>40254</v>
      </c>
      <c r="L1540" s="32" t="s">
        <v>581</v>
      </c>
      <c r="N1540" s="2" t="s">
        <v>974</v>
      </c>
    </row>
    <row r="1541" spans="6:19" ht="246.75" customHeight="1" x14ac:dyDescent="0.25">
      <c r="J1541" s="3"/>
      <c r="K1541" s="3"/>
      <c r="L1541" s="32"/>
      <c r="M1541" s="2" t="s">
        <v>3101</v>
      </c>
      <c r="O1541" s="2" t="s">
        <v>3070</v>
      </c>
      <c r="P1541" s="2" t="s">
        <v>982</v>
      </c>
      <c r="Q1541" s="2" t="s">
        <v>540</v>
      </c>
      <c r="R1541" s="2" t="s">
        <v>3091</v>
      </c>
    </row>
    <row r="1542" spans="6:19" ht="135" x14ac:dyDescent="0.25">
      <c r="F1542" s="10">
        <v>20</v>
      </c>
      <c r="H1542" s="2" t="s">
        <v>1445</v>
      </c>
      <c r="I1542" s="2" t="s">
        <v>30</v>
      </c>
      <c r="J1542" s="3" t="s">
        <v>33</v>
      </c>
      <c r="K1542" s="3" t="s">
        <v>33</v>
      </c>
      <c r="L1542" s="32" t="s">
        <v>581</v>
      </c>
      <c r="N1542" s="2" t="s">
        <v>974</v>
      </c>
      <c r="O1542" s="2" t="s">
        <v>3536</v>
      </c>
      <c r="P1542" s="2" t="s">
        <v>980</v>
      </c>
      <c r="Q1542" s="2" t="s">
        <v>540</v>
      </c>
      <c r="R1542" s="2" t="s">
        <v>3606</v>
      </c>
      <c r="S1542" s="2" t="s">
        <v>2156</v>
      </c>
    </row>
    <row r="1543" spans="6:19" ht="195" x14ac:dyDescent="0.25">
      <c r="J1543" s="3"/>
      <c r="K1543" s="3"/>
      <c r="L1543" s="32"/>
      <c r="M1543" s="2" t="s">
        <v>3607</v>
      </c>
      <c r="O1543" s="2" t="s">
        <v>2160</v>
      </c>
      <c r="Q1543" s="2" t="s">
        <v>540</v>
      </c>
    </row>
    <row r="1544" spans="6:19" ht="234" customHeight="1" x14ac:dyDescent="0.25">
      <c r="J1544" s="3"/>
      <c r="K1544" s="3"/>
      <c r="L1544" s="32"/>
      <c r="M1544" s="2" t="s">
        <v>3843</v>
      </c>
      <c r="N1544" s="2" t="s">
        <v>974</v>
      </c>
      <c r="O1544" s="2" t="s">
        <v>3608</v>
      </c>
      <c r="Q1544" s="2" t="s">
        <v>540</v>
      </c>
      <c r="R1544" s="2" t="s">
        <v>3041</v>
      </c>
    </row>
    <row r="1545" spans="6:19" ht="275.25" customHeight="1" x14ac:dyDescent="0.25">
      <c r="J1545" s="3"/>
      <c r="K1545" s="3"/>
      <c r="L1545" s="32"/>
      <c r="M1545" s="2" t="s">
        <v>3021</v>
      </c>
      <c r="O1545" s="2" t="s">
        <v>2179</v>
      </c>
      <c r="Q1545" s="2" t="s">
        <v>540</v>
      </c>
    </row>
    <row r="1546" spans="6:19" ht="45" x14ac:dyDescent="0.25">
      <c r="F1546" s="10">
        <v>21</v>
      </c>
      <c r="H1546" s="6" t="s">
        <v>1669</v>
      </c>
      <c r="I1546" s="2" t="s">
        <v>30</v>
      </c>
      <c r="J1546" s="3">
        <v>40255</v>
      </c>
      <c r="K1546" s="3">
        <v>40254</v>
      </c>
      <c r="L1546" s="32" t="s">
        <v>581</v>
      </c>
      <c r="N1546" s="2" t="s">
        <v>974</v>
      </c>
    </row>
    <row r="1547" spans="6:19" ht="60" x14ac:dyDescent="0.25">
      <c r="F1547" s="10">
        <v>22</v>
      </c>
      <c r="H1547" s="2" t="s">
        <v>3609</v>
      </c>
      <c r="J1547" s="3">
        <v>40255</v>
      </c>
      <c r="K1547" s="3">
        <v>40254</v>
      </c>
      <c r="L1547" s="32" t="s">
        <v>581</v>
      </c>
      <c r="N1547" s="2" t="s">
        <v>974</v>
      </c>
    </row>
    <row r="1548" spans="6:19" ht="45" x14ac:dyDescent="0.25">
      <c r="F1548" s="10">
        <v>23</v>
      </c>
      <c r="H1548" s="2" t="s">
        <v>1523</v>
      </c>
      <c r="I1548" s="2" t="s">
        <v>29</v>
      </c>
      <c r="J1548" s="3">
        <v>40255</v>
      </c>
      <c r="K1548" s="3">
        <v>40254</v>
      </c>
      <c r="L1548" s="32" t="s">
        <v>581</v>
      </c>
      <c r="N1548" s="2" t="s">
        <v>974</v>
      </c>
    </row>
    <row r="1549" spans="6:19" ht="45" x14ac:dyDescent="0.25">
      <c r="F1549" s="10">
        <v>24</v>
      </c>
      <c r="H1549" s="2" t="s">
        <v>1678</v>
      </c>
      <c r="I1549" s="2" t="s">
        <v>30</v>
      </c>
      <c r="J1549" s="3">
        <v>40255</v>
      </c>
      <c r="K1549" s="3">
        <v>40254</v>
      </c>
      <c r="L1549" s="32" t="s">
        <v>581</v>
      </c>
      <c r="N1549" s="2" t="s">
        <v>974</v>
      </c>
    </row>
    <row r="1550" spans="6:19" ht="75" x14ac:dyDescent="0.25">
      <c r="F1550" s="10">
        <v>25</v>
      </c>
      <c r="H1550" s="2" t="s">
        <v>1671</v>
      </c>
      <c r="J1550" s="3"/>
      <c r="K1550" s="3"/>
      <c r="L1550" s="32"/>
    </row>
    <row r="1551" spans="6:19" ht="155.25" customHeight="1" x14ac:dyDescent="0.25">
      <c r="F1551" s="10">
        <v>26</v>
      </c>
      <c r="H1551" s="6" t="s">
        <v>1673</v>
      </c>
      <c r="I1551" s="2" t="s">
        <v>29</v>
      </c>
      <c r="J1551" s="3">
        <v>40255</v>
      </c>
      <c r="K1551" s="3">
        <v>40254</v>
      </c>
      <c r="L1551" s="32" t="s">
        <v>581</v>
      </c>
      <c r="N1551" s="2" t="s">
        <v>974</v>
      </c>
      <c r="O1551" s="2" t="s">
        <v>2371</v>
      </c>
      <c r="P1551" s="2" t="s">
        <v>980</v>
      </c>
      <c r="Q1551" s="2" t="s">
        <v>540</v>
      </c>
      <c r="R1551" s="2" t="s">
        <v>2633</v>
      </c>
    </row>
    <row r="1552" spans="6:19" ht="45" x14ac:dyDescent="0.25">
      <c r="H1552" s="6"/>
      <c r="J1552" s="3"/>
      <c r="K1552" s="3"/>
      <c r="L1552" s="32"/>
      <c r="N1552" s="2" t="s">
        <v>974</v>
      </c>
      <c r="O1552" s="2" t="s">
        <v>2372</v>
      </c>
      <c r="P1552" s="2" t="s">
        <v>977</v>
      </c>
      <c r="Q1552" s="2" t="s">
        <v>540</v>
      </c>
      <c r="R1552" s="2" t="s">
        <v>2637</v>
      </c>
    </row>
    <row r="1553" spans="5:18" ht="75" x14ac:dyDescent="0.25">
      <c r="H1553" s="6"/>
      <c r="J1553" s="3"/>
      <c r="K1553" s="3"/>
      <c r="L1553" s="32"/>
      <c r="N1553" s="2" t="s">
        <v>974</v>
      </c>
      <c r="O1553" s="2" t="s">
        <v>2374</v>
      </c>
      <c r="P1553" s="2" t="s">
        <v>977</v>
      </c>
      <c r="Q1553" s="2" t="s">
        <v>540</v>
      </c>
      <c r="R1553" s="2" t="s">
        <v>2637</v>
      </c>
    </row>
    <row r="1554" spans="5:18" ht="45" x14ac:dyDescent="0.25">
      <c r="F1554" s="10">
        <v>27</v>
      </c>
      <c r="H1554" s="6" t="s">
        <v>1672</v>
      </c>
      <c r="I1554" s="2" t="s">
        <v>29</v>
      </c>
      <c r="J1554" s="3">
        <v>40255</v>
      </c>
      <c r="K1554" s="3">
        <v>40254</v>
      </c>
      <c r="L1554" s="32" t="s">
        <v>581</v>
      </c>
      <c r="N1554" s="2" t="s">
        <v>974</v>
      </c>
      <c r="O1554" s="2" t="s">
        <v>2430</v>
      </c>
      <c r="Q1554" s="2" t="s">
        <v>540</v>
      </c>
    </row>
    <row r="1555" spans="5:18" ht="60" x14ac:dyDescent="0.25">
      <c r="F1555" s="10">
        <v>28</v>
      </c>
      <c r="H1555" s="2" t="s">
        <v>1677</v>
      </c>
      <c r="I1555" s="2" t="s">
        <v>29</v>
      </c>
      <c r="J1555" s="3">
        <v>40255</v>
      </c>
      <c r="K1555" s="3">
        <v>40254</v>
      </c>
      <c r="L1555" s="32" t="s">
        <v>581</v>
      </c>
      <c r="N1555" s="2" t="s">
        <v>974</v>
      </c>
      <c r="O1555" s="2" t="s">
        <v>2373</v>
      </c>
      <c r="P1555" s="2" t="s">
        <v>980</v>
      </c>
      <c r="Q1555" s="2" t="s">
        <v>540</v>
      </c>
      <c r="R1555" s="2" t="s">
        <v>2637</v>
      </c>
    </row>
    <row r="1556" spans="5:18" ht="60" x14ac:dyDescent="0.25">
      <c r="F1556" s="10">
        <v>29</v>
      </c>
      <c r="H1556" s="2" t="s">
        <v>1674</v>
      </c>
      <c r="J1556" s="3"/>
      <c r="K1556" s="3"/>
      <c r="L1556" s="32"/>
    </row>
    <row r="1557" spans="5:18" ht="45" x14ac:dyDescent="0.25">
      <c r="F1557" s="10">
        <v>30</v>
      </c>
      <c r="H1557" s="6" t="s">
        <v>1675</v>
      </c>
      <c r="I1557" s="2" t="s">
        <v>29</v>
      </c>
      <c r="J1557" s="3">
        <v>40255</v>
      </c>
      <c r="K1557" s="3">
        <v>40254</v>
      </c>
      <c r="L1557" s="32" t="s">
        <v>581</v>
      </c>
      <c r="N1557" s="2" t="s">
        <v>974</v>
      </c>
      <c r="O1557" s="2" t="s">
        <v>2370</v>
      </c>
      <c r="P1557" s="2" t="s">
        <v>980</v>
      </c>
      <c r="Q1557" s="2" t="s">
        <v>540</v>
      </c>
      <c r="R1557" s="2" t="s">
        <v>2437</v>
      </c>
    </row>
    <row r="1558" spans="5:18" ht="45" x14ac:dyDescent="0.25">
      <c r="F1558" s="10">
        <v>31</v>
      </c>
      <c r="H1558" s="6" t="s">
        <v>1676</v>
      </c>
      <c r="I1558" s="2" t="s">
        <v>29</v>
      </c>
      <c r="J1558" s="3">
        <v>40255</v>
      </c>
      <c r="K1558" s="3">
        <v>40254</v>
      </c>
      <c r="L1558" s="32" t="s">
        <v>581</v>
      </c>
      <c r="N1558" s="2" t="s">
        <v>974</v>
      </c>
    </row>
    <row r="1559" spans="5:18" x14ac:dyDescent="0.25">
      <c r="E1559" s="10" t="s">
        <v>164</v>
      </c>
      <c r="F1559" s="10">
        <v>1</v>
      </c>
      <c r="G1559" s="2" t="s">
        <v>1695</v>
      </c>
      <c r="H1559" s="6"/>
      <c r="J1559" s="3"/>
      <c r="K1559" s="3"/>
      <c r="L1559" s="32"/>
    </row>
    <row r="1560" spans="5:18" ht="30" x14ac:dyDescent="0.25">
      <c r="F1560" s="10">
        <v>2</v>
      </c>
      <c r="H1560" s="2" t="s">
        <v>1692</v>
      </c>
      <c r="J1560" s="33"/>
      <c r="K1560" s="33"/>
      <c r="L1560" s="32" t="s">
        <v>581</v>
      </c>
      <c r="N1560" s="2" t="s">
        <v>974</v>
      </c>
      <c r="O1560" s="2" t="s">
        <v>2336</v>
      </c>
    </row>
    <row r="1561" spans="5:18" ht="30" x14ac:dyDescent="0.25">
      <c r="F1561" s="10">
        <v>3</v>
      </c>
      <c r="H1561" s="2" t="s">
        <v>1693</v>
      </c>
      <c r="J1561" s="33"/>
      <c r="K1561" s="33"/>
      <c r="L1561" s="32" t="s">
        <v>581</v>
      </c>
      <c r="N1561" s="2" t="s">
        <v>974</v>
      </c>
      <c r="O1561" s="2" t="s">
        <v>2336</v>
      </c>
    </row>
    <row r="1562" spans="5:18" x14ac:dyDescent="0.25">
      <c r="F1562" s="10">
        <v>4</v>
      </c>
      <c r="H1562" s="2" t="s">
        <v>1694</v>
      </c>
      <c r="J1562" s="33"/>
      <c r="K1562" s="33"/>
      <c r="L1562" s="32" t="s">
        <v>581</v>
      </c>
      <c r="N1562" s="2" t="s">
        <v>974</v>
      </c>
      <c r="O1562" s="2" t="s">
        <v>2336</v>
      </c>
    </row>
    <row r="1563" spans="5:18" ht="45" x14ac:dyDescent="0.25">
      <c r="E1563" s="10" t="s">
        <v>123</v>
      </c>
      <c r="F1563" s="10">
        <v>1</v>
      </c>
      <c r="G1563" s="2" t="s">
        <v>3868</v>
      </c>
      <c r="J1563" s="3"/>
      <c r="K1563" s="3"/>
      <c r="L1563" s="32"/>
    </row>
    <row r="1564" spans="5:18" ht="45" x14ac:dyDescent="0.25">
      <c r="F1564" s="10">
        <v>2</v>
      </c>
      <c r="H1564" s="2" t="s">
        <v>1535</v>
      </c>
      <c r="J1564" s="3">
        <v>40274</v>
      </c>
      <c r="K1564" s="7" t="s">
        <v>33</v>
      </c>
      <c r="L1564" s="32" t="s">
        <v>581</v>
      </c>
      <c r="N1564" s="2" t="s">
        <v>974</v>
      </c>
    </row>
    <row r="1565" spans="5:18" ht="30" x14ac:dyDescent="0.25">
      <c r="F1565" s="10">
        <v>3</v>
      </c>
      <c r="H1565" s="2" t="s">
        <v>1533</v>
      </c>
      <c r="J1565" s="3">
        <v>40274</v>
      </c>
      <c r="K1565" s="7" t="s">
        <v>33</v>
      </c>
      <c r="L1565" s="32" t="s">
        <v>581</v>
      </c>
      <c r="N1565" s="2" t="s">
        <v>974</v>
      </c>
    </row>
    <row r="1566" spans="5:18" ht="30" x14ac:dyDescent="0.25">
      <c r="F1566" s="10">
        <v>4</v>
      </c>
      <c r="G1566" s="2" t="s">
        <v>1534</v>
      </c>
      <c r="J1566" s="3"/>
      <c r="K1566" s="3"/>
      <c r="L1566" s="32"/>
    </row>
    <row r="1567" spans="5:18" ht="30" x14ac:dyDescent="0.25">
      <c r="F1567" s="10">
        <v>5</v>
      </c>
      <c r="H1567" s="2" t="s">
        <v>1536</v>
      </c>
      <c r="J1567" s="3">
        <v>40274</v>
      </c>
      <c r="K1567" s="7" t="s">
        <v>33</v>
      </c>
      <c r="L1567" s="32" t="s">
        <v>581</v>
      </c>
      <c r="N1567" s="2" t="s">
        <v>974</v>
      </c>
    </row>
    <row r="1569" spans="1:18" ht="75" x14ac:dyDescent="0.25">
      <c r="A1569" s="19" t="s">
        <v>1005</v>
      </c>
      <c r="B1569" s="7" t="s">
        <v>1063</v>
      </c>
      <c r="C1569" s="7" t="s">
        <v>1059</v>
      </c>
      <c r="D1569" s="7" t="s">
        <v>3610</v>
      </c>
      <c r="E1569" s="10" t="s">
        <v>121</v>
      </c>
      <c r="F1569" s="10">
        <v>1</v>
      </c>
      <c r="G1569" s="2" t="s">
        <v>1021</v>
      </c>
      <c r="L1569" s="32" t="s">
        <v>581</v>
      </c>
    </row>
    <row r="1570" spans="1:18" ht="30" x14ac:dyDescent="0.25">
      <c r="F1570" s="10">
        <v>2</v>
      </c>
      <c r="H1570" s="2" t="s">
        <v>1022</v>
      </c>
      <c r="I1570" s="2" t="s">
        <v>29</v>
      </c>
      <c r="J1570" s="3">
        <v>40255</v>
      </c>
      <c r="K1570" s="3">
        <v>40254</v>
      </c>
      <c r="L1570" s="32" t="s">
        <v>581</v>
      </c>
      <c r="N1570" s="2" t="s">
        <v>974</v>
      </c>
    </row>
    <row r="1571" spans="1:18" ht="65.25" customHeight="1" x14ac:dyDescent="0.25">
      <c r="F1571" s="10">
        <v>3</v>
      </c>
      <c r="H1571" s="2" t="s">
        <v>2401</v>
      </c>
      <c r="I1571" s="2" t="s">
        <v>29</v>
      </c>
      <c r="J1571" s="33"/>
      <c r="K1571" s="33"/>
      <c r="L1571" s="32" t="s">
        <v>581</v>
      </c>
      <c r="N1571" s="2" t="s">
        <v>974</v>
      </c>
      <c r="O1571" s="2" t="s">
        <v>2400</v>
      </c>
      <c r="P1571" s="2" t="s">
        <v>977</v>
      </c>
      <c r="Q1571" s="2" t="s">
        <v>540</v>
      </c>
      <c r="R1571" s="2" t="s">
        <v>2641</v>
      </c>
    </row>
    <row r="1572" spans="1:18" ht="80.25" customHeight="1" x14ac:dyDescent="0.25">
      <c r="F1572" s="10">
        <v>4</v>
      </c>
      <c r="H1572" s="2" t="s">
        <v>3611</v>
      </c>
      <c r="I1572" s="2" t="s">
        <v>29</v>
      </c>
      <c r="J1572" s="33"/>
      <c r="K1572" s="33"/>
      <c r="L1572" s="32" t="s">
        <v>581</v>
      </c>
      <c r="N1572" s="2" t="s">
        <v>974</v>
      </c>
      <c r="Q1572" s="2" t="s">
        <v>540</v>
      </c>
    </row>
    <row r="1573" spans="1:18" ht="45" x14ac:dyDescent="0.25">
      <c r="F1573" s="10">
        <v>5</v>
      </c>
      <c r="H1573" s="2" t="s">
        <v>1553</v>
      </c>
      <c r="I1573" s="2" t="s">
        <v>29</v>
      </c>
      <c r="J1573" s="3">
        <v>40255</v>
      </c>
      <c r="K1573" s="3">
        <v>40254</v>
      </c>
      <c r="L1573" s="32" t="s">
        <v>581</v>
      </c>
      <c r="N1573" s="2" t="s">
        <v>974</v>
      </c>
    </row>
    <row r="1574" spans="1:18" ht="112.5" customHeight="1" x14ac:dyDescent="0.25">
      <c r="A1574" s="19"/>
      <c r="F1574" s="10">
        <v>6</v>
      </c>
      <c r="H1574" s="2" t="s">
        <v>3612</v>
      </c>
      <c r="I1574" s="2" t="s">
        <v>29</v>
      </c>
      <c r="J1574" s="3">
        <v>40255</v>
      </c>
      <c r="K1574" s="3">
        <v>40254</v>
      </c>
      <c r="L1574" s="32" t="s">
        <v>581</v>
      </c>
      <c r="N1574" s="2" t="s">
        <v>974</v>
      </c>
      <c r="O1574" s="2" t="s">
        <v>3613</v>
      </c>
      <c r="P1574" s="2" t="s">
        <v>980</v>
      </c>
      <c r="Q1574" s="2" t="s">
        <v>540</v>
      </c>
      <c r="R1574" s="2" t="s">
        <v>2696</v>
      </c>
    </row>
    <row r="1575" spans="1:18" ht="80.25" customHeight="1" x14ac:dyDescent="0.25">
      <c r="A1575" s="19"/>
      <c r="J1575" s="3"/>
      <c r="K1575" s="3"/>
      <c r="L1575" s="32"/>
      <c r="N1575" s="2" t="s">
        <v>974</v>
      </c>
      <c r="O1575" s="2" t="s">
        <v>3069</v>
      </c>
      <c r="P1575" s="2" t="s">
        <v>982</v>
      </c>
      <c r="Q1575" s="2" t="s">
        <v>540</v>
      </c>
      <c r="R1575" s="2" t="s">
        <v>3092</v>
      </c>
    </row>
    <row r="1576" spans="1:18" ht="30" x14ac:dyDescent="0.25">
      <c r="A1576" s="19"/>
      <c r="F1576" s="10">
        <v>7</v>
      </c>
      <c r="H1576" s="2" t="s">
        <v>1554</v>
      </c>
      <c r="I1576" s="2" t="s">
        <v>29</v>
      </c>
      <c r="J1576" s="3">
        <v>40255</v>
      </c>
      <c r="K1576" s="3">
        <v>40254</v>
      </c>
      <c r="L1576" s="32" t="s">
        <v>581</v>
      </c>
      <c r="N1576" s="2" t="s">
        <v>974</v>
      </c>
      <c r="O1576" s="2" t="s">
        <v>2410</v>
      </c>
      <c r="P1576" s="2" t="s">
        <v>977</v>
      </c>
      <c r="Q1576" s="2" t="s">
        <v>540</v>
      </c>
      <c r="R1576" s="2" t="s">
        <v>2637</v>
      </c>
    </row>
    <row r="1577" spans="1:18" ht="30" x14ac:dyDescent="0.25">
      <c r="A1577" s="19"/>
      <c r="F1577" s="10">
        <v>8</v>
      </c>
      <c r="H1577" s="2" t="s">
        <v>1555</v>
      </c>
      <c r="I1577" s="2" t="s">
        <v>29</v>
      </c>
      <c r="J1577" s="3">
        <v>40255</v>
      </c>
      <c r="K1577" s="3">
        <v>40254</v>
      </c>
      <c r="L1577" s="32" t="s">
        <v>581</v>
      </c>
      <c r="N1577" s="2" t="s">
        <v>974</v>
      </c>
    </row>
    <row r="1578" spans="1:18" ht="30" x14ac:dyDescent="0.25">
      <c r="A1578" s="19"/>
      <c r="F1578" s="10">
        <v>9</v>
      </c>
      <c r="G1578" s="2" t="s">
        <v>1556</v>
      </c>
    </row>
    <row r="1579" spans="1:18" ht="30" x14ac:dyDescent="0.25">
      <c r="A1579" s="19"/>
      <c r="F1579" s="10">
        <v>10</v>
      </c>
      <c r="G1579" s="2" t="s">
        <v>1557</v>
      </c>
    </row>
    <row r="1580" spans="1:18" ht="45" x14ac:dyDescent="0.25">
      <c r="A1580" s="19"/>
      <c r="F1580" s="10">
        <v>11</v>
      </c>
      <c r="H1580" s="2" t="s">
        <v>1558</v>
      </c>
      <c r="I1580" s="2" t="s">
        <v>33</v>
      </c>
      <c r="J1580" s="3">
        <v>40255</v>
      </c>
      <c r="K1580" s="3">
        <v>40254</v>
      </c>
      <c r="L1580" s="32" t="s">
        <v>581</v>
      </c>
      <c r="N1580" s="2" t="s">
        <v>974</v>
      </c>
      <c r="O1580" s="2" t="s">
        <v>3537</v>
      </c>
      <c r="P1580" s="2" t="s">
        <v>977</v>
      </c>
      <c r="Q1580" s="2" t="s">
        <v>540</v>
      </c>
      <c r="R1580" s="2" t="s">
        <v>2696</v>
      </c>
    </row>
    <row r="1581" spans="1:18" ht="60" x14ac:dyDescent="0.25">
      <c r="A1581" s="19"/>
      <c r="F1581" s="10">
        <v>12</v>
      </c>
      <c r="H1581" s="2" t="s">
        <v>1559</v>
      </c>
      <c r="I1581" s="2" t="s">
        <v>33</v>
      </c>
      <c r="J1581" s="3">
        <v>40255</v>
      </c>
      <c r="K1581" s="3">
        <v>40254</v>
      </c>
      <c r="L1581" s="32" t="s">
        <v>581</v>
      </c>
      <c r="N1581" s="2" t="s">
        <v>974</v>
      </c>
      <c r="O1581" s="2" t="s">
        <v>2402</v>
      </c>
      <c r="P1581" s="2" t="s">
        <v>977</v>
      </c>
      <c r="Q1581" s="2" t="s">
        <v>540</v>
      </c>
      <c r="R1581" s="2" t="s">
        <v>2637</v>
      </c>
    </row>
    <row r="1582" spans="1:18" ht="60" x14ac:dyDescent="0.25">
      <c r="A1582" s="19"/>
      <c r="J1582" s="3"/>
      <c r="K1582" s="3"/>
      <c r="L1582" s="32"/>
      <c r="N1582" s="2" t="s">
        <v>974</v>
      </c>
      <c r="O1582" s="2" t="s">
        <v>2408</v>
      </c>
      <c r="P1582" s="2" t="s">
        <v>980</v>
      </c>
      <c r="Q1582" s="2" t="s">
        <v>540</v>
      </c>
      <c r="R1582" s="2" t="s">
        <v>2637</v>
      </c>
    </row>
    <row r="1583" spans="1:18" ht="45" x14ac:dyDescent="0.25">
      <c r="A1583" s="19"/>
      <c r="F1583" s="10">
        <v>13</v>
      </c>
      <c r="H1583" s="2" t="s">
        <v>1560</v>
      </c>
      <c r="I1583" s="2" t="s">
        <v>29</v>
      </c>
      <c r="J1583" s="3">
        <v>40255</v>
      </c>
      <c r="K1583" s="3">
        <v>40254</v>
      </c>
      <c r="L1583" s="32" t="s">
        <v>581</v>
      </c>
      <c r="N1583" s="2" t="s">
        <v>974</v>
      </c>
    </row>
    <row r="1584" spans="1:18" ht="30" x14ac:dyDescent="0.25">
      <c r="A1584" s="19"/>
      <c r="F1584" s="10">
        <v>14</v>
      </c>
      <c r="H1584" s="2" t="s">
        <v>1566</v>
      </c>
      <c r="I1584" s="2" t="s">
        <v>29</v>
      </c>
      <c r="J1584" s="3">
        <v>40255</v>
      </c>
      <c r="K1584" s="3">
        <v>40254</v>
      </c>
      <c r="L1584" s="32" t="s">
        <v>581</v>
      </c>
      <c r="N1584" s="2" t="s">
        <v>974</v>
      </c>
    </row>
    <row r="1585" spans="1:18" ht="30" x14ac:dyDescent="0.25">
      <c r="A1585" s="19"/>
      <c r="F1585" s="10">
        <v>15</v>
      </c>
      <c r="H1585" s="2" t="s">
        <v>1561</v>
      </c>
      <c r="I1585" s="2" t="s">
        <v>29</v>
      </c>
      <c r="J1585" s="3">
        <v>40255</v>
      </c>
      <c r="K1585" s="3">
        <v>40254</v>
      </c>
      <c r="L1585" s="32" t="s">
        <v>581</v>
      </c>
      <c r="N1585" s="2" t="s">
        <v>974</v>
      </c>
      <c r="O1585" s="2" t="s">
        <v>2411</v>
      </c>
    </row>
    <row r="1586" spans="1:18" ht="49.5" customHeight="1" x14ac:dyDescent="0.25">
      <c r="A1586" s="19"/>
      <c r="J1586" s="3"/>
      <c r="K1586" s="3"/>
      <c r="L1586" s="32"/>
      <c r="N1586" s="2" t="s">
        <v>974</v>
      </c>
      <c r="O1586" s="2" t="s">
        <v>3709</v>
      </c>
      <c r="P1586" s="2" t="s">
        <v>977</v>
      </c>
      <c r="Q1586" s="2" t="s">
        <v>540</v>
      </c>
      <c r="R1586" s="2" t="s">
        <v>2641</v>
      </c>
    </row>
    <row r="1587" spans="1:18" ht="70.5" customHeight="1" x14ac:dyDescent="0.25">
      <c r="A1587" s="19"/>
      <c r="J1587" s="3"/>
      <c r="K1587" s="3"/>
      <c r="L1587" s="32"/>
      <c r="N1587" s="2" t="s">
        <v>974</v>
      </c>
      <c r="O1587" s="2" t="s">
        <v>3710</v>
      </c>
      <c r="P1587" s="2" t="s">
        <v>980</v>
      </c>
      <c r="Q1587" s="2" t="s">
        <v>540</v>
      </c>
      <c r="R1587" s="2" t="s">
        <v>2637</v>
      </c>
    </row>
    <row r="1588" spans="1:18" ht="30" x14ac:dyDescent="0.25">
      <c r="A1588" s="19"/>
      <c r="J1588" s="3"/>
      <c r="K1588" s="3"/>
      <c r="L1588" s="32"/>
      <c r="N1588" s="2" t="s">
        <v>974</v>
      </c>
      <c r="O1588" s="2" t="s">
        <v>2405</v>
      </c>
      <c r="P1588" s="2" t="s">
        <v>977</v>
      </c>
      <c r="Q1588" s="2" t="s">
        <v>540</v>
      </c>
      <c r="R1588" s="2" t="s">
        <v>2637</v>
      </c>
    </row>
    <row r="1589" spans="1:18" ht="26.25" customHeight="1" x14ac:dyDescent="0.25">
      <c r="A1589" s="19"/>
      <c r="J1589" s="3"/>
      <c r="K1589" s="3"/>
      <c r="L1589" s="32"/>
      <c r="N1589" s="2" t="s">
        <v>974</v>
      </c>
      <c r="O1589" s="2" t="s">
        <v>2406</v>
      </c>
      <c r="P1589" s="2" t="s">
        <v>977</v>
      </c>
      <c r="Q1589" s="2" t="s">
        <v>540</v>
      </c>
      <c r="R1589" s="2" t="s">
        <v>2696</v>
      </c>
    </row>
    <row r="1590" spans="1:18" ht="60" x14ac:dyDescent="0.25">
      <c r="A1590" s="19"/>
      <c r="J1590" s="3"/>
      <c r="K1590" s="3"/>
      <c r="L1590" s="32"/>
      <c r="N1590" s="2" t="s">
        <v>974</v>
      </c>
      <c r="O1590" s="2" t="s">
        <v>2407</v>
      </c>
      <c r="P1590" s="2" t="s">
        <v>982</v>
      </c>
      <c r="Q1590" s="2" t="s">
        <v>540</v>
      </c>
      <c r="R1590" s="2" t="s">
        <v>2637</v>
      </c>
    </row>
    <row r="1591" spans="1:18" ht="162.75" customHeight="1" x14ac:dyDescent="0.25">
      <c r="A1591" s="19"/>
      <c r="F1591" s="10">
        <v>16</v>
      </c>
      <c r="H1591" s="2" t="s">
        <v>1562</v>
      </c>
      <c r="I1591" s="4" t="s">
        <v>31</v>
      </c>
      <c r="J1591" s="3">
        <v>40255</v>
      </c>
      <c r="K1591" s="3">
        <v>40254</v>
      </c>
      <c r="L1591" s="32" t="s">
        <v>581</v>
      </c>
      <c r="N1591" s="2" t="s">
        <v>974</v>
      </c>
      <c r="O1591" s="2" t="s">
        <v>2409</v>
      </c>
      <c r="P1591" s="2" t="s">
        <v>977</v>
      </c>
      <c r="Q1591" s="2" t="s">
        <v>540</v>
      </c>
      <c r="R1591" s="2" t="s">
        <v>2696</v>
      </c>
    </row>
    <row r="1592" spans="1:18" ht="30" x14ac:dyDescent="0.25">
      <c r="A1592" s="19"/>
      <c r="F1592" s="10">
        <v>17</v>
      </c>
      <c r="H1592" s="2" t="s">
        <v>1563</v>
      </c>
      <c r="I1592" s="2" t="s">
        <v>30</v>
      </c>
      <c r="J1592" s="2" t="s">
        <v>33</v>
      </c>
      <c r="K1592" s="7" t="s">
        <v>33</v>
      </c>
      <c r="L1592" s="32" t="s">
        <v>581</v>
      </c>
      <c r="N1592" s="2" t="s">
        <v>974</v>
      </c>
    </row>
    <row r="1593" spans="1:18" ht="30" x14ac:dyDescent="0.25">
      <c r="A1593" s="19"/>
      <c r="F1593" s="10">
        <v>18</v>
      </c>
      <c r="H1593" s="2" t="s">
        <v>1564</v>
      </c>
      <c r="I1593" s="2" t="s">
        <v>33</v>
      </c>
      <c r="J1593" s="3">
        <v>40274</v>
      </c>
      <c r="K1593" s="4"/>
      <c r="L1593" s="32" t="s">
        <v>581</v>
      </c>
      <c r="N1593" s="2" t="s">
        <v>974</v>
      </c>
    </row>
    <row r="1594" spans="1:18" ht="45" x14ac:dyDescent="0.25">
      <c r="A1594" s="19"/>
      <c r="F1594" s="10">
        <v>19</v>
      </c>
      <c r="H1594" s="2" t="s">
        <v>2403</v>
      </c>
      <c r="I1594" s="2" t="s">
        <v>30</v>
      </c>
      <c r="J1594" s="3">
        <v>40274</v>
      </c>
      <c r="K1594" s="4"/>
      <c r="L1594" s="32" t="s">
        <v>581</v>
      </c>
      <c r="N1594" s="2" t="s">
        <v>974</v>
      </c>
      <c r="O1594" s="2" t="s">
        <v>2404</v>
      </c>
      <c r="P1594" s="2" t="s">
        <v>977</v>
      </c>
      <c r="Q1594" s="2" t="s">
        <v>540</v>
      </c>
      <c r="R1594" s="2" t="s">
        <v>2641</v>
      </c>
    </row>
    <row r="1595" spans="1:18" ht="30" x14ac:dyDescent="0.25">
      <c r="A1595" s="19"/>
      <c r="F1595" s="10">
        <v>20</v>
      </c>
      <c r="H1595" s="2" t="s">
        <v>1565</v>
      </c>
      <c r="I1595" s="2" t="s">
        <v>30</v>
      </c>
      <c r="J1595" s="3">
        <v>40274</v>
      </c>
      <c r="K1595" s="4"/>
      <c r="L1595" s="32" t="s">
        <v>581</v>
      </c>
      <c r="N1595" s="2" t="s">
        <v>974</v>
      </c>
      <c r="O1595" s="2" t="s">
        <v>2404</v>
      </c>
      <c r="P1595" s="2" t="s">
        <v>977</v>
      </c>
      <c r="Q1595" s="2" t="s">
        <v>540</v>
      </c>
      <c r="R1595" s="2" t="s">
        <v>2641</v>
      </c>
    </row>
    <row r="1596" spans="1:18" ht="30" x14ac:dyDescent="0.25">
      <c r="A1596" s="19"/>
      <c r="E1596" s="10" t="s">
        <v>308</v>
      </c>
      <c r="F1596" s="10">
        <v>1</v>
      </c>
      <c r="G1596" s="2" t="s">
        <v>2112</v>
      </c>
      <c r="J1596" s="3"/>
      <c r="K1596" s="3"/>
      <c r="L1596" s="32"/>
    </row>
    <row r="1597" spans="1:18" ht="45" x14ac:dyDescent="0.25">
      <c r="A1597" s="19"/>
      <c r="F1597" s="10">
        <v>2</v>
      </c>
      <c r="H1597" s="2" t="s">
        <v>2113</v>
      </c>
      <c r="I1597" s="2" t="s">
        <v>29</v>
      </c>
      <c r="J1597" s="4"/>
      <c r="K1597" s="4"/>
      <c r="L1597" s="32" t="s">
        <v>581</v>
      </c>
      <c r="N1597" s="2" t="s">
        <v>974</v>
      </c>
      <c r="O1597" s="2" t="s">
        <v>2412</v>
      </c>
    </row>
    <row r="1598" spans="1:18" ht="60" x14ac:dyDescent="0.25">
      <c r="A1598" s="19"/>
      <c r="E1598" s="10" t="s">
        <v>130</v>
      </c>
      <c r="F1598" s="10">
        <v>1</v>
      </c>
      <c r="G1598" s="2" t="s">
        <v>3614</v>
      </c>
      <c r="K1598" s="2"/>
      <c r="L1598" s="2"/>
    </row>
    <row r="1599" spans="1:18" ht="78.75" customHeight="1" x14ac:dyDescent="0.25">
      <c r="A1599" s="19"/>
      <c r="F1599" s="10">
        <v>2</v>
      </c>
      <c r="H1599" s="2" t="s">
        <v>2113</v>
      </c>
      <c r="I1599" s="2" t="s">
        <v>29</v>
      </c>
      <c r="J1599" s="4"/>
      <c r="K1599" s="4"/>
      <c r="L1599" s="32" t="s">
        <v>581</v>
      </c>
      <c r="M1599" s="2" t="s">
        <v>3615</v>
      </c>
      <c r="N1599" s="2" t="s">
        <v>974</v>
      </c>
    </row>
    <row r="1601" spans="1:18" ht="75" x14ac:dyDescent="0.25">
      <c r="A1601" s="7" t="s">
        <v>1004</v>
      </c>
      <c r="B1601" s="7" t="s">
        <v>1060</v>
      </c>
      <c r="C1601" s="7" t="s">
        <v>1059</v>
      </c>
      <c r="D1601" s="7" t="s">
        <v>3616</v>
      </c>
      <c r="E1601" s="10" t="s">
        <v>121</v>
      </c>
      <c r="F1601" s="10">
        <v>1</v>
      </c>
      <c r="G1601" s="2" t="s">
        <v>1021</v>
      </c>
    </row>
    <row r="1602" spans="1:18" ht="30" x14ac:dyDescent="0.25">
      <c r="F1602" s="10">
        <v>2</v>
      </c>
      <c r="H1602" s="2" t="s">
        <v>1022</v>
      </c>
      <c r="I1602" s="2" t="s">
        <v>29</v>
      </c>
      <c r="J1602" s="3">
        <v>40255</v>
      </c>
      <c r="K1602" s="3">
        <v>40254</v>
      </c>
      <c r="L1602" s="32" t="s">
        <v>581</v>
      </c>
      <c r="N1602" s="2" t="s">
        <v>974</v>
      </c>
    </row>
    <row r="1603" spans="1:18" ht="45.75" customHeight="1" x14ac:dyDescent="0.25">
      <c r="F1603" s="10">
        <v>3</v>
      </c>
      <c r="H1603" s="2" t="s">
        <v>1062</v>
      </c>
      <c r="I1603" s="2" t="s">
        <v>29</v>
      </c>
      <c r="J1603" s="3">
        <v>40255</v>
      </c>
      <c r="K1603" s="3">
        <v>40254</v>
      </c>
      <c r="L1603" s="32" t="s">
        <v>581</v>
      </c>
      <c r="N1603" s="2" t="s">
        <v>974</v>
      </c>
    </row>
    <row r="1604" spans="1:18" ht="137.25" customHeight="1" x14ac:dyDescent="0.25">
      <c r="F1604" s="10">
        <v>4</v>
      </c>
      <c r="H1604" s="2" t="s">
        <v>1540</v>
      </c>
      <c r="I1604" s="2" t="s">
        <v>29</v>
      </c>
      <c r="J1604" s="3">
        <v>40274</v>
      </c>
      <c r="K1604" s="4"/>
      <c r="L1604" s="32" t="s">
        <v>581</v>
      </c>
      <c r="M1604" s="2" t="s">
        <v>3036</v>
      </c>
      <c r="N1604" s="2" t="s">
        <v>974</v>
      </c>
    </row>
    <row r="1605" spans="1:18" ht="30" x14ac:dyDescent="0.25">
      <c r="F1605" s="10">
        <v>5</v>
      </c>
      <c r="G1605" s="2" t="s">
        <v>1065</v>
      </c>
      <c r="K1605" s="2"/>
      <c r="L1605" s="2"/>
    </row>
    <row r="1606" spans="1:18" x14ac:dyDescent="0.25">
      <c r="F1606" s="10">
        <v>6</v>
      </c>
      <c r="G1606" s="2" t="s">
        <v>92</v>
      </c>
    </row>
    <row r="1607" spans="1:18" x14ac:dyDescent="0.25">
      <c r="F1607" s="10">
        <v>7</v>
      </c>
      <c r="H1607" s="2" t="s">
        <v>292</v>
      </c>
      <c r="I1607" s="2" t="s">
        <v>29</v>
      </c>
      <c r="J1607" s="3">
        <v>40255</v>
      </c>
      <c r="K1607" s="3">
        <v>40254</v>
      </c>
      <c r="L1607" s="32" t="s">
        <v>581</v>
      </c>
      <c r="N1607" s="2" t="s">
        <v>974</v>
      </c>
    </row>
    <row r="1608" spans="1:18" x14ac:dyDescent="0.25">
      <c r="F1608" s="10">
        <v>8</v>
      </c>
      <c r="G1608" s="2" t="s">
        <v>1066</v>
      </c>
    </row>
    <row r="1609" spans="1:18" ht="75" x14ac:dyDescent="0.25">
      <c r="F1609" s="10">
        <v>9</v>
      </c>
      <c r="H1609" s="2" t="s">
        <v>1552</v>
      </c>
      <c r="I1609" s="2" t="s">
        <v>33</v>
      </c>
      <c r="J1609" s="3">
        <v>40274</v>
      </c>
      <c r="K1609" s="3">
        <v>40254</v>
      </c>
      <c r="L1609" s="32" t="s">
        <v>581</v>
      </c>
      <c r="N1609" s="2" t="s">
        <v>974</v>
      </c>
    </row>
    <row r="1610" spans="1:18" ht="189.75" customHeight="1" x14ac:dyDescent="0.25">
      <c r="F1610" s="10">
        <v>10</v>
      </c>
      <c r="H1610" s="2" t="s">
        <v>3617</v>
      </c>
      <c r="I1610" s="2" t="s">
        <v>29</v>
      </c>
      <c r="J1610" s="3">
        <v>40274</v>
      </c>
      <c r="K1610" s="3">
        <v>40254</v>
      </c>
      <c r="L1610" s="32" t="s">
        <v>581</v>
      </c>
      <c r="M1610" s="2" t="s">
        <v>3618</v>
      </c>
      <c r="N1610" s="2" t="s">
        <v>974</v>
      </c>
      <c r="Q1610" s="2" t="s">
        <v>540</v>
      </c>
      <c r="R1610" s="2" t="s">
        <v>3022</v>
      </c>
    </row>
    <row r="1611" spans="1:18" ht="90" x14ac:dyDescent="0.25">
      <c r="F1611" s="10">
        <v>11</v>
      </c>
      <c r="H1611" s="2" t="s">
        <v>3619</v>
      </c>
      <c r="I1611" s="2" t="s">
        <v>33</v>
      </c>
      <c r="J1611" s="3" t="s">
        <v>33</v>
      </c>
      <c r="K1611" s="3" t="s">
        <v>33</v>
      </c>
      <c r="L1611" s="32" t="s">
        <v>581</v>
      </c>
      <c r="M1611" s="2" t="s">
        <v>3620</v>
      </c>
      <c r="N1611" s="2" t="s">
        <v>974</v>
      </c>
      <c r="O1611" s="2" t="s">
        <v>3621</v>
      </c>
      <c r="P1611" s="2" t="s">
        <v>982</v>
      </c>
      <c r="Q1611" s="2" t="s">
        <v>540</v>
      </c>
      <c r="R1611" s="2" t="s">
        <v>2449</v>
      </c>
    </row>
    <row r="1612" spans="1:18" ht="30" x14ac:dyDescent="0.25">
      <c r="F1612" s="10">
        <v>12</v>
      </c>
      <c r="H1612" s="2" t="s">
        <v>3622</v>
      </c>
      <c r="I1612" s="2" t="s">
        <v>29</v>
      </c>
      <c r="J1612" s="3">
        <v>40274</v>
      </c>
      <c r="K1612" s="3">
        <v>40274</v>
      </c>
      <c r="L1612" s="32" t="s">
        <v>581</v>
      </c>
      <c r="N1612" s="2" t="s">
        <v>974</v>
      </c>
    </row>
    <row r="1613" spans="1:18" ht="30" x14ac:dyDescent="0.25">
      <c r="F1613" s="10">
        <v>13</v>
      </c>
      <c r="H1613" s="2" t="s">
        <v>3623</v>
      </c>
      <c r="I1613" s="2" t="s">
        <v>29</v>
      </c>
      <c r="J1613" s="3">
        <v>40274</v>
      </c>
      <c r="K1613" s="3">
        <v>40274</v>
      </c>
      <c r="L1613" s="32" t="s">
        <v>581</v>
      </c>
      <c r="N1613" s="2" t="s">
        <v>974</v>
      </c>
    </row>
    <row r="1614" spans="1:18" ht="30" x14ac:dyDescent="0.25">
      <c r="F1614" s="10">
        <v>14</v>
      </c>
      <c r="H1614" s="2" t="s">
        <v>3624</v>
      </c>
      <c r="I1614" s="2" t="s">
        <v>29</v>
      </c>
      <c r="J1614" s="3">
        <v>40274</v>
      </c>
      <c r="K1614" s="3">
        <v>40274</v>
      </c>
      <c r="L1614" s="32" t="s">
        <v>581</v>
      </c>
      <c r="N1614" s="2" t="s">
        <v>974</v>
      </c>
    </row>
    <row r="1615" spans="1:18" ht="60" x14ac:dyDescent="0.25">
      <c r="F1615" s="10">
        <v>15</v>
      </c>
      <c r="H1615" s="2" t="s">
        <v>3625</v>
      </c>
      <c r="I1615" s="2" t="s">
        <v>29</v>
      </c>
      <c r="J1615" s="3">
        <v>40274</v>
      </c>
      <c r="K1615" s="3">
        <v>40274</v>
      </c>
      <c r="L1615" s="32" t="s">
        <v>581</v>
      </c>
      <c r="N1615" s="2" t="s">
        <v>974</v>
      </c>
    </row>
    <row r="1616" spans="1:18" ht="45" x14ac:dyDescent="0.25">
      <c r="F1616" s="10">
        <v>16</v>
      </c>
      <c r="H1616" s="2" t="s">
        <v>3626</v>
      </c>
      <c r="I1616" s="2" t="s">
        <v>29</v>
      </c>
      <c r="J1616" s="3">
        <v>40274</v>
      </c>
      <c r="K1616" s="3">
        <v>40274</v>
      </c>
      <c r="L1616" s="32" t="s">
        <v>581</v>
      </c>
      <c r="N1616" s="2" t="s">
        <v>974</v>
      </c>
    </row>
    <row r="1617" spans="1:18" ht="30" x14ac:dyDescent="0.25">
      <c r="F1617" s="10">
        <v>17</v>
      </c>
      <c r="H1617" s="2" t="s">
        <v>1067</v>
      </c>
      <c r="I1617" s="2" t="s">
        <v>29</v>
      </c>
      <c r="J1617" s="3">
        <v>40274</v>
      </c>
      <c r="K1617" s="3">
        <v>40274</v>
      </c>
      <c r="L1617" s="32" t="s">
        <v>581</v>
      </c>
      <c r="N1617" s="2" t="s">
        <v>974</v>
      </c>
    </row>
    <row r="1618" spans="1:18" ht="90" x14ac:dyDescent="0.25">
      <c r="F1618" s="10">
        <v>18</v>
      </c>
      <c r="H1618" s="2" t="s">
        <v>1068</v>
      </c>
      <c r="I1618" s="2" t="s">
        <v>29</v>
      </c>
      <c r="J1618" s="3">
        <v>40274</v>
      </c>
      <c r="K1618" s="3">
        <v>40274</v>
      </c>
      <c r="L1618" s="32" t="s">
        <v>581</v>
      </c>
      <c r="N1618" s="2" t="s">
        <v>974</v>
      </c>
      <c r="O1618" s="2" t="s">
        <v>3024</v>
      </c>
      <c r="P1618" s="2" t="s">
        <v>980</v>
      </c>
      <c r="Q1618" s="2" t="s">
        <v>540</v>
      </c>
      <c r="R1618" s="2" t="s">
        <v>2449</v>
      </c>
    </row>
    <row r="1619" spans="1:18" ht="30" x14ac:dyDescent="0.25">
      <c r="F1619" s="10">
        <v>19</v>
      </c>
      <c r="H1619" s="2" t="s">
        <v>3711</v>
      </c>
      <c r="I1619" s="2" t="s">
        <v>29</v>
      </c>
      <c r="J1619" s="3">
        <v>40274</v>
      </c>
      <c r="K1619" s="3">
        <v>40254</v>
      </c>
      <c r="L1619" s="32" t="s">
        <v>581</v>
      </c>
      <c r="N1619" s="2" t="s">
        <v>974</v>
      </c>
    </row>
    <row r="1620" spans="1:18" ht="30" x14ac:dyDescent="0.25">
      <c r="F1620" s="10">
        <v>20</v>
      </c>
      <c r="H1620" s="2" t="s">
        <v>3969</v>
      </c>
      <c r="I1620" s="2" t="s">
        <v>29</v>
      </c>
      <c r="J1620" s="3">
        <v>40274</v>
      </c>
      <c r="K1620" s="3">
        <v>40254</v>
      </c>
      <c r="L1620" s="32" t="s">
        <v>581</v>
      </c>
      <c r="N1620" s="2" t="s">
        <v>974</v>
      </c>
    </row>
    <row r="1621" spans="1:18" ht="45" x14ac:dyDescent="0.25">
      <c r="E1621" s="10" t="s">
        <v>130</v>
      </c>
      <c r="F1621" s="10">
        <v>1</v>
      </c>
      <c r="G1621" s="2" t="s">
        <v>1541</v>
      </c>
      <c r="K1621" s="2"/>
      <c r="L1621" s="2"/>
    </row>
    <row r="1622" spans="1:18" ht="45" x14ac:dyDescent="0.25">
      <c r="F1622" s="10">
        <v>2</v>
      </c>
      <c r="H1622" s="2" t="s">
        <v>1542</v>
      </c>
      <c r="I1622" s="2" t="s">
        <v>29</v>
      </c>
      <c r="J1622" s="3">
        <v>40274</v>
      </c>
      <c r="K1622" s="4"/>
      <c r="L1622" s="32" t="s">
        <v>581</v>
      </c>
      <c r="N1622" s="2" t="s">
        <v>974</v>
      </c>
    </row>
    <row r="1623" spans="1:18" x14ac:dyDescent="0.25">
      <c r="F1623" s="10">
        <v>3</v>
      </c>
      <c r="H1623" s="2" t="s">
        <v>1543</v>
      </c>
      <c r="I1623" s="2" t="s">
        <v>29</v>
      </c>
      <c r="J1623" s="3">
        <v>40274</v>
      </c>
      <c r="K1623" s="4"/>
      <c r="L1623" s="32" t="s">
        <v>581</v>
      </c>
      <c r="N1623" s="2" t="s">
        <v>974</v>
      </c>
    </row>
    <row r="1625" spans="1:18" ht="60" x14ac:dyDescent="0.25">
      <c r="A1625" s="7" t="s">
        <v>1027</v>
      </c>
      <c r="B1625" s="19" t="s">
        <v>1120</v>
      </c>
      <c r="C1625" s="19" t="s">
        <v>460</v>
      </c>
      <c r="D1625" s="19" t="s">
        <v>3627</v>
      </c>
      <c r="E1625" s="10" t="s">
        <v>121</v>
      </c>
      <c r="F1625" s="10">
        <v>1</v>
      </c>
      <c r="G1625" s="2" t="s">
        <v>3628</v>
      </c>
      <c r="J1625" s="7"/>
    </row>
    <row r="1626" spans="1:18" ht="45" x14ac:dyDescent="0.25">
      <c r="F1626" s="10">
        <v>2</v>
      </c>
      <c r="H1626" s="2" t="s">
        <v>3629</v>
      </c>
      <c r="K1626" s="2"/>
    </row>
    <row r="1627" spans="1:18" ht="30" x14ac:dyDescent="0.25">
      <c r="F1627" s="10">
        <v>3</v>
      </c>
      <c r="H1627" s="6" t="s">
        <v>1151</v>
      </c>
      <c r="I1627" s="2" t="s">
        <v>29</v>
      </c>
      <c r="J1627" s="2" t="s">
        <v>33</v>
      </c>
      <c r="K1627" s="2" t="s">
        <v>33</v>
      </c>
      <c r="L1627" s="7" t="s">
        <v>14</v>
      </c>
      <c r="N1627" s="2" t="s">
        <v>974</v>
      </c>
    </row>
    <row r="1628" spans="1:18" ht="135" x14ac:dyDescent="0.25">
      <c r="F1628" s="10">
        <v>4</v>
      </c>
      <c r="H1628" s="6" t="s">
        <v>3630</v>
      </c>
      <c r="I1628" s="2" t="s">
        <v>30</v>
      </c>
      <c r="J1628" s="2" t="s">
        <v>33</v>
      </c>
      <c r="K1628" s="2" t="s">
        <v>33</v>
      </c>
      <c r="L1628" s="7" t="s">
        <v>14</v>
      </c>
      <c r="N1628" s="2" t="s">
        <v>974</v>
      </c>
      <c r="O1628" s="2" t="s">
        <v>2287</v>
      </c>
      <c r="P1628" s="2" t="s">
        <v>982</v>
      </c>
      <c r="Q1628" s="2" t="s">
        <v>540</v>
      </c>
    </row>
    <row r="1629" spans="1:18" ht="45" x14ac:dyDescent="0.25">
      <c r="F1629" s="10">
        <v>5</v>
      </c>
      <c r="H1629" s="6" t="s">
        <v>3631</v>
      </c>
      <c r="I1629" s="2" t="s">
        <v>30</v>
      </c>
      <c r="J1629" s="2" t="s">
        <v>33</v>
      </c>
      <c r="K1629" s="2" t="s">
        <v>33</v>
      </c>
      <c r="L1629" s="7" t="s">
        <v>14</v>
      </c>
      <c r="N1629" s="2" t="s">
        <v>974</v>
      </c>
    </row>
    <row r="1631" spans="1:18" ht="45" x14ac:dyDescent="0.25">
      <c r="A1631" s="19" t="s">
        <v>1028</v>
      </c>
      <c r="B1631" s="19" t="s">
        <v>1152</v>
      </c>
      <c r="C1631" s="19" t="s">
        <v>460</v>
      </c>
      <c r="D1631" s="19" t="s">
        <v>3632</v>
      </c>
      <c r="E1631" s="10" t="s">
        <v>121</v>
      </c>
      <c r="F1631" s="10">
        <v>1</v>
      </c>
      <c r="G1631" s="2" t="s">
        <v>3628</v>
      </c>
    </row>
    <row r="1632" spans="1:18" ht="45" x14ac:dyDescent="0.25">
      <c r="F1632" s="10">
        <v>2</v>
      </c>
      <c r="H1632" s="2" t="s">
        <v>1199</v>
      </c>
      <c r="I1632" s="2" t="s">
        <v>29</v>
      </c>
      <c r="J1632" s="3">
        <v>40262</v>
      </c>
      <c r="K1632" s="4"/>
      <c r="L1632" s="7" t="s">
        <v>14</v>
      </c>
      <c r="N1632" s="2" t="s">
        <v>974</v>
      </c>
    </row>
    <row r="1633" spans="1:18" ht="30" x14ac:dyDescent="0.25">
      <c r="F1633" s="10">
        <v>3</v>
      </c>
      <c r="H1633" s="2" t="s">
        <v>1155</v>
      </c>
      <c r="I1633" s="2" t="s">
        <v>29</v>
      </c>
      <c r="J1633" s="2" t="s">
        <v>33</v>
      </c>
      <c r="K1633" s="2" t="s">
        <v>33</v>
      </c>
      <c r="L1633" s="7" t="s">
        <v>14</v>
      </c>
      <c r="N1633" s="2" t="s">
        <v>974</v>
      </c>
    </row>
    <row r="1634" spans="1:18" x14ac:dyDescent="0.25">
      <c r="F1634" s="10">
        <v>4</v>
      </c>
      <c r="G1634" s="2" t="s">
        <v>1153</v>
      </c>
    </row>
    <row r="1635" spans="1:18" ht="75" x14ac:dyDescent="0.25">
      <c r="F1635" s="10">
        <v>5</v>
      </c>
      <c r="H1635" s="2" t="s">
        <v>1154</v>
      </c>
      <c r="I1635" s="2" t="s">
        <v>30</v>
      </c>
      <c r="J1635" s="2" t="s">
        <v>33</v>
      </c>
      <c r="K1635" s="2" t="s">
        <v>33</v>
      </c>
      <c r="L1635" s="7" t="s">
        <v>14</v>
      </c>
      <c r="N1635" s="2" t="s">
        <v>974</v>
      </c>
      <c r="O1635" s="2" t="s">
        <v>2361</v>
      </c>
      <c r="P1635" s="2" t="s">
        <v>977</v>
      </c>
      <c r="Q1635" s="2" t="s">
        <v>540</v>
      </c>
    </row>
    <row r="1636" spans="1:18" x14ac:dyDescent="0.25">
      <c r="F1636" s="10">
        <v>6</v>
      </c>
      <c r="G1636" s="2" t="s">
        <v>92</v>
      </c>
    </row>
    <row r="1637" spans="1:18" ht="60" x14ac:dyDescent="0.25">
      <c r="F1637" s="10">
        <v>7</v>
      </c>
      <c r="H1637" s="2" t="s">
        <v>3633</v>
      </c>
      <c r="I1637" s="2" t="s">
        <v>30</v>
      </c>
      <c r="J1637" s="2" t="s">
        <v>33</v>
      </c>
      <c r="K1637" s="2" t="s">
        <v>33</v>
      </c>
      <c r="L1637" s="7" t="s">
        <v>14</v>
      </c>
      <c r="N1637" s="2" t="s">
        <v>974</v>
      </c>
      <c r="O1637" s="2" t="s">
        <v>3634</v>
      </c>
      <c r="P1637" s="2" t="s">
        <v>982</v>
      </c>
      <c r="Q1637" s="2" t="s">
        <v>540</v>
      </c>
    </row>
    <row r="1638" spans="1:18" ht="45" x14ac:dyDescent="0.25">
      <c r="K1638" s="2"/>
      <c r="N1638" s="2" t="s">
        <v>974</v>
      </c>
      <c r="O1638" s="2" t="s">
        <v>2623</v>
      </c>
      <c r="P1638" s="2" t="s">
        <v>982</v>
      </c>
      <c r="Q1638" s="2" t="s">
        <v>540</v>
      </c>
      <c r="R1638" s="2" t="s">
        <v>1198</v>
      </c>
    </row>
    <row r="1640" spans="1:18" ht="45" x14ac:dyDescent="0.25">
      <c r="A1640" s="19" t="s">
        <v>1209</v>
      </c>
      <c r="B1640" s="19" t="s">
        <v>1705</v>
      </c>
      <c r="C1640" s="19" t="s">
        <v>460</v>
      </c>
      <c r="D1640" s="19" t="s">
        <v>1706</v>
      </c>
      <c r="E1640" s="10" t="s">
        <v>121</v>
      </c>
      <c r="F1640" s="10">
        <v>1</v>
      </c>
      <c r="G1640" s="2" t="s">
        <v>3628</v>
      </c>
    </row>
    <row r="1641" spans="1:18" ht="30" x14ac:dyDescent="0.25">
      <c r="H1641" s="2" t="s">
        <v>1707</v>
      </c>
      <c r="I1641" s="2" t="s">
        <v>29</v>
      </c>
      <c r="J1641" s="4"/>
      <c r="K1641" s="4"/>
      <c r="L1641" s="7" t="s">
        <v>14</v>
      </c>
      <c r="N1641" s="2" t="s">
        <v>974</v>
      </c>
    </row>
    <row r="1642" spans="1:18" ht="45" x14ac:dyDescent="0.25">
      <c r="H1642" s="2" t="s">
        <v>3635</v>
      </c>
      <c r="I1642" s="2" t="s">
        <v>29</v>
      </c>
      <c r="J1642" s="5">
        <v>40280</v>
      </c>
      <c r="K1642" s="4"/>
      <c r="L1642" s="7" t="s">
        <v>14</v>
      </c>
      <c r="N1642" s="2" t="s">
        <v>974</v>
      </c>
      <c r="O1642" s="2" t="s">
        <v>2363</v>
      </c>
      <c r="P1642" s="2" t="s">
        <v>982</v>
      </c>
      <c r="Q1642" s="2" t="s">
        <v>540</v>
      </c>
      <c r="R1642" s="2" t="s">
        <v>2369</v>
      </c>
    </row>
    <row r="1643" spans="1:18" ht="45" x14ac:dyDescent="0.25">
      <c r="H1643" s="2" t="s">
        <v>3636</v>
      </c>
      <c r="I1643" s="2" t="s">
        <v>30</v>
      </c>
      <c r="J1643" s="5">
        <v>40280</v>
      </c>
      <c r="K1643" s="4"/>
      <c r="L1643" s="7" t="s">
        <v>14</v>
      </c>
      <c r="N1643" s="2" t="s">
        <v>974</v>
      </c>
      <c r="O1643" s="2" t="s">
        <v>2362</v>
      </c>
      <c r="P1643" s="2" t="s">
        <v>982</v>
      </c>
      <c r="Q1643" s="2" t="s">
        <v>540</v>
      </c>
      <c r="R1643" s="2" t="s">
        <v>2369</v>
      </c>
    </row>
    <row r="1645" spans="1:18" ht="60" x14ac:dyDescent="0.25">
      <c r="A1645" s="19" t="s">
        <v>1029</v>
      </c>
      <c r="B1645" s="19" t="s">
        <v>3538</v>
      </c>
      <c r="C1645" s="19" t="s">
        <v>1162</v>
      </c>
      <c r="D1645" s="19" t="s">
        <v>3637</v>
      </c>
      <c r="E1645" s="10" t="s">
        <v>121</v>
      </c>
      <c r="F1645" s="10">
        <v>1</v>
      </c>
      <c r="G1645" s="2" t="s">
        <v>3638</v>
      </c>
    </row>
    <row r="1646" spans="1:18" ht="45" x14ac:dyDescent="0.25">
      <c r="A1646" s="2"/>
      <c r="B1646" s="2"/>
      <c r="C1646" s="2"/>
      <c r="D1646" s="2"/>
      <c r="E1646" s="2"/>
      <c r="F1646" s="10">
        <v>2</v>
      </c>
      <c r="G1646" s="2" t="s">
        <v>3639</v>
      </c>
    </row>
    <row r="1647" spans="1:18" ht="45" x14ac:dyDescent="0.25">
      <c r="A1647" s="19"/>
      <c r="B1647" s="19"/>
      <c r="C1647" s="19"/>
      <c r="D1647" s="19"/>
      <c r="F1647" s="10">
        <v>3</v>
      </c>
      <c r="H1647" s="2" t="s">
        <v>1161</v>
      </c>
      <c r="I1647" s="2" t="s">
        <v>30</v>
      </c>
      <c r="J1647" s="3">
        <v>40290</v>
      </c>
      <c r="K1647" s="4"/>
      <c r="L1647" s="7" t="s">
        <v>14</v>
      </c>
      <c r="N1647" s="2" t="s">
        <v>974</v>
      </c>
    </row>
    <row r="1648" spans="1:18" ht="90" x14ac:dyDescent="0.25">
      <c r="A1648" s="19"/>
      <c r="B1648" s="19"/>
      <c r="C1648" s="19"/>
      <c r="D1648" s="19"/>
      <c r="F1648" s="10">
        <v>4</v>
      </c>
      <c r="H1648" s="7" t="s">
        <v>3640</v>
      </c>
      <c r="I1648" s="2" t="s">
        <v>30</v>
      </c>
      <c r="J1648" s="3">
        <v>40290</v>
      </c>
      <c r="K1648" s="4"/>
      <c r="L1648" s="7" t="s">
        <v>14</v>
      </c>
      <c r="N1648" s="2" t="s">
        <v>974</v>
      </c>
      <c r="O1648" s="2" t="s">
        <v>2242</v>
      </c>
    </row>
    <row r="1649" spans="1:17" ht="60" x14ac:dyDescent="0.25">
      <c r="A1649" s="19"/>
      <c r="B1649" s="19"/>
      <c r="C1649" s="19"/>
      <c r="D1649" s="19"/>
      <c r="F1649" s="10">
        <v>5</v>
      </c>
      <c r="H1649" s="2" t="s">
        <v>1179</v>
      </c>
      <c r="I1649" s="2" t="s">
        <v>30</v>
      </c>
      <c r="J1649" s="3">
        <v>40290</v>
      </c>
      <c r="K1649" s="4"/>
      <c r="L1649" s="7" t="s">
        <v>14</v>
      </c>
      <c r="N1649" s="2" t="s">
        <v>974</v>
      </c>
    </row>
    <row r="1650" spans="1:17" ht="30" x14ac:dyDescent="0.25">
      <c r="A1650" s="19"/>
      <c r="B1650" s="19"/>
      <c r="C1650" s="19"/>
      <c r="D1650" s="19"/>
      <c r="F1650" s="10">
        <v>6</v>
      </c>
      <c r="H1650" s="2" t="s">
        <v>3641</v>
      </c>
      <c r="I1650" s="7" t="s">
        <v>29</v>
      </c>
      <c r="J1650" s="3">
        <v>40290</v>
      </c>
      <c r="K1650" s="4"/>
      <c r="L1650" s="7" t="s">
        <v>14</v>
      </c>
      <c r="N1650" s="2" t="s">
        <v>974</v>
      </c>
    </row>
    <row r="1651" spans="1:17" ht="30" x14ac:dyDescent="0.25">
      <c r="A1651" s="19"/>
      <c r="B1651" s="19"/>
      <c r="C1651" s="19"/>
      <c r="D1651" s="19"/>
      <c r="F1651" s="10">
        <v>7</v>
      </c>
      <c r="G1651" s="2" t="s">
        <v>3642</v>
      </c>
    </row>
    <row r="1652" spans="1:17" x14ac:dyDescent="0.25">
      <c r="A1652" s="19"/>
      <c r="B1652" s="19"/>
      <c r="C1652" s="19"/>
      <c r="D1652" s="19"/>
      <c r="F1652" s="10">
        <v>8</v>
      </c>
      <c r="G1652" s="2" t="s">
        <v>92</v>
      </c>
    </row>
    <row r="1653" spans="1:17" ht="60" x14ac:dyDescent="0.25">
      <c r="A1653" s="19"/>
      <c r="B1653" s="19"/>
      <c r="C1653" s="19"/>
      <c r="D1653" s="19"/>
      <c r="F1653" s="10">
        <v>9</v>
      </c>
      <c r="H1653" s="2" t="s">
        <v>3643</v>
      </c>
      <c r="I1653" s="2" t="s">
        <v>30</v>
      </c>
      <c r="J1653" s="3">
        <v>40290</v>
      </c>
      <c r="K1653" s="4"/>
      <c r="L1653" s="7" t="s">
        <v>14</v>
      </c>
      <c r="N1653" s="2" t="s">
        <v>974</v>
      </c>
    </row>
    <row r="1654" spans="1:17" ht="45" x14ac:dyDescent="0.25">
      <c r="A1654" s="19"/>
      <c r="B1654" s="19"/>
      <c r="C1654" s="19"/>
      <c r="D1654" s="19"/>
      <c r="F1654" s="10">
        <v>10</v>
      </c>
      <c r="H1654" s="2" t="s">
        <v>3644</v>
      </c>
      <c r="I1654" s="2" t="s">
        <v>30</v>
      </c>
      <c r="J1654" s="3">
        <v>40290</v>
      </c>
      <c r="K1654" s="4"/>
      <c r="L1654" s="7" t="s">
        <v>14</v>
      </c>
      <c r="N1654" s="2" t="s">
        <v>974</v>
      </c>
    </row>
    <row r="1655" spans="1:17" ht="45" x14ac:dyDescent="0.25">
      <c r="A1655" s="19"/>
      <c r="B1655" s="19"/>
      <c r="C1655" s="19"/>
      <c r="D1655" s="19"/>
      <c r="F1655" s="10">
        <v>11</v>
      </c>
      <c r="H1655" s="2" t="s">
        <v>3645</v>
      </c>
      <c r="I1655" s="2" t="s">
        <v>30</v>
      </c>
      <c r="J1655" s="3">
        <v>40290</v>
      </c>
      <c r="K1655" s="4"/>
      <c r="L1655" s="7" t="s">
        <v>14</v>
      </c>
      <c r="N1655" s="2" t="s">
        <v>974</v>
      </c>
      <c r="O1655" s="2" t="s">
        <v>3869</v>
      </c>
      <c r="P1655" s="2" t="s">
        <v>980</v>
      </c>
      <c r="Q1655" s="2" t="s">
        <v>540</v>
      </c>
    </row>
    <row r="1656" spans="1:17" x14ac:dyDescent="0.25">
      <c r="A1656" s="19"/>
      <c r="B1656" s="19"/>
      <c r="C1656" s="19"/>
      <c r="D1656" s="19"/>
      <c r="F1656" s="10">
        <v>12</v>
      </c>
      <c r="G1656" s="2" t="s">
        <v>3646</v>
      </c>
    </row>
    <row r="1657" spans="1:17" ht="30" x14ac:dyDescent="0.25">
      <c r="A1657" s="19"/>
      <c r="B1657" s="19"/>
      <c r="C1657" s="19"/>
      <c r="D1657" s="19"/>
      <c r="F1657" s="10">
        <v>13</v>
      </c>
      <c r="H1657" s="2" t="s">
        <v>3647</v>
      </c>
      <c r="I1657" s="2" t="s">
        <v>30</v>
      </c>
      <c r="J1657" s="3">
        <v>40290</v>
      </c>
      <c r="K1657" s="4"/>
      <c r="L1657" s="7" t="s">
        <v>14</v>
      </c>
      <c r="N1657" s="2" t="s">
        <v>974</v>
      </c>
    </row>
    <row r="1658" spans="1:17" ht="60" x14ac:dyDescent="0.25">
      <c r="A1658" s="19"/>
      <c r="B1658" s="19"/>
      <c r="C1658" s="19"/>
      <c r="D1658" s="19"/>
      <c r="E1658" s="10" t="s">
        <v>165</v>
      </c>
      <c r="F1658" s="10">
        <v>1</v>
      </c>
      <c r="G1658" s="2" t="s">
        <v>3870</v>
      </c>
      <c r="K1658" s="2"/>
    </row>
    <row r="1659" spans="1:17" ht="30" x14ac:dyDescent="0.25">
      <c r="A1659" s="19"/>
      <c r="B1659" s="19"/>
      <c r="C1659" s="19"/>
      <c r="D1659" s="19"/>
      <c r="F1659" s="10">
        <v>2</v>
      </c>
      <c r="H1659" s="2" t="s">
        <v>2008</v>
      </c>
      <c r="I1659" s="2" t="s">
        <v>30</v>
      </c>
      <c r="J1659" s="3">
        <v>40290</v>
      </c>
      <c r="K1659" s="4"/>
      <c r="L1659" s="7" t="s">
        <v>14</v>
      </c>
      <c r="N1659" s="2" t="s">
        <v>974</v>
      </c>
    </row>
    <row r="1660" spans="1:17" ht="45" x14ac:dyDescent="0.25">
      <c r="A1660" s="19"/>
      <c r="B1660" s="19"/>
      <c r="C1660" s="19"/>
      <c r="D1660" s="19"/>
      <c r="F1660" s="10">
        <v>3</v>
      </c>
      <c r="H1660" s="2" t="s">
        <v>3648</v>
      </c>
      <c r="I1660" s="2" t="s">
        <v>30</v>
      </c>
      <c r="J1660" s="3">
        <v>40290</v>
      </c>
      <c r="K1660" s="4"/>
      <c r="L1660" s="7" t="s">
        <v>14</v>
      </c>
      <c r="N1660" s="2" t="s">
        <v>974</v>
      </c>
    </row>
    <row r="1661" spans="1:17" x14ac:dyDescent="0.25">
      <c r="A1661" s="19"/>
      <c r="B1661" s="19"/>
      <c r="C1661" s="19"/>
      <c r="D1661" s="19"/>
    </row>
    <row r="1662" spans="1:17" ht="60" x14ac:dyDescent="0.25">
      <c r="A1662" s="19" t="s">
        <v>1030</v>
      </c>
      <c r="B1662" s="19" t="s">
        <v>3539</v>
      </c>
      <c r="C1662" s="26" t="s">
        <v>1163</v>
      </c>
      <c r="D1662" s="19" t="s">
        <v>3649</v>
      </c>
      <c r="E1662" s="10" t="s">
        <v>121</v>
      </c>
      <c r="F1662" s="10">
        <v>1</v>
      </c>
      <c r="G1662" s="2" t="s">
        <v>3650</v>
      </c>
    </row>
    <row r="1663" spans="1:17" ht="45" x14ac:dyDescent="0.25">
      <c r="F1663" s="10">
        <v>2</v>
      </c>
      <c r="G1663" s="2" t="s">
        <v>3639</v>
      </c>
    </row>
    <row r="1664" spans="1:17" ht="45" x14ac:dyDescent="0.25">
      <c r="F1664" s="10">
        <v>3</v>
      </c>
      <c r="H1664" s="2" t="s">
        <v>1161</v>
      </c>
      <c r="I1664" s="2" t="s">
        <v>30</v>
      </c>
      <c r="J1664" s="3">
        <v>40290</v>
      </c>
      <c r="K1664" s="4"/>
      <c r="L1664" s="7" t="s">
        <v>14</v>
      </c>
      <c r="N1664" s="2" t="s">
        <v>974</v>
      </c>
    </row>
    <row r="1665" spans="1:17" ht="30" x14ac:dyDescent="0.25">
      <c r="A1665" s="19"/>
      <c r="B1665" s="19"/>
      <c r="C1665" s="19"/>
      <c r="D1665" s="19"/>
      <c r="F1665" s="10">
        <v>4</v>
      </c>
      <c r="H1665" s="7" t="s">
        <v>3651</v>
      </c>
      <c r="I1665" s="2" t="s">
        <v>30</v>
      </c>
      <c r="J1665" s="3">
        <v>40290</v>
      </c>
      <c r="K1665" s="4"/>
      <c r="L1665" s="7" t="s">
        <v>14</v>
      </c>
      <c r="N1665" s="2" t="s">
        <v>974</v>
      </c>
    </row>
    <row r="1666" spans="1:17" ht="165" x14ac:dyDescent="0.25">
      <c r="F1666" s="10">
        <v>6</v>
      </c>
      <c r="H1666" s="2" t="s">
        <v>3652</v>
      </c>
      <c r="I1666" s="7" t="s">
        <v>29</v>
      </c>
      <c r="J1666" s="3">
        <v>40290</v>
      </c>
      <c r="K1666" s="4"/>
      <c r="L1666" s="7" t="s">
        <v>14</v>
      </c>
      <c r="N1666" s="2" t="s">
        <v>974</v>
      </c>
      <c r="O1666" s="2" t="s">
        <v>2238</v>
      </c>
      <c r="P1666" s="2" t="s">
        <v>977</v>
      </c>
      <c r="Q1666" s="2" t="s">
        <v>540</v>
      </c>
    </row>
    <row r="1667" spans="1:17" ht="30" x14ac:dyDescent="0.25">
      <c r="F1667" s="10">
        <v>7</v>
      </c>
      <c r="G1667" s="2" t="s">
        <v>3653</v>
      </c>
    </row>
    <row r="1668" spans="1:17" ht="30" x14ac:dyDescent="0.25">
      <c r="F1668" s="10">
        <v>8</v>
      </c>
      <c r="H1668" s="2" t="s">
        <v>1429</v>
      </c>
      <c r="I1668" s="2" t="s">
        <v>30</v>
      </c>
      <c r="J1668" s="3">
        <v>40290</v>
      </c>
      <c r="K1668" s="4"/>
      <c r="L1668" s="7" t="s">
        <v>14</v>
      </c>
      <c r="N1668" s="2" t="s">
        <v>974</v>
      </c>
    </row>
    <row r="1669" spans="1:17" x14ac:dyDescent="0.25">
      <c r="F1669" s="10">
        <v>9</v>
      </c>
      <c r="G1669" s="2" t="s">
        <v>92</v>
      </c>
    </row>
    <row r="1670" spans="1:17" ht="60" x14ac:dyDescent="0.25">
      <c r="A1670" s="19"/>
      <c r="B1670" s="19"/>
      <c r="C1670" s="19"/>
      <c r="D1670" s="19"/>
      <c r="F1670" s="10">
        <v>10</v>
      </c>
      <c r="H1670" s="2" t="s">
        <v>3654</v>
      </c>
      <c r="I1670" s="2" t="s">
        <v>30</v>
      </c>
      <c r="J1670" s="3">
        <v>40290</v>
      </c>
      <c r="K1670" s="4"/>
      <c r="L1670" s="7" t="s">
        <v>14</v>
      </c>
      <c r="N1670" s="2" t="s">
        <v>974</v>
      </c>
    </row>
    <row r="1671" spans="1:17" ht="45" x14ac:dyDescent="0.25">
      <c r="A1671" s="19"/>
      <c r="B1671" s="19"/>
      <c r="C1671" s="19"/>
      <c r="D1671" s="19"/>
      <c r="F1671" s="10">
        <v>11</v>
      </c>
      <c r="H1671" s="2" t="s">
        <v>3655</v>
      </c>
      <c r="I1671" s="2" t="s">
        <v>30</v>
      </c>
      <c r="J1671" s="3">
        <v>40290</v>
      </c>
      <c r="K1671" s="4"/>
      <c r="L1671" s="7" t="s">
        <v>14</v>
      </c>
      <c r="N1671" s="2" t="s">
        <v>974</v>
      </c>
    </row>
    <row r="1672" spans="1:17" x14ac:dyDescent="0.25">
      <c r="F1672" s="10">
        <v>14</v>
      </c>
      <c r="G1672" s="2" t="s">
        <v>3646</v>
      </c>
    </row>
    <row r="1673" spans="1:17" ht="30" x14ac:dyDescent="0.25">
      <c r="F1673" s="10">
        <v>15</v>
      </c>
      <c r="H1673" s="2" t="s">
        <v>3656</v>
      </c>
      <c r="I1673" s="2" t="s">
        <v>30</v>
      </c>
      <c r="J1673" s="3">
        <v>40290</v>
      </c>
      <c r="K1673" s="4"/>
      <c r="L1673" s="7" t="s">
        <v>14</v>
      </c>
      <c r="N1673" s="2" t="s">
        <v>974</v>
      </c>
    </row>
    <row r="1674" spans="1:17" ht="30" x14ac:dyDescent="0.25">
      <c r="F1674" s="10" t="s">
        <v>130</v>
      </c>
      <c r="G1674" s="2" t="s">
        <v>3657</v>
      </c>
      <c r="J1674" s="3"/>
      <c r="K1674" s="3"/>
    </row>
    <row r="1675" spans="1:17" ht="45" x14ac:dyDescent="0.25">
      <c r="H1675" s="2" t="s">
        <v>3658</v>
      </c>
      <c r="I1675" s="2" t="s">
        <v>30</v>
      </c>
      <c r="J1675" s="3">
        <v>40290</v>
      </c>
      <c r="K1675" s="4"/>
      <c r="L1675" s="7" t="s">
        <v>14</v>
      </c>
      <c r="N1675" s="2" t="s">
        <v>974</v>
      </c>
    </row>
    <row r="1676" spans="1:17" ht="30" x14ac:dyDescent="0.25">
      <c r="F1676" s="10" t="s">
        <v>439</v>
      </c>
      <c r="G1676" s="2" t="s">
        <v>3659</v>
      </c>
      <c r="J1676" s="3"/>
      <c r="K1676" s="3"/>
    </row>
    <row r="1677" spans="1:17" ht="30" x14ac:dyDescent="0.25">
      <c r="H1677" s="2" t="s">
        <v>1430</v>
      </c>
      <c r="I1677" s="2" t="s">
        <v>30</v>
      </c>
      <c r="J1677" s="3">
        <v>40290</v>
      </c>
      <c r="K1677" s="4"/>
      <c r="L1677" s="7" t="s">
        <v>14</v>
      </c>
      <c r="N1677" s="2" t="s">
        <v>974</v>
      </c>
    </row>
    <row r="1678" spans="1:17" ht="45" x14ac:dyDescent="0.25">
      <c r="A1678" s="19"/>
      <c r="B1678" s="19"/>
      <c r="C1678" s="19"/>
      <c r="D1678" s="19"/>
      <c r="E1678" s="10" t="s">
        <v>164</v>
      </c>
      <c r="F1678" s="10">
        <v>1</v>
      </c>
      <c r="G1678" s="2" t="s">
        <v>3660</v>
      </c>
      <c r="K1678" s="2"/>
    </row>
    <row r="1679" spans="1:17" ht="45" x14ac:dyDescent="0.25">
      <c r="A1679" s="19"/>
      <c r="B1679" s="19"/>
      <c r="C1679" s="19"/>
      <c r="D1679" s="19"/>
      <c r="F1679" s="10">
        <v>2</v>
      </c>
      <c r="H1679" s="2" t="s">
        <v>1431</v>
      </c>
      <c r="I1679" s="2" t="s">
        <v>30</v>
      </c>
      <c r="J1679" s="3">
        <v>40290</v>
      </c>
      <c r="K1679" s="4"/>
      <c r="L1679" s="7" t="s">
        <v>14</v>
      </c>
      <c r="N1679" s="2" t="s">
        <v>974</v>
      </c>
      <c r="O1679" s="2" t="s">
        <v>2239</v>
      </c>
      <c r="P1679" s="2" t="s">
        <v>980</v>
      </c>
      <c r="Q1679" s="2" t="s">
        <v>540</v>
      </c>
    </row>
    <row r="1680" spans="1:17" ht="60" x14ac:dyDescent="0.25">
      <c r="A1680" s="19"/>
      <c r="B1680" s="19"/>
      <c r="C1680" s="19"/>
      <c r="D1680" s="19"/>
      <c r="J1680" s="3"/>
      <c r="K1680" s="3"/>
      <c r="N1680" s="2" t="s">
        <v>974</v>
      </c>
      <c r="O1680" s="2" t="s">
        <v>2240</v>
      </c>
      <c r="P1680" s="2" t="s">
        <v>980</v>
      </c>
      <c r="Q1680" s="2" t="s">
        <v>540</v>
      </c>
    </row>
    <row r="1681" spans="1:17" ht="60" x14ac:dyDescent="0.25">
      <c r="A1681" s="19"/>
      <c r="B1681" s="19"/>
      <c r="C1681" s="19"/>
      <c r="D1681" s="19"/>
      <c r="E1681" s="10" t="s">
        <v>165</v>
      </c>
      <c r="F1681" s="10">
        <v>1</v>
      </c>
      <c r="G1681" s="2" t="s">
        <v>3870</v>
      </c>
      <c r="K1681" s="2"/>
    </row>
    <row r="1682" spans="1:17" ht="30" x14ac:dyDescent="0.25">
      <c r="A1682" s="19"/>
      <c r="B1682" s="19"/>
      <c r="C1682" s="19"/>
      <c r="D1682" s="19"/>
      <c r="F1682" s="10">
        <v>2</v>
      </c>
      <c r="H1682" s="2" t="s">
        <v>2008</v>
      </c>
      <c r="I1682" s="2" t="s">
        <v>30</v>
      </c>
      <c r="J1682" s="3">
        <v>40290</v>
      </c>
      <c r="K1682" s="4"/>
      <c r="L1682" s="7" t="s">
        <v>14</v>
      </c>
      <c r="N1682" s="2" t="s">
        <v>974</v>
      </c>
    </row>
    <row r="1683" spans="1:17" ht="45" x14ac:dyDescent="0.25">
      <c r="A1683" s="19"/>
      <c r="B1683" s="19"/>
      <c r="C1683" s="19"/>
      <c r="D1683" s="19"/>
      <c r="F1683" s="10">
        <v>3</v>
      </c>
      <c r="H1683" s="2" t="s">
        <v>3661</v>
      </c>
      <c r="I1683" s="2" t="s">
        <v>30</v>
      </c>
      <c r="J1683" s="3">
        <v>40290</v>
      </c>
      <c r="K1683" s="4"/>
      <c r="L1683" s="7" t="s">
        <v>14</v>
      </c>
      <c r="N1683" s="2" t="s">
        <v>974</v>
      </c>
    </row>
    <row r="1685" spans="1:17" ht="60" x14ac:dyDescent="0.25">
      <c r="A1685" s="19" t="s">
        <v>1032</v>
      </c>
      <c r="B1685" s="19" t="s">
        <v>1181</v>
      </c>
      <c r="C1685" s="19" t="s">
        <v>39</v>
      </c>
      <c r="D1685" s="19" t="s">
        <v>1182</v>
      </c>
      <c r="E1685" s="10" t="s">
        <v>121</v>
      </c>
      <c r="F1685" s="10">
        <v>1</v>
      </c>
      <c r="H1685" s="2" t="s">
        <v>1183</v>
      </c>
      <c r="I1685" s="2" t="s">
        <v>30</v>
      </c>
      <c r="J1685" s="2" t="s">
        <v>33</v>
      </c>
      <c r="K1685" s="7" t="s">
        <v>33</v>
      </c>
      <c r="L1685" s="7" t="s">
        <v>474</v>
      </c>
      <c r="M1685" s="2" t="s">
        <v>1576</v>
      </c>
      <c r="N1685" s="2" t="s">
        <v>974</v>
      </c>
    </row>
    <row r="1686" spans="1:17" ht="30" x14ac:dyDescent="0.25">
      <c r="F1686" s="10">
        <v>2</v>
      </c>
      <c r="H1686" s="2" t="s">
        <v>1184</v>
      </c>
      <c r="I1686" s="2" t="s">
        <v>29</v>
      </c>
      <c r="J1686" s="5">
        <v>40255</v>
      </c>
      <c r="K1686" s="3">
        <v>37697</v>
      </c>
      <c r="L1686" s="7" t="s">
        <v>474</v>
      </c>
      <c r="M1686" s="2" t="s">
        <v>1576</v>
      </c>
      <c r="N1686" s="2" t="s">
        <v>974</v>
      </c>
    </row>
    <row r="1687" spans="1:17" ht="75" x14ac:dyDescent="0.25">
      <c r="F1687" s="10">
        <v>3</v>
      </c>
      <c r="H1687" s="2" t="s">
        <v>1185</v>
      </c>
      <c r="I1687" s="2" t="s">
        <v>29</v>
      </c>
      <c r="J1687" s="2" t="s">
        <v>33</v>
      </c>
      <c r="K1687" s="7" t="s">
        <v>33</v>
      </c>
      <c r="L1687" s="7" t="s">
        <v>474</v>
      </c>
      <c r="M1687" s="2" t="s">
        <v>1576</v>
      </c>
      <c r="N1687" s="2" t="s">
        <v>974</v>
      </c>
      <c r="O1687" s="2" t="s">
        <v>1608</v>
      </c>
      <c r="P1687" s="2" t="s">
        <v>977</v>
      </c>
      <c r="Q1687" s="2" t="s">
        <v>540</v>
      </c>
    </row>
    <row r="1688" spans="1:17" ht="45" x14ac:dyDescent="0.25">
      <c r="F1688" s="10">
        <v>4</v>
      </c>
      <c r="H1688" s="2" t="s">
        <v>1186</v>
      </c>
      <c r="I1688" s="2" t="s">
        <v>29</v>
      </c>
      <c r="J1688" s="2" t="s">
        <v>33</v>
      </c>
      <c r="K1688" s="7" t="s">
        <v>33</v>
      </c>
      <c r="L1688" s="7" t="s">
        <v>474</v>
      </c>
      <c r="M1688" s="2" t="s">
        <v>1576</v>
      </c>
      <c r="N1688" s="2" t="s">
        <v>974</v>
      </c>
    </row>
    <row r="1689" spans="1:17" ht="45" x14ac:dyDescent="0.25">
      <c r="F1689" s="10">
        <v>6</v>
      </c>
      <c r="H1689" s="2" t="s">
        <v>3540</v>
      </c>
      <c r="I1689" s="2" t="s">
        <v>29</v>
      </c>
      <c r="J1689" s="2" t="s">
        <v>33</v>
      </c>
      <c r="K1689" s="7" t="s">
        <v>33</v>
      </c>
      <c r="L1689" s="7" t="s">
        <v>14</v>
      </c>
      <c r="M1689" s="2" t="s">
        <v>1576</v>
      </c>
      <c r="N1689" s="2" t="s">
        <v>974</v>
      </c>
    </row>
    <row r="1690" spans="1:17" ht="45" x14ac:dyDescent="0.25">
      <c r="F1690" s="10">
        <v>7</v>
      </c>
      <c r="H1690" s="2" t="s">
        <v>3541</v>
      </c>
      <c r="I1690" s="2" t="s">
        <v>30</v>
      </c>
      <c r="J1690" s="2" t="s">
        <v>33</v>
      </c>
      <c r="K1690" s="7" t="s">
        <v>33</v>
      </c>
      <c r="L1690" s="7" t="s">
        <v>14</v>
      </c>
      <c r="M1690" s="2" t="s">
        <v>1576</v>
      </c>
      <c r="N1690" s="2" t="s">
        <v>974</v>
      </c>
    </row>
    <row r="1691" spans="1:17" ht="60" x14ac:dyDescent="0.25">
      <c r="F1691" s="10">
        <v>8</v>
      </c>
      <c r="H1691" s="2" t="s">
        <v>3542</v>
      </c>
      <c r="I1691" s="2" t="s">
        <v>30</v>
      </c>
      <c r="J1691" s="2" t="s">
        <v>33</v>
      </c>
      <c r="K1691" s="7" t="s">
        <v>33</v>
      </c>
      <c r="L1691" s="7" t="s">
        <v>14</v>
      </c>
      <c r="M1691" s="2" t="s">
        <v>1576</v>
      </c>
      <c r="N1691" s="2" t="s">
        <v>974</v>
      </c>
    </row>
    <row r="1692" spans="1:17" ht="60" x14ac:dyDescent="0.25">
      <c r="F1692" s="10">
        <v>9</v>
      </c>
      <c r="H1692" s="2" t="s">
        <v>3543</v>
      </c>
      <c r="I1692" s="2" t="s">
        <v>30</v>
      </c>
      <c r="J1692" s="2" t="s">
        <v>33</v>
      </c>
      <c r="K1692" s="7" t="s">
        <v>33</v>
      </c>
      <c r="L1692" s="7" t="s">
        <v>14</v>
      </c>
      <c r="M1692" s="2" t="s">
        <v>1576</v>
      </c>
      <c r="N1692" s="2" t="s">
        <v>974</v>
      </c>
    </row>
    <row r="1693" spans="1:17" ht="45" x14ac:dyDescent="0.25">
      <c r="F1693" s="10">
        <v>10</v>
      </c>
      <c r="H1693" s="2" t="s">
        <v>3544</v>
      </c>
      <c r="I1693" s="2" t="s">
        <v>30</v>
      </c>
      <c r="J1693" s="2" t="s">
        <v>33</v>
      </c>
      <c r="K1693" s="7" t="s">
        <v>33</v>
      </c>
      <c r="L1693" s="7" t="s">
        <v>14</v>
      </c>
      <c r="M1693" s="2" t="s">
        <v>1576</v>
      </c>
      <c r="N1693" s="2" t="s">
        <v>974</v>
      </c>
    </row>
    <row r="1694" spans="1:17" ht="60" x14ac:dyDescent="0.25">
      <c r="F1694" s="10">
        <v>11</v>
      </c>
      <c r="H1694" s="2" t="s">
        <v>1609</v>
      </c>
      <c r="I1694" s="2" t="s">
        <v>30</v>
      </c>
      <c r="J1694" s="2" t="s">
        <v>33</v>
      </c>
      <c r="K1694" s="7" t="s">
        <v>33</v>
      </c>
      <c r="L1694" s="7" t="s">
        <v>14</v>
      </c>
      <c r="M1694" s="2" t="s">
        <v>1576</v>
      </c>
      <c r="N1694" s="2" t="s">
        <v>974</v>
      </c>
    </row>
    <row r="1695" spans="1:17" x14ac:dyDescent="0.25">
      <c r="F1695" s="10">
        <v>13</v>
      </c>
      <c r="H1695" s="2" t="s">
        <v>1569</v>
      </c>
      <c r="I1695" s="2" t="s">
        <v>29</v>
      </c>
      <c r="J1695" s="2" t="s">
        <v>33</v>
      </c>
      <c r="K1695" s="7" t="s">
        <v>33</v>
      </c>
      <c r="L1695" s="7" t="s">
        <v>474</v>
      </c>
      <c r="M1695" s="2" t="s">
        <v>1576</v>
      </c>
      <c r="N1695" s="2" t="s">
        <v>974</v>
      </c>
    </row>
    <row r="1696" spans="1:17" ht="30" x14ac:dyDescent="0.25">
      <c r="F1696" s="10">
        <v>14</v>
      </c>
      <c r="H1696" s="2" t="s">
        <v>1570</v>
      </c>
      <c r="I1696" s="2" t="s">
        <v>29</v>
      </c>
      <c r="J1696" s="2" t="s">
        <v>33</v>
      </c>
      <c r="K1696" s="7" t="s">
        <v>33</v>
      </c>
      <c r="L1696" s="7" t="s">
        <v>474</v>
      </c>
      <c r="M1696" s="2" t="s">
        <v>1576</v>
      </c>
      <c r="N1696" s="2" t="s">
        <v>974</v>
      </c>
    </row>
    <row r="1697" spans="6:18" ht="45" x14ac:dyDescent="0.25">
      <c r="F1697" s="10">
        <v>15</v>
      </c>
      <c r="H1697" s="2" t="s">
        <v>1610</v>
      </c>
      <c r="I1697" s="2" t="s">
        <v>30</v>
      </c>
      <c r="J1697" s="2" t="s">
        <v>33</v>
      </c>
      <c r="K1697" s="7" t="s">
        <v>33</v>
      </c>
      <c r="L1697" s="7" t="s">
        <v>474</v>
      </c>
      <c r="M1697" s="2" t="s">
        <v>1576</v>
      </c>
      <c r="N1697" s="2" t="s">
        <v>974</v>
      </c>
    </row>
    <row r="1698" spans="6:18" ht="105" x14ac:dyDescent="0.25">
      <c r="F1698" s="10">
        <v>16</v>
      </c>
      <c r="H1698" s="2" t="s">
        <v>3970</v>
      </c>
      <c r="I1698" s="2" t="s">
        <v>30</v>
      </c>
      <c r="J1698" s="2" t="s">
        <v>33</v>
      </c>
      <c r="K1698" s="7" t="s">
        <v>33</v>
      </c>
      <c r="L1698" s="7" t="s">
        <v>474</v>
      </c>
      <c r="M1698" s="2" t="s">
        <v>1592</v>
      </c>
      <c r="N1698" s="2" t="s">
        <v>974</v>
      </c>
      <c r="O1698" s="2" t="s">
        <v>1611</v>
      </c>
      <c r="P1698" s="7" t="s">
        <v>982</v>
      </c>
      <c r="Q1698" s="2" t="s">
        <v>540</v>
      </c>
    </row>
    <row r="1699" spans="6:18" ht="45" x14ac:dyDescent="0.25">
      <c r="F1699" s="10">
        <v>17</v>
      </c>
      <c r="H1699" s="2" t="s">
        <v>1572</v>
      </c>
      <c r="I1699" s="2" t="s">
        <v>30</v>
      </c>
      <c r="J1699" s="2" t="s">
        <v>33</v>
      </c>
      <c r="K1699" s="7" t="s">
        <v>33</v>
      </c>
      <c r="L1699" s="7" t="s">
        <v>474</v>
      </c>
      <c r="M1699" s="2" t="s">
        <v>1576</v>
      </c>
      <c r="N1699" s="2" t="s">
        <v>974</v>
      </c>
    </row>
    <row r="1700" spans="6:18" ht="30" x14ac:dyDescent="0.25">
      <c r="F1700" s="10">
        <v>19</v>
      </c>
      <c r="H1700" s="2" t="s">
        <v>1573</v>
      </c>
      <c r="I1700" s="2" t="s">
        <v>29</v>
      </c>
      <c r="J1700" s="2" t="s">
        <v>33</v>
      </c>
      <c r="K1700" s="7" t="s">
        <v>33</v>
      </c>
      <c r="L1700" s="7" t="s">
        <v>474</v>
      </c>
      <c r="M1700" s="2" t="s">
        <v>1576</v>
      </c>
      <c r="N1700" s="2" t="s">
        <v>974</v>
      </c>
    </row>
    <row r="1701" spans="6:18" ht="120" x14ac:dyDescent="0.25">
      <c r="F1701" s="10">
        <v>20</v>
      </c>
      <c r="H1701" s="2" t="s">
        <v>3712</v>
      </c>
      <c r="I1701" s="2" t="s">
        <v>29</v>
      </c>
      <c r="J1701" s="2" t="s">
        <v>33</v>
      </c>
      <c r="K1701" s="7" t="s">
        <v>33</v>
      </c>
      <c r="L1701" s="7" t="s">
        <v>474</v>
      </c>
      <c r="M1701" s="2" t="s">
        <v>3835</v>
      </c>
      <c r="N1701" s="2" t="s">
        <v>974</v>
      </c>
      <c r="O1701" s="2" t="s">
        <v>1612</v>
      </c>
      <c r="P1701" s="2" t="s">
        <v>977</v>
      </c>
      <c r="Q1701" s="2" t="s">
        <v>540</v>
      </c>
    </row>
    <row r="1702" spans="6:18" ht="60" x14ac:dyDescent="0.25">
      <c r="J1702" s="7"/>
      <c r="N1702" s="2" t="s">
        <v>974</v>
      </c>
      <c r="O1702" s="2" t="s">
        <v>1640</v>
      </c>
      <c r="P1702" s="2" t="s">
        <v>980</v>
      </c>
      <c r="Q1702" s="2" t="s">
        <v>540</v>
      </c>
    </row>
    <row r="1703" spans="6:18" ht="75" x14ac:dyDescent="0.25">
      <c r="J1703" s="7"/>
      <c r="N1703" s="2" t="s">
        <v>974</v>
      </c>
      <c r="O1703" s="2" t="s">
        <v>1458</v>
      </c>
      <c r="P1703" s="2" t="s">
        <v>977</v>
      </c>
      <c r="Q1703" s="2" t="s">
        <v>540</v>
      </c>
      <c r="R1703" s="2" t="s">
        <v>14</v>
      </c>
    </row>
    <row r="1704" spans="6:18" ht="30" x14ac:dyDescent="0.25">
      <c r="F1704" s="10">
        <v>21</v>
      </c>
      <c r="H1704" s="2" t="s">
        <v>3545</v>
      </c>
      <c r="I1704" s="2" t="s">
        <v>29</v>
      </c>
      <c r="J1704" s="2" t="s">
        <v>33</v>
      </c>
      <c r="K1704" s="7" t="s">
        <v>33</v>
      </c>
      <c r="L1704" s="7" t="s">
        <v>474</v>
      </c>
      <c r="M1704" s="2" t="s">
        <v>1576</v>
      </c>
      <c r="N1704" s="2" t="s">
        <v>974</v>
      </c>
    </row>
    <row r="1705" spans="6:18" ht="45" x14ac:dyDescent="0.25">
      <c r="F1705" s="10">
        <v>22</v>
      </c>
      <c r="H1705" s="2" t="s">
        <v>3546</v>
      </c>
      <c r="I1705" s="2" t="s">
        <v>29</v>
      </c>
      <c r="J1705" s="2" t="s">
        <v>33</v>
      </c>
      <c r="K1705" s="7" t="s">
        <v>33</v>
      </c>
      <c r="L1705" s="7" t="s">
        <v>474</v>
      </c>
      <c r="M1705" s="2" t="s">
        <v>1576</v>
      </c>
      <c r="N1705" s="2" t="s">
        <v>974</v>
      </c>
    </row>
    <row r="1706" spans="6:18" ht="75" x14ac:dyDescent="0.25">
      <c r="F1706" s="10">
        <v>23</v>
      </c>
      <c r="H1706" s="2" t="s">
        <v>3547</v>
      </c>
      <c r="I1706" s="2" t="s">
        <v>30</v>
      </c>
      <c r="J1706" s="2" t="s">
        <v>33</v>
      </c>
      <c r="K1706" s="7" t="s">
        <v>33</v>
      </c>
      <c r="L1706" s="7" t="s">
        <v>14</v>
      </c>
      <c r="M1706" s="2" t="s">
        <v>1576</v>
      </c>
      <c r="N1706" s="2" t="s">
        <v>974</v>
      </c>
    </row>
    <row r="1707" spans="6:18" ht="75" x14ac:dyDescent="0.25">
      <c r="F1707" s="10">
        <v>24</v>
      </c>
      <c r="H1707" s="2" t="s">
        <v>3548</v>
      </c>
      <c r="I1707" s="2" t="s">
        <v>30</v>
      </c>
      <c r="J1707" s="2" t="s">
        <v>33</v>
      </c>
      <c r="K1707" s="7" t="s">
        <v>33</v>
      </c>
      <c r="L1707" s="7" t="s">
        <v>14</v>
      </c>
      <c r="M1707" s="2" t="s">
        <v>1576</v>
      </c>
      <c r="N1707" s="2" t="s">
        <v>974</v>
      </c>
    </row>
    <row r="1708" spans="6:18" ht="165" x14ac:dyDescent="0.25">
      <c r="F1708" s="10">
        <v>25</v>
      </c>
      <c r="H1708" s="2" t="s">
        <v>1575</v>
      </c>
      <c r="I1708" s="2" t="s">
        <v>30</v>
      </c>
      <c r="J1708" s="2" t="s">
        <v>33</v>
      </c>
      <c r="K1708" s="7" t="s">
        <v>33</v>
      </c>
      <c r="L1708" s="7" t="s">
        <v>14</v>
      </c>
      <c r="M1708" s="2" t="s">
        <v>1613</v>
      </c>
      <c r="N1708" s="2" t="s">
        <v>974</v>
      </c>
    </row>
    <row r="1709" spans="6:18" ht="90" x14ac:dyDescent="0.25">
      <c r="F1709" s="10">
        <v>26</v>
      </c>
      <c r="H1709" s="2" t="s">
        <v>3549</v>
      </c>
      <c r="I1709" s="2" t="s">
        <v>29</v>
      </c>
      <c r="J1709" s="2" t="s">
        <v>33</v>
      </c>
      <c r="K1709" s="7" t="s">
        <v>33</v>
      </c>
      <c r="L1709" s="7" t="s">
        <v>474</v>
      </c>
      <c r="M1709" s="2" t="s">
        <v>1576</v>
      </c>
      <c r="N1709" s="2" t="s">
        <v>974</v>
      </c>
    </row>
    <row r="1710" spans="6:18" ht="75" x14ac:dyDescent="0.25">
      <c r="F1710" s="10">
        <v>29</v>
      </c>
      <c r="H1710" s="2" t="s">
        <v>3713</v>
      </c>
      <c r="I1710" s="2" t="s">
        <v>30</v>
      </c>
      <c r="J1710" s="2" t="s">
        <v>33</v>
      </c>
      <c r="K1710" s="7" t="s">
        <v>33</v>
      </c>
      <c r="L1710" s="7" t="s">
        <v>474</v>
      </c>
      <c r="M1710" s="2" t="s">
        <v>1576</v>
      </c>
      <c r="N1710" s="2" t="s">
        <v>974</v>
      </c>
      <c r="O1710" s="2" t="s">
        <v>1614</v>
      </c>
      <c r="P1710" s="2" t="s">
        <v>977</v>
      </c>
      <c r="Q1710" s="2" t="s">
        <v>540</v>
      </c>
    </row>
    <row r="1711" spans="6:18" ht="45" x14ac:dyDescent="0.25">
      <c r="F1711" s="10">
        <v>30</v>
      </c>
      <c r="H1711" s="2" t="s">
        <v>1577</v>
      </c>
      <c r="I1711" s="2" t="s">
        <v>30</v>
      </c>
      <c r="J1711" s="2" t="s">
        <v>33</v>
      </c>
      <c r="K1711" s="7" t="s">
        <v>33</v>
      </c>
      <c r="L1711" s="7" t="s">
        <v>474</v>
      </c>
      <c r="M1711" s="2" t="s">
        <v>1576</v>
      </c>
      <c r="N1711" s="2" t="s">
        <v>974</v>
      </c>
      <c r="O1711" s="2" t="s">
        <v>1614</v>
      </c>
      <c r="P1711" s="2" t="s">
        <v>977</v>
      </c>
      <c r="Q1711" s="2" t="s">
        <v>540</v>
      </c>
    </row>
    <row r="1712" spans="6:18" ht="45" x14ac:dyDescent="0.25">
      <c r="F1712" s="10">
        <v>31</v>
      </c>
      <c r="H1712" s="2" t="s">
        <v>3550</v>
      </c>
      <c r="I1712" s="2" t="s">
        <v>29</v>
      </c>
      <c r="J1712" s="2" t="s">
        <v>33</v>
      </c>
      <c r="K1712" s="7" t="s">
        <v>33</v>
      </c>
      <c r="L1712" s="7" t="s">
        <v>474</v>
      </c>
      <c r="M1712" s="2" t="s">
        <v>1576</v>
      </c>
      <c r="N1712" s="2" t="s">
        <v>974</v>
      </c>
    </row>
    <row r="1713" spans="1:14" ht="75" x14ac:dyDescent="0.25">
      <c r="F1713" s="10">
        <v>34</v>
      </c>
      <c r="H1713" s="2" t="s">
        <v>3551</v>
      </c>
      <c r="I1713" s="2" t="s">
        <v>30</v>
      </c>
      <c r="J1713" s="2" t="s">
        <v>33</v>
      </c>
      <c r="K1713" s="7" t="s">
        <v>33</v>
      </c>
      <c r="L1713" s="7" t="s">
        <v>474</v>
      </c>
      <c r="M1713" s="2" t="s">
        <v>1602</v>
      </c>
      <c r="N1713" s="2" t="s">
        <v>974</v>
      </c>
    </row>
    <row r="1714" spans="1:14" ht="60" x14ac:dyDescent="0.25">
      <c r="F1714" s="10">
        <v>35</v>
      </c>
      <c r="H1714" s="2" t="s">
        <v>1615</v>
      </c>
      <c r="I1714" s="2" t="s">
        <v>30</v>
      </c>
      <c r="J1714" s="7" t="s">
        <v>33</v>
      </c>
      <c r="K1714" s="7" t="s">
        <v>33</v>
      </c>
      <c r="L1714" s="7" t="s">
        <v>474</v>
      </c>
      <c r="M1714" s="2" t="s">
        <v>1632</v>
      </c>
      <c r="N1714" s="2" t="s">
        <v>974</v>
      </c>
    </row>
    <row r="1716" spans="1:14" ht="75" x14ac:dyDescent="0.25">
      <c r="A1716" s="19" t="s">
        <v>1200</v>
      </c>
      <c r="B1716" s="19" t="s">
        <v>1220</v>
      </c>
      <c r="C1716" s="19" t="s">
        <v>3848</v>
      </c>
      <c r="D1716" s="19" t="s">
        <v>1221</v>
      </c>
      <c r="E1716" s="10" t="s">
        <v>121</v>
      </c>
      <c r="F1716" s="10">
        <v>1</v>
      </c>
      <c r="G1716" s="2" t="s">
        <v>3871</v>
      </c>
    </row>
    <row r="1717" spans="1:14" ht="30" x14ac:dyDescent="0.25">
      <c r="F1717" s="10">
        <v>2</v>
      </c>
      <c r="H1717" s="2" t="s">
        <v>1222</v>
      </c>
      <c r="I1717" s="2" t="s">
        <v>30</v>
      </c>
      <c r="J1717" s="5">
        <v>40252</v>
      </c>
      <c r="K1717" s="4"/>
      <c r="L1717" s="7" t="s">
        <v>1288</v>
      </c>
      <c r="N1717" s="2" t="s">
        <v>974</v>
      </c>
    </row>
    <row r="1718" spans="1:14" x14ac:dyDescent="0.25">
      <c r="F1718" s="10">
        <v>3</v>
      </c>
      <c r="G1718" s="2" t="s">
        <v>1223</v>
      </c>
    </row>
    <row r="1719" spans="1:14" x14ac:dyDescent="0.25">
      <c r="F1719" s="10">
        <v>4</v>
      </c>
      <c r="H1719" s="2" t="s">
        <v>1224</v>
      </c>
      <c r="I1719" s="2" t="s">
        <v>30</v>
      </c>
      <c r="J1719" s="5">
        <v>40252</v>
      </c>
      <c r="K1719" s="4"/>
      <c r="L1719" s="7" t="s">
        <v>1288</v>
      </c>
      <c r="N1719" s="2" t="s">
        <v>974</v>
      </c>
    </row>
    <row r="1720" spans="1:14" ht="75" x14ac:dyDescent="0.25">
      <c r="E1720" s="10" t="s">
        <v>123</v>
      </c>
      <c r="F1720" s="10">
        <v>1</v>
      </c>
      <c r="G1720" s="2" t="s">
        <v>3872</v>
      </c>
    </row>
    <row r="1721" spans="1:14" ht="30" x14ac:dyDescent="0.25">
      <c r="F1721" s="10">
        <v>2</v>
      </c>
      <c r="H1721" s="2" t="s">
        <v>1225</v>
      </c>
      <c r="I1721" s="2" t="s">
        <v>30</v>
      </c>
      <c r="J1721" s="5">
        <v>40252</v>
      </c>
      <c r="K1721" s="4"/>
      <c r="L1721" s="7" t="s">
        <v>1288</v>
      </c>
      <c r="N1721" s="2" t="s">
        <v>974</v>
      </c>
    </row>
    <row r="1722" spans="1:14" ht="30" x14ac:dyDescent="0.25">
      <c r="F1722" s="10">
        <v>3</v>
      </c>
      <c r="G1722" s="2" t="s">
        <v>1226</v>
      </c>
    </row>
    <row r="1723" spans="1:14" ht="30" x14ac:dyDescent="0.25">
      <c r="F1723" s="10">
        <v>4</v>
      </c>
      <c r="H1723" s="2" t="s">
        <v>2741</v>
      </c>
      <c r="I1723" s="2" t="s">
        <v>30</v>
      </c>
      <c r="J1723" s="5">
        <v>40252</v>
      </c>
      <c r="K1723" s="4"/>
      <c r="L1723" s="7" t="s">
        <v>1288</v>
      </c>
      <c r="N1723" s="2" t="s">
        <v>974</v>
      </c>
    </row>
    <row r="1724" spans="1:14" ht="60" x14ac:dyDescent="0.25">
      <c r="E1724" s="10" t="s">
        <v>126</v>
      </c>
      <c r="F1724" s="10">
        <v>1</v>
      </c>
      <c r="G1724" s="2" t="s">
        <v>1229</v>
      </c>
    </row>
    <row r="1725" spans="1:14" ht="30" x14ac:dyDescent="0.25">
      <c r="F1725" s="10">
        <v>2</v>
      </c>
      <c r="H1725" s="2" t="s">
        <v>1227</v>
      </c>
      <c r="I1725" s="2" t="s">
        <v>30</v>
      </c>
      <c r="J1725" s="5">
        <v>40252</v>
      </c>
      <c r="K1725" s="4"/>
      <c r="L1725" s="7" t="s">
        <v>1288</v>
      </c>
      <c r="N1725" s="2" t="s">
        <v>974</v>
      </c>
    </row>
    <row r="1726" spans="1:14" ht="60" x14ac:dyDescent="0.25">
      <c r="E1726" s="10" t="s">
        <v>127</v>
      </c>
      <c r="F1726" s="10">
        <v>1</v>
      </c>
      <c r="G1726" s="2" t="s">
        <v>1230</v>
      </c>
    </row>
    <row r="1727" spans="1:14" ht="30" x14ac:dyDescent="0.25">
      <c r="F1727" s="10">
        <v>2</v>
      </c>
      <c r="H1727" s="2" t="s">
        <v>1228</v>
      </c>
      <c r="I1727" s="2" t="s">
        <v>30</v>
      </c>
      <c r="J1727" s="5">
        <v>40252</v>
      </c>
      <c r="K1727" s="4"/>
      <c r="L1727" s="7" t="s">
        <v>1288</v>
      </c>
      <c r="N1727" s="2" t="s">
        <v>974</v>
      </c>
    </row>
    <row r="1729" spans="1:14" ht="60" x14ac:dyDescent="0.25">
      <c r="A1729" s="19" t="s">
        <v>1201</v>
      </c>
      <c r="B1729" s="19" t="s">
        <v>1231</v>
      </c>
      <c r="C1729" s="7" t="s">
        <v>1059</v>
      </c>
      <c r="D1729" s="19" t="s">
        <v>1232</v>
      </c>
      <c r="E1729" s="10" t="s">
        <v>121</v>
      </c>
      <c r="F1729" s="10">
        <v>1</v>
      </c>
      <c r="G1729" s="2" t="s">
        <v>1233</v>
      </c>
    </row>
    <row r="1730" spans="1:14" ht="30" x14ac:dyDescent="0.25">
      <c r="F1730" s="10">
        <v>2</v>
      </c>
      <c r="H1730" s="2" t="s">
        <v>1529</v>
      </c>
      <c r="I1730" s="2" t="s">
        <v>30</v>
      </c>
      <c r="J1730" s="5">
        <v>40252</v>
      </c>
      <c r="K1730" s="4"/>
      <c r="L1730" s="4" t="s">
        <v>1288</v>
      </c>
      <c r="N1730" s="2" t="s">
        <v>974</v>
      </c>
    </row>
    <row r="1731" spans="1:14" ht="30" x14ac:dyDescent="0.25">
      <c r="F1731" s="10">
        <v>3</v>
      </c>
      <c r="H1731" s="2" t="s">
        <v>1234</v>
      </c>
      <c r="I1731" s="2" t="s">
        <v>30</v>
      </c>
      <c r="J1731" s="5">
        <v>40252</v>
      </c>
      <c r="K1731" s="4"/>
      <c r="L1731" s="4" t="s">
        <v>1288</v>
      </c>
      <c r="N1731" s="2" t="s">
        <v>974</v>
      </c>
    </row>
    <row r="1732" spans="1:14" x14ac:dyDescent="0.25">
      <c r="F1732" s="10">
        <v>4</v>
      </c>
      <c r="G1732" s="2" t="s">
        <v>1235</v>
      </c>
    </row>
    <row r="1733" spans="1:14" ht="75" x14ac:dyDescent="0.25">
      <c r="F1733" s="10">
        <v>5</v>
      </c>
      <c r="H1733" s="2" t="s">
        <v>1485</v>
      </c>
      <c r="I1733" s="2" t="s">
        <v>30</v>
      </c>
      <c r="J1733" s="5">
        <v>40252</v>
      </c>
      <c r="K1733" s="4"/>
      <c r="L1733" s="4" t="s">
        <v>1288</v>
      </c>
      <c r="M1733" s="2" t="s">
        <v>1634</v>
      </c>
      <c r="N1733" s="2" t="s">
        <v>974</v>
      </c>
    </row>
    <row r="1734" spans="1:14" x14ac:dyDescent="0.25">
      <c r="F1734" s="10">
        <v>6</v>
      </c>
      <c r="G1734" s="2" t="s">
        <v>824</v>
      </c>
    </row>
    <row r="1735" spans="1:14" ht="30" x14ac:dyDescent="0.25">
      <c r="F1735" s="10">
        <v>7</v>
      </c>
      <c r="H1735" s="2" t="s">
        <v>1530</v>
      </c>
      <c r="I1735" s="2" t="s">
        <v>30</v>
      </c>
      <c r="J1735" s="5">
        <v>40252</v>
      </c>
      <c r="K1735" s="4"/>
      <c r="L1735" s="4" t="s">
        <v>1288</v>
      </c>
      <c r="N1735" s="2" t="s">
        <v>974</v>
      </c>
    </row>
    <row r="1736" spans="1:14" x14ac:dyDescent="0.25">
      <c r="E1736" s="10" t="s">
        <v>771</v>
      </c>
      <c r="F1736" s="10">
        <v>1</v>
      </c>
      <c r="G1736" s="2" t="s">
        <v>695</v>
      </c>
    </row>
    <row r="1737" spans="1:14" x14ac:dyDescent="0.25">
      <c r="F1737" s="10">
        <v>2</v>
      </c>
      <c r="H1737" s="2" t="s">
        <v>1486</v>
      </c>
      <c r="I1737" s="2" t="s">
        <v>30</v>
      </c>
      <c r="J1737" s="5">
        <v>40252</v>
      </c>
      <c r="K1737" s="4"/>
      <c r="L1737" s="4" t="s">
        <v>1288</v>
      </c>
      <c r="N1737" s="2" t="s">
        <v>974</v>
      </c>
    </row>
    <row r="1738" spans="1:14" ht="45" x14ac:dyDescent="0.25">
      <c r="E1738" s="10" t="s">
        <v>126</v>
      </c>
      <c r="F1738" s="10">
        <v>1</v>
      </c>
      <c r="G1738" s="2" t="s">
        <v>1488</v>
      </c>
    </row>
    <row r="1739" spans="1:14" ht="30" x14ac:dyDescent="0.25">
      <c r="F1739" s="10">
        <v>2</v>
      </c>
      <c r="H1739" s="2" t="s">
        <v>1531</v>
      </c>
      <c r="I1739" s="2" t="s">
        <v>30</v>
      </c>
      <c r="J1739" s="5">
        <v>40252</v>
      </c>
      <c r="K1739" s="4"/>
      <c r="L1739" s="4" t="s">
        <v>1288</v>
      </c>
      <c r="N1739" s="2" t="s">
        <v>974</v>
      </c>
    </row>
    <row r="1740" spans="1:14" ht="45" x14ac:dyDescent="0.25">
      <c r="F1740" s="10">
        <v>3</v>
      </c>
      <c r="H1740" s="2" t="s">
        <v>1489</v>
      </c>
      <c r="I1740" s="2" t="s">
        <v>30</v>
      </c>
      <c r="J1740" s="5">
        <v>40252</v>
      </c>
      <c r="K1740" s="4"/>
      <c r="L1740" s="4" t="s">
        <v>1288</v>
      </c>
      <c r="N1740" s="2" t="s">
        <v>974</v>
      </c>
    </row>
    <row r="1741" spans="1:14" ht="30" x14ac:dyDescent="0.25">
      <c r="F1741" s="10">
        <v>4</v>
      </c>
      <c r="G1741" s="2" t="s">
        <v>1490</v>
      </c>
    </row>
    <row r="1742" spans="1:14" ht="75" x14ac:dyDescent="0.25">
      <c r="F1742" s="10">
        <v>5</v>
      </c>
      <c r="H1742" s="2" t="s">
        <v>1491</v>
      </c>
      <c r="I1742" s="2" t="s">
        <v>30</v>
      </c>
      <c r="J1742" s="5">
        <v>40252</v>
      </c>
      <c r="K1742" s="4"/>
      <c r="L1742" s="4" t="s">
        <v>1288</v>
      </c>
      <c r="M1742" s="2" t="s">
        <v>1634</v>
      </c>
      <c r="N1742" s="2" t="s">
        <v>974</v>
      </c>
    </row>
    <row r="1743" spans="1:14" x14ac:dyDescent="0.25">
      <c r="F1743" s="10">
        <v>6</v>
      </c>
      <c r="G1743" s="2" t="s">
        <v>824</v>
      </c>
    </row>
    <row r="1744" spans="1:14" ht="45" x14ac:dyDescent="0.25">
      <c r="F1744" s="10">
        <v>7</v>
      </c>
      <c r="H1744" s="2" t="s">
        <v>1532</v>
      </c>
      <c r="I1744" s="2" t="s">
        <v>30</v>
      </c>
      <c r="J1744" s="5">
        <v>40252</v>
      </c>
      <c r="K1744" s="4"/>
      <c r="L1744" s="4" t="s">
        <v>1288</v>
      </c>
      <c r="N1744" s="2" t="s">
        <v>974</v>
      </c>
    </row>
    <row r="1745" spans="1:15" x14ac:dyDescent="0.25">
      <c r="E1745" s="10" t="s">
        <v>1487</v>
      </c>
      <c r="F1745" s="10">
        <v>1</v>
      </c>
      <c r="G1745" s="2" t="s">
        <v>695</v>
      </c>
    </row>
    <row r="1746" spans="1:15" ht="30" x14ac:dyDescent="0.25">
      <c r="F1746" s="10">
        <v>2</v>
      </c>
      <c r="H1746" s="2" t="s">
        <v>1492</v>
      </c>
      <c r="I1746" s="2" t="s">
        <v>30</v>
      </c>
      <c r="J1746" s="5">
        <v>40252</v>
      </c>
      <c r="K1746" s="4"/>
      <c r="L1746" s="4" t="s">
        <v>1288</v>
      </c>
      <c r="N1746" s="2" t="s">
        <v>974</v>
      </c>
    </row>
    <row r="1748" spans="1:15" ht="60" x14ac:dyDescent="0.25">
      <c r="A1748" s="19" t="s">
        <v>1202</v>
      </c>
      <c r="B1748" s="19" t="s">
        <v>1416</v>
      </c>
      <c r="C1748" s="19" t="s">
        <v>3873</v>
      </c>
      <c r="D1748" s="19" t="s">
        <v>1417</v>
      </c>
      <c r="E1748" s="10" t="s">
        <v>121</v>
      </c>
      <c r="F1748" s="10">
        <v>1</v>
      </c>
      <c r="G1748" s="2" t="s">
        <v>1538</v>
      </c>
    </row>
    <row r="1749" spans="1:15" ht="45" x14ac:dyDescent="0.25">
      <c r="A1749" s="19"/>
      <c r="B1749" s="19"/>
      <c r="C1749" s="19"/>
      <c r="D1749" s="19"/>
      <c r="F1749" s="10">
        <v>2</v>
      </c>
      <c r="H1749" s="2" t="s">
        <v>1418</v>
      </c>
    </row>
    <row r="1750" spans="1:15" x14ac:dyDescent="0.25">
      <c r="F1750" s="10">
        <v>3</v>
      </c>
      <c r="H1750" s="2" t="s">
        <v>3552</v>
      </c>
      <c r="I1750" s="2" t="s">
        <v>33</v>
      </c>
      <c r="J1750" s="3">
        <v>40274</v>
      </c>
      <c r="K1750" s="4"/>
      <c r="L1750" s="4" t="s">
        <v>1288</v>
      </c>
      <c r="N1750" s="2" t="s">
        <v>974</v>
      </c>
    </row>
    <row r="1751" spans="1:15" ht="30" x14ac:dyDescent="0.25">
      <c r="F1751" s="10">
        <v>4</v>
      </c>
      <c r="H1751" s="2" t="s">
        <v>1419</v>
      </c>
      <c r="I1751" s="2" t="s">
        <v>33</v>
      </c>
      <c r="J1751" s="3">
        <v>40274</v>
      </c>
      <c r="K1751" s="4"/>
      <c r="L1751" s="4"/>
      <c r="N1751" s="2" t="s">
        <v>33</v>
      </c>
      <c r="O1751" s="2" t="s">
        <v>2784</v>
      </c>
    </row>
    <row r="1752" spans="1:15" ht="30" x14ac:dyDescent="0.25">
      <c r="F1752" s="10">
        <v>5</v>
      </c>
      <c r="H1752" s="2" t="s">
        <v>1427</v>
      </c>
      <c r="I1752" s="2" t="s">
        <v>33</v>
      </c>
      <c r="J1752" s="3">
        <v>40274</v>
      </c>
      <c r="K1752" s="4"/>
      <c r="L1752" s="4"/>
      <c r="N1752" s="2" t="s">
        <v>33</v>
      </c>
      <c r="O1752" s="2" t="s">
        <v>2784</v>
      </c>
    </row>
    <row r="1753" spans="1:15" ht="30" x14ac:dyDescent="0.25">
      <c r="F1753" s="10">
        <v>6</v>
      </c>
      <c r="H1753" s="2" t="s">
        <v>1420</v>
      </c>
      <c r="I1753" s="2" t="s">
        <v>33</v>
      </c>
      <c r="J1753" s="3">
        <v>40274</v>
      </c>
      <c r="K1753" s="4"/>
      <c r="L1753" s="4"/>
      <c r="N1753" s="2" t="s">
        <v>33</v>
      </c>
      <c r="O1753" s="2" t="s">
        <v>2784</v>
      </c>
    </row>
    <row r="1754" spans="1:15" ht="30" x14ac:dyDescent="0.25">
      <c r="F1754" s="10">
        <v>7</v>
      </c>
      <c r="H1754" s="2" t="s">
        <v>1421</v>
      </c>
      <c r="I1754" s="2" t="s">
        <v>33</v>
      </c>
      <c r="J1754" s="3">
        <v>40274</v>
      </c>
      <c r="K1754" s="4"/>
      <c r="L1754" s="4"/>
      <c r="N1754" s="2" t="s">
        <v>33</v>
      </c>
      <c r="O1754" s="2" t="s">
        <v>2784</v>
      </c>
    </row>
    <row r="1755" spans="1:15" ht="30" x14ac:dyDescent="0.25">
      <c r="F1755" s="10">
        <v>8</v>
      </c>
      <c r="H1755" s="2" t="s">
        <v>1422</v>
      </c>
      <c r="I1755" s="2" t="s">
        <v>33</v>
      </c>
      <c r="J1755" s="3">
        <v>40274</v>
      </c>
      <c r="K1755" s="4"/>
      <c r="L1755" s="4"/>
      <c r="N1755" s="2" t="s">
        <v>33</v>
      </c>
      <c r="O1755" s="2" t="s">
        <v>2784</v>
      </c>
    </row>
    <row r="1756" spans="1:15" ht="30" x14ac:dyDescent="0.25">
      <c r="F1756" s="10">
        <v>9</v>
      </c>
      <c r="H1756" s="2" t="s">
        <v>1423</v>
      </c>
      <c r="I1756" s="2" t="s">
        <v>33</v>
      </c>
      <c r="J1756" s="3">
        <v>40274</v>
      </c>
      <c r="K1756" s="4"/>
      <c r="L1756" s="4"/>
      <c r="N1756" s="2" t="s">
        <v>33</v>
      </c>
      <c r="O1756" s="2" t="s">
        <v>2784</v>
      </c>
    </row>
    <row r="1757" spans="1:15" ht="30" x14ac:dyDescent="0.25">
      <c r="F1757" s="10">
        <v>10</v>
      </c>
      <c r="H1757" s="2" t="s">
        <v>1424</v>
      </c>
      <c r="I1757" s="2" t="s">
        <v>33</v>
      </c>
      <c r="J1757" s="3">
        <v>40274</v>
      </c>
      <c r="K1757" s="4"/>
      <c r="L1757" s="4"/>
      <c r="N1757" s="2" t="s">
        <v>33</v>
      </c>
      <c r="O1757" s="2" t="s">
        <v>2784</v>
      </c>
    </row>
    <row r="1758" spans="1:15" ht="30" x14ac:dyDescent="0.25">
      <c r="F1758" s="10">
        <v>11</v>
      </c>
      <c r="H1758" s="2" t="s">
        <v>3553</v>
      </c>
      <c r="I1758" s="2" t="s">
        <v>33</v>
      </c>
      <c r="J1758" s="3">
        <v>40274</v>
      </c>
      <c r="K1758" s="4"/>
      <c r="L1758" s="4"/>
      <c r="N1758" s="2" t="s">
        <v>33</v>
      </c>
      <c r="O1758" s="2" t="s">
        <v>2784</v>
      </c>
    </row>
    <row r="1759" spans="1:15" ht="30" x14ac:dyDescent="0.25">
      <c r="F1759" s="10">
        <v>12</v>
      </c>
      <c r="H1759" s="2" t="s">
        <v>3554</v>
      </c>
      <c r="I1759" s="2" t="s">
        <v>33</v>
      </c>
      <c r="J1759" s="3">
        <v>40274</v>
      </c>
      <c r="K1759" s="4"/>
      <c r="L1759" s="4"/>
      <c r="N1759" s="2" t="s">
        <v>33</v>
      </c>
      <c r="O1759" s="2" t="s">
        <v>2784</v>
      </c>
    </row>
    <row r="1760" spans="1:15" ht="30" x14ac:dyDescent="0.25">
      <c r="F1760" s="10">
        <v>13</v>
      </c>
      <c r="H1760" s="2" t="s">
        <v>1425</v>
      </c>
      <c r="I1760" s="2" t="s">
        <v>33</v>
      </c>
      <c r="J1760" s="3">
        <v>40274</v>
      </c>
      <c r="K1760" s="4"/>
      <c r="L1760" s="4"/>
      <c r="N1760" s="2" t="s">
        <v>33</v>
      </c>
      <c r="O1760" s="2" t="s">
        <v>2784</v>
      </c>
    </row>
    <row r="1761" spans="1:15" ht="30" x14ac:dyDescent="0.25">
      <c r="F1761" s="10">
        <v>14</v>
      </c>
      <c r="H1761" s="2" t="s">
        <v>1426</v>
      </c>
      <c r="I1761" s="2" t="s">
        <v>33</v>
      </c>
      <c r="J1761" s="3">
        <v>40274</v>
      </c>
      <c r="K1761" s="4"/>
      <c r="L1761" s="4"/>
      <c r="N1761" s="2" t="s">
        <v>33</v>
      </c>
      <c r="O1761" s="2" t="s">
        <v>2784</v>
      </c>
    </row>
    <row r="1762" spans="1:15" ht="30" x14ac:dyDescent="0.25">
      <c r="F1762" s="10">
        <v>15</v>
      </c>
      <c r="H1762" s="2" t="s">
        <v>3971</v>
      </c>
      <c r="I1762" s="2" t="s">
        <v>33</v>
      </c>
      <c r="J1762" s="3">
        <v>40274</v>
      </c>
      <c r="K1762" s="4"/>
      <c r="L1762" s="4"/>
      <c r="N1762" s="2" t="s">
        <v>33</v>
      </c>
      <c r="O1762" s="2" t="s">
        <v>2784</v>
      </c>
    </row>
    <row r="1763" spans="1:15" ht="30" x14ac:dyDescent="0.25">
      <c r="F1763" s="10">
        <v>16</v>
      </c>
      <c r="H1763" s="2" t="s">
        <v>1539</v>
      </c>
      <c r="I1763" s="2" t="s">
        <v>33</v>
      </c>
      <c r="J1763" s="3">
        <v>40274</v>
      </c>
      <c r="K1763" s="4"/>
      <c r="L1763" s="4" t="s">
        <v>1288</v>
      </c>
      <c r="N1763" s="2" t="s">
        <v>33</v>
      </c>
      <c r="O1763" s="2" t="s">
        <v>2784</v>
      </c>
    </row>
    <row r="1765" spans="1:15" ht="75" x14ac:dyDescent="0.25">
      <c r="A1765" s="19" t="s">
        <v>1204</v>
      </c>
      <c r="B1765" s="19" t="s">
        <v>1645</v>
      </c>
      <c r="C1765" s="19" t="s">
        <v>39</v>
      </c>
      <c r="D1765" s="19" t="s">
        <v>1646</v>
      </c>
      <c r="E1765" s="10" t="s">
        <v>121</v>
      </c>
      <c r="F1765" s="10">
        <v>1</v>
      </c>
      <c r="H1765" s="2" t="s">
        <v>1647</v>
      </c>
      <c r="I1765" s="2" t="s">
        <v>33</v>
      </c>
      <c r="J1765" s="2" t="s">
        <v>33</v>
      </c>
      <c r="K1765" s="7" t="s">
        <v>33</v>
      </c>
      <c r="L1765" s="7" t="s">
        <v>474</v>
      </c>
      <c r="M1765" s="7" t="s">
        <v>1682</v>
      </c>
      <c r="N1765" s="2" t="s">
        <v>974</v>
      </c>
    </row>
    <row r="1766" spans="1:15" ht="135" x14ac:dyDescent="0.25">
      <c r="F1766" s="10">
        <v>2</v>
      </c>
      <c r="H1766" s="2" t="s">
        <v>1650</v>
      </c>
      <c r="I1766" s="2" t="s">
        <v>33</v>
      </c>
      <c r="J1766" s="2" t="s">
        <v>33</v>
      </c>
      <c r="K1766" s="7" t="s">
        <v>33</v>
      </c>
      <c r="L1766" s="7" t="s">
        <v>474</v>
      </c>
      <c r="M1766" s="7" t="s">
        <v>1682</v>
      </c>
      <c r="N1766" s="2" t="s">
        <v>974</v>
      </c>
    </row>
    <row r="1767" spans="1:15" ht="150" x14ac:dyDescent="0.25">
      <c r="F1767" s="10">
        <v>3</v>
      </c>
      <c r="H1767" s="2" t="s">
        <v>1651</v>
      </c>
      <c r="I1767" s="2" t="s">
        <v>33</v>
      </c>
      <c r="J1767" s="2" t="s">
        <v>33</v>
      </c>
      <c r="K1767" s="7" t="s">
        <v>33</v>
      </c>
      <c r="L1767" s="7" t="s">
        <v>1699</v>
      </c>
      <c r="M1767" s="7" t="s">
        <v>1682</v>
      </c>
      <c r="N1767" s="2" t="s">
        <v>974</v>
      </c>
    </row>
    <row r="1768" spans="1:15" ht="30" x14ac:dyDescent="0.25">
      <c r="F1768" s="10">
        <v>4</v>
      </c>
      <c r="H1768" s="2" t="s">
        <v>3555</v>
      </c>
      <c r="I1768" s="2" t="s">
        <v>33</v>
      </c>
      <c r="J1768" s="2" t="s">
        <v>33</v>
      </c>
      <c r="K1768" s="7" t="s">
        <v>33</v>
      </c>
      <c r="L1768" s="7" t="s">
        <v>1699</v>
      </c>
      <c r="M1768" s="7" t="s">
        <v>1682</v>
      </c>
      <c r="N1768" s="2" t="s">
        <v>974</v>
      </c>
    </row>
    <row r="1769" spans="1:15" x14ac:dyDescent="0.25">
      <c r="F1769" s="10">
        <v>5</v>
      </c>
      <c r="H1769" s="2" t="s">
        <v>3556</v>
      </c>
      <c r="I1769" s="2" t="s">
        <v>33</v>
      </c>
      <c r="J1769" s="2" t="s">
        <v>33</v>
      </c>
      <c r="K1769" s="7" t="s">
        <v>33</v>
      </c>
      <c r="L1769" s="7" t="s">
        <v>474</v>
      </c>
      <c r="M1769" s="7" t="s">
        <v>1682</v>
      </c>
      <c r="N1769" s="2" t="s">
        <v>974</v>
      </c>
    </row>
    <row r="1770" spans="1:15" ht="30" x14ac:dyDescent="0.25">
      <c r="F1770" s="10">
        <v>6</v>
      </c>
      <c r="H1770" s="2" t="s">
        <v>1688</v>
      </c>
      <c r="I1770" s="2" t="s">
        <v>33</v>
      </c>
      <c r="J1770" s="2" t="s">
        <v>33</v>
      </c>
      <c r="K1770" s="7" t="s">
        <v>33</v>
      </c>
      <c r="L1770" s="7" t="s">
        <v>474</v>
      </c>
      <c r="M1770" s="7" t="s">
        <v>1682</v>
      </c>
      <c r="N1770" s="2" t="s">
        <v>974</v>
      </c>
    </row>
    <row r="1771" spans="1:15" ht="90" x14ac:dyDescent="0.25">
      <c r="F1771" s="10">
        <v>7</v>
      </c>
      <c r="H1771" s="2" t="s">
        <v>1648</v>
      </c>
      <c r="I1771" s="2" t="s">
        <v>33</v>
      </c>
      <c r="J1771" s="2" t="s">
        <v>33</v>
      </c>
      <c r="K1771" s="7" t="s">
        <v>33</v>
      </c>
      <c r="L1771" s="7" t="s">
        <v>474</v>
      </c>
      <c r="M1771" s="7" t="s">
        <v>1682</v>
      </c>
      <c r="N1771" s="2" t="s">
        <v>974</v>
      </c>
    </row>
    <row r="1772" spans="1:15" ht="45" x14ac:dyDescent="0.25">
      <c r="F1772" s="10">
        <v>8</v>
      </c>
      <c r="H1772" s="2" t="s">
        <v>1652</v>
      </c>
      <c r="I1772" s="2" t="s">
        <v>33</v>
      </c>
      <c r="J1772" s="2" t="s">
        <v>33</v>
      </c>
      <c r="K1772" s="7" t="s">
        <v>33</v>
      </c>
      <c r="L1772" s="7" t="s">
        <v>474</v>
      </c>
      <c r="M1772" s="7" t="s">
        <v>1682</v>
      </c>
      <c r="N1772" s="2" t="s">
        <v>974</v>
      </c>
      <c r="O1772" s="2" t="s">
        <v>2006</v>
      </c>
    </row>
    <row r="1773" spans="1:15" ht="45" x14ac:dyDescent="0.25">
      <c r="F1773" s="10">
        <v>9</v>
      </c>
      <c r="H1773" s="2" t="s">
        <v>1649</v>
      </c>
      <c r="I1773" s="2" t="s">
        <v>29</v>
      </c>
      <c r="J1773" s="3" t="s">
        <v>33</v>
      </c>
      <c r="K1773" s="7" t="s">
        <v>33</v>
      </c>
      <c r="L1773" s="7" t="s">
        <v>1699</v>
      </c>
      <c r="M1773" s="7" t="s">
        <v>1682</v>
      </c>
      <c r="N1773" s="2" t="s">
        <v>974</v>
      </c>
    </row>
    <row r="1774" spans="1:15" ht="30" x14ac:dyDescent="0.25">
      <c r="F1774" s="10">
        <v>10</v>
      </c>
      <c r="H1774" s="2" t="s">
        <v>1644</v>
      </c>
      <c r="I1774" s="2" t="s">
        <v>33</v>
      </c>
      <c r="J1774" s="3" t="s">
        <v>33</v>
      </c>
      <c r="K1774" s="7" t="s">
        <v>33</v>
      </c>
      <c r="L1774" s="7" t="s">
        <v>474</v>
      </c>
      <c r="M1774" s="7" t="s">
        <v>2029</v>
      </c>
      <c r="N1774" s="2" t="s">
        <v>974</v>
      </c>
    </row>
    <row r="1775" spans="1:15" ht="90" x14ac:dyDescent="0.25">
      <c r="F1775" s="10">
        <v>11</v>
      </c>
      <c r="H1775" s="2" t="s">
        <v>3557</v>
      </c>
      <c r="I1775" s="2" t="s">
        <v>30</v>
      </c>
      <c r="J1775" s="3">
        <v>40294</v>
      </c>
      <c r="K1775" s="4"/>
      <c r="L1775" s="7" t="s">
        <v>474</v>
      </c>
      <c r="M1775" s="7" t="s">
        <v>1682</v>
      </c>
      <c r="N1775" s="2" t="s">
        <v>974</v>
      </c>
    </row>
    <row r="1776" spans="1:15" ht="180" x14ac:dyDescent="0.25">
      <c r="F1776" s="10">
        <v>12</v>
      </c>
      <c r="H1776" s="2" t="s">
        <v>3558</v>
      </c>
      <c r="I1776" s="2" t="s">
        <v>30</v>
      </c>
      <c r="J1776" s="3">
        <v>40294</v>
      </c>
      <c r="K1776" s="4"/>
      <c r="L1776" s="7" t="s">
        <v>474</v>
      </c>
      <c r="M1776" s="7" t="s">
        <v>1682</v>
      </c>
      <c r="N1776" s="2" t="s">
        <v>974</v>
      </c>
    </row>
    <row r="1777" spans="1:15" ht="45" x14ac:dyDescent="0.25">
      <c r="F1777" s="10">
        <v>13</v>
      </c>
      <c r="H1777" s="7" t="s">
        <v>3559</v>
      </c>
      <c r="I1777" s="2" t="s">
        <v>30</v>
      </c>
      <c r="J1777" s="7" t="s">
        <v>33</v>
      </c>
      <c r="K1777" s="7" t="s">
        <v>33</v>
      </c>
      <c r="L1777" s="7" t="s">
        <v>474</v>
      </c>
      <c r="M1777" s="7" t="s">
        <v>1682</v>
      </c>
      <c r="N1777" s="2" t="s">
        <v>974</v>
      </c>
    </row>
    <row r="1778" spans="1:15" ht="60" x14ac:dyDescent="0.25">
      <c r="F1778" s="10">
        <v>14</v>
      </c>
      <c r="H1778" s="2" t="s">
        <v>3385</v>
      </c>
      <c r="I1778" s="2" t="s">
        <v>30</v>
      </c>
      <c r="J1778" s="7" t="s">
        <v>33</v>
      </c>
      <c r="K1778" s="7" t="s">
        <v>33</v>
      </c>
      <c r="L1778" s="7" t="s">
        <v>474</v>
      </c>
      <c r="M1778" s="7" t="s">
        <v>1682</v>
      </c>
      <c r="N1778" s="2" t="s">
        <v>974</v>
      </c>
      <c r="O1778" s="2" t="s">
        <v>1686</v>
      </c>
    </row>
    <row r="1779" spans="1:15" ht="45" x14ac:dyDescent="0.25">
      <c r="F1779" s="10">
        <v>15</v>
      </c>
      <c r="H1779" s="2" t="s">
        <v>1662</v>
      </c>
      <c r="I1779" s="2" t="s">
        <v>30</v>
      </c>
      <c r="J1779" s="7" t="s">
        <v>33</v>
      </c>
      <c r="K1779" s="7" t="s">
        <v>33</v>
      </c>
      <c r="L1779" s="7" t="s">
        <v>1699</v>
      </c>
      <c r="M1779" s="7" t="s">
        <v>1682</v>
      </c>
      <c r="N1779" s="2" t="s">
        <v>974</v>
      </c>
    </row>
    <row r="1780" spans="1:15" ht="30" x14ac:dyDescent="0.25">
      <c r="F1780" s="10">
        <v>16</v>
      </c>
      <c r="H1780" s="2" t="s">
        <v>3560</v>
      </c>
      <c r="I1780" s="2" t="s">
        <v>30</v>
      </c>
      <c r="J1780" s="7" t="s">
        <v>33</v>
      </c>
      <c r="K1780" s="7" t="s">
        <v>33</v>
      </c>
      <c r="L1780" s="7" t="s">
        <v>474</v>
      </c>
      <c r="M1780" s="7" t="s">
        <v>1682</v>
      </c>
      <c r="N1780" s="2" t="s">
        <v>974</v>
      </c>
    </row>
    <row r="1781" spans="1:15" ht="60" x14ac:dyDescent="0.25">
      <c r="F1781" s="10">
        <v>17</v>
      </c>
      <c r="H1781" s="2" t="s">
        <v>1683</v>
      </c>
      <c r="I1781" s="2" t="s">
        <v>30</v>
      </c>
      <c r="J1781" s="7" t="s">
        <v>33</v>
      </c>
      <c r="K1781" s="7" t="s">
        <v>33</v>
      </c>
      <c r="L1781" s="7" t="s">
        <v>474</v>
      </c>
      <c r="M1781" s="7" t="s">
        <v>1682</v>
      </c>
      <c r="N1781" s="2" t="s">
        <v>974</v>
      </c>
    </row>
    <row r="1782" spans="1:15" ht="60" x14ac:dyDescent="0.25">
      <c r="F1782" s="10">
        <v>18</v>
      </c>
      <c r="H1782" s="2" t="s">
        <v>3561</v>
      </c>
      <c r="I1782" s="2" t="s">
        <v>30</v>
      </c>
      <c r="J1782" s="7" t="s">
        <v>33</v>
      </c>
      <c r="K1782" s="7" t="s">
        <v>33</v>
      </c>
      <c r="L1782" s="7" t="s">
        <v>474</v>
      </c>
      <c r="M1782" s="7" t="s">
        <v>1682</v>
      </c>
      <c r="N1782" s="2" t="s">
        <v>974</v>
      </c>
    </row>
    <row r="1783" spans="1:15" ht="135" x14ac:dyDescent="0.25">
      <c r="F1783" s="10">
        <v>19</v>
      </c>
      <c r="H1783" s="2" t="s">
        <v>1687</v>
      </c>
      <c r="I1783" s="2" t="s">
        <v>30</v>
      </c>
      <c r="J1783" s="7" t="s">
        <v>33</v>
      </c>
      <c r="K1783" s="7" t="s">
        <v>33</v>
      </c>
      <c r="L1783" s="7" t="s">
        <v>474</v>
      </c>
      <c r="M1783" s="7" t="s">
        <v>2028</v>
      </c>
      <c r="N1783" s="2" t="s">
        <v>974</v>
      </c>
    </row>
    <row r="1784" spans="1:15" ht="45" x14ac:dyDescent="0.25">
      <c r="F1784" s="10">
        <v>20</v>
      </c>
      <c r="H1784" s="2" t="s">
        <v>1689</v>
      </c>
      <c r="I1784" s="2" t="s">
        <v>30</v>
      </c>
      <c r="J1784" s="7" t="s">
        <v>33</v>
      </c>
      <c r="K1784" s="7" t="s">
        <v>33</v>
      </c>
      <c r="L1784" s="7" t="s">
        <v>1699</v>
      </c>
      <c r="M1784" s="7" t="s">
        <v>1682</v>
      </c>
      <c r="N1784" s="2" t="s">
        <v>974</v>
      </c>
    </row>
    <row r="1785" spans="1:15" ht="90" x14ac:dyDescent="0.25">
      <c r="F1785" s="10">
        <v>21</v>
      </c>
      <c r="H1785" s="2" t="s">
        <v>1690</v>
      </c>
      <c r="I1785" s="2" t="s">
        <v>30</v>
      </c>
      <c r="J1785" s="7" t="s">
        <v>33</v>
      </c>
      <c r="K1785" s="7" t="s">
        <v>33</v>
      </c>
      <c r="L1785" s="7" t="s">
        <v>474</v>
      </c>
      <c r="M1785" s="7" t="s">
        <v>1682</v>
      </c>
      <c r="N1785" s="2" t="s">
        <v>974</v>
      </c>
    </row>
    <row r="1786" spans="1:15" ht="45" x14ac:dyDescent="0.25">
      <c r="F1786" s="10">
        <v>22</v>
      </c>
      <c r="H1786" s="2" t="s">
        <v>1697</v>
      </c>
      <c r="I1786" s="2" t="s">
        <v>30</v>
      </c>
      <c r="J1786" s="7" t="s">
        <v>33</v>
      </c>
      <c r="K1786" s="7" t="s">
        <v>33</v>
      </c>
      <c r="L1786" s="7" t="s">
        <v>474</v>
      </c>
      <c r="M1786" s="7" t="s">
        <v>1682</v>
      </c>
      <c r="N1786" s="2" t="s">
        <v>974</v>
      </c>
    </row>
    <row r="1787" spans="1:15" ht="75" x14ac:dyDescent="0.25">
      <c r="F1787" s="10">
        <v>23</v>
      </c>
      <c r="H1787" s="2" t="s">
        <v>3562</v>
      </c>
      <c r="I1787" s="2" t="s">
        <v>29</v>
      </c>
      <c r="J1787" s="7" t="s">
        <v>33</v>
      </c>
      <c r="K1787" s="7" t="s">
        <v>33</v>
      </c>
      <c r="L1787" s="7" t="s">
        <v>474</v>
      </c>
      <c r="M1787" s="7" t="s">
        <v>1682</v>
      </c>
      <c r="N1787" s="2" t="s">
        <v>974</v>
      </c>
    </row>
    <row r="1788" spans="1:15" ht="75" x14ac:dyDescent="0.25">
      <c r="F1788" s="10">
        <v>24</v>
      </c>
      <c r="H1788" s="2" t="s">
        <v>2002</v>
      </c>
      <c r="I1788" s="2" t="s">
        <v>30</v>
      </c>
      <c r="J1788" s="7" t="s">
        <v>33</v>
      </c>
      <c r="K1788" s="7" t="s">
        <v>33</v>
      </c>
      <c r="L1788" s="7" t="s">
        <v>474</v>
      </c>
      <c r="M1788" s="7" t="s">
        <v>1682</v>
      </c>
      <c r="N1788" s="2" t="s">
        <v>974</v>
      </c>
    </row>
    <row r="1789" spans="1:15" ht="60" x14ac:dyDescent="0.25">
      <c r="F1789" s="10">
        <v>25</v>
      </c>
      <c r="H1789" s="2" t="s">
        <v>2003</v>
      </c>
      <c r="I1789" s="2" t="s">
        <v>30</v>
      </c>
      <c r="J1789" s="7" t="s">
        <v>33</v>
      </c>
      <c r="K1789" s="7" t="s">
        <v>33</v>
      </c>
      <c r="L1789" s="7" t="s">
        <v>474</v>
      </c>
      <c r="M1789" s="7" t="s">
        <v>1682</v>
      </c>
      <c r="N1789" s="2" t="s">
        <v>974</v>
      </c>
    </row>
    <row r="1791" spans="1:15" ht="90" x14ac:dyDescent="0.25">
      <c r="A1791" s="19" t="s">
        <v>1205</v>
      </c>
      <c r="B1791" s="19" t="s">
        <v>1663</v>
      </c>
      <c r="C1791" s="19" t="s">
        <v>39</v>
      </c>
      <c r="D1791" s="19" t="s">
        <v>1182</v>
      </c>
      <c r="E1791" s="10" t="s">
        <v>121</v>
      </c>
      <c r="F1791" s="10">
        <v>1</v>
      </c>
      <c r="H1791" s="2" t="s">
        <v>1567</v>
      </c>
      <c r="I1791" s="2" t="s">
        <v>30</v>
      </c>
      <c r="J1791" s="3">
        <v>40274</v>
      </c>
      <c r="K1791" s="4"/>
      <c r="L1791" s="4" t="s">
        <v>474</v>
      </c>
      <c r="M1791" s="2" t="s">
        <v>1682</v>
      </c>
      <c r="N1791" s="2" t="s">
        <v>974</v>
      </c>
    </row>
    <row r="1792" spans="1:15" ht="45" x14ac:dyDescent="0.25">
      <c r="F1792" s="10">
        <v>3</v>
      </c>
      <c r="H1792" s="2" t="s">
        <v>3563</v>
      </c>
      <c r="I1792" s="2" t="s">
        <v>29</v>
      </c>
      <c r="J1792" s="3">
        <v>40294</v>
      </c>
      <c r="K1792" s="4"/>
      <c r="L1792" s="4"/>
      <c r="M1792" s="2" t="s">
        <v>1682</v>
      </c>
      <c r="N1792" s="2" t="s">
        <v>974</v>
      </c>
    </row>
    <row r="1793" spans="1:17" ht="75" x14ac:dyDescent="0.25">
      <c r="F1793" s="10">
        <v>4</v>
      </c>
      <c r="H1793" s="2" t="s">
        <v>1591</v>
      </c>
      <c r="I1793" s="2" t="s">
        <v>29</v>
      </c>
      <c r="J1793" s="7" t="s">
        <v>33</v>
      </c>
      <c r="K1793" s="7" t="s">
        <v>33</v>
      </c>
      <c r="L1793" s="4"/>
      <c r="M1793" s="2" t="s">
        <v>1682</v>
      </c>
      <c r="N1793" s="2" t="s">
        <v>33</v>
      </c>
      <c r="O1793" s="2" t="s">
        <v>2783</v>
      </c>
    </row>
    <row r="1794" spans="1:17" ht="120" x14ac:dyDescent="0.25">
      <c r="F1794" s="10">
        <v>5</v>
      </c>
      <c r="H1794" s="2" t="s">
        <v>1624</v>
      </c>
      <c r="I1794" s="2" t="s">
        <v>29</v>
      </c>
      <c r="J1794" s="3">
        <v>40276</v>
      </c>
      <c r="K1794" s="7" t="s">
        <v>33</v>
      </c>
      <c r="L1794" s="4"/>
      <c r="M1794" s="2" t="s">
        <v>1682</v>
      </c>
      <c r="N1794" s="2" t="s">
        <v>974</v>
      </c>
    </row>
    <row r="1795" spans="1:17" ht="60" x14ac:dyDescent="0.25">
      <c r="F1795" s="10">
        <v>10</v>
      </c>
      <c r="H1795" s="2" t="s">
        <v>3564</v>
      </c>
      <c r="I1795" s="2" t="s">
        <v>30</v>
      </c>
      <c r="J1795" s="3" t="s">
        <v>33</v>
      </c>
      <c r="K1795" s="7" t="s">
        <v>33</v>
      </c>
      <c r="L1795" s="4"/>
      <c r="M1795" s="2" t="s">
        <v>1887</v>
      </c>
      <c r="N1795" s="2" t="s">
        <v>974</v>
      </c>
    </row>
    <row r="1796" spans="1:17" ht="45" x14ac:dyDescent="0.25">
      <c r="F1796" s="10">
        <v>11</v>
      </c>
      <c r="H1796" s="2" t="s">
        <v>3874</v>
      </c>
      <c r="I1796" s="2" t="s">
        <v>30</v>
      </c>
      <c r="J1796" s="3" t="s">
        <v>33</v>
      </c>
      <c r="K1796" s="7" t="s">
        <v>33</v>
      </c>
      <c r="L1796" s="4"/>
      <c r="M1796" s="2" t="s">
        <v>1889</v>
      </c>
      <c r="N1796" s="2" t="s">
        <v>33</v>
      </c>
      <c r="O1796" s="2" t="s">
        <v>2783</v>
      </c>
    </row>
    <row r="1797" spans="1:17" ht="75" x14ac:dyDescent="0.25">
      <c r="F1797" s="10">
        <v>13</v>
      </c>
      <c r="H1797" s="2" t="s">
        <v>3844</v>
      </c>
      <c r="I1797" s="2" t="s">
        <v>30</v>
      </c>
      <c r="J1797" s="3" t="s">
        <v>33</v>
      </c>
      <c r="K1797" s="7" t="s">
        <v>33</v>
      </c>
      <c r="L1797" s="4"/>
      <c r="M1797" s="2" t="s">
        <v>1889</v>
      </c>
      <c r="N1797" s="2" t="s">
        <v>974</v>
      </c>
    </row>
    <row r="1798" spans="1:17" ht="75" x14ac:dyDescent="0.25">
      <c r="F1798" s="10">
        <v>16</v>
      </c>
      <c r="H1798" s="2" t="s">
        <v>1838</v>
      </c>
      <c r="I1798" s="2" t="s">
        <v>30</v>
      </c>
      <c r="J1798" s="3" t="s">
        <v>33</v>
      </c>
      <c r="K1798" s="7" t="s">
        <v>33</v>
      </c>
      <c r="L1798" s="4"/>
      <c r="M1798" s="2" t="s">
        <v>1888</v>
      </c>
      <c r="N1798" s="2" t="s">
        <v>974</v>
      </c>
    </row>
    <row r="1799" spans="1:17" ht="120" x14ac:dyDescent="0.25">
      <c r="F1799" s="10">
        <v>17</v>
      </c>
      <c r="H1799" s="2" t="s">
        <v>3662</v>
      </c>
      <c r="I1799" s="2" t="s">
        <v>30</v>
      </c>
      <c r="J1799" s="3" t="s">
        <v>33</v>
      </c>
      <c r="K1799" s="7" t="s">
        <v>33</v>
      </c>
      <c r="L1799" s="4"/>
      <c r="M1799" s="2" t="s">
        <v>1889</v>
      </c>
      <c r="N1799" s="2" t="s">
        <v>974</v>
      </c>
    </row>
    <row r="1800" spans="1:17" ht="120" x14ac:dyDescent="0.25">
      <c r="F1800" s="10">
        <v>18</v>
      </c>
      <c r="H1800" s="2" t="s">
        <v>3565</v>
      </c>
      <c r="I1800" s="2" t="s">
        <v>30</v>
      </c>
      <c r="J1800" s="3" t="s">
        <v>33</v>
      </c>
      <c r="K1800" s="7" t="s">
        <v>33</v>
      </c>
      <c r="L1800" s="4"/>
      <c r="M1800" s="2" t="s">
        <v>1889</v>
      </c>
      <c r="N1800" s="2" t="s">
        <v>974</v>
      </c>
    </row>
    <row r="1801" spans="1:17" ht="150" x14ac:dyDescent="0.25">
      <c r="F1801" s="10">
        <v>19</v>
      </c>
      <c r="H1801" s="2" t="s">
        <v>3663</v>
      </c>
      <c r="I1801" s="2" t="s">
        <v>30</v>
      </c>
      <c r="J1801" s="3" t="s">
        <v>33</v>
      </c>
      <c r="K1801" s="7" t="s">
        <v>33</v>
      </c>
      <c r="L1801" s="4"/>
      <c r="M1801" s="2" t="s">
        <v>1889</v>
      </c>
      <c r="N1801" s="2" t="s">
        <v>974</v>
      </c>
    </row>
    <row r="1802" spans="1:17" ht="120" x14ac:dyDescent="0.25">
      <c r="F1802" s="10">
        <v>20</v>
      </c>
      <c r="H1802" s="2" t="s">
        <v>3664</v>
      </c>
      <c r="I1802" s="2" t="s">
        <v>30</v>
      </c>
      <c r="J1802" s="3" t="s">
        <v>33</v>
      </c>
      <c r="K1802" s="7" t="s">
        <v>33</v>
      </c>
      <c r="L1802" s="4"/>
      <c r="M1802" s="2" t="s">
        <v>1889</v>
      </c>
      <c r="N1802" s="2" t="s">
        <v>974</v>
      </c>
    </row>
    <row r="1804" spans="1:17" ht="45" x14ac:dyDescent="0.25">
      <c r="A1804" s="19" t="s">
        <v>1207</v>
      </c>
      <c r="B1804" s="19" t="s">
        <v>1680</v>
      </c>
      <c r="C1804" s="19" t="s">
        <v>39</v>
      </c>
      <c r="D1804" s="19" t="s">
        <v>1681</v>
      </c>
      <c r="E1804" s="10" t="s">
        <v>121</v>
      </c>
      <c r="F1804" s="10">
        <v>1</v>
      </c>
      <c r="G1804" s="2" t="s">
        <v>3566</v>
      </c>
    </row>
    <row r="1805" spans="1:17" ht="45" x14ac:dyDescent="0.25">
      <c r="F1805" s="10">
        <v>2</v>
      </c>
      <c r="H1805" s="2" t="s">
        <v>3972</v>
      </c>
      <c r="I1805" s="2" t="s">
        <v>29</v>
      </c>
      <c r="J1805" s="5">
        <v>40220</v>
      </c>
      <c r="K1805" s="4"/>
      <c r="L1805" s="7" t="s">
        <v>1288</v>
      </c>
      <c r="N1805" s="2" t="s">
        <v>974</v>
      </c>
      <c r="O1805" s="2" t="s">
        <v>1456</v>
      </c>
      <c r="P1805" s="2" t="s">
        <v>980</v>
      </c>
      <c r="Q1805" s="2" t="s">
        <v>540</v>
      </c>
    </row>
    <row r="1806" spans="1:17" ht="30" x14ac:dyDescent="0.25">
      <c r="F1806" s="10">
        <v>3</v>
      </c>
      <c r="G1806" s="2" t="s">
        <v>1684</v>
      </c>
    </row>
    <row r="1807" spans="1:17" ht="45" x14ac:dyDescent="0.25">
      <c r="F1807" s="10">
        <v>4</v>
      </c>
      <c r="H1807" s="2" t="s">
        <v>3973</v>
      </c>
      <c r="I1807" s="2" t="s">
        <v>30</v>
      </c>
      <c r="J1807" s="5">
        <v>40220</v>
      </c>
      <c r="K1807" s="4"/>
      <c r="L1807" s="7" t="s">
        <v>1288</v>
      </c>
      <c r="N1807" s="2" t="s">
        <v>974</v>
      </c>
      <c r="O1807" s="2" t="s">
        <v>1457</v>
      </c>
      <c r="Q1807" s="2" t="s">
        <v>540</v>
      </c>
    </row>
    <row r="1808" spans="1:17" ht="90" x14ac:dyDescent="0.25">
      <c r="F1808" s="10">
        <v>5</v>
      </c>
      <c r="H1808" s="2" t="s">
        <v>1685</v>
      </c>
      <c r="I1808" s="2" t="s">
        <v>30</v>
      </c>
      <c r="J1808" s="5">
        <v>40220</v>
      </c>
      <c r="K1808" s="4"/>
      <c r="L1808" s="7" t="s">
        <v>1288</v>
      </c>
      <c r="N1808" s="2" t="s">
        <v>33</v>
      </c>
    </row>
    <row r="1810" spans="1:18" ht="60" x14ac:dyDescent="0.25">
      <c r="A1810" s="19" t="s">
        <v>1213</v>
      </c>
      <c r="B1810" s="19" t="s">
        <v>3974</v>
      </c>
      <c r="C1810" s="19" t="s">
        <v>1059</v>
      </c>
      <c r="D1810" s="19" t="s">
        <v>3975</v>
      </c>
      <c r="E1810" s="10" t="s">
        <v>121</v>
      </c>
      <c r="F1810" s="10">
        <v>1</v>
      </c>
      <c r="G1810" s="2" t="s">
        <v>3875</v>
      </c>
    </row>
    <row r="1811" spans="1:18" ht="30" x14ac:dyDescent="0.25">
      <c r="H1811" s="2" t="s">
        <v>1990</v>
      </c>
      <c r="I1811" s="2" t="s">
        <v>30</v>
      </c>
      <c r="J1811" s="3">
        <v>40290</v>
      </c>
      <c r="K1811" s="4"/>
      <c r="L1811" s="4" t="s">
        <v>1288</v>
      </c>
      <c r="N1811" s="2" t="s">
        <v>974</v>
      </c>
    </row>
    <row r="1812" spans="1:18" ht="165" x14ac:dyDescent="0.25">
      <c r="H1812" s="2" t="s">
        <v>3714</v>
      </c>
      <c r="I1812" s="2" t="s">
        <v>30</v>
      </c>
      <c r="J1812" s="3">
        <v>40290</v>
      </c>
      <c r="K1812" s="4"/>
      <c r="L1812" s="4" t="s">
        <v>1288</v>
      </c>
      <c r="N1812" s="2" t="s">
        <v>974</v>
      </c>
      <c r="O1812" s="2" t="s">
        <v>2782</v>
      </c>
      <c r="P1812" s="2" t="s">
        <v>977</v>
      </c>
      <c r="Q1812" s="2" t="s">
        <v>540</v>
      </c>
      <c r="R1812" s="2" t="s">
        <v>2157</v>
      </c>
    </row>
    <row r="1814" spans="1:18" ht="60" x14ac:dyDescent="0.25">
      <c r="A1814" s="19" t="s">
        <v>1214</v>
      </c>
      <c r="B1814" s="19" t="s">
        <v>1991</v>
      </c>
      <c r="C1814" s="19" t="s">
        <v>39</v>
      </c>
      <c r="D1814" s="19" t="s">
        <v>1992</v>
      </c>
      <c r="E1814" s="10" t="s">
        <v>121</v>
      </c>
      <c r="F1814" s="10">
        <v>1</v>
      </c>
      <c r="G1814" s="2" t="s">
        <v>1993</v>
      </c>
    </row>
    <row r="1815" spans="1:18" ht="30" x14ac:dyDescent="0.25">
      <c r="F1815" s="10">
        <v>2</v>
      </c>
      <c r="H1815" s="2" t="s">
        <v>2009</v>
      </c>
      <c r="I1815" s="2" t="s">
        <v>29</v>
      </c>
      <c r="J1815" s="3">
        <v>40290</v>
      </c>
      <c r="K1815" s="4"/>
      <c r="L1815" s="4" t="s">
        <v>474</v>
      </c>
      <c r="N1815" s="2" t="s">
        <v>974</v>
      </c>
    </row>
    <row r="1816" spans="1:18" ht="30" x14ac:dyDescent="0.25">
      <c r="F1816" s="10">
        <v>3</v>
      </c>
      <c r="H1816" s="2" t="s">
        <v>1994</v>
      </c>
      <c r="I1816" s="2" t="s">
        <v>29</v>
      </c>
      <c r="J1816" s="3">
        <v>40290</v>
      </c>
      <c r="K1816" s="4"/>
      <c r="L1816" s="4" t="s">
        <v>474</v>
      </c>
      <c r="N1816" s="2" t="s">
        <v>974</v>
      </c>
    </row>
    <row r="1817" spans="1:18" ht="30" x14ac:dyDescent="0.25">
      <c r="F1817" s="10">
        <v>4</v>
      </c>
      <c r="G1817" s="2" t="s">
        <v>1684</v>
      </c>
    </row>
    <row r="1818" spans="1:18" ht="60" x14ac:dyDescent="0.25">
      <c r="F1818" s="10">
        <v>5</v>
      </c>
      <c r="H1818" s="2" t="s">
        <v>1998</v>
      </c>
      <c r="I1818" s="2" t="s">
        <v>29</v>
      </c>
      <c r="J1818" s="3">
        <v>40290</v>
      </c>
      <c r="K1818" s="4"/>
      <c r="L1818" s="4" t="s">
        <v>474</v>
      </c>
      <c r="N1818" s="2" t="s">
        <v>974</v>
      </c>
      <c r="O1818" s="2" t="s">
        <v>2625</v>
      </c>
      <c r="P1818" s="2" t="s">
        <v>977</v>
      </c>
      <c r="Q1818" s="2" t="s">
        <v>540</v>
      </c>
    </row>
    <row r="1819" spans="1:18" ht="30" x14ac:dyDescent="0.25">
      <c r="F1819" s="10">
        <v>6</v>
      </c>
      <c r="H1819" s="2" t="s">
        <v>2626</v>
      </c>
      <c r="I1819" s="2" t="s">
        <v>29</v>
      </c>
      <c r="J1819" s="7" t="s">
        <v>33</v>
      </c>
      <c r="K1819" s="4"/>
      <c r="L1819" s="4" t="s">
        <v>474</v>
      </c>
      <c r="N1819" s="2" t="s">
        <v>974</v>
      </c>
    </row>
    <row r="1820" spans="1:18" ht="30" x14ac:dyDescent="0.25">
      <c r="F1820" s="10">
        <v>7</v>
      </c>
      <c r="G1820" s="2" t="s">
        <v>1995</v>
      </c>
    </row>
    <row r="1821" spans="1:18" ht="30" x14ac:dyDescent="0.25">
      <c r="F1821" s="10">
        <v>8</v>
      </c>
      <c r="H1821" s="2" t="s">
        <v>2033</v>
      </c>
      <c r="I1821" s="2" t="s">
        <v>29</v>
      </c>
      <c r="J1821" s="3">
        <v>40290</v>
      </c>
      <c r="K1821" s="4"/>
      <c r="L1821" s="4" t="s">
        <v>474</v>
      </c>
      <c r="N1821" s="2" t="s">
        <v>974</v>
      </c>
      <c r="O1821" s="2" t="s">
        <v>2627</v>
      </c>
      <c r="P1821" s="2" t="s">
        <v>977</v>
      </c>
      <c r="Q1821" s="2" t="s">
        <v>540</v>
      </c>
    </row>
    <row r="1822" spans="1:18" ht="30" x14ac:dyDescent="0.25">
      <c r="F1822" s="10">
        <v>9</v>
      </c>
      <c r="H1822" s="2" t="s">
        <v>1999</v>
      </c>
      <c r="I1822" s="2" t="s">
        <v>29</v>
      </c>
      <c r="J1822" s="3">
        <v>40290</v>
      </c>
      <c r="K1822" s="4"/>
      <c r="L1822" s="4" t="s">
        <v>474</v>
      </c>
      <c r="N1822" s="2" t="s">
        <v>974</v>
      </c>
    </row>
    <row r="1823" spans="1:18" ht="60" x14ac:dyDescent="0.25">
      <c r="F1823" s="10">
        <v>10</v>
      </c>
      <c r="H1823" s="2" t="s">
        <v>2017</v>
      </c>
      <c r="I1823" s="2" t="s">
        <v>29</v>
      </c>
      <c r="J1823" s="3">
        <v>40290</v>
      </c>
      <c r="K1823" s="4"/>
      <c r="L1823" s="4" t="s">
        <v>474</v>
      </c>
      <c r="N1823" s="2" t="s">
        <v>974</v>
      </c>
    </row>
    <row r="1824" spans="1:18" ht="45" x14ac:dyDescent="0.25">
      <c r="F1824" s="10">
        <v>11</v>
      </c>
      <c r="H1824" s="2" t="s">
        <v>2010</v>
      </c>
      <c r="I1824" s="2" t="s">
        <v>29</v>
      </c>
      <c r="J1824" s="3">
        <v>40290</v>
      </c>
      <c r="K1824" s="4"/>
      <c r="L1824" s="4" t="s">
        <v>474</v>
      </c>
      <c r="N1824" s="2" t="s">
        <v>974</v>
      </c>
    </row>
    <row r="1825" spans="6:18" ht="90" x14ac:dyDescent="0.25">
      <c r="F1825" s="10">
        <v>12</v>
      </c>
      <c r="H1825" s="2" t="s">
        <v>1432</v>
      </c>
      <c r="I1825" s="2" t="s">
        <v>29</v>
      </c>
      <c r="J1825" s="3">
        <v>40297</v>
      </c>
      <c r="K1825" s="4"/>
      <c r="L1825" s="4" t="s">
        <v>474</v>
      </c>
      <c r="N1825" s="2" t="s">
        <v>974</v>
      </c>
    </row>
    <row r="1826" spans="6:18" ht="45" x14ac:dyDescent="0.25">
      <c r="F1826" s="10">
        <v>13</v>
      </c>
      <c r="H1826" s="2" t="s">
        <v>2016</v>
      </c>
      <c r="I1826" s="2" t="s">
        <v>29</v>
      </c>
      <c r="J1826" s="3">
        <v>40290</v>
      </c>
      <c r="K1826" s="4"/>
      <c r="L1826" s="4" t="s">
        <v>474</v>
      </c>
      <c r="N1826" s="2" t="s">
        <v>974</v>
      </c>
    </row>
    <row r="1827" spans="6:18" ht="45" x14ac:dyDescent="0.25">
      <c r="F1827" s="10">
        <v>14</v>
      </c>
      <c r="H1827" s="2" t="s">
        <v>1997</v>
      </c>
      <c r="I1827" s="2" t="s">
        <v>29</v>
      </c>
      <c r="J1827" s="3">
        <v>40290</v>
      </c>
      <c r="K1827" s="4"/>
      <c r="L1827" s="4" t="s">
        <v>474</v>
      </c>
      <c r="N1827" s="2" t="s">
        <v>974</v>
      </c>
    </row>
    <row r="1828" spans="6:18" x14ac:dyDescent="0.25">
      <c r="F1828" s="10">
        <v>15</v>
      </c>
      <c r="G1828" s="2" t="s">
        <v>1017</v>
      </c>
    </row>
    <row r="1829" spans="6:18" x14ac:dyDescent="0.25">
      <c r="F1829" s="10">
        <v>16</v>
      </c>
      <c r="G1829" s="2" t="s">
        <v>1996</v>
      </c>
    </row>
    <row r="1830" spans="6:18" ht="45" x14ac:dyDescent="0.25">
      <c r="F1830" s="10">
        <v>17</v>
      </c>
      <c r="H1830" s="2" t="s">
        <v>2442</v>
      </c>
      <c r="I1830" s="2" t="s">
        <v>29</v>
      </c>
      <c r="J1830" s="3">
        <v>40290</v>
      </c>
      <c r="K1830" s="4"/>
      <c r="L1830" s="4" t="s">
        <v>474</v>
      </c>
      <c r="N1830" s="2" t="s">
        <v>974</v>
      </c>
      <c r="O1830" s="2" t="s">
        <v>2628</v>
      </c>
      <c r="P1830" s="2" t="s">
        <v>982</v>
      </c>
      <c r="Q1830" s="2" t="s">
        <v>540</v>
      </c>
    </row>
    <row r="1831" spans="6:18" ht="135" x14ac:dyDescent="0.25">
      <c r="J1831" s="3"/>
      <c r="K1831" s="2"/>
      <c r="L1831" s="2"/>
      <c r="N1831" s="2" t="s">
        <v>974</v>
      </c>
      <c r="O1831" s="2" t="s">
        <v>2687</v>
      </c>
      <c r="P1831" s="2" t="s">
        <v>980</v>
      </c>
      <c r="Q1831" s="2" t="s">
        <v>540</v>
      </c>
      <c r="R1831" s="2" t="s">
        <v>2169</v>
      </c>
    </row>
    <row r="1832" spans="6:18" ht="30" x14ac:dyDescent="0.25">
      <c r="F1832" s="10">
        <v>18</v>
      </c>
      <c r="H1832" s="2" t="s">
        <v>2443</v>
      </c>
      <c r="I1832" s="2" t="s">
        <v>29</v>
      </c>
      <c r="J1832" s="3">
        <v>40290</v>
      </c>
      <c r="K1832" s="4"/>
      <c r="L1832" s="4" t="s">
        <v>474</v>
      </c>
      <c r="N1832" s="2" t="s">
        <v>974</v>
      </c>
    </row>
    <row r="1833" spans="6:18" ht="30" x14ac:dyDescent="0.25">
      <c r="F1833" s="10">
        <v>19</v>
      </c>
      <c r="H1833" s="2" t="s">
        <v>2444</v>
      </c>
      <c r="I1833" s="2" t="s">
        <v>29</v>
      </c>
      <c r="J1833" s="3">
        <v>40290</v>
      </c>
      <c r="K1833" s="4"/>
      <c r="L1833" s="4" t="s">
        <v>474</v>
      </c>
      <c r="N1833" s="2" t="s">
        <v>974</v>
      </c>
    </row>
    <row r="1834" spans="6:18" ht="30" x14ac:dyDescent="0.25">
      <c r="F1834" s="10">
        <v>20</v>
      </c>
      <c r="H1834" s="2" t="s">
        <v>2018</v>
      </c>
      <c r="I1834" s="2" t="s">
        <v>29</v>
      </c>
      <c r="J1834" s="3">
        <v>40290</v>
      </c>
      <c r="K1834" s="4"/>
      <c r="L1834" s="4" t="s">
        <v>474</v>
      </c>
      <c r="N1834" s="2" t="s">
        <v>974</v>
      </c>
    </row>
    <row r="1835" spans="6:18" ht="30" x14ac:dyDescent="0.25">
      <c r="F1835" s="10">
        <v>21</v>
      </c>
      <c r="H1835" s="2" t="s">
        <v>2019</v>
      </c>
      <c r="I1835" s="2" t="s">
        <v>29</v>
      </c>
      <c r="J1835" s="3">
        <v>40290</v>
      </c>
      <c r="K1835" s="4"/>
      <c r="L1835" s="4" t="s">
        <v>474</v>
      </c>
      <c r="N1835" s="2" t="s">
        <v>974</v>
      </c>
    </row>
    <row r="1836" spans="6:18" ht="60" x14ac:dyDescent="0.25">
      <c r="F1836" s="10">
        <v>22</v>
      </c>
      <c r="H1836" s="2" t="s">
        <v>1433</v>
      </c>
      <c r="I1836" s="2" t="s">
        <v>29</v>
      </c>
      <c r="J1836" s="3">
        <v>40290</v>
      </c>
      <c r="K1836" s="4"/>
      <c r="L1836" s="4" t="s">
        <v>474</v>
      </c>
      <c r="N1836" s="2" t="s">
        <v>974</v>
      </c>
    </row>
    <row r="1837" spans="6:18" x14ac:dyDescent="0.25">
      <c r="F1837" s="10">
        <v>23</v>
      </c>
      <c r="H1837" s="2" t="s">
        <v>1434</v>
      </c>
      <c r="I1837" s="2" t="s">
        <v>29</v>
      </c>
      <c r="J1837" s="3">
        <v>40353</v>
      </c>
      <c r="K1837" s="4"/>
      <c r="L1837" s="4" t="s">
        <v>474</v>
      </c>
      <c r="N1837" s="2" t="s">
        <v>974</v>
      </c>
    </row>
    <row r="1838" spans="6:18" ht="30" x14ac:dyDescent="0.25">
      <c r="F1838" s="10">
        <v>24</v>
      </c>
      <c r="H1838" s="2" t="s">
        <v>2020</v>
      </c>
      <c r="K1838" s="2"/>
      <c r="L1838" s="2"/>
    </row>
    <row r="1839" spans="6:18" ht="75" x14ac:dyDescent="0.25">
      <c r="F1839" s="10">
        <v>25</v>
      </c>
      <c r="H1839" s="6" t="s">
        <v>2445</v>
      </c>
      <c r="I1839" s="2" t="s">
        <v>29</v>
      </c>
      <c r="J1839" s="3">
        <v>40290</v>
      </c>
      <c r="K1839" s="4"/>
      <c r="L1839" s="4" t="s">
        <v>474</v>
      </c>
      <c r="N1839" s="2" t="s">
        <v>974</v>
      </c>
    </row>
    <row r="1840" spans="6:18" ht="30" x14ac:dyDescent="0.25">
      <c r="F1840" s="10">
        <v>26</v>
      </c>
      <c r="H1840" s="6" t="s">
        <v>2021</v>
      </c>
      <c r="I1840" s="2" t="s">
        <v>29</v>
      </c>
      <c r="J1840" s="3">
        <v>40290</v>
      </c>
      <c r="K1840" s="4"/>
      <c r="L1840" s="4" t="s">
        <v>474</v>
      </c>
      <c r="N1840" s="2" t="s">
        <v>974</v>
      </c>
    </row>
    <row r="1841" spans="1:14" ht="45" x14ac:dyDescent="0.25">
      <c r="F1841" s="10">
        <v>27</v>
      </c>
      <c r="H1841" s="2" t="s">
        <v>3665</v>
      </c>
      <c r="I1841" s="2" t="s">
        <v>33</v>
      </c>
      <c r="J1841" s="3">
        <v>40294</v>
      </c>
      <c r="K1841" s="4"/>
      <c r="L1841" s="4" t="s">
        <v>474</v>
      </c>
      <c r="N1841" s="2" t="s">
        <v>974</v>
      </c>
    </row>
    <row r="1842" spans="1:14" x14ac:dyDescent="0.25">
      <c r="F1842" s="10">
        <v>28</v>
      </c>
      <c r="H1842" s="6" t="s">
        <v>2022</v>
      </c>
      <c r="I1842" s="2" t="s">
        <v>29</v>
      </c>
      <c r="J1842" s="3">
        <v>40290</v>
      </c>
      <c r="K1842" s="4"/>
      <c r="L1842" s="4" t="s">
        <v>474</v>
      </c>
    </row>
    <row r="1843" spans="1:14" ht="60" x14ac:dyDescent="0.25">
      <c r="F1843" s="10">
        <v>29</v>
      </c>
      <c r="H1843" s="6" t="s">
        <v>2023</v>
      </c>
      <c r="I1843" s="2" t="s">
        <v>29</v>
      </c>
      <c r="J1843" s="3">
        <v>40290</v>
      </c>
      <c r="K1843" s="4"/>
      <c r="L1843" s="4" t="s">
        <v>474</v>
      </c>
      <c r="N1843" s="2" t="s">
        <v>974</v>
      </c>
    </row>
    <row r="1844" spans="1:14" ht="45" x14ac:dyDescent="0.25">
      <c r="F1844" s="10">
        <v>30</v>
      </c>
      <c r="H1844" s="6" t="s">
        <v>2025</v>
      </c>
      <c r="I1844" s="2" t="s">
        <v>29</v>
      </c>
      <c r="J1844" s="3">
        <v>40290</v>
      </c>
      <c r="K1844" s="4"/>
      <c r="L1844" s="4" t="s">
        <v>474</v>
      </c>
      <c r="N1844" s="2" t="s">
        <v>974</v>
      </c>
    </row>
    <row r="1845" spans="1:14" ht="60" x14ac:dyDescent="0.25">
      <c r="F1845" s="10">
        <v>31</v>
      </c>
      <c r="H1845" s="2" t="s">
        <v>2024</v>
      </c>
      <c r="I1845" s="2" t="s">
        <v>29</v>
      </c>
      <c r="J1845" s="3">
        <v>40290</v>
      </c>
      <c r="K1845" s="4"/>
      <c r="L1845" s="4" t="s">
        <v>474</v>
      </c>
      <c r="N1845" s="2" t="s">
        <v>974</v>
      </c>
    </row>
    <row r="1846" spans="1:14" ht="45" x14ac:dyDescent="0.25">
      <c r="F1846" s="10">
        <v>32</v>
      </c>
      <c r="H1846" s="2" t="s">
        <v>2026</v>
      </c>
      <c r="I1846" s="2" t="s">
        <v>29</v>
      </c>
      <c r="J1846" s="3">
        <v>40290</v>
      </c>
      <c r="K1846" s="4"/>
      <c r="L1846" s="4" t="s">
        <v>474</v>
      </c>
      <c r="N1846" s="2" t="s">
        <v>974</v>
      </c>
    </row>
    <row r="1847" spans="1:14" ht="30" x14ac:dyDescent="0.25">
      <c r="F1847" s="10">
        <v>34</v>
      </c>
      <c r="H1847" s="2" t="s">
        <v>2447</v>
      </c>
      <c r="I1847" s="2" t="s">
        <v>29</v>
      </c>
      <c r="J1847" s="3">
        <v>40290</v>
      </c>
      <c r="K1847" s="4"/>
      <c r="L1847" s="4" t="s">
        <v>474</v>
      </c>
      <c r="N1847" s="2" t="s">
        <v>974</v>
      </c>
    </row>
    <row r="1848" spans="1:14" ht="30" x14ac:dyDescent="0.25">
      <c r="F1848" s="10">
        <v>35</v>
      </c>
      <c r="H1848" s="2" t="s">
        <v>1745</v>
      </c>
      <c r="I1848" s="2" t="s">
        <v>29</v>
      </c>
      <c r="J1848" s="3">
        <v>40353</v>
      </c>
      <c r="K1848" s="4"/>
      <c r="L1848" s="4" t="s">
        <v>474</v>
      </c>
      <c r="N1848" s="2" t="s">
        <v>974</v>
      </c>
    </row>
    <row r="1849" spans="1:14" ht="30" x14ac:dyDescent="0.25">
      <c r="F1849" s="10">
        <v>36</v>
      </c>
      <c r="H1849" s="2" t="s">
        <v>1744</v>
      </c>
      <c r="I1849" s="2" t="s">
        <v>29</v>
      </c>
      <c r="J1849" s="3">
        <v>40353</v>
      </c>
      <c r="K1849" s="4"/>
      <c r="L1849" s="4" t="s">
        <v>474</v>
      </c>
      <c r="N1849" s="2" t="s">
        <v>974</v>
      </c>
    </row>
    <row r="1850" spans="1:14" x14ac:dyDescent="0.25">
      <c r="G1850" s="10"/>
      <c r="K1850" s="2"/>
      <c r="L1850" s="2"/>
    </row>
    <row r="1851" spans="1:14" ht="60" x14ac:dyDescent="0.25">
      <c r="A1851" s="19" t="s">
        <v>1215</v>
      </c>
      <c r="B1851" s="19" t="s">
        <v>2030</v>
      </c>
      <c r="C1851" s="19" t="s">
        <v>39</v>
      </c>
      <c r="D1851" s="19" t="s">
        <v>1992</v>
      </c>
      <c r="E1851" s="10" t="s">
        <v>121</v>
      </c>
      <c r="F1851" s="10">
        <v>1</v>
      </c>
      <c r="G1851" s="2" t="s">
        <v>1993</v>
      </c>
      <c r="K1851" s="2"/>
      <c r="L1851" s="2"/>
    </row>
    <row r="1852" spans="1:14" ht="30" x14ac:dyDescent="0.25">
      <c r="F1852" s="10">
        <v>2</v>
      </c>
      <c r="G1852" s="10"/>
      <c r="H1852" s="2" t="s">
        <v>2031</v>
      </c>
      <c r="I1852" s="2" t="s">
        <v>29</v>
      </c>
      <c r="J1852" s="3">
        <v>40290</v>
      </c>
      <c r="K1852" s="4"/>
      <c r="L1852" s="4" t="s">
        <v>474</v>
      </c>
      <c r="N1852" s="2" t="s">
        <v>974</v>
      </c>
    </row>
    <row r="1853" spans="1:14" ht="30" x14ac:dyDescent="0.25">
      <c r="F1853" s="10">
        <v>3</v>
      </c>
      <c r="G1853" s="2" t="s">
        <v>2032</v>
      </c>
      <c r="K1853" s="2"/>
      <c r="L1853" s="2"/>
    </row>
    <row r="1854" spans="1:14" ht="30" x14ac:dyDescent="0.25">
      <c r="F1854" s="10">
        <v>4</v>
      </c>
      <c r="G1854" s="10"/>
      <c r="H1854" s="2" t="s">
        <v>2033</v>
      </c>
      <c r="I1854" s="2" t="s">
        <v>29</v>
      </c>
      <c r="J1854" s="3">
        <v>40290</v>
      </c>
      <c r="K1854" s="4"/>
      <c r="L1854" s="4" t="s">
        <v>474</v>
      </c>
      <c r="N1854" s="2" t="s">
        <v>974</v>
      </c>
    </row>
    <row r="1855" spans="1:14" x14ac:dyDescent="0.25">
      <c r="F1855" s="10">
        <v>5</v>
      </c>
      <c r="G1855" s="10"/>
      <c r="H1855" s="2" t="s">
        <v>2074</v>
      </c>
      <c r="I1855" s="2" t="s">
        <v>29</v>
      </c>
      <c r="J1855" s="3">
        <v>40290</v>
      </c>
      <c r="K1855" s="4"/>
      <c r="L1855" s="4" t="s">
        <v>474</v>
      </c>
      <c r="N1855" s="2" t="s">
        <v>974</v>
      </c>
    </row>
    <row r="1856" spans="1:14" ht="45" x14ac:dyDescent="0.25">
      <c r="F1856" s="10">
        <v>6</v>
      </c>
      <c r="G1856" s="10"/>
      <c r="H1856" s="6" t="s">
        <v>2073</v>
      </c>
      <c r="J1856" s="3">
        <v>40290</v>
      </c>
      <c r="K1856" s="4"/>
      <c r="L1856" s="4" t="s">
        <v>474</v>
      </c>
      <c r="N1856" s="2" t="s">
        <v>974</v>
      </c>
    </row>
    <row r="1857" spans="5:14" ht="90" x14ac:dyDescent="0.25">
      <c r="F1857" s="10">
        <v>7</v>
      </c>
      <c r="G1857" s="10"/>
      <c r="H1857" s="6" t="s">
        <v>2688</v>
      </c>
      <c r="I1857" s="2" t="s">
        <v>29</v>
      </c>
      <c r="J1857" s="3">
        <v>40290</v>
      </c>
      <c r="K1857" s="4"/>
      <c r="L1857" s="4" t="s">
        <v>474</v>
      </c>
      <c r="N1857" s="2" t="s">
        <v>974</v>
      </c>
    </row>
    <row r="1858" spans="5:14" ht="30" x14ac:dyDescent="0.25">
      <c r="E1858" s="10" t="s">
        <v>123</v>
      </c>
      <c r="F1858" s="10">
        <v>1</v>
      </c>
      <c r="G1858" s="10" t="s">
        <v>2034</v>
      </c>
      <c r="K1858" s="2"/>
      <c r="L1858" s="2"/>
    </row>
    <row r="1859" spans="5:14" ht="45" x14ac:dyDescent="0.25">
      <c r="F1859" s="10">
        <v>2</v>
      </c>
      <c r="G1859" s="10"/>
      <c r="H1859" s="2" t="s">
        <v>2035</v>
      </c>
      <c r="I1859" s="2" t="s">
        <v>29</v>
      </c>
      <c r="J1859" s="3">
        <v>40294</v>
      </c>
      <c r="K1859" s="4"/>
      <c r="L1859" s="4" t="s">
        <v>474</v>
      </c>
      <c r="N1859" s="2" t="s">
        <v>974</v>
      </c>
    </row>
    <row r="1860" spans="5:14" ht="30" x14ac:dyDescent="0.25">
      <c r="F1860" s="10">
        <v>3</v>
      </c>
      <c r="G1860" s="10" t="s">
        <v>2036</v>
      </c>
      <c r="K1860" s="2"/>
      <c r="L1860" s="2"/>
    </row>
    <row r="1861" spans="5:14" ht="30" x14ac:dyDescent="0.25">
      <c r="F1861" s="10">
        <v>4</v>
      </c>
      <c r="G1861" s="10"/>
      <c r="H1861" s="2" t="s">
        <v>2033</v>
      </c>
      <c r="I1861" s="2" t="s">
        <v>29</v>
      </c>
      <c r="J1861" s="3">
        <v>40294</v>
      </c>
      <c r="K1861" s="4"/>
      <c r="L1861" s="4" t="s">
        <v>474</v>
      </c>
      <c r="N1861" s="2" t="s">
        <v>974</v>
      </c>
    </row>
    <row r="1862" spans="5:14" ht="60" x14ac:dyDescent="0.25">
      <c r="F1862" s="10">
        <v>5</v>
      </c>
      <c r="G1862" s="10"/>
      <c r="H1862" s="2" t="s">
        <v>2037</v>
      </c>
      <c r="I1862" s="2" t="s">
        <v>29</v>
      </c>
      <c r="J1862" s="3">
        <v>40294</v>
      </c>
      <c r="K1862" s="4"/>
      <c r="L1862" s="4" t="s">
        <v>474</v>
      </c>
      <c r="N1862" s="2" t="s">
        <v>974</v>
      </c>
    </row>
    <row r="1863" spans="5:14" ht="30" x14ac:dyDescent="0.25">
      <c r="E1863" s="10" t="s">
        <v>126</v>
      </c>
      <c r="F1863" s="10">
        <v>1</v>
      </c>
      <c r="G1863" s="10" t="s">
        <v>3876</v>
      </c>
      <c r="K1863" s="2"/>
      <c r="L1863" s="2"/>
    </row>
    <row r="1864" spans="5:14" ht="45" x14ac:dyDescent="0.25">
      <c r="F1864" s="10">
        <v>2</v>
      </c>
      <c r="G1864" s="10"/>
      <c r="H1864" s="2" t="s">
        <v>2107</v>
      </c>
      <c r="I1864" s="2" t="s">
        <v>30</v>
      </c>
      <c r="J1864" s="3">
        <v>40290</v>
      </c>
      <c r="K1864" s="4"/>
      <c r="L1864" s="4" t="s">
        <v>474</v>
      </c>
      <c r="N1864" s="2" t="s">
        <v>974</v>
      </c>
    </row>
    <row r="1865" spans="5:14" ht="30" x14ac:dyDescent="0.25">
      <c r="F1865" s="10">
        <v>3</v>
      </c>
      <c r="G1865" s="2" t="s">
        <v>1684</v>
      </c>
      <c r="K1865" s="2"/>
      <c r="L1865" s="2"/>
    </row>
    <row r="1866" spans="5:14" x14ac:dyDescent="0.25">
      <c r="F1866" s="10">
        <v>4</v>
      </c>
      <c r="G1866" s="10"/>
      <c r="H1866" s="2" t="s">
        <v>2074</v>
      </c>
      <c r="K1866" s="2"/>
      <c r="L1866" s="2"/>
    </row>
    <row r="1867" spans="5:14" ht="30" x14ac:dyDescent="0.25">
      <c r="G1867" s="10"/>
      <c r="H1867" s="6" t="s">
        <v>2128</v>
      </c>
      <c r="I1867" s="2" t="s">
        <v>30</v>
      </c>
      <c r="J1867" s="3">
        <v>40290</v>
      </c>
      <c r="K1867" s="4"/>
      <c r="L1867" s="4" t="s">
        <v>474</v>
      </c>
      <c r="N1867" s="2" t="s">
        <v>974</v>
      </c>
    </row>
    <row r="1868" spans="5:14" ht="30" x14ac:dyDescent="0.25">
      <c r="E1868" s="10" t="s">
        <v>127</v>
      </c>
      <c r="F1868" s="10">
        <v>1</v>
      </c>
      <c r="G1868" s="10" t="s">
        <v>3723</v>
      </c>
      <c r="K1868" s="2"/>
      <c r="L1868" s="2"/>
    </row>
    <row r="1869" spans="5:14" ht="45" x14ac:dyDescent="0.25">
      <c r="F1869" s="10">
        <v>2</v>
      </c>
      <c r="G1869" s="10"/>
      <c r="H1869" s="2" t="s">
        <v>2107</v>
      </c>
      <c r="I1869" s="2" t="s">
        <v>30</v>
      </c>
      <c r="J1869" s="3">
        <v>40290</v>
      </c>
      <c r="K1869" s="4"/>
      <c r="L1869" s="4" t="s">
        <v>474</v>
      </c>
      <c r="N1869" s="2" t="s">
        <v>974</v>
      </c>
    </row>
    <row r="1870" spans="5:14" ht="30" x14ac:dyDescent="0.25">
      <c r="F1870" s="10">
        <v>3</v>
      </c>
      <c r="G1870" s="2" t="s">
        <v>1684</v>
      </c>
      <c r="K1870" s="2"/>
      <c r="L1870" s="2"/>
    </row>
    <row r="1871" spans="5:14" ht="75" x14ac:dyDescent="0.25">
      <c r="F1871" s="10">
        <v>4</v>
      </c>
      <c r="G1871" s="10"/>
      <c r="H1871" s="2" t="s">
        <v>3724</v>
      </c>
      <c r="I1871" s="2" t="s">
        <v>30</v>
      </c>
      <c r="J1871" s="3">
        <v>40290</v>
      </c>
      <c r="K1871" s="4"/>
      <c r="L1871" s="4" t="s">
        <v>474</v>
      </c>
      <c r="N1871" s="2" t="s">
        <v>974</v>
      </c>
    </row>
    <row r="1872" spans="5:14" ht="30" x14ac:dyDescent="0.25">
      <c r="E1872" s="10" t="s">
        <v>469</v>
      </c>
      <c r="F1872" s="10">
        <v>1</v>
      </c>
      <c r="G1872" s="10" t="s">
        <v>3729</v>
      </c>
      <c r="K1872" s="2"/>
      <c r="L1872" s="2"/>
    </row>
    <row r="1873" spans="1:14" ht="45" x14ac:dyDescent="0.25">
      <c r="F1873" s="10">
        <v>2</v>
      </c>
      <c r="G1873" s="10"/>
      <c r="H1873" s="2" t="s">
        <v>2107</v>
      </c>
      <c r="I1873" s="2" t="s">
        <v>30</v>
      </c>
      <c r="J1873" s="3">
        <v>40290</v>
      </c>
      <c r="K1873" s="4"/>
      <c r="L1873" s="4" t="s">
        <v>474</v>
      </c>
      <c r="N1873" s="2" t="s">
        <v>974</v>
      </c>
    </row>
    <row r="1874" spans="1:14" ht="30" x14ac:dyDescent="0.25">
      <c r="F1874" s="10">
        <v>3</v>
      </c>
      <c r="G1874" s="2" t="s">
        <v>1684</v>
      </c>
      <c r="K1874" s="2"/>
      <c r="L1874" s="2"/>
    </row>
    <row r="1875" spans="1:14" ht="75" x14ac:dyDescent="0.25">
      <c r="F1875" s="10">
        <v>4</v>
      </c>
      <c r="G1875" s="10"/>
      <c r="H1875" s="2" t="s">
        <v>3760</v>
      </c>
      <c r="I1875" s="2" t="s">
        <v>30</v>
      </c>
      <c r="J1875" s="3">
        <v>40290</v>
      </c>
      <c r="K1875" s="4"/>
      <c r="L1875" s="4" t="s">
        <v>474</v>
      </c>
      <c r="N1875" s="2" t="s">
        <v>974</v>
      </c>
    </row>
    <row r="1877" spans="1:14" ht="60" x14ac:dyDescent="0.25">
      <c r="A1877" s="19" t="s">
        <v>1216</v>
      </c>
      <c r="B1877" s="19" t="s">
        <v>2012</v>
      </c>
      <c r="C1877" s="19" t="s">
        <v>39</v>
      </c>
      <c r="D1877" s="19" t="s">
        <v>2014</v>
      </c>
      <c r="E1877" s="10" t="s">
        <v>121</v>
      </c>
      <c r="F1877" s="10">
        <v>1</v>
      </c>
      <c r="G1877" s="2" t="s">
        <v>2061</v>
      </c>
    </row>
    <row r="1878" spans="1:14" ht="30" x14ac:dyDescent="0.25">
      <c r="A1878" s="19"/>
      <c r="B1878" s="19"/>
      <c r="C1878" s="19"/>
      <c r="D1878" s="19"/>
      <c r="F1878" s="10">
        <v>2</v>
      </c>
      <c r="H1878" s="2" t="s">
        <v>2062</v>
      </c>
      <c r="I1878" s="2" t="s">
        <v>29</v>
      </c>
      <c r="J1878" s="3">
        <v>40290</v>
      </c>
      <c r="K1878" s="4"/>
      <c r="L1878" s="4" t="s">
        <v>474</v>
      </c>
      <c r="N1878" s="2" t="s">
        <v>974</v>
      </c>
    </row>
    <row r="1879" spans="1:14" ht="45" x14ac:dyDescent="0.25">
      <c r="A1879" s="19"/>
      <c r="B1879" s="19"/>
      <c r="C1879" s="19"/>
      <c r="D1879" s="19"/>
      <c r="F1879" s="10">
        <v>3</v>
      </c>
      <c r="G1879" s="2" t="s">
        <v>2063</v>
      </c>
    </row>
    <row r="1880" spans="1:14" x14ac:dyDescent="0.25">
      <c r="A1880" s="19"/>
      <c r="B1880" s="19"/>
      <c r="C1880" s="19"/>
      <c r="D1880" s="19"/>
      <c r="F1880" s="10">
        <v>4</v>
      </c>
      <c r="G1880" s="2" t="s">
        <v>1996</v>
      </c>
    </row>
    <row r="1881" spans="1:14" ht="45" x14ac:dyDescent="0.25">
      <c r="A1881" s="19"/>
      <c r="B1881" s="19"/>
      <c r="C1881" s="19"/>
      <c r="D1881" s="19"/>
      <c r="F1881" s="10">
        <v>5</v>
      </c>
      <c r="H1881" s="2" t="s">
        <v>2076</v>
      </c>
    </row>
    <row r="1882" spans="1:14" ht="45" x14ac:dyDescent="0.25">
      <c r="A1882" s="19"/>
      <c r="B1882" s="19"/>
      <c r="C1882" s="19"/>
      <c r="D1882" s="19"/>
      <c r="F1882" s="10">
        <v>6</v>
      </c>
      <c r="H1882" s="6" t="s">
        <v>2065</v>
      </c>
      <c r="I1882" s="2" t="s">
        <v>29</v>
      </c>
      <c r="J1882" s="3">
        <v>40290</v>
      </c>
      <c r="K1882" s="4"/>
      <c r="L1882" s="4" t="s">
        <v>474</v>
      </c>
      <c r="N1882" s="2" t="s">
        <v>974</v>
      </c>
    </row>
    <row r="1883" spans="1:14" ht="30" x14ac:dyDescent="0.25">
      <c r="A1883" s="19"/>
      <c r="B1883" s="19"/>
      <c r="C1883" s="19"/>
      <c r="D1883" s="19"/>
      <c r="F1883" s="10">
        <v>7</v>
      </c>
      <c r="H1883" s="6" t="s">
        <v>2064</v>
      </c>
      <c r="I1883" s="2" t="s">
        <v>29</v>
      </c>
      <c r="J1883" s="3">
        <v>40290</v>
      </c>
      <c r="K1883" s="4"/>
      <c r="L1883" s="4" t="s">
        <v>474</v>
      </c>
      <c r="N1883" s="2" t="s">
        <v>974</v>
      </c>
    </row>
    <row r="1884" spans="1:14" ht="45" x14ac:dyDescent="0.25">
      <c r="A1884" s="19"/>
      <c r="B1884" s="19"/>
      <c r="C1884" s="19"/>
      <c r="D1884" s="19"/>
      <c r="F1884" s="10">
        <v>8</v>
      </c>
      <c r="H1884" s="6" t="s">
        <v>2066</v>
      </c>
      <c r="I1884" s="2" t="s">
        <v>29</v>
      </c>
      <c r="J1884" s="3">
        <v>40290</v>
      </c>
      <c r="K1884" s="4"/>
      <c r="L1884" s="4" t="s">
        <v>474</v>
      </c>
      <c r="N1884" s="2" t="s">
        <v>974</v>
      </c>
    </row>
    <row r="1885" spans="1:14" ht="30" x14ac:dyDescent="0.25">
      <c r="A1885" s="19"/>
      <c r="B1885" s="19"/>
      <c r="C1885" s="19"/>
      <c r="D1885" s="19"/>
      <c r="F1885" s="10">
        <v>9</v>
      </c>
      <c r="H1885" s="6" t="s">
        <v>2067</v>
      </c>
      <c r="I1885" s="2" t="s">
        <v>29</v>
      </c>
      <c r="J1885" s="3">
        <v>40290</v>
      </c>
      <c r="K1885" s="4"/>
      <c r="L1885" s="4" t="s">
        <v>474</v>
      </c>
      <c r="N1885" s="2" t="s">
        <v>974</v>
      </c>
    </row>
    <row r="1886" spans="1:14" x14ac:dyDescent="0.25">
      <c r="A1886" s="19"/>
      <c r="B1886" s="19"/>
      <c r="C1886" s="19"/>
      <c r="D1886" s="19"/>
      <c r="F1886" s="10">
        <v>10</v>
      </c>
      <c r="H1886" s="6" t="s">
        <v>2068</v>
      </c>
      <c r="I1886" s="2" t="s">
        <v>29</v>
      </c>
      <c r="J1886" s="3">
        <v>40290</v>
      </c>
      <c r="K1886" s="4"/>
      <c r="L1886" s="4" t="s">
        <v>474</v>
      </c>
      <c r="N1886" s="2" t="s">
        <v>974</v>
      </c>
    </row>
    <row r="1887" spans="1:14" x14ac:dyDescent="0.25">
      <c r="A1887" s="19"/>
      <c r="B1887" s="19"/>
      <c r="C1887" s="19"/>
      <c r="D1887" s="19"/>
    </row>
    <row r="1888" spans="1:14" ht="75" x14ac:dyDescent="0.25">
      <c r="A1888" s="19" t="s">
        <v>1217</v>
      </c>
      <c r="B1888" s="19" t="s">
        <v>2119</v>
      </c>
      <c r="C1888" s="19" t="s">
        <v>460</v>
      </c>
      <c r="D1888" s="19" t="s">
        <v>2015</v>
      </c>
      <c r="E1888" s="10" t="s">
        <v>121</v>
      </c>
      <c r="F1888" s="10">
        <v>1</v>
      </c>
      <c r="G1888" s="2" t="s">
        <v>2061</v>
      </c>
    </row>
    <row r="1889" spans="1:18" ht="150" x14ac:dyDescent="0.25">
      <c r="A1889" s="19"/>
      <c r="B1889" s="19"/>
      <c r="C1889" s="19"/>
      <c r="D1889" s="19"/>
      <c r="F1889" s="10">
        <v>2</v>
      </c>
      <c r="H1889" s="2" t="s">
        <v>2069</v>
      </c>
      <c r="I1889" s="2" t="s">
        <v>29</v>
      </c>
      <c r="J1889" s="3">
        <v>40290</v>
      </c>
      <c r="K1889" s="4"/>
      <c r="L1889" s="4" t="s">
        <v>474</v>
      </c>
      <c r="M1889" s="2" t="s">
        <v>3725</v>
      </c>
      <c r="N1889" s="2" t="s">
        <v>974</v>
      </c>
    </row>
    <row r="1890" spans="1:18" ht="60" x14ac:dyDescent="0.25">
      <c r="A1890" s="19"/>
      <c r="B1890" s="19"/>
      <c r="C1890" s="19"/>
      <c r="D1890" s="19"/>
      <c r="F1890" s="10">
        <v>3</v>
      </c>
      <c r="H1890" s="2" t="s">
        <v>2070</v>
      </c>
      <c r="I1890" s="2" t="s">
        <v>29</v>
      </c>
      <c r="J1890" s="3">
        <v>40290</v>
      </c>
      <c r="K1890" s="4"/>
      <c r="L1890" s="4" t="s">
        <v>474</v>
      </c>
      <c r="M1890" s="2" t="s">
        <v>3836</v>
      </c>
      <c r="N1890" s="2" t="s">
        <v>974</v>
      </c>
      <c r="O1890" s="2" t="s">
        <v>3730</v>
      </c>
      <c r="P1890" s="2" t="s">
        <v>980</v>
      </c>
      <c r="Q1890" s="2" t="s">
        <v>540</v>
      </c>
    </row>
    <row r="1891" spans="1:18" ht="150" x14ac:dyDescent="0.25">
      <c r="A1891" s="19"/>
      <c r="B1891" s="19"/>
      <c r="C1891" s="19"/>
      <c r="D1891" s="19"/>
      <c r="F1891" s="10">
        <v>4</v>
      </c>
      <c r="H1891" s="2" t="s">
        <v>2071</v>
      </c>
      <c r="I1891" s="2" t="s">
        <v>29</v>
      </c>
      <c r="J1891" s="3">
        <v>40290</v>
      </c>
      <c r="K1891" s="4"/>
      <c r="L1891" s="4" t="s">
        <v>474</v>
      </c>
      <c r="M1891" s="2" t="s">
        <v>2634</v>
      </c>
      <c r="N1891" s="2" t="s">
        <v>974</v>
      </c>
      <c r="O1891" s="2" t="s">
        <v>3730</v>
      </c>
      <c r="P1891" s="2" t="s">
        <v>980</v>
      </c>
      <c r="Q1891" s="2" t="s">
        <v>986</v>
      </c>
      <c r="R1891" s="2" t="s">
        <v>3731</v>
      </c>
    </row>
    <row r="1892" spans="1:18" x14ac:dyDescent="0.25">
      <c r="A1892" s="19"/>
      <c r="B1892" s="19"/>
      <c r="C1892" s="19"/>
      <c r="D1892" s="19"/>
      <c r="F1892" s="10">
        <v>5</v>
      </c>
      <c r="G1892" s="2" t="s">
        <v>1017</v>
      </c>
    </row>
    <row r="1893" spans="1:18" x14ac:dyDescent="0.25">
      <c r="A1893" s="19"/>
      <c r="B1893" s="19"/>
      <c r="C1893" s="19"/>
      <c r="D1893" s="19"/>
      <c r="F1893" s="10">
        <v>6</v>
      </c>
      <c r="G1893" s="2" t="s">
        <v>1996</v>
      </c>
    </row>
    <row r="1894" spans="1:18" ht="30" x14ac:dyDescent="0.25">
      <c r="A1894" s="19"/>
      <c r="B1894" s="19"/>
      <c r="C1894" s="19"/>
      <c r="D1894" s="19"/>
      <c r="F1894" s="10">
        <v>7</v>
      </c>
      <c r="H1894" s="2" t="s">
        <v>2075</v>
      </c>
    </row>
    <row r="1895" spans="1:18" ht="120" x14ac:dyDescent="0.25">
      <c r="A1895" s="19"/>
      <c r="B1895" s="19"/>
      <c r="C1895" s="19"/>
      <c r="D1895" s="19"/>
      <c r="F1895" s="10">
        <v>8</v>
      </c>
      <c r="H1895" s="6" t="s">
        <v>2077</v>
      </c>
      <c r="I1895" s="2" t="s">
        <v>29</v>
      </c>
      <c r="J1895" s="3">
        <v>40290</v>
      </c>
      <c r="K1895" s="4"/>
      <c r="L1895" s="4" t="s">
        <v>474</v>
      </c>
      <c r="N1895" s="2" t="s">
        <v>974</v>
      </c>
    </row>
    <row r="1896" spans="1:18" ht="75" x14ac:dyDescent="0.25">
      <c r="A1896" s="19"/>
      <c r="B1896" s="19"/>
      <c r="C1896" s="19"/>
      <c r="D1896" s="19"/>
      <c r="F1896" s="10">
        <v>9</v>
      </c>
      <c r="H1896" s="6" t="s">
        <v>2078</v>
      </c>
      <c r="I1896" s="2" t="s">
        <v>33</v>
      </c>
      <c r="J1896" s="3">
        <v>40290</v>
      </c>
      <c r="K1896" s="4"/>
      <c r="L1896" s="4" t="s">
        <v>474</v>
      </c>
      <c r="N1896" s="2" t="s">
        <v>974</v>
      </c>
    </row>
    <row r="1897" spans="1:18" ht="195" x14ac:dyDescent="0.25">
      <c r="A1897" s="19"/>
      <c r="B1897" s="19"/>
      <c r="C1897" s="19"/>
      <c r="D1897" s="19"/>
      <c r="F1897" s="10">
        <v>10</v>
      </c>
      <c r="H1897" s="2" t="s">
        <v>2072</v>
      </c>
      <c r="I1897" s="2" t="s">
        <v>29</v>
      </c>
      <c r="J1897" s="3">
        <v>40290</v>
      </c>
      <c r="K1897" s="4"/>
      <c r="L1897" s="4" t="s">
        <v>474</v>
      </c>
      <c r="M1897" s="2" t="s">
        <v>3666</v>
      </c>
      <c r="N1897" s="2" t="s">
        <v>974</v>
      </c>
    </row>
    <row r="1898" spans="1:18" ht="105" x14ac:dyDescent="0.25">
      <c r="A1898" s="19"/>
      <c r="B1898" s="19"/>
      <c r="C1898" s="19"/>
      <c r="D1898" s="19"/>
      <c r="F1898" s="10">
        <v>11</v>
      </c>
      <c r="H1898" s="2" t="s">
        <v>2120</v>
      </c>
      <c r="I1898" s="2" t="s">
        <v>29</v>
      </c>
      <c r="J1898" s="3">
        <v>40290</v>
      </c>
      <c r="K1898" s="4"/>
      <c r="L1898" s="4" t="s">
        <v>474</v>
      </c>
      <c r="N1898" s="2" t="s">
        <v>974</v>
      </c>
    </row>
    <row r="1899" spans="1:18" x14ac:dyDescent="0.25">
      <c r="A1899" s="19"/>
      <c r="B1899" s="19"/>
      <c r="C1899" s="19"/>
      <c r="D1899" s="19"/>
    </row>
    <row r="1900" spans="1:18" ht="60" x14ac:dyDescent="0.25">
      <c r="A1900" s="19" t="s">
        <v>1218</v>
      </c>
      <c r="B1900" s="19" t="s">
        <v>2011</v>
      </c>
      <c r="C1900" s="19" t="s">
        <v>39</v>
      </c>
      <c r="D1900" s="19" t="s">
        <v>2013</v>
      </c>
      <c r="E1900" s="10" t="s">
        <v>121</v>
      </c>
      <c r="F1900" s="10">
        <v>1</v>
      </c>
      <c r="G1900" s="2" t="s">
        <v>2061</v>
      </c>
    </row>
    <row r="1901" spans="1:18" ht="30" x14ac:dyDescent="0.25">
      <c r="A1901" s="19"/>
      <c r="B1901" s="19"/>
      <c r="C1901" s="19"/>
      <c r="D1901" s="19"/>
      <c r="F1901" s="10">
        <v>2</v>
      </c>
      <c r="H1901" s="2" t="s">
        <v>2079</v>
      </c>
      <c r="I1901" s="2" t="s">
        <v>29</v>
      </c>
      <c r="J1901" s="3">
        <v>40290</v>
      </c>
      <c r="K1901" s="4"/>
      <c r="L1901" s="4"/>
      <c r="N1901" s="2" t="s">
        <v>974</v>
      </c>
      <c r="O1901" s="2" t="s">
        <v>2689</v>
      </c>
      <c r="P1901" s="2" t="s">
        <v>977</v>
      </c>
      <c r="Q1901" s="2" t="s">
        <v>540</v>
      </c>
    </row>
    <row r="1902" spans="1:18" ht="45" x14ac:dyDescent="0.25">
      <c r="A1902" s="19"/>
      <c r="B1902" s="19"/>
      <c r="C1902" s="19"/>
      <c r="D1902" s="19"/>
      <c r="F1902" s="10">
        <v>3</v>
      </c>
      <c r="G1902" s="2" t="s">
        <v>2080</v>
      </c>
    </row>
    <row r="1903" spans="1:18" x14ac:dyDescent="0.25">
      <c r="A1903" s="19"/>
      <c r="B1903" s="19"/>
      <c r="C1903" s="19"/>
      <c r="D1903" s="19"/>
      <c r="F1903" s="10">
        <v>4</v>
      </c>
      <c r="G1903" s="2" t="s">
        <v>1996</v>
      </c>
    </row>
    <row r="1904" spans="1:18" ht="30" x14ac:dyDescent="0.25">
      <c r="A1904" s="19"/>
      <c r="B1904" s="19"/>
      <c r="C1904" s="19"/>
      <c r="D1904" s="19"/>
      <c r="F1904" s="10">
        <v>5</v>
      </c>
      <c r="H1904" s="2" t="s">
        <v>2081</v>
      </c>
    </row>
    <row r="1905" spans="1:18" ht="30" x14ac:dyDescent="0.25">
      <c r="A1905" s="19"/>
      <c r="B1905" s="19"/>
      <c r="C1905" s="19"/>
      <c r="D1905" s="19"/>
      <c r="H1905" s="6" t="s">
        <v>2082</v>
      </c>
      <c r="I1905" s="2" t="s">
        <v>29</v>
      </c>
      <c r="J1905" s="3">
        <v>40290</v>
      </c>
      <c r="K1905" s="4"/>
      <c r="L1905" s="4" t="s">
        <v>474</v>
      </c>
      <c r="N1905" s="2" t="s">
        <v>974</v>
      </c>
    </row>
    <row r="1906" spans="1:18" ht="30" x14ac:dyDescent="0.25">
      <c r="A1906" s="19"/>
      <c r="B1906" s="19"/>
      <c r="C1906" s="19"/>
      <c r="D1906" s="19"/>
      <c r="H1906" s="6" t="s">
        <v>2084</v>
      </c>
      <c r="I1906" s="2" t="s">
        <v>29</v>
      </c>
      <c r="J1906" s="3">
        <v>40290</v>
      </c>
      <c r="K1906" s="4"/>
      <c r="L1906" s="4" t="s">
        <v>474</v>
      </c>
      <c r="N1906" s="2" t="s">
        <v>974</v>
      </c>
    </row>
    <row r="1907" spans="1:18" ht="135" x14ac:dyDescent="0.25">
      <c r="H1907" s="6" t="s">
        <v>2086</v>
      </c>
      <c r="I1907" s="2" t="s">
        <v>29</v>
      </c>
      <c r="J1907" s="3">
        <v>40290</v>
      </c>
      <c r="K1907" s="4"/>
      <c r="L1907" s="4" t="s">
        <v>474</v>
      </c>
      <c r="N1907" s="2" t="s">
        <v>974</v>
      </c>
      <c r="O1907" s="2" t="s">
        <v>2828</v>
      </c>
      <c r="P1907" s="2" t="s">
        <v>977</v>
      </c>
      <c r="Q1907" s="2" t="s">
        <v>540</v>
      </c>
      <c r="R1907" s="2" t="s">
        <v>2868</v>
      </c>
    </row>
    <row r="1908" spans="1:18" ht="45" x14ac:dyDescent="0.25">
      <c r="A1908" s="19"/>
      <c r="B1908" s="19"/>
      <c r="C1908" s="19"/>
      <c r="D1908" s="19"/>
      <c r="H1908" s="6" t="s">
        <v>2085</v>
      </c>
      <c r="I1908" s="2" t="s">
        <v>29</v>
      </c>
      <c r="J1908" s="3">
        <v>40290</v>
      </c>
      <c r="K1908" s="4"/>
      <c r="L1908" s="4" t="s">
        <v>474</v>
      </c>
      <c r="N1908" s="2" t="s">
        <v>974</v>
      </c>
    </row>
    <row r="1909" spans="1:18" ht="45" x14ac:dyDescent="0.25">
      <c r="A1909" s="19"/>
      <c r="B1909" s="19"/>
      <c r="C1909" s="19"/>
      <c r="D1909" s="19"/>
      <c r="H1909" s="6" t="s">
        <v>2083</v>
      </c>
      <c r="I1909" s="2" t="s">
        <v>30</v>
      </c>
      <c r="J1909" s="3">
        <v>40290</v>
      </c>
      <c r="K1909" s="4"/>
      <c r="L1909" s="4" t="s">
        <v>474</v>
      </c>
      <c r="N1909" s="2" t="s">
        <v>974</v>
      </c>
    </row>
    <row r="1910" spans="1:18" ht="45" x14ac:dyDescent="0.25">
      <c r="A1910" s="19"/>
      <c r="B1910" s="19"/>
      <c r="C1910" s="19"/>
      <c r="D1910" s="19"/>
      <c r="H1910" s="6" t="s">
        <v>3667</v>
      </c>
      <c r="I1910" s="2" t="s">
        <v>30</v>
      </c>
      <c r="J1910" s="3">
        <v>40290</v>
      </c>
      <c r="K1910" s="4"/>
      <c r="L1910" s="4" t="s">
        <v>474</v>
      </c>
      <c r="N1910" s="2" t="s">
        <v>974</v>
      </c>
    </row>
    <row r="1911" spans="1:18" ht="135" x14ac:dyDescent="0.25">
      <c r="A1911" s="19"/>
      <c r="B1911" s="19"/>
      <c r="C1911" s="19"/>
      <c r="D1911" s="19"/>
      <c r="H1911" s="6" t="s">
        <v>3668</v>
      </c>
      <c r="I1911" s="2" t="s">
        <v>30</v>
      </c>
      <c r="J1911" s="3">
        <v>40290</v>
      </c>
      <c r="K1911" s="4"/>
      <c r="L1911" s="4" t="s">
        <v>474</v>
      </c>
      <c r="N1911" s="2" t="s">
        <v>974</v>
      </c>
      <c r="O1911" s="2" t="s">
        <v>2829</v>
      </c>
      <c r="P1911" s="2" t="s">
        <v>977</v>
      </c>
      <c r="Q1911" s="2" t="s">
        <v>540</v>
      </c>
    </row>
    <row r="1912" spans="1:18" x14ac:dyDescent="0.25">
      <c r="A1912" s="19"/>
      <c r="B1912" s="19"/>
      <c r="C1912" s="19"/>
      <c r="D1912" s="19"/>
    </row>
    <row r="1913" spans="1:18" ht="60" x14ac:dyDescent="0.25">
      <c r="A1913" s="19" t="s">
        <v>2042</v>
      </c>
      <c r="B1913" s="19" t="s">
        <v>3567</v>
      </c>
      <c r="C1913" s="19" t="s">
        <v>39</v>
      </c>
      <c r="D1913" s="19" t="s">
        <v>3669</v>
      </c>
      <c r="E1913" s="10" t="s">
        <v>121</v>
      </c>
      <c r="F1913" s="10">
        <v>1</v>
      </c>
      <c r="G1913" s="2" t="s">
        <v>2061</v>
      </c>
    </row>
    <row r="1914" spans="1:18" ht="150" x14ac:dyDescent="0.25">
      <c r="F1914" s="10">
        <v>2</v>
      </c>
      <c r="H1914" s="2" t="s">
        <v>3670</v>
      </c>
      <c r="I1914" s="2" t="s">
        <v>29</v>
      </c>
      <c r="J1914" s="3">
        <v>40294</v>
      </c>
      <c r="K1914" s="4"/>
      <c r="L1914" s="4" t="s">
        <v>474</v>
      </c>
      <c r="M1914" s="2" t="s">
        <v>3568</v>
      </c>
      <c r="N1914" s="2" t="s">
        <v>974</v>
      </c>
    </row>
    <row r="1915" spans="1:18" ht="45" x14ac:dyDescent="0.25">
      <c r="F1915" s="10">
        <v>3</v>
      </c>
      <c r="G1915" s="2" t="s">
        <v>3671</v>
      </c>
    </row>
    <row r="1916" spans="1:18" x14ac:dyDescent="0.25">
      <c r="F1916" s="10">
        <v>4</v>
      </c>
      <c r="G1916" s="2" t="s">
        <v>1996</v>
      </c>
    </row>
    <row r="1917" spans="1:18" ht="45" x14ac:dyDescent="0.25">
      <c r="F1917" s="10">
        <v>5</v>
      </c>
      <c r="H1917" s="2" t="s">
        <v>2130</v>
      </c>
    </row>
    <row r="1918" spans="1:18" ht="45" x14ac:dyDescent="0.25">
      <c r="F1918" s="10">
        <v>6</v>
      </c>
      <c r="H1918" s="6" t="s">
        <v>3672</v>
      </c>
      <c r="I1918" s="2" t="s">
        <v>29</v>
      </c>
      <c r="J1918" s="3">
        <v>40294</v>
      </c>
      <c r="K1918" s="4"/>
      <c r="L1918" s="4" t="s">
        <v>474</v>
      </c>
      <c r="N1918" s="2" t="s">
        <v>974</v>
      </c>
    </row>
    <row r="1919" spans="1:18" ht="30" x14ac:dyDescent="0.25">
      <c r="F1919" s="10">
        <v>7</v>
      </c>
      <c r="H1919" s="6" t="s">
        <v>3673</v>
      </c>
      <c r="I1919" s="2" t="s">
        <v>29</v>
      </c>
      <c r="J1919" s="3">
        <v>40294</v>
      </c>
      <c r="K1919" s="4"/>
      <c r="L1919" s="4" t="s">
        <v>474</v>
      </c>
      <c r="N1919" s="2" t="s">
        <v>974</v>
      </c>
    </row>
    <row r="1920" spans="1:18" ht="30" x14ac:dyDescent="0.25">
      <c r="F1920" s="10">
        <v>8</v>
      </c>
      <c r="H1920" s="6" t="s">
        <v>3674</v>
      </c>
      <c r="I1920" s="2" t="s">
        <v>29</v>
      </c>
      <c r="J1920" s="3">
        <v>40294</v>
      </c>
      <c r="K1920" s="4"/>
      <c r="L1920" s="4" t="s">
        <v>474</v>
      </c>
      <c r="N1920" s="2" t="s">
        <v>974</v>
      </c>
      <c r="O1920" s="2" t="s">
        <v>3569</v>
      </c>
      <c r="P1920" s="2" t="s">
        <v>980</v>
      </c>
      <c r="Q1920" s="2" t="s">
        <v>540</v>
      </c>
    </row>
    <row r="1921" spans="1:18" ht="135" x14ac:dyDescent="0.25">
      <c r="H1921" s="6"/>
      <c r="J1921" s="3"/>
      <c r="K1921" s="4"/>
      <c r="L1921" s="4"/>
      <c r="N1921" s="2" t="s">
        <v>973</v>
      </c>
      <c r="O1921" s="2" t="s">
        <v>2873</v>
      </c>
      <c r="P1921" s="2" t="s">
        <v>977</v>
      </c>
      <c r="Q1921" s="2" t="s">
        <v>1394</v>
      </c>
    </row>
    <row r="1922" spans="1:18" x14ac:dyDescent="0.25">
      <c r="F1922" s="10">
        <v>9</v>
      </c>
      <c r="H1922" s="6" t="s">
        <v>3675</v>
      </c>
      <c r="I1922" s="2" t="s">
        <v>29</v>
      </c>
      <c r="J1922" s="3">
        <v>40294</v>
      </c>
      <c r="K1922" s="4"/>
      <c r="L1922" s="4" t="s">
        <v>474</v>
      </c>
      <c r="N1922" s="2" t="s">
        <v>974</v>
      </c>
    </row>
    <row r="1924" spans="1:18" ht="75" x14ac:dyDescent="0.25">
      <c r="A1924" s="19" t="s">
        <v>1219</v>
      </c>
      <c r="B1924" s="19" t="s">
        <v>1746</v>
      </c>
      <c r="C1924" s="19" t="s">
        <v>39</v>
      </c>
      <c r="D1924" s="19" t="s">
        <v>1747</v>
      </c>
      <c r="E1924" s="10" t="s">
        <v>121</v>
      </c>
      <c r="F1924" s="10">
        <v>1</v>
      </c>
      <c r="G1924" s="2" t="s">
        <v>1748</v>
      </c>
    </row>
    <row r="1925" spans="1:18" ht="30" x14ac:dyDescent="0.25">
      <c r="A1925" s="19"/>
      <c r="B1925" s="19"/>
      <c r="C1925" s="19"/>
      <c r="D1925" s="19"/>
      <c r="F1925" s="10">
        <v>2</v>
      </c>
      <c r="G1925" s="2" t="s">
        <v>1757</v>
      </c>
    </row>
    <row r="1926" spans="1:18" ht="45" x14ac:dyDescent="0.25">
      <c r="A1926" s="19"/>
      <c r="B1926" s="19"/>
      <c r="C1926" s="19"/>
      <c r="D1926" s="19"/>
      <c r="F1926" s="10">
        <v>3</v>
      </c>
      <c r="H1926" s="2" t="s">
        <v>1749</v>
      </c>
      <c r="I1926" s="2" t="s">
        <v>29</v>
      </c>
      <c r="J1926" s="3">
        <v>40294</v>
      </c>
      <c r="K1926" s="4"/>
      <c r="L1926" s="4" t="s">
        <v>474</v>
      </c>
      <c r="N1926" s="2" t="s">
        <v>974</v>
      </c>
    </row>
    <row r="1927" spans="1:18" ht="60" x14ac:dyDescent="0.25">
      <c r="A1927" s="19"/>
      <c r="B1927" s="19"/>
      <c r="C1927" s="19"/>
      <c r="D1927" s="19"/>
      <c r="F1927" s="10">
        <v>4</v>
      </c>
      <c r="H1927" s="2" t="s">
        <v>1750</v>
      </c>
      <c r="I1927" s="2" t="s">
        <v>29</v>
      </c>
      <c r="J1927" s="3">
        <v>40294</v>
      </c>
      <c r="K1927" s="4"/>
      <c r="L1927" s="4" t="s">
        <v>474</v>
      </c>
      <c r="N1927" s="2" t="s">
        <v>974</v>
      </c>
      <c r="O1927" s="2" t="s">
        <v>2941</v>
      </c>
      <c r="P1927" s="2" t="s">
        <v>977</v>
      </c>
      <c r="Q1927" s="2" t="s">
        <v>540</v>
      </c>
    </row>
    <row r="1928" spans="1:18" ht="90" x14ac:dyDescent="0.25">
      <c r="A1928" s="19"/>
      <c r="B1928" s="19"/>
      <c r="C1928" s="19"/>
      <c r="D1928" s="19"/>
      <c r="J1928" s="3"/>
      <c r="K1928" s="3"/>
      <c r="L1928" s="3"/>
      <c r="N1928" s="2" t="s">
        <v>974</v>
      </c>
      <c r="O1928" s="2" t="s">
        <v>2942</v>
      </c>
      <c r="P1928" s="2" t="s">
        <v>977</v>
      </c>
      <c r="Q1928" s="2" t="s">
        <v>540</v>
      </c>
    </row>
    <row r="1929" spans="1:18" ht="30" x14ac:dyDescent="0.25">
      <c r="A1929" s="19"/>
      <c r="B1929" s="19"/>
      <c r="C1929" s="19"/>
      <c r="D1929" s="19"/>
      <c r="J1929" s="3"/>
      <c r="K1929" s="3"/>
      <c r="L1929" s="3"/>
      <c r="N1929" s="2" t="s">
        <v>974</v>
      </c>
      <c r="O1929" s="2" t="s">
        <v>2943</v>
      </c>
      <c r="P1929" s="2" t="s">
        <v>977</v>
      </c>
      <c r="Q1929" s="2" t="s">
        <v>540</v>
      </c>
    </row>
    <row r="1930" spans="1:18" ht="75" x14ac:dyDescent="0.25">
      <c r="A1930" s="19"/>
      <c r="B1930" s="19"/>
      <c r="C1930" s="19"/>
      <c r="D1930" s="19"/>
      <c r="J1930" s="3"/>
      <c r="K1930" s="3"/>
      <c r="L1930" s="3"/>
      <c r="N1930" s="2" t="s">
        <v>974</v>
      </c>
      <c r="O1930" s="2" t="s">
        <v>2944</v>
      </c>
      <c r="P1930" s="2" t="s">
        <v>977</v>
      </c>
      <c r="Q1930" s="2" t="s">
        <v>540</v>
      </c>
    </row>
    <row r="1931" spans="1:18" ht="60" x14ac:dyDescent="0.25">
      <c r="A1931" s="19"/>
      <c r="B1931" s="19"/>
      <c r="C1931" s="19"/>
      <c r="D1931" s="19"/>
      <c r="J1931" s="3"/>
      <c r="K1931" s="3"/>
      <c r="L1931" s="3"/>
      <c r="N1931" s="2" t="s">
        <v>974</v>
      </c>
      <c r="O1931" s="2" t="s">
        <v>2945</v>
      </c>
      <c r="P1931" s="2" t="s">
        <v>977</v>
      </c>
      <c r="Q1931" s="2" t="s">
        <v>540</v>
      </c>
    </row>
    <row r="1932" spans="1:18" ht="60" x14ac:dyDescent="0.25">
      <c r="A1932" s="19"/>
      <c r="B1932" s="19"/>
      <c r="C1932" s="19"/>
      <c r="D1932" s="19"/>
      <c r="J1932" s="3"/>
      <c r="K1932" s="3"/>
      <c r="L1932" s="3"/>
      <c r="N1932" s="2" t="s">
        <v>974</v>
      </c>
      <c r="O1932" s="2" t="s">
        <v>2946</v>
      </c>
      <c r="P1932" s="2" t="s">
        <v>977</v>
      </c>
      <c r="Q1932" s="2" t="s">
        <v>540</v>
      </c>
      <c r="R1932" s="2" t="s">
        <v>2951</v>
      </c>
    </row>
    <row r="1933" spans="1:18" ht="30" x14ac:dyDescent="0.25">
      <c r="A1933" s="19"/>
      <c r="B1933" s="19"/>
      <c r="C1933" s="19"/>
      <c r="D1933" s="19"/>
      <c r="J1933" s="3"/>
      <c r="K1933" s="3"/>
      <c r="L1933" s="3"/>
      <c r="N1933" s="2" t="s">
        <v>974</v>
      </c>
      <c r="O1933" s="2" t="s">
        <v>2948</v>
      </c>
      <c r="P1933" s="2" t="s">
        <v>977</v>
      </c>
      <c r="Q1933" s="2" t="s">
        <v>540</v>
      </c>
    </row>
    <row r="1934" spans="1:18" ht="60" x14ac:dyDescent="0.25">
      <c r="A1934" s="19"/>
      <c r="B1934" s="19"/>
      <c r="C1934" s="19"/>
      <c r="D1934" s="19"/>
      <c r="J1934" s="3"/>
      <c r="K1934" s="3"/>
      <c r="L1934" s="3"/>
      <c r="N1934" s="2" t="s">
        <v>974</v>
      </c>
      <c r="O1934" s="2" t="s">
        <v>2949</v>
      </c>
      <c r="P1934" s="2" t="s">
        <v>977</v>
      </c>
      <c r="Q1934" s="2" t="s">
        <v>540</v>
      </c>
    </row>
    <row r="1935" spans="1:18" ht="120" x14ac:dyDescent="0.25">
      <c r="A1935" s="19"/>
      <c r="B1935" s="19"/>
      <c r="C1935" s="19"/>
      <c r="D1935" s="19"/>
      <c r="J1935" s="3"/>
      <c r="K1935" s="3"/>
      <c r="L1935" s="3"/>
      <c r="N1935" s="2" t="s">
        <v>974</v>
      </c>
      <c r="O1935" s="2" t="s">
        <v>2950</v>
      </c>
      <c r="P1935" s="2" t="s">
        <v>977</v>
      </c>
      <c r="Q1935" s="2" t="s">
        <v>540</v>
      </c>
    </row>
    <row r="1936" spans="1:18" ht="45" x14ac:dyDescent="0.25">
      <c r="A1936" s="19"/>
      <c r="B1936" s="19"/>
      <c r="C1936" s="19"/>
      <c r="D1936" s="19"/>
      <c r="J1936" s="3"/>
      <c r="K1936" s="3"/>
      <c r="L1936" s="3"/>
      <c r="N1936" s="2" t="s">
        <v>974</v>
      </c>
      <c r="O1936" s="2" t="s">
        <v>2959</v>
      </c>
      <c r="P1936" s="2" t="s">
        <v>977</v>
      </c>
      <c r="Q1936" s="2" t="s">
        <v>540</v>
      </c>
    </row>
    <row r="1937" spans="1:17" ht="30" x14ac:dyDescent="0.25">
      <c r="F1937" s="10">
        <v>5</v>
      </c>
      <c r="H1937" s="2" t="s">
        <v>2446</v>
      </c>
      <c r="I1937" s="2" t="s">
        <v>29</v>
      </c>
      <c r="J1937" s="3">
        <v>40290</v>
      </c>
      <c r="K1937" s="4"/>
      <c r="L1937" s="4" t="s">
        <v>474</v>
      </c>
      <c r="N1937" s="2" t="s">
        <v>974</v>
      </c>
      <c r="O1937" s="2" t="s">
        <v>2940</v>
      </c>
      <c r="P1937" s="2" t="s">
        <v>977</v>
      </c>
      <c r="Q1937" s="2" t="s">
        <v>540</v>
      </c>
    </row>
    <row r="1938" spans="1:17" ht="45" x14ac:dyDescent="0.25">
      <c r="F1938" s="10">
        <v>6</v>
      </c>
      <c r="H1938" s="2" t="s">
        <v>1751</v>
      </c>
      <c r="I1938" s="2" t="s">
        <v>29</v>
      </c>
      <c r="J1938" s="3">
        <v>40294</v>
      </c>
      <c r="K1938" s="4"/>
      <c r="L1938" s="4" t="s">
        <v>474</v>
      </c>
      <c r="N1938" s="2" t="s">
        <v>974</v>
      </c>
    </row>
    <row r="1939" spans="1:17" ht="30" x14ac:dyDescent="0.25">
      <c r="F1939" s="10">
        <v>7</v>
      </c>
      <c r="H1939" s="2" t="s">
        <v>1752</v>
      </c>
      <c r="I1939" s="2" t="s">
        <v>29</v>
      </c>
      <c r="J1939" s="3">
        <v>40294</v>
      </c>
      <c r="K1939" s="4"/>
      <c r="L1939" s="4" t="s">
        <v>474</v>
      </c>
      <c r="N1939" s="2" t="s">
        <v>974</v>
      </c>
      <c r="O1939" s="2" t="s">
        <v>2960</v>
      </c>
    </row>
    <row r="1940" spans="1:17" ht="30" x14ac:dyDescent="0.25">
      <c r="F1940" s="10">
        <v>8</v>
      </c>
      <c r="G1940" s="2" t="s">
        <v>2001</v>
      </c>
      <c r="K1940" s="2"/>
      <c r="L1940" s="2"/>
    </row>
    <row r="1941" spans="1:17" ht="60" x14ac:dyDescent="0.25">
      <c r="F1941" s="10">
        <v>9</v>
      </c>
      <c r="H1941" s="2" t="s">
        <v>3770</v>
      </c>
      <c r="I1941" s="2" t="s">
        <v>30</v>
      </c>
      <c r="J1941" s="7" t="s">
        <v>33</v>
      </c>
      <c r="K1941" s="4"/>
      <c r="L1941" s="4" t="s">
        <v>474</v>
      </c>
      <c r="N1941" s="2" t="s">
        <v>974</v>
      </c>
      <c r="O1941" s="2" t="s">
        <v>2964</v>
      </c>
      <c r="P1941" s="2" t="s">
        <v>982</v>
      </c>
      <c r="Q1941" s="2" t="s">
        <v>540</v>
      </c>
    </row>
    <row r="1942" spans="1:17" ht="45" x14ac:dyDescent="0.25">
      <c r="F1942" s="10">
        <v>10</v>
      </c>
      <c r="H1942" s="2" t="s">
        <v>2000</v>
      </c>
      <c r="I1942" s="2" t="s">
        <v>30</v>
      </c>
      <c r="J1942" s="7" t="s">
        <v>33</v>
      </c>
      <c r="K1942" s="4"/>
      <c r="L1942" s="4" t="s">
        <v>474</v>
      </c>
      <c r="N1942" s="2" t="s">
        <v>974</v>
      </c>
    </row>
    <row r="1943" spans="1:17" ht="60" x14ac:dyDescent="0.25">
      <c r="F1943" s="10">
        <v>11</v>
      </c>
      <c r="H1943" s="2" t="s">
        <v>3676</v>
      </c>
      <c r="I1943" s="2" t="s">
        <v>30</v>
      </c>
      <c r="J1943" s="3">
        <v>40294</v>
      </c>
      <c r="K1943" s="4"/>
      <c r="L1943" s="4" t="s">
        <v>474</v>
      </c>
      <c r="N1943" s="2" t="s">
        <v>974</v>
      </c>
    </row>
    <row r="1944" spans="1:17" ht="30" x14ac:dyDescent="0.25">
      <c r="F1944" s="10">
        <v>12</v>
      </c>
      <c r="H1944" s="2" t="s">
        <v>3677</v>
      </c>
      <c r="I1944" s="2" t="s">
        <v>30</v>
      </c>
      <c r="J1944" s="3">
        <v>40294</v>
      </c>
      <c r="K1944" s="4"/>
      <c r="L1944" s="4" t="s">
        <v>474</v>
      </c>
      <c r="N1944" s="2" t="s">
        <v>974</v>
      </c>
    </row>
    <row r="1945" spans="1:17" ht="30" x14ac:dyDescent="0.25">
      <c r="E1945" s="10" t="s">
        <v>590</v>
      </c>
      <c r="F1945" s="10">
        <v>1</v>
      </c>
      <c r="G1945" s="2" t="s">
        <v>1753</v>
      </c>
      <c r="J1945" s="3"/>
      <c r="K1945" s="3"/>
      <c r="L1945" s="3"/>
    </row>
    <row r="1946" spans="1:17" x14ac:dyDescent="0.25">
      <c r="F1946" s="10">
        <v>2</v>
      </c>
      <c r="H1946" s="2" t="s">
        <v>3678</v>
      </c>
      <c r="I1946" s="2" t="s">
        <v>29</v>
      </c>
      <c r="J1946" s="3">
        <v>40294</v>
      </c>
      <c r="K1946" s="4"/>
      <c r="L1946" s="4" t="s">
        <v>474</v>
      </c>
      <c r="N1946" s="2" t="s">
        <v>974</v>
      </c>
    </row>
    <row r="1947" spans="1:17" ht="30" x14ac:dyDescent="0.25">
      <c r="F1947" s="10">
        <v>3</v>
      </c>
      <c r="G1947" s="10"/>
      <c r="H1947" s="2" t="s">
        <v>3679</v>
      </c>
      <c r="I1947" s="2" t="s">
        <v>29</v>
      </c>
      <c r="J1947" s="3">
        <v>40294</v>
      </c>
      <c r="K1947" s="4"/>
      <c r="L1947" s="4" t="s">
        <v>474</v>
      </c>
      <c r="N1947" s="2" t="s">
        <v>974</v>
      </c>
    </row>
    <row r="1948" spans="1:17" ht="30" x14ac:dyDescent="0.25">
      <c r="E1948" s="10" t="s">
        <v>1103</v>
      </c>
      <c r="F1948" s="10">
        <v>1</v>
      </c>
      <c r="G1948" s="2" t="s">
        <v>3877</v>
      </c>
      <c r="J1948" s="3"/>
      <c r="K1948" s="3"/>
      <c r="L1948" s="3"/>
    </row>
    <row r="1949" spans="1:17" x14ac:dyDescent="0.25">
      <c r="F1949" s="10">
        <v>2</v>
      </c>
      <c r="G1949" s="10"/>
      <c r="H1949" s="2" t="s">
        <v>3678</v>
      </c>
      <c r="I1949" s="2" t="s">
        <v>29</v>
      </c>
      <c r="J1949" s="3">
        <v>40294</v>
      </c>
      <c r="K1949" s="4"/>
      <c r="L1949" s="4" t="s">
        <v>474</v>
      </c>
      <c r="N1949" s="2" t="s">
        <v>974</v>
      </c>
    </row>
    <row r="1950" spans="1:17" ht="30" x14ac:dyDescent="0.25">
      <c r="F1950" s="10">
        <v>3</v>
      </c>
      <c r="G1950" s="10"/>
      <c r="H1950" s="2" t="s">
        <v>3679</v>
      </c>
      <c r="I1950" s="2" t="s">
        <v>29</v>
      </c>
      <c r="J1950" s="3">
        <v>40294</v>
      </c>
      <c r="K1950" s="4"/>
      <c r="L1950" s="4" t="s">
        <v>474</v>
      </c>
      <c r="N1950" s="2" t="s">
        <v>974</v>
      </c>
    </row>
    <row r="1952" spans="1:17" ht="90" x14ac:dyDescent="0.25">
      <c r="A1952" s="19" t="s">
        <v>2052</v>
      </c>
      <c r="B1952" s="19" t="s">
        <v>1754</v>
      </c>
      <c r="C1952" s="19" t="s">
        <v>39</v>
      </c>
      <c r="D1952" s="19" t="s">
        <v>3680</v>
      </c>
      <c r="E1952" s="10" t="s">
        <v>121</v>
      </c>
      <c r="F1952" s="10">
        <v>1</v>
      </c>
      <c r="G1952" s="2" t="s">
        <v>1758</v>
      </c>
    </row>
    <row r="1953" spans="1:17" ht="60" x14ac:dyDescent="0.25">
      <c r="F1953" s="10">
        <v>2</v>
      </c>
      <c r="H1953" s="2" t="s">
        <v>1759</v>
      </c>
      <c r="I1953" s="2" t="s">
        <v>30</v>
      </c>
      <c r="J1953" s="3">
        <v>40297</v>
      </c>
      <c r="K1953" s="4"/>
      <c r="L1953" s="4"/>
    </row>
    <row r="1954" spans="1:17" ht="60" x14ac:dyDescent="0.25">
      <c r="F1954" s="10">
        <v>3</v>
      </c>
      <c r="H1954" s="2" t="s">
        <v>3681</v>
      </c>
      <c r="I1954" s="2" t="s">
        <v>30</v>
      </c>
      <c r="J1954" s="3">
        <v>40297</v>
      </c>
      <c r="K1954" s="4"/>
      <c r="L1954" s="4"/>
    </row>
    <row r="1955" spans="1:17" ht="30" x14ac:dyDescent="0.25">
      <c r="F1955" s="10">
        <v>4</v>
      </c>
      <c r="G1955" s="2" t="s">
        <v>3682</v>
      </c>
    </row>
    <row r="1956" spans="1:17" ht="30" x14ac:dyDescent="0.25">
      <c r="F1956" s="10">
        <v>5</v>
      </c>
      <c r="H1956" s="2" t="s">
        <v>3771</v>
      </c>
      <c r="I1956" s="2" t="s">
        <v>30</v>
      </c>
      <c r="J1956" s="3">
        <v>40297</v>
      </c>
      <c r="K1956" s="4"/>
      <c r="L1956" s="4"/>
    </row>
    <row r="1957" spans="1:17" ht="90" x14ac:dyDescent="0.25">
      <c r="F1957" s="10">
        <v>6</v>
      </c>
      <c r="H1957" s="2" t="s">
        <v>3683</v>
      </c>
      <c r="I1957" s="2" t="s">
        <v>30</v>
      </c>
      <c r="J1957" s="3">
        <v>40297</v>
      </c>
      <c r="K1957" s="4"/>
      <c r="L1957" s="4"/>
    </row>
    <row r="1959" spans="1:17" ht="75" x14ac:dyDescent="0.25">
      <c r="A1959" s="19" t="s">
        <v>2040</v>
      </c>
      <c r="B1959" s="19" t="s">
        <v>3772</v>
      </c>
      <c r="C1959" s="19" t="s">
        <v>460</v>
      </c>
      <c r="D1959" s="19" t="s">
        <v>2108</v>
      </c>
      <c r="E1959" s="10" t="s">
        <v>121</v>
      </c>
      <c r="F1959" s="10">
        <v>1</v>
      </c>
      <c r="G1959" s="2" t="s">
        <v>2110</v>
      </c>
    </row>
    <row r="1960" spans="1:17" ht="30" x14ac:dyDescent="0.25">
      <c r="F1960" s="10">
        <v>2</v>
      </c>
      <c r="H1960" s="2" t="s">
        <v>2121</v>
      </c>
      <c r="I1960" s="2" t="s">
        <v>30</v>
      </c>
      <c r="J1960" s="3">
        <v>40290</v>
      </c>
      <c r="K1960" s="4"/>
      <c r="L1960" s="4" t="s">
        <v>1288</v>
      </c>
      <c r="N1960" s="2" t="s">
        <v>974</v>
      </c>
    </row>
    <row r="1961" spans="1:17" ht="60" x14ac:dyDescent="0.25">
      <c r="F1961" s="10">
        <v>3</v>
      </c>
      <c r="H1961" s="2" t="s">
        <v>3684</v>
      </c>
      <c r="I1961" s="2" t="s">
        <v>30</v>
      </c>
      <c r="J1961" s="3">
        <v>40290</v>
      </c>
      <c r="K1961" s="4"/>
      <c r="L1961" s="4" t="s">
        <v>1288</v>
      </c>
      <c r="N1961" s="2" t="s">
        <v>974</v>
      </c>
      <c r="O1961" s="2" t="s">
        <v>2781</v>
      </c>
      <c r="P1961" s="2" t="s">
        <v>977</v>
      </c>
      <c r="Q1961" s="2" t="s">
        <v>540</v>
      </c>
    </row>
    <row r="1962" spans="1:17" ht="30" x14ac:dyDescent="0.25">
      <c r="F1962" s="10">
        <v>4</v>
      </c>
      <c r="G1962" s="2" t="s">
        <v>3685</v>
      </c>
    </row>
    <row r="1963" spans="1:17" ht="60" x14ac:dyDescent="0.25">
      <c r="F1963" s="10">
        <v>5</v>
      </c>
      <c r="H1963" s="2" t="s">
        <v>3686</v>
      </c>
      <c r="I1963" s="2" t="s">
        <v>30</v>
      </c>
      <c r="J1963" s="3">
        <v>40290</v>
      </c>
      <c r="K1963" s="4"/>
      <c r="L1963" s="4" t="s">
        <v>1288</v>
      </c>
      <c r="N1963" s="2" t="s">
        <v>974</v>
      </c>
      <c r="O1963" s="2" t="s">
        <v>3976</v>
      </c>
      <c r="P1963" s="2" t="s">
        <v>982</v>
      </c>
      <c r="Q1963" s="2" t="s">
        <v>540</v>
      </c>
    </row>
    <row r="1964" spans="1:17" ht="75" x14ac:dyDescent="0.25">
      <c r="E1964" s="10" t="s">
        <v>123</v>
      </c>
      <c r="F1964" s="10">
        <v>1</v>
      </c>
      <c r="G1964" s="2" t="s">
        <v>2111</v>
      </c>
    </row>
    <row r="1965" spans="1:17" ht="30" x14ac:dyDescent="0.25">
      <c r="F1965" s="10">
        <v>2</v>
      </c>
      <c r="H1965" s="2" t="s">
        <v>2109</v>
      </c>
      <c r="I1965" s="2" t="s">
        <v>30</v>
      </c>
      <c r="J1965" s="3">
        <v>40290</v>
      </c>
      <c r="K1965" s="4"/>
      <c r="L1965" s="4" t="s">
        <v>1288</v>
      </c>
      <c r="N1965" s="2" t="s">
        <v>974</v>
      </c>
    </row>
    <row r="1966" spans="1:17" ht="30" x14ac:dyDescent="0.25">
      <c r="F1966" s="10">
        <v>3</v>
      </c>
      <c r="H1966" s="2" t="s">
        <v>3687</v>
      </c>
      <c r="I1966" s="2" t="s">
        <v>30</v>
      </c>
      <c r="J1966" s="3">
        <v>40290</v>
      </c>
      <c r="K1966" s="4"/>
      <c r="L1966" s="4" t="s">
        <v>1288</v>
      </c>
      <c r="N1966" s="2" t="s">
        <v>974</v>
      </c>
    </row>
    <row r="1967" spans="1:17" ht="30" x14ac:dyDescent="0.25">
      <c r="F1967" s="10">
        <v>4</v>
      </c>
      <c r="G1967" s="2" t="s">
        <v>3685</v>
      </c>
    </row>
    <row r="1968" spans="1:17" ht="120" x14ac:dyDescent="0.25">
      <c r="F1968" s="10">
        <v>5</v>
      </c>
      <c r="H1968" s="2" t="s">
        <v>3688</v>
      </c>
      <c r="I1968" s="2" t="s">
        <v>30</v>
      </c>
      <c r="J1968" s="3">
        <v>40290</v>
      </c>
      <c r="K1968" s="4"/>
      <c r="L1968" s="4" t="s">
        <v>1288</v>
      </c>
      <c r="N1968" s="2" t="s">
        <v>974</v>
      </c>
      <c r="O1968" s="2" t="s">
        <v>3977</v>
      </c>
      <c r="P1968" s="2" t="s">
        <v>982</v>
      </c>
      <c r="Q1968" s="2" t="s">
        <v>540</v>
      </c>
    </row>
    <row r="1970" spans="1:18" ht="60" x14ac:dyDescent="0.25">
      <c r="A1970" s="19" t="s">
        <v>2043</v>
      </c>
      <c r="B1970" s="19" t="s">
        <v>3773</v>
      </c>
      <c r="C1970" s="19" t="s">
        <v>39</v>
      </c>
      <c r="D1970" s="19" t="s">
        <v>3689</v>
      </c>
      <c r="E1970" s="10" t="s">
        <v>121</v>
      </c>
      <c r="F1970" s="10">
        <v>1</v>
      </c>
      <c r="G1970" s="2" t="s">
        <v>3690</v>
      </c>
    </row>
    <row r="1971" spans="1:18" ht="30" x14ac:dyDescent="0.25">
      <c r="A1971" s="19"/>
      <c r="B1971" s="19"/>
      <c r="C1971" s="19"/>
      <c r="D1971" s="19"/>
      <c r="F1971" s="10">
        <v>2</v>
      </c>
      <c r="G1971" s="2" t="s">
        <v>3691</v>
      </c>
    </row>
    <row r="1972" spans="1:18" x14ac:dyDescent="0.25">
      <c r="A1972" s="19"/>
      <c r="B1972" s="19"/>
      <c r="C1972" s="19"/>
      <c r="D1972" s="19"/>
      <c r="F1972" s="10">
        <v>3</v>
      </c>
      <c r="G1972" s="2" t="s">
        <v>3978</v>
      </c>
    </row>
    <row r="1973" spans="1:18" ht="30" x14ac:dyDescent="0.25">
      <c r="A1973" s="19"/>
      <c r="B1973" s="19"/>
      <c r="C1973" s="19"/>
      <c r="D1973" s="19"/>
      <c r="F1973" s="10">
        <v>4</v>
      </c>
      <c r="G1973" s="2" t="s">
        <v>3979</v>
      </c>
    </row>
    <row r="1974" spans="1:18" ht="75" x14ac:dyDescent="0.25">
      <c r="A1974" s="19"/>
      <c r="B1974" s="19"/>
      <c r="C1974" s="19"/>
      <c r="D1974" s="19"/>
      <c r="F1974" s="10">
        <v>5</v>
      </c>
      <c r="H1974" s="2" t="s">
        <v>2133</v>
      </c>
      <c r="I1974" s="2" t="s">
        <v>30</v>
      </c>
      <c r="J1974" s="3">
        <v>40294</v>
      </c>
      <c r="K1974" s="4"/>
      <c r="L1974" s="4"/>
      <c r="N1974" s="2" t="s">
        <v>974</v>
      </c>
      <c r="O1974" s="2" t="s">
        <v>2743</v>
      </c>
      <c r="P1974" s="2" t="s">
        <v>977</v>
      </c>
      <c r="Q1974" s="2" t="s">
        <v>540</v>
      </c>
      <c r="R1974" s="2" t="s">
        <v>2453</v>
      </c>
    </row>
    <row r="1975" spans="1:18" ht="30" x14ac:dyDescent="0.25">
      <c r="A1975" s="19"/>
      <c r="B1975" s="19"/>
      <c r="C1975" s="19"/>
      <c r="D1975" s="19"/>
      <c r="F1975" s="10">
        <v>6</v>
      </c>
      <c r="G1975" s="2" t="s">
        <v>3980</v>
      </c>
    </row>
    <row r="1976" spans="1:18" ht="30" x14ac:dyDescent="0.25">
      <c r="A1976" s="19"/>
      <c r="B1976" s="19"/>
      <c r="C1976" s="19"/>
      <c r="D1976" s="19"/>
      <c r="F1976" s="10">
        <v>7</v>
      </c>
      <c r="H1976" s="2" t="s">
        <v>2133</v>
      </c>
      <c r="I1976" s="2" t="s">
        <v>30</v>
      </c>
      <c r="J1976" s="3">
        <v>40294</v>
      </c>
      <c r="K1976" s="4"/>
      <c r="L1976" s="4"/>
      <c r="N1976" s="2" t="s">
        <v>974</v>
      </c>
    </row>
    <row r="1977" spans="1:18" x14ac:dyDescent="0.25">
      <c r="A1977" s="19"/>
      <c r="B1977" s="19"/>
      <c r="C1977" s="19"/>
      <c r="D1977" s="19"/>
    </row>
    <row r="1978" spans="1:18" ht="60" x14ac:dyDescent="0.25">
      <c r="A1978" s="19" t="s">
        <v>2044</v>
      </c>
      <c r="B1978" s="19" t="s">
        <v>3774</v>
      </c>
      <c r="C1978" s="19" t="s">
        <v>39</v>
      </c>
      <c r="D1978" s="19" t="s">
        <v>3692</v>
      </c>
      <c r="E1978" s="10" t="s">
        <v>121</v>
      </c>
      <c r="F1978" s="10">
        <v>1</v>
      </c>
      <c r="G1978" s="2" t="s">
        <v>3693</v>
      </c>
    </row>
    <row r="1979" spans="1:18" ht="30" x14ac:dyDescent="0.25">
      <c r="F1979" s="10">
        <v>2</v>
      </c>
      <c r="G1979" s="2" t="s">
        <v>3691</v>
      </c>
    </row>
    <row r="1980" spans="1:18" x14ac:dyDescent="0.25">
      <c r="F1980" s="10">
        <v>3</v>
      </c>
      <c r="G1980" s="2" t="s">
        <v>3978</v>
      </c>
    </row>
    <row r="1981" spans="1:18" ht="30" x14ac:dyDescent="0.25">
      <c r="F1981" s="10">
        <v>4</v>
      </c>
      <c r="G1981" s="2" t="s">
        <v>3979</v>
      </c>
    </row>
    <row r="1982" spans="1:18" ht="30" x14ac:dyDescent="0.25">
      <c r="F1982" s="10">
        <v>5</v>
      </c>
      <c r="H1982" s="2" t="s">
        <v>2134</v>
      </c>
      <c r="I1982" s="2" t="s">
        <v>30</v>
      </c>
      <c r="J1982" s="3">
        <v>40294</v>
      </c>
      <c r="K1982" s="4"/>
      <c r="L1982" s="4"/>
      <c r="N1982" s="2" t="s">
        <v>974</v>
      </c>
    </row>
    <row r="1983" spans="1:18" ht="30" x14ac:dyDescent="0.25">
      <c r="F1983" s="10">
        <v>6</v>
      </c>
      <c r="G1983" s="2" t="s">
        <v>3980</v>
      </c>
    </row>
    <row r="1984" spans="1:18" ht="30" x14ac:dyDescent="0.25">
      <c r="F1984" s="10">
        <v>7</v>
      </c>
      <c r="H1984" s="2" t="s">
        <v>2134</v>
      </c>
      <c r="I1984" s="2" t="s">
        <v>30</v>
      </c>
      <c r="J1984" s="3">
        <v>40294</v>
      </c>
      <c r="K1984" s="4"/>
      <c r="L1984" s="4"/>
      <c r="N1984" s="2" t="s">
        <v>974</v>
      </c>
    </row>
    <row r="1986" spans="1:17" ht="45" x14ac:dyDescent="0.25">
      <c r="A1986" s="19" t="s">
        <v>2047</v>
      </c>
      <c r="B1986" s="19" t="s">
        <v>3775</v>
      </c>
      <c r="C1986" s="19" t="s">
        <v>39</v>
      </c>
      <c r="D1986" s="19" t="s">
        <v>3694</v>
      </c>
      <c r="E1986" s="10" t="s">
        <v>121</v>
      </c>
      <c r="F1986" s="10">
        <v>1</v>
      </c>
      <c r="G1986" s="2" t="s">
        <v>3695</v>
      </c>
    </row>
    <row r="1987" spans="1:17" ht="30" x14ac:dyDescent="0.25">
      <c r="F1987" s="10">
        <v>2</v>
      </c>
      <c r="G1987" s="2" t="s">
        <v>3691</v>
      </c>
    </row>
    <row r="1988" spans="1:17" x14ac:dyDescent="0.25">
      <c r="F1988" s="10">
        <v>3</v>
      </c>
      <c r="G1988" s="2" t="s">
        <v>3978</v>
      </c>
    </row>
    <row r="1989" spans="1:17" ht="30" x14ac:dyDescent="0.25">
      <c r="F1989" s="10">
        <v>4</v>
      </c>
      <c r="G1989" s="2" t="s">
        <v>3979</v>
      </c>
    </row>
    <row r="1990" spans="1:17" ht="30" x14ac:dyDescent="0.25">
      <c r="F1990" s="10">
        <v>5</v>
      </c>
      <c r="H1990" s="2" t="s">
        <v>1437</v>
      </c>
      <c r="I1990" s="2" t="s">
        <v>30</v>
      </c>
      <c r="J1990" s="3">
        <v>40297</v>
      </c>
      <c r="K1990" s="4"/>
      <c r="L1990" s="4"/>
      <c r="N1990" s="2" t="s">
        <v>974</v>
      </c>
    </row>
    <row r="1991" spans="1:17" ht="30" x14ac:dyDescent="0.25">
      <c r="F1991" s="10">
        <v>6</v>
      </c>
      <c r="G1991" s="2" t="s">
        <v>3980</v>
      </c>
    </row>
    <row r="1992" spans="1:17" ht="30" x14ac:dyDescent="0.25">
      <c r="F1992" s="10">
        <v>7</v>
      </c>
      <c r="H1992" s="2" t="s">
        <v>1437</v>
      </c>
      <c r="I1992" s="2" t="s">
        <v>30</v>
      </c>
      <c r="J1992" s="3">
        <v>40297</v>
      </c>
      <c r="K1992" s="4"/>
      <c r="L1992" s="4"/>
      <c r="N1992" s="2" t="s">
        <v>974</v>
      </c>
    </row>
    <row r="1994" spans="1:17" ht="75" x14ac:dyDescent="0.25">
      <c r="A1994" s="19" t="s">
        <v>2045</v>
      </c>
      <c r="B1994" s="19" t="s">
        <v>2135</v>
      </c>
      <c r="C1994" s="19" t="s">
        <v>39</v>
      </c>
      <c r="D1994" s="19" t="s">
        <v>2136</v>
      </c>
      <c r="E1994" s="10" t="s">
        <v>121</v>
      </c>
      <c r="F1994" s="10">
        <v>1</v>
      </c>
      <c r="G1994" s="2" t="s">
        <v>2137</v>
      </c>
    </row>
    <row r="1995" spans="1:17" ht="120" x14ac:dyDescent="0.25">
      <c r="F1995" s="10">
        <v>2</v>
      </c>
      <c r="H1995" s="2" t="s">
        <v>3696</v>
      </c>
      <c r="I1995" s="2" t="s">
        <v>30</v>
      </c>
      <c r="J1995" s="3">
        <v>40294</v>
      </c>
      <c r="K1995" s="4"/>
      <c r="L1995" s="7" t="s">
        <v>1288</v>
      </c>
      <c r="N1995" s="2" t="s">
        <v>974</v>
      </c>
      <c r="O1995" s="2" t="s">
        <v>3697</v>
      </c>
      <c r="P1995" s="2" t="s">
        <v>982</v>
      </c>
      <c r="Q1995" s="2" t="s">
        <v>540</v>
      </c>
    </row>
    <row r="1996" spans="1:17" x14ac:dyDescent="0.25">
      <c r="F1996" s="10">
        <v>3</v>
      </c>
      <c r="G1996" s="2" t="s">
        <v>2139</v>
      </c>
      <c r="K1996" s="2"/>
    </row>
    <row r="1997" spans="1:17" ht="75" x14ac:dyDescent="0.25">
      <c r="F1997" s="10">
        <v>4</v>
      </c>
      <c r="H1997" s="2" t="s">
        <v>3696</v>
      </c>
      <c r="I1997" s="2" t="s">
        <v>30</v>
      </c>
      <c r="J1997" s="3">
        <v>40294</v>
      </c>
      <c r="K1997" s="4"/>
      <c r="L1997" s="7" t="s">
        <v>1288</v>
      </c>
      <c r="N1997" s="2" t="s">
        <v>974</v>
      </c>
    </row>
    <row r="1998" spans="1:17" ht="30" x14ac:dyDescent="0.25">
      <c r="F1998" s="10">
        <v>5</v>
      </c>
      <c r="G1998" s="2" t="s">
        <v>2138</v>
      </c>
    </row>
    <row r="1999" spans="1:17" ht="75" x14ac:dyDescent="0.25">
      <c r="F1999" s="10">
        <v>6</v>
      </c>
      <c r="H1999" s="2" t="s">
        <v>3696</v>
      </c>
      <c r="I1999" s="2" t="s">
        <v>30</v>
      </c>
      <c r="J1999" s="3">
        <v>40294</v>
      </c>
      <c r="K1999" s="4"/>
      <c r="L1999" s="7" t="s">
        <v>1288</v>
      </c>
      <c r="N1999" s="2" t="s">
        <v>974</v>
      </c>
    </row>
    <row r="2001" spans="1:14" ht="60" x14ac:dyDescent="0.25">
      <c r="A2001" s="19" t="s">
        <v>2046</v>
      </c>
      <c r="B2001" s="19" t="s">
        <v>1890</v>
      </c>
      <c r="C2001" s="19" t="s">
        <v>2141</v>
      </c>
      <c r="D2001" s="19" t="s">
        <v>3698</v>
      </c>
      <c r="E2001" s="10" t="s">
        <v>121</v>
      </c>
      <c r="F2001" s="10">
        <v>1</v>
      </c>
      <c r="G2001" s="2" t="s">
        <v>3111</v>
      </c>
    </row>
    <row r="2002" spans="1:14" ht="30" x14ac:dyDescent="0.25">
      <c r="F2002" s="10">
        <v>2</v>
      </c>
      <c r="G2002" s="2" t="s">
        <v>1960</v>
      </c>
    </row>
    <row r="2003" spans="1:14" ht="30" x14ac:dyDescent="0.25">
      <c r="F2003" s="10">
        <v>3</v>
      </c>
      <c r="H2003" s="2" t="s">
        <v>2143</v>
      </c>
      <c r="I2003" s="2" t="s">
        <v>30</v>
      </c>
      <c r="J2003" s="3">
        <v>40294</v>
      </c>
      <c r="K2003" s="4"/>
      <c r="L2003" s="7" t="s">
        <v>1288</v>
      </c>
      <c r="N2003" s="2" t="s">
        <v>974</v>
      </c>
    </row>
    <row r="2004" spans="1:14" ht="45" x14ac:dyDescent="0.25">
      <c r="F2004" s="10">
        <v>4</v>
      </c>
      <c r="G2004" s="2" t="s">
        <v>1962</v>
      </c>
    </row>
    <row r="2005" spans="1:14" ht="30" x14ac:dyDescent="0.25">
      <c r="F2005" s="10">
        <v>5</v>
      </c>
      <c r="G2005" s="2" t="s">
        <v>1960</v>
      </c>
    </row>
    <row r="2006" spans="1:14" ht="30" x14ac:dyDescent="0.25">
      <c r="F2006" s="10">
        <v>6</v>
      </c>
      <c r="H2006" s="2" t="s">
        <v>2144</v>
      </c>
      <c r="I2006" s="2" t="s">
        <v>30</v>
      </c>
      <c r="J2006" s="3">
        <v>40294</v>
      </c>
      <c r="K2006" s="4"/>
      <c r="L2006" s="7" t="s">
        <v>1288</v>
      </c>
      <c r="N2006" s="2" t="s">
        <v>974</v>
      </c>
    </row>
    <row r="2007" spans="1:14" x14ac:dyDescent="0.25">
      <c r="F2007" s="10">
        <v>7</v>
      </c>
      <c r="G2007" s="2" t="s">
        <v>2145</v>
      </c>
    </row>
    <row r="2008" spans="1:14" ht="30" x14ac:dyDescent="0.25">
      <c r="F2008" s="10">
        <v>8</v>
      </c>
      <c r="H2008" s="2" t="s">
        <v>2745</v>
      </c>
      <c r="I2008" s="2" t="s">
        <v>30</v>
      </c>
      <c r="J2008" s="3">
        <v>40294</v>
      </c>
      <c r="K2008" s="4"/>
      <c r="L2008" s="7" t="s">
        <v>1288</v>
      </c>
      <c r="N2008" s="2" t="s">
        <v>974</v>
      </c>
    </row>
    <row r="2009" spans="1:14" ht="30" x14ac:dyDescent="0.25">
      <c r="F2009" s="10">
        <v>10</v>
      </c>
      <c r="G2009" s="2" t="s">
        <v>3266</v>
      </c>
      <c r="H2009" s="6"/>
      <c r="J2009" s="3"/>
      <c r="K2009" s="3"/>
      <c r="L2009" s="3"/>
    </row>
    <row r="2010" spans="1:14" ht="30" x14ac:dyDescent="0.25">
      <c r="F2010" s="10">
        <v>11</v>
      </c>
      <c r="H2010" s="2" t="s">
        <v>3112</v>
      </c>
      <c r="I2010" s="2" t="s">
        <v>30</v>
      </c>
      <c r="J2010" s="3">
        <v>40294</v>
      </c>
      <c r="K2010" s="4"/>
      <c r="L2010" s="7" t="s">
        <v>1288</v>
      </c>
      <c r="N2010" s="2" t="s">
        <v>974</v>
      </c>
    </row>
    <row r="2011" spans="1:14" ht="30" x14ac:dyDescent="0.25">
      <c r="F2011" s="10">
        <v>12</v>
      </c>
      <c r="G2011" s="2" t="s">
        <v>3878</v>
      </c>
      <c r="J2011" s="3"/>
      <c r="K2011" s="3"/>
      <c r="L2011" s="3"/>
    </row>
    <row r="2012" spans="1:14" ht="30" x14ac:dyDescent="0.25">
      <c r="F2012" s="10">
        <v>13</v>
      </c>
      <c r="H2012" s="2" t="s">
        <v>1961</v>
      </c>
      <c r="I2012" s="2" t="s">
        <v>30</v>
      </c>
      <c r="J2012" s="3">
        <v>40294</v>
      </c>
      <c r="K2012" s="4"/>
      <c r="L2012" s="7" t="s">
        <v>1288</v>
      </c>
      <c r="N2012" s="2" t="s">
        <v>974</v>
      </c>
    </row>
    <row r="2013" spans="1:14" ht="30" x14ac:dyDescent="0.25">
      <c r="F2013" s="10">
        <v>14</v>
      </c>
      <c r="G2013" s="2" t="s">
        <v>3266</v>
      </c>
      <c r="H2013" s="6"/>
      <c r="J2013" s="3"/>
      <c r="K2013" s="3"/>
      <c r="L2013" s="3"/>
    </row>
    <row r="2014" spans="1:14" ht="30" x14ac:dyDescent="0.25">
      <c r="F2014" s="10">
        <v>15</v>
      </c>
      <c r="H2014" s="2" t="s">
        <v>3113</v>
      </c>
      <c r="I2014" s="2" t="s">
        <v>30</v>
      </c>
      <c r="J2014" s="3">
        <v>40294</v>
      </c>
      <c r="K2014" s="4"/>
      <c r="L2014" s="7" t="s">
        <v>1288</v>
      </c>
      <c r="N2014" s="2" t="s">
        <v>974</v>
      </c>
    </row>
    <row r="2016" spans="1:14" ht="60" x14ac:dyDescent="0.25">
      <c r="A2016" s="19" t="s">
        <v>2048</v>
      </c>
      <c r="B2016" s="19" t="s">
        <v>3776</v>
      </c>
      <c r="C2016" s="19" t="s">
        <v>2141</v>
      </c>
      <c r="D2016" s="19" t="s">
        <v>3114</v>
      </c>
      <c r="E2016" s="10" t="s">
        <v>121</v>
      </c>
      <c r="F2016" s="10">
        <v>1</v>
      </c>
      <c r="G2016" s="2" t="s">
        <v>3879</v>
      </c>
    </row>
    <row r="2017" spans="1:14" ht="30" x14ac:dyDescent="0.25">
      <c r="A2017" s="19"/>
      <c r="B2017" s="19"/>
      <c r="C2017" s="19"/>
      <c r="D2017" s="19"/>
      <c r="F2017" s="10">
        <v>2</v>
      </c>
      <c r="G2017" s="2" t="s">
        <v>1442</v>
      </c>
    </row>
    <row r="2018" spans="1:14" ht="45" x14ac:dyDescent="0.25">
      <c r="F2018" s="10">
        <v>3</v>
      </c>
      <c r="G2018" s="2" t="s">
        <v>3115</v>
      </c>
    </row>
    <row r="2019" spans="1:14" x14ac:dyDescent="0.25">
      <c r="F2019" s="10">
        <v>4</v>
      </c>
      <c r="G2019" s="2" t="s">
        <v>3116</v>
      </c>
    </row>
    <row r="2020" spans="1:14" x14ac:dyDescent="0.25">
      <c r="F2020" s="10">
        <v>5</v>
      </c>
      <c r="G2020" s="2" t="s">
        <v>122</v>
      </c>
    </row>
    <row r="2021" spans="1:14" ht="30" x14ac:dyDescent="0.25">
      <c r="F2021" s="10">
        <v>6</v>
      </c>
      <c r="H2021" s="2" t="s">
        <v>3117</v>
      </c>
      <c r="I2021" s="2" t="s">
        <v>30</v>
      </c>
      <c r="J2021" s="7" t="s">
        <v>33</v>
      </c>
      <c r="K2021" s="4"/>
      <c r="L2021" s="4"/>
      <c r="N2021" s="2" t="s">
        <v>974</v>
      </c>
    </row>
    <row r="2022" spans="1:14" x14ac:dyDescent="0.25">
      <c r="F2022" s="10">
        <v>7</v>
      </c>
      <c r="G2022" s="2" t="s">
        <v>3777</v>
      </c>
    </row>
    <row r="2023" spans="1:14" ht="30" x14ac:dyDescent="0.25">
      <c r="F2023" s="10">
        <v>8</v>
      </c>
      <c r="H2023" s="2" t="s">
        <v>3118</v>
      </c>
      <c r="I2023" s="2" t="s">
        <v>30</v>
      </c>
      <c r="J2023" s="7" t="s">
        <v>33</v>
      </c>
      <c r="K2023" s="4"/>
      <c r="L2023" s="4"/>
      <c r="N2023" s="2" t="s">
        <v>974</v>
      </c>
    </row>
    <row r="2024" spans="1:14" ht="30" x14ac:dyDescent="0.25">
      <c r="F2024" s="10">
        <v>9</v>
      </c>
      <c r="H2024" s="2" t="s">
        <v>1443</v>
      </c>
      <c r="I2024" s="2" t="s">
        <v>30</v>
      </c>
      <c r="J2024" s="7" t="s">
        <v>33</v>
      </c>
      <c r="K2024" s="4"/>
      <c r="L2024" s="4"/>
      <c r="N2024" s="2" t="s">
        <v>974</v>
      </c>
    </row>
    <row r="2025" spans="1:14" ht="30" x14ac:dyDescent="0.25">
      <c r="F2025" s="10">
        <v>10</v>
      </c>
      <c r="G2025" s="2" t="s">
        <v>1444</v>
      </c>
    </row>
    <row r="2026" spans="1:14" ht="30" x14ac:dyDescent="0.25">
      <c r="F2026" s="10">
        <v>11</v>
      </c>
      <c r="G2026" s="2" t="s">
        <v>3778</v>
      </c>
    </row>
    <row r="2027" spans="1:14" ht="30" x14ac:dyDescent="0.25">
      <c r="F2027" s="10">
        <v>12</v>
      </c>
      <c r="H2027" s="2" t="s">
        <v>3118</v>
      </c>
      <c r="I2027" s="2" t="s">
        <v>30</v>
      </c>
      <c r="J2027" s="7" t="s">
        <v>33</v>
      </c>
      <c r="K2027" s="4"/>
      <c r="L2027" s="4"/>
      <c r="N2027" s="2" t="s">
        <v>974</v>
      </c>
    </row>
    <row r="2028" spans="1:14" ht="30" x14ac:dyDescent="0.25">
      <c r="F2028" s="10">
        <v>13</v>
      </c>
      <c r="H2028" s="2" t="s">
        <v>1443</v>
      </c>
      <c r="I2028" s="2" t="s">
        <v>30</v>
      </c>
      <c r="J2028" s="7" t="s">
        <v>33</v>
      </c>
      <c r="K2028" s="4"/>
      <c r="L2028" s="4"/>
      <c r="N2028" s="2" t="s">
        <v>974</v>
      </c>
    </row>
    <row r="2029" spans="1:14" x14ac:dyDescent="0.25">
      <c r="F2029" s="10">
        <v>14</v>
      </c>
      <c r="G2029" s="2" t="s">
        <v>3119</v>
      </c>
      <c r="J2029" s="7"/>
    </row>
    <row r="2030" spans="1:14" ht="30" x14ac:dyDescent="0.25">
      <c r="F2030" s="10">
        <v>15</v>
      </c>
      <c r="G2030" s="2" t="s">
        <v>1449</v>
      </c>
    </row>
    <row r="2031" spans="1:14" x14ac:dyDescent="0.25">
      <c r="F2031" s="10">
        <v>16</v>
      </c>
      <c r="H2031" s="2" t="s">
        <v>1450</v>
      </c>
      <c r="I2031" s="2" t="s">
        <v>30</v>
      </c>
      <c r="J2031" s="7" t="s">
        <v>33</v>
      </c>
      <c r="K2031" s="4"/>
      <c r="L2031" s="4"/>
      <c r="N2031" s="2" t="s">
        <v>974</v>
      </c>
    </row>
    <row r="2033" spans="1:17" ht="108.75" customHeight="1" x14ac:dyDescent="0.25">
      <c r="A2033" s="19" t="s">
        <v>2049</v>
      </c>
      <c r="B2033" s="19" t="s">
        <v>3880</v>
      </c>
      <c r="C2033" s="19" t="s">
        <v>3848</v>
      </c>
      <c r="D2033" s="19" t="s">
        <v>3881</v>
      </c>
      <c r="E2033" s="10" t="s">
        <v>121</v>
      </c>
      <c r="F2033" s="10">
        <v>1</v>
      </c>
      <c r="G2033" s="2" t="s">
        <v>3120</v>
      </c>
    </row>
    <row r="2034" spans="1:17" ht="30" x14ac:dyDescent="0.25">
      <c r="F2034" s="10">
        <v>2</v>
      </c>
      <c r="G2034" s="2" t="s">
        <v>3121</v>
      </c>
    </row>
    <row r="2035" spans="1:17" ht="60" x14ac:dyDescent="0.25">
      <c r="F2035" s="10">
        <v>3</v>
      </c>
      <c r="H2035" s="2" t="s">
        <v>3882</v>
      </c>
      <c r="I2035" s="2" t="s">
        <v>30</v>
      </c>
      <c r="J2035" s="3">
        <v>40297</v>
      </c>
      <c r="K2035" s="4"/>
      <c r="L2035" s="4"/>
      <c r="N2035" s="2" t="s">
        <v>974</v>
      </c>
    </row>
    <row r="2036" spans="1:17" ht="30" x14ac:dyDescent="0.25">
      <c r="F2036" s="10">
        <v>4</v>
      </c>
      <c r="H2036" s="2" t="s">
        <v>1468</v>
      </c>
      <c r="I2036" s="2" t="s">
        <v>30</v>
      </c>
      <c r="J2036" s="3">
        <v>40297</v>
      </c>
      <c r="K2036" s="4"/>
      <c r="L2036" s="4"/>
      <c r="N2036" s="2" t="s">
        <v>974</v>
      </c>
    </row>
    <row r="2037" spans="1:17" ht="30" x14ac:dyDescent="0.25">
      <c r="F2037" s="10">
        <v>5</v>
      </c>
      <c r="H2037" s="2" t="s">
        <v>1459</v>
      </c>
      <c r="I2037" s="2" t="s">
        <v>30</v>
      </c>
      <c r="J2037" s="3">
        <v>40297</v>
      </c>
      <c r="K2037" s="4"/>
      <c r="L2037" s="4"/>
      <c r="N2037" s="2" t="s">
        <v>974</v>
      </c>
    </row>
    <row r="2038" spans="1:17" ht="30" x14ac:dyDescent="0.25">
      <c r="F2038" s="10">
        <v>6</v>
      </c>
      <c r="H2038" s="2" t="s">
        <v>1469</v>
      </c>
      <c r="I2038" s="2" t="s">
        <v>30</v>
      </c>
      <c r="J2038" s="3">
        <v>40297</v>
      </c>
      <c r="K2038" s="4"/>
      <c r="L2038" s="4"/>
      <c r="N2038" s="2" t="s">
        <v>974</v>
      </c>
    </row>
    <row r="2039" spans="1:17" ht="150" x14ac:dyDescent="0.25">
      <c r="F2039" s="10">
        <v>7</v>
      </c>
      <c r="H2039" s="2" t="s">
        <v>1461</v>
      </c>
      <c r="I2039" s="2" t="s">
        <v>30</v>
      </c>
      <c r="J2039" s="3">
        <v>40297</v>
      </c>
      <c r="K2039" s="4"/>
      <c r="L2039" s="4"/>
      <c r="N2039" s="2" t="s">
        <v>974</v>
      </c>
      <c r="O2039" s="2" t="s">
        <v>2178</v>
      </c>
      <c r="P2039" s="2" t="s">
        <v>977</v>
      </c>
      <c r="Q2039" s="2" t="s">
        <v>540</v>
      </c>
    </row>
    <row r="2040" spans="1:17" ht="30" x14ac:dyDescent="0.25">
      <c r="F2040" s="10">
        <v>8</v>
      </c>
      <c r="H2040" s="2" t="s">
        <v>1462</v>
      </c>
      <c r="I2040" s="2" t="s">
        <v>30</v>
      </c>
      <c r="J2040" s="3">
        <v>40297</v>
      </c>
      <c r="K2040" s="4"/>
      <c r="L2040" s="4"/>
      <c r="N2040" s="2" t="s">
        <v>974</v>
      </c>
    </row>
    <row r="2041" spans="1:17" ht="45" x14ac:dyDescent="0.25">
      <c r="F2041" s="10">
        <v>9</v>
      </c>
      <c r="H2041" s="2" t="s">
        <v>1463</v>
      </c>
      <c r="I2041" s="2" t="s">
        <v>30</v>
      </c>
      <c r="J2041" s="3">
        <v>40297</v>
      </c>
      <c r="K2041" s="4"/>
      <c r="L2041" s="4"/>
      <c r="N2041" s="2" t="s">
        <v>974</v>
      </c>
      <c r="O2041" s="2" t="s">
        <v>2775</v>
      </c>
      <c r="P2041" s="2" t="s">
        <v>977</v>
      </c>
      <c r="Q2041" s="2" t="s">
        <v>540</v>
      </c>
    </row>
    <row r="2042" spans="1:17" ht="30" x14ac:dyDescent="0.25">
      <c r="F2042" s="10">
        <v>10</v>
      </c>
      <c r="H2042" s="2" t="s">
        <v>1460</v>
      </c>
      <c r="I2042" s="2" t="s">
        <v>30</v>
      </c>
      <c r="J2042" s="3">
        <v>40297</v>
      </c>
      <c r="K2042" s="4"/>
      <c r="L2042" s="4"/>
      <c r="N2042" s="2" t="s">
        <v>974</v>
      </c>
    </row>
    <row r="2044" spans="1:17" ht="75" x14ac:dyDescent="0.25">
      <c r="A2044" s="19" t="s">
        <v>2050</v>
      </c>
      <c r="B2044" s="19" t="s">
        <v>1464</v>
      </c>
      <c r="C2044" s="19" t="s">
        <v>39</v>
      </c>
      <c r="D2044" s="19" t="s">
        <v>1465</v>
      </c>
      <c r="E2044" s="10" t="s">
        <v>121</v>
      </c>
      <c r="F2044" s="10">
        <v>1</v>
      </c>
      <c r="G2044" s="2" t="s">
        <v>3120</v>
      </c>
    </row>
    <row r="2045" spans="1:17" ht="30" x14ac:dyDescent="0.25">
      <c r="F2045" s="10">
        <v>2</v>
      </c>
      <c r="G2045" s="2" t="s">
        <v>3121</v>
      </c>
    </row>
    <row r="2046" spans="1:17" ht="60" x14ac:dyDescent="0.25">
      <c r="F2046" s="10">
        <v>3</v>
      </c>
      <c r="H2046" s="2" t="s">
        <v>1466</v>
      </c>
      <c r="I2046" s="2" t="s">
        <v>30</v>
      </c>
      <c r="J2046" s="3">
        <v>40297</v>
      </c>
      <c r="K2046" s="4"/>
      <c r="L2046" s="4"/>
      <c r="N2046" s="2" t="s">
        <v>973</v>
      </c>
      <c r="O2046" s="2" t="s">
        <v>2966</v>
      </c>
      <c r="P2046" s="2" t="s">
        <v>977</v>
      </c>
      <c r="Q2046" s="2" t="s">
        <v>1394</v>
      </c>
    </row>
    <row r="2047" spans="1:17" ht="30" x14ac:dyDescent="0.25">
      <c r="J2047" s="3"/>
      <c r="K2047" s="3"/>
      <c r="L2047" s="3"/>
      <c r="N2047" s="2" t="s">
        <v>974</v>
      </c>
      <c r="O2047" s="2" t="s">
        <v>2961</v>
      </c>
      <c r="P2047" s="2" t="s">
        <v>982</v>
      </c>
      <c r="Q2047" s="2" t="s">
        <v>540</v>
      </c>
    </row>
    <row r="2048" spans="1:17" ht="30" x14ac:dyDescent="0.25">
      <c r="F2048" s="10">
        <v>4</v>
      </c>
      <c r="H2048" s="2" t="s">
        <v>1467</v>
      </c>
      <c r="I2048" s="2" t="s">
        <v>30</v>
      </c>
      <c r="J2048" s="3">
        <v>40297</v>
      </c>
      <c r="K2048" s="4"/>
      <c r="L2048" s="4"/>
      <c r="N2048" s="2" t="s">
        <v>974</v>
      </c>
    </row>
    <row r="2049" spans="1:17" ht="30" x14ac:dyDescent="0.25">
      <c r="F2049" s="10">
        <v>5</v>
      </c>
      <c r="H2049" s="2" t="s">
        <v>1459</v>
      </c>
      <c r="I2049" s="2" t="s">
        <v>30</v>
      </c>
      <c r="J2049" s="7" t="s">
        <v>33</v>
      </c>
      <c r="K2049" s="4"/>
      <c r="L2049" s="4"/>
      <c r="N2049" s="2" t="s">
        <v>33</v>
      </c>
      <c r="O2049" s="2" t="s">
        <v>2967</v>
      </c>
    </row>
    <row r="2050" spans="1:17" ht="105" x14ac:dyDescent="0.25">
      <c r="F2050" s="10">
        <v>6</v>
      </c>
      <c r="H2050" s="2" t="s">
        <v>1472</v>
      </c>
      <c r="I2050" s="2" t="s">
        <v>30</v>
      </c>
      <c r="J2050" s="7" t="s">
        <v>33</v>
      </c>
      <c r="K2050" s="4"/>
      <c r="L2050" s="4"/>
      <c r="N2050" s="2" t="s">
        <v>33</v>
      </c>
      <c r="O2050" s="2" t="s">
        <v>2967</v>
      </c>
    </row>
    <row r="2051" spans="1:17" ht="30" x14ac:dyDescent="0.25">
      <c r="F2051" s="10">
        <v>7</v>
      </c>
      <c r="H2051" s="2" t="s">
        <v>1470</v>
      </c>
      <c r="I2051" s="2" t="s">
        <v>30</v>
      </c>
      <c r="J2051" s="3">
        <v>40297</v>
      </c>
      <c r="K2051" s="4"/>
      <c r="L2051" s="4"/>
      <c r="N2051" s="2" t="s">
        <v>974</v>
      </c>
    </row>
    <row r="2052" spans="1:17" ht="30" x14ac:dyDescent="0.25">
      <c r="F2052" s="10">
        <v>8</v>
      </c>
      <c r="H2052" s="2" t="s">
        <v>1471</v>
      </c>
      <c r="I2052" s="2" t="s">
        <v>30</v>
      </c>
      <c r="J2052" s="3">
        <v>40297</v>
      </c>
      <c r="K2052" s="4"/>
      <c r="L2052" s="4"/>
      <c r="N2052" s="2" t="s">
        <v>974</v>
      </c>
    </row>
    <row r="2053" spans="1:17" ht="30" x14ac:dyDescent="0.25">
      <c r="F2053" s="10">
        <v>9</v>
      </c>
      <c r="H2053" s="2" t="s">
        <v>3122</v>
      </c>
      <c r="I2053" s="2" t="s">
        <v>30</v>
      </c>
      <c r="J2053" s="3">
        <v>40297</v>
      </c>
      <c r="K2053" s="4"/>
      <c r="L2053" s="4"/>
      <c r="N2053" s="2" t="s">
        <v>974</v>
      </c>
    </row>
    <row r="2055" spans="1:17" ht="75" x14ac:dyDescent="0.25">
      <c r="A2055" s="19" t="s">
        <v>2055</v>
      </c>
      <c r="B2055" s="19" t="s">
        <v>1793</v>
      </c>
      <c r="C2055" s="19" t="s">
        <v>39</v>
      </c>
      <c r="D2055" s="19" t="s">
        <v>1465</v>
      </c>
      <c r="E2055" s="10" t="s">
        <v>121</v>
      </c>
      <c r="F2055" s="10">
        <v>1</v>
      </c>
      <c r="G2055" s="2" t="s">
        <v>1794</v>
      </c>
    </row>
    <row r="2056" spans="1:17" ht="45" x14ac:dyDescent="0.25">
      <c r="A2056" s="2"/>
      <c r="B2056" s="2"/>
      <c r="C2056" s="2"/>
      <c r="D2056" s="2"/>
      <c r="E2056" s="2"/>
      <c r="F2056" s="2">
        <v>2</v>
      </c>
      <c r="G2056" s="2" t="s">
        <v>3120</v>
      </c>
    </row>
    <row r="2057" spans="1:17" ht="30" x14ac:dyDescent="0.25">
      <c r="F2057" s="10">
        <v>3</v>
      </c>
      <c r="G2057" s="2" t="s">
        <v>3121</v>
      </c>
    </row>
    <row r="2058" spans="1:17" ht="105" x14ac:dyDescent="0.25">
      <c r="F2058" s="10">
        <v>4</v>
      </c>
      <c r="H2058" s="2" t="s">
        <v>1795</v>
      </c>
      <c r="I2058" s="2" t="s">
        <v>30</v>
      </c>
      <c r="J2058" s="3">
        <v>40297</v>
      </c>
      <c r="K2058" s="4"/>
      <c r="L2058" s="7" t="s">
        <v>14</v>
      </c>
      <c r="N2058" s="2" t="s">
        <v>973</v>
      </c>
      <c r="O2058" s="2" t="s">
        <v>2970</v>
      </c>
      <c r="P2058" s="2" t="s">
        <v>977</v>
      </c>
      <c r="Q2058" s="2" t="s">
        <v>1394</v>
      </c>
    </row>
    <row r="2059" spans="1:17" ht="60" x14ac:dyDescent="0.25">
      <c r="F2059" s="10">
        <v>5</v>
      </c>
      <c r="H2059" s="2" t="s">
        <v>1796</v>
      </c>
      <c r="I2059" s="2" t="s">
        <v>30</v>
      </c>
      <c r="J2059" s="3">
        <v>40297</v>
      </c>
      <c r="K2059" s="4"/>
      <c r="L2059" s="7" t="s">
        <v>14</v>
      </c>
      <c r="N2059" s="2" t="s">
        <v>973</v>
      </c>
      <c r="O2059" s="2" t="s">
        <v>2969</v>
      </c>
      <c r="P2059" s="2" t="s">
        <v>977</v>
      </c>
      <c r="Q2059" s="2" t="s">
        <v>1394</v>
      </c>
    </row>
    <row r="2061" spans="1:17" ht="75" x14ac:dyDescent="0.25">
      <c r="A2061" s="19" t="s">
        <v>2051</v>
      </c>
      <c r="B2061" s="19" t="s">
        <v>3779</v>
      </c>
      <c r="C2061" s="19" t="s">
        <v>2141</v>
      </c>
      <c r="D2061" s="19" t="s">
        <v>3780</v>
      </c>
      <c r="E2061" s="10" t="s">
        <v>121</v>
      </c>
      <c r="F2061" s="10">
        <v>1</v>
      </c>
      <c r="G2061" s="2" t="s">
        <v>3123</v>
      </c>
    </row>
    <row r="2062" spans="1:17" x14ac:dyDescent="0.25">
      <c r="F2062" s="10">
        <v>2</v>
      </c>
      <c r="G2062" s="2" t="s">
        <v>1474</v>
      </c>
    </row>
    <row r="2063" spans="1:17" x14ac:dyDescent="0.25">
      <c r="F2063" s="10">
        <v>3</v>
      </c>
      <c r="G2063" s="2" t="s">
        <v>1475</v>
      </c>
    </row>
    <row r="2064" spans="1:17" ht="30" x14ac:dyDescent="0.25">
      <c r="F2064" s="10">
        <v>4</v>
      </c>
      <c r="H2064" s="2" t="s">
        <v>1476</v>
      </c>
      <c r="I2064" s="2" t="s">
        <v>30</v>
      </c>
      <c r="J2064" s="3">
        <v>40297</v>
      </c>
      <c r="K2064" s="4"/>
      <c r="L2064" s="4"/>
      <c r="N2064" s="2" t="s">
        <v>974</v>
      </c>
    </row>
    <row r="2065" spans="1:17" x14ac:dyDescent="0.25">
      <c r="F2065" s="10">
        <v>5</v>
      </c>
      <c r="G2065" s="2" t="s">
        <v>720</v>
      </c>
    </row>
    <row r="2066" spans="1:17" ht="30" x14ac:dyDescent="0.25">
      <c r="F2066" s="10">
        <v>6</v>
      </c>
      <c r="H2066" s="2" t="s">
        <v>3781</v>
      </c>
      <c r="I2066" s="2" t="s">
        <v>30</v>
      </c>
      <c r="J2066" s="3">
        <v>40297</v>
      </c>
      <c r="K2066" s="4"/>
      <c r="L2066" s="4"/>
      <c r="N2066" s="2" t="s">
        <v>974</v>
      </c>
    </row>
    <row r="2067" spans="1:17" x14ac:dyDescent="0.25">
      <c r="E2067" s="10" t="s">
        <v>767</v>
      </c>
      <c r="F2067" s="10">
        <v>1</v>
      </c>
      <c r="G2067" s="2" t="s">
        <v>1477</v>
      </c>
    </row>
    <row r="2068" spans="1:17" ht="30" x14ac:dyDescent="0.25">
      <c r="F2068" s="10">
        <v>2</v>
      </c>
      <c r="H2068" s="2" t="s">
        <v>3782</v>
      </c>
      <c r="I2068" s="2" t="s">
        <v>30</v>
      </c>
      <c r="J2068" s="3">
        <v>40297</v>
      </c>
      <c r="K2068" s="4"/>
      <c r="L2068" s="4"/>
      <c r="N2068" s="2" t="s">
        <v>974</v>
      </c>
    </row>
    <row r="2069" spans="1:17" x14ac:dyDescent="0.25">
      <c r="F2069" s="10">
        <v>3</v>
      </c>
      <c r="H2069" s="2" t="s">
        <v>1478</v>
      </c>
      <c r="I2069" s="2" t="s">
        <v>30</v>
      </c>
      <c r="J2069" s="3">
        <v>40297</v>
      </c>
      <c r="K2069" s="4"/>
      <c r="L2069" s="4"/>
      <c r="N2069" s="2" t="s">
        <v>974</v>
      </c>
    </row>
    <row r="2070" spans="1:17" ht="45" x14ac:dyDescent="0.25">
      <c r="E2070" s="10" t="s">
        <v>308</v>
      </c>
      <c r="F2070" s="10">
        <v>1</v>
      </c>
      <c r="G2070" s="2" t="s">
        <v>1479</v>
      </c>
    </row>
    <row r="2071" spans="1:17" x14ac:dyDescent="0.25">
      <c r="F2071" s="10">
        <v>2</v>
      </c>
      <c r="H2071" s="2" t="s">
        <v>726</v>
      </c>
      <c r="I2071" s="2" t="s">
        <v>30</v>
      </c>
      <c r="J2071" s="3">
        <v>40297</v>
      </c>
      <c r="K2071" s="4"/>
      <c r="L2071" s="4"/>
      <c r="N2071" s="2" t="s">
        <v>974</v>
      </c>
    </row>
    <row r="2072" spans="1:17" ht="30" x14ac:dyDescent="0.25">
      <c r="E2072" s="10" t="s">
        <v>309</v>
      </c>
      <c r="F2072" s="10">
        <v>1</v>
      </c>
      <c r="G2072" s="2" t="s">
        <v>1480</v>
      </c>
    </row>
    <row r="2073" spans="1:17" x14ac:dyDescent="0.25">
      <c r="F2073" s="10">
        <v>2</v>
      </c>
      <c r="H2073" s="2" t="s">
        <v>726</v>
      </c>
      <c r="I2073" s="2" t="s">
        <v>30</v>
      </c>
      <c r="J2073" s="3">
        <v>40297</v>
      </c>
      <c r="K2073" s="4"/>
      <c r="L2073" s="4"/>
      <c r="N2073" s="2" t="s">
        <v>974</v>
      </c>
    </row>
    <row r="2075" spans="1:17" ht="60" x14ac:dyDescent="0.25">
      <c r="A2075" s="7" t="s">
        <v>865</v>
      </c>
      <c r="B2075" s="19" t="s">
        <v>2115</v>
      </c>
      <c r="C2075" s="7" t="s">
        <v>39</v>
      </c>
      <c r="D2075" s="19" t="s">
        <v>2116</v>
      </c>
      <c r="E2075" s="10" t="s">
        <v>121</v>
      </c>
      <c r="F2075" s="10">
        <v>1</v>
      </c>
      <c r="G2075" s="2" t="s">
        <v>1773</v>
      </c>
    </row>
    <row r="2076" spans="1:17" ht="30" x14ac:dyDescent="0.25">
      <c r="F2076" s="10">
        <v>2</v>
      </c>
      <c r="H2076" s="2" t="s">
        <v>1774</v>
      </c>
      <c r="I2076" s="2" t="s">
        <v>29</v>
      </c>
      <c r="J2076" s="3">
        <v>40304</v>
      </c>
      <c r="K2076" s="4"/>
      <c r="L2076" s="7" t="s">
        <v>1288</v>
      </c>
      <c r="N2076" s="2" t="s">
        <v>974</v>
      </c>
    </row>
    <row r="2077" spans="1:17" ht="60" x14ac:dyDescent="0.25">
      <c r="F2077" s="10">
        <v>3</v>
      </c>
      <c r="H2077" s="2" t="s">
        <v>1780</v>
      </c>
      <c r="I2077" s="2" t="s">
        <v>29</v>
      </c>
      <c r="J2077" s="3">
        <v>40304</v>
      </c>
      <c r="K2077" s="4"/>
      <c r="L2077" s="7" t="s">
        <v>1288</v>
      </c>
      <c r="N2077" s="2" t="s">
        <v>974</v>
      </c>
    </row>
    <row r="2078" spans="1:17" ht="30" x14ac:dyDescent="0.25">
      <c r="F2078" s="10">
        <v>4</v>
      </c>
      <c r="G2078" s="2" t="s">
        <v>1781</v>
      </c>
    </row>
    <row r="2079" spans="1:17" ht="60" x14ac:dyDescent="0.25">
      <c r="F2079" s="10">
        <v>5</v>
      </c>
      <c r="H2079" s="2" t="s">
        <v>1782</v>
      </c>
      <c r="I2079" s="2" t="s">
        <v>29</v>
      </c>
      <c r="J2079" s="3">
        <v>40304</v>
      </c>
      <c r="K2079" s="4"/>
      <c r="L2079" s="7" t="s">
        <v>1288</v>
      </c>
      <c r="N2079" s="2" t="s">
        <v>974</v>
      </c>
      <c r="O2079" s="2" t="s">
        <v>2736</v>
      </c>
      <c r="P2079" s="2" t="s">
        <v>980</v>
      </c>
      <c r="Q2079" s="2" t="s">
        <v>540</v>
      </c>
    </row>
    <row r="2080" spans="1:17" ht="45" x14ac:dyDescent="0.25">
      <c r="F2080" s="10">
        <v>6</v>
      </c>
      <c r="H2080" s="2" t="s">
        <v>1783</v>
      </c>
      <c r="I2080" s="2" t="s">
        <v>29</v>
      </c>
      <c r="J2080" s="3">
        <v>40304</v>
      </c>
      <c r="K2080" s="4"/>
      <c r="L2080" s="7" t="s">
        <v>1288</v>
      </c>
      <c r="N2080" s="2" t="s">
        <v>974</v>
      </c>
      <c r="O2080" s="2" t="s">
        <v>3715</v>
      </c>
      <c r="P2080" s="2" t="s">
        <v>977</v>
      </c>
      <c r="Q2080" s="2" t="s">
        <v>540</v>
      </c>
    </row>
    <row r="2081" spans="1:17" ht="30" x14ac:dyDescent="0.25">
      <c r="F2081" s="10">
        <v>7</v>
      </c>
      <c r="H2081" s="2" t="s">
        <v>3981</v>
      </c>
      <c r="I2081" s="2" t="s">
        <v>29</v>
      </c>
      <c r="J2081" s="7" t="s">
        <v>33</v>
      </c>
      <c r="K2081" s="4"/>
      <c r="L2081" s="4"/>
      <c r="N2081" s="2" t="s">
        <v>974</v>
      </c>
    </row>
    <row r="2082" spans="1:17" ht="30" x14ac:dyDescent="0.25">
      <c r="F2082" s="10">
        <v>8</v>
      </c>
      <c r="H2082" s="2" t="s">
        <v>1784</v>
      </c>
      <c r="I2082" s="2" t="s">
        <v>29</v>
      </c>
      <c r="J2082" s="3">
        <v>40304</v>
      </c>
      <c r="K2082" s="4"/>
      <c r="L2082" s="7" t="s">
        <v>1288</v>
      </c>
      <c r="N2082" s="2" t="s">
        <v>974</v>
      </c>
    </row>
    <row r="2083" spans="1:17" x14ac:dyDescent="0.25">
      <c r="F2083" s="10">
        <v>9</v>
      </c>
      <c r="H2083" s="2" t="s">
        <v>1779</v>
      </c>
      <c r="I2083" s="2" t="s">
        <v>29</v>
      </c>
      <c r="J2083" s="3">
        <v>40304</v>
      </c>
      <c r="K2083" s="4"/>
      <c r="L2083" s="7" t="s">
        <v>1288</v>
      </c>
      <c r="N2083" s="2" t="s">
        <v>974</v>
      </c>
    </row>
    <row r="2084" spans="1:17" ht="45" x14ac:dyDescent="0.25">
      <c r="F2084" s="10">
        <v>10</v>
      </c>
      <c r="H2084" s="2" t="s">
        <v>1792</v>
      </c>
      <c r="I2084" s="2" t="s">
        <v>29</v>
      </c>
      <c r="J2084" s="3">
        <v>40304</v>
      </c>
      <c r="K2084" s="4"/>
      <c r="L2084" s="7" t="s">
        <v>1288</v>
      </c>
      <c r="N2084" s="2" t="s">
        <v>974</v>
      </c>
      <c r="O2084" s="2" t="s">
        <v>3715</v>
      </c>
      <c r="P2084" s="2" t="s">
        <v>977</v>
      </c>
      <c r="Q2084" s="2" t="s">
        <v>540</v>
      </c>
    </row>
    <row r="2085" spans="1:17" ht="30" x14ac:dyDescent="0.25">
      <c r="F2085" s="10">
        <v>11</v>
      </c>
      <c r="H2085" s="2" t="s">
        <v>3981</v>
      </c>
      <c r="I2085" s="2" t="s">
        <v>29</v>
      </c>
      <c r="J2085" s="7" t="s">
        <v>33</v>
      </c>
      <c r="K2085" s="4"/>
      <c r="L2085" s="4"/>
      <c r="N2085" s="2" t="s">
        <v>974</v>
      </c>
    </row>
    <row r="2086" spans="1:17" ht="30" x14ac:dyDescent="0.25">
      <c r="F2086" s="10">
        <v>12</v>
      </c>
      <c r="H2086" s="2" t="s">
        <v>1785</v>
      </c>
      <c r="I2086" s="2" t="s">
        <v>29</v>
      </c>
      <c r="J2086" s="3">
        <v>40304</v>
      </c>
      <c r="K2086" s="4"/>
      <c r="L2086" s="7" t="s">
        <v>1288</v>
      </c>
      <c r="N2086" s="2" t="s">
        <v>974</v>
      </c>
    </row>
    <row r="2087" spans="1:17" ht="45" x14ac:dyDescent="0.25">
      <c r="F2087" s="10">
        <v>13</v>
      </c>
      <c r="H2087" s="2" t="s">
        <v>1786</v>
      </c>
      <c r="I2087" s="2" t="s">
        <v>29</v>
      </c>
      <c r="J2087" s="3">
        <v>40304</v>
      </c>
      <c r="K2087" s="4"/>
      <c r="L2087" s="7" t="s">
        <v>1288</v>
      </c>
      <c r="N2087" s="2" t="s">
        <v>974</v>
      </c>
    </row>
    <row r="2088" spans="1:17" ht="30" x14ac:dyDescent="0.25">
      <c r="F2088" s="10">
        <v>14</v>
      </c>
      <c r="H2088" s="2" t="s">
        <v>1787</v>
      </c>
      <c r="I2088" s="2" t="s">
        <v>29</v>
      </c>
      <c r="J2088" s="3">
        <v>40304</v>
      </c>
      <c r="K2088" s="4"/>
      <c r="L2088" s="7" t="s">
        <v>1288</v>
      </c>
      <c r="N2088" s="2" t="s">
        <v>974</v>
      </c>
    </row>
    <row r="2089" spans="1:17" ht="30" x14ac:dyDescent="0.25">
      <c r="E2089" s="10" t="s">
        <v>767</v>
      </c>
      <c r="F2089" s="10">
        <v>1</v>
      </c>
      <c r="G2089" s="2" t="s">
        <v>1788</v>
      </c>
    </row>
    <row r="2090" spans="1:17" ht="75" x14ac:dyDescent="0.25">
      <c r="F2090" s="10">
        <v>2</v>
      </c>
      <c r="H2090" s="2" t="s">
        <v>1789</v>
      </c>
      <c r="I2090" s="2" t="s">
        <v>29</v>
      </c>
      <c r="J2090" s="3">
        <v>40304</v>
      </c>
      <c r="K2090" s="4"/>
      <c r="L2090" s="7" t="s">
        <v>1288</v>
      </c>
      <c r="N2090" s="2" t="s">
        <v>974</v>
      </c>
      <c r="O2090" s="2" t="s">
        <v>2737</v>
      </c>
      <c r="P2090" s="2" t="s">
        <v>977</v>
      </c>
      <c r="Q2090" s="2" t="s">
        <v>540</v>
      </c>
    </row>
    <row r="2091" spans="1:17" ht="45" x14ac:dyDescent="0.25">
      <c r="E2091" s="10" t="s">
        <v>489</v>
      </c>
      <c r="F2091" s="10">
        <v>1</v>
      </c>
      <c r="G2091" s="2" t="s">
        <v>1790</v>
      </c>
    </row>
    <row r="2092" spans="1:17" ht="75" x14ac:dyDescent="0.25">
      <c r="F2092" s="10">
        <v>2</v>
      </c>
      <c r="H2092" s="2" t="s">
        <v>1789</v>
      </c>
      <c r="I2092" s="2" t="s">
        <v>29</v>
      </c>
      <c r="J2092" s="3">
        <v>40304</v>
      </c>
      <c r="K2092" s="4"/>
      <c r="L2092" s="7" t="s">
        <v>1288</v>
      </c>
      <c r="N2092" s="2" t="s">
        <v>974</v>
      </c>
      <c r="O2092" s="2" t="s">
        <v>2737</v>
      </c>
      <c r="P2092" s="2" t="s">
        <v>977</v>
      </c>
      <c r="Q2092" s="2" t="s">
        <v>540</v>
      </c>
    </row>
    <row r="2093" spans="1:17" x14ac:dyDescent="0.25">
      <c r="E2093" s="10" t="s">
        <v>374</v>
      </c>
      <c r="F2093" s="10">
        <v>1</v>
      </c>
      <c r="G2093" s="2" t="s">
        <v>1791</v>
      </c>
    </row>
    <row r="2094" spans="1:17" x14ac:dyDescent="0.25">
      <c r="F2094" s="10">
        <v>2</v>
      </c>
      <c r="H2094" s="2" t="s">
        <v>2738</v>
      </c>
      <c r="I2094" s="2" t="s">
        <v>29</v>
      </c>
      <c r="J2094" s="3">
        <v>40304</v>
      </c>
      <c r="K2094" s="4"/>
      <c r="L2094" s="7" t="s">
        <v>1288</v>
      </c>
      <c r="N2094" s="2" t="s">
        <v>974</v>
      </c>
    </row>
    <row r="2096" spans="1:17" ht="60" x14ac:dyDescent="0.25">
      <c r="A2096" s="19" t="s">
        <v>2056</v>
      </c>
      <c r="B2096" s="19" t="s">
        <v>3783</v>
      </c>
      <c r="C2096" s="7" t="s">
        <v>39</v>
      </c>
      <c r="D2096" s="19" t="s">
        <v>1798</v>
      </c>
      <c r="E2096" s="10" t="s">
        <v>121</v>
      </c>
      <c r="F2096" s="10">
        <v>1</v>
      </c>
      <c r="G2096" s="2" t="s">
        <v>3784</v>
      </c>
    </row>
    <row r="2097" spans="6:17" ht="30" x14ac:dyDescent="0.25">
      <c r="F2097" s="10">
        <v>2</v>
      </c>
      <c r="H2097" s="2" t="s">
        <v>1799</v>
      </c>
      <c r="I2097" s="2" t="s">
        <v>29</v>
      </c>
      <c r="J2097" s="3">
        <v>40304</v>
      </c>
      <c r="K2097" s="4"/>
      <c r="L2097" s="7" t="s">
        <v>14</v>
      </c>
      <c r="M2097" s="2" t="s">
        <v>1682</v>
      </c>
      <c r="N2097" s="2" t="s">
        <v>974</v>
      </c>
    </row>
    <row r="2098" spans="6:17" ht="60" x14ac:dyDescent="0.25">
      <c r="F2098" s="10">
        <v>3</v>
      </c>
      <c r="H2098" s="2" t="s">
        <v>3124</v>
      </c>
      <c r="I2098" s="2" t="s">
        <v>30</v>
      </c>
      <c r="J2098" s="3" t="s">
        <v>33</v>
      </c>
      <c r="K2098" s="4"/>
      <c r="L2098" s="4"/>
      <c r="M2098" s="4"/>
    </row>
    <row r="2099" spans="6:17" ht="30" x14ac:dyDescent="0.25">
      <c r="F2099" s="10">
        <v>4</v>
      </c>
      <c r="H2099" s="7" t="s">
        <v>1835</v>
      </c>
      <c r="I2099" s="2" t="s">
        <v>29</v>
      </c>
      <c r="J2099" s="3">
        <v>40304</v>
      </c>
      <c r="K2099" s="4"/>
      <c r="L2099" s="7" t="s">
        <v>14</v>
      </c>
      <c r="M2099" s="2" t="s">
        <v>1682</v>
      </c>
      <c r="N2099" s="2" t="s">
        <v>974</v>
      </c>
    </row>
    <row r="2100" spans="6:17" ht="45" x14ac:dyDescent="0.25">
      <c r="F2100" s="10">
        <v>5</v>
      </c>
      <c r="H2100" s="2" t="s">
        <v>1800</v>
      </c>
      <c r="I2100" s="2" t="s">
        <v>29</v>
      </c>
      <c r="J2100" s="3">
        <v>40304</v>
      </c>
      <c r="K2100" s="4"/>
      <c r="L2100" s="7" t="s">
        <v>14</v>
      </c>
      <c r="M2100" s="2" t="s">
        <v>1682</v>
      </c>
      <c r="N2100" s="2" t="s">
        <v>974</v>
      </c>
    </row>
    <row r="2101" spans="6:17" ht="30" x14ac:dyDescent="0.25">
      <c r="F2101" s="10">
        <v>6</v>
      </c>
      <c r="H2101" s="2" t="s">
        <v>2227</v>
      </c>
      <c r="I2101" s="2" t="s">
        <v>29</v>
      </c>
      <c r="J2101" s="3">
        <v>40304</v>
      </c>
      <c r="K2101" s="4"/>
      <c r="L2101" s="7" t="s">
        <v>14</v>
      </c>
      <c r="M2101" s="2" t="s">
        <v>1682</v>
      </c>
      <c r="N2101" s="2" t="s">
        <v>974</v>
      </c>
    </row>
    <row r="2102" spans="6:17" ht="75" x14ac:dyDescent="0.25">
      <c r="F2102" s="10">
        <v>7</v>
      </c>
      <c r="H2102" s="2" t="s">
        <v>3125</v>
      </c>
      <c r="I2102" s="2" t="s">
        <v>30</v>
      </c>
      <c r="J2102" s="3">
        <v>40304</v>
      </c>
      <c r="K2102" s="4"/>
      <c r="L2102" s="7" t="s">
        <v>14</v>
      </c>
      <c r="M2102" s="2" t="s">
        <v>1682</v>
      </c>
      <c r="N2102" s="2" t="s">
        <v>974</v>
      </c>
    </row>
    <row r="2103" spans="6:17" ht="30" x14ac:dyDescent="0.25">
      <c r="F2103" s="10">
        <v>8</v>
      </c>
      <c r="H2103" s="2" t="s">
        <v>1801</v>
      </c>
      <c r="I2103" s="2" t="s">
        <v>29</v>
      </c>
      <c r="J2103" s="3">
        <v>40304</v>
      </c>
      <c r="K2103" s="4"/>
      <c r="L2103" s="7" t="s">
        <v>14</v>
      </c>
      <c r="M2103" s="2" t="s">
        <v>1682</v>
      </c>
      <c r="N2103" s="2" t="s">
        <v>974</v>
      </c>
    </row>
    <row r="2104" spans="6:17" ht="45" x14ac:dyDescent="0.25">
      <c r="F2104" s="10">
        <v>9</v>
      </c>
      <c r="H2104" s="2" t="s">
        <v>1802</v>
      </c>
      <c r="I2104" s="2" t="s">
        <v>29</v>
      </c>
      <c r="J2104" s="3">
        <v>40304</v>
      </c>
      <c r="K2104" s="4"/>
      <c r="L2104" s="7" t="s">
        <v>14</v>
      </c>
      <c r="M2104" s="2" t="s">
        <v>1682</v>
      </c>
      <c r="N2104" s="2" t="s">
        <v>974</v>
      </c>
    </row>
    <row r="2105" spans="6:17" ht="45" x14ac:dyDescent="0.25">
      <c r="F2105" s="10">
        <v>10</v>
      </c>
      <c r="H2105" s="7" t="s">
        <v>1804</v>
      </c>
      <c r="I2105" s="2" t="s">
        <v>29</v>
      </c>
      <c r="J2105" s="3">
        <v>40304</v>
      </c>
      <c r="K2105" s="4"/>
      <c r="L2105" s="7" t="s">
        <v>14</v>
      </c>
      <c r="M2105" s="7" t="s">
        <v>2416</v>
      </c>
      <c r="N2105" s="2" t="s">
        <v>974</v>
      </c>
    </row>
    <row r="2106" spans="6:17" ht="75" x14ac:dyDescent="0.25">
      <c r="F2106" s="10">
        <v>11</v>
      </c>
      <c r="H2106" s="7" t="s">
        <v>1805</v>
      </c>
      <c r="I2106" s="2" t="s">
        <v>29</v>
      </c>
      <c r="J2106" s="3">
        <v>40304</v>
      </c>
      <c r="K2106" s="4"/>
      <c r="L2106" s="7" t="s">
        <v>14</v>
      </c>
      <c r="M2106" s="2" t="s">
        <v>1682</v>
      </c>
      <c r="N2106" s="2" t="s">
        <v>974</v>
      </c>
    </row>
    <row r="2107" spans="6:17" ht="135" x14ac:dyDescent="0.25">
      <c r="F2107" s="10">
        <v>12</v>
      </c>
      <c r="H2107" s="2" t="s">
        <v>1824</v>
      </c>
      <c r="I2107" s="2" t="s">
        <v>29</v>
      </c>
      <c r="J2107" s="3">
        <v>40304</v>
      </c>
      <c r="K2107" s="4"/>
      <c r="L2107" s="7" t="s">
        <v>14</v>
      </c>
      <c r="M2107" s="2" t="s">
        <v>1682</v>
      </c>
      <c r="N2107" s="2" t="s">
        <v>974</v>
      </c>
    </row>
    <row r="2108" spans="6:17" ht="45" x14ac:dyDescent="0.25">
      <c r="F2108" s="10">
        <v>13</v>
      </c>
      <c r="H2108" s="7" t="s">
        <v>1825</v>
      </c>
      <c r="I2108" s="2" t="s">
        <v>29</v>
      </c>
      <c r="J2108" s="3">
        <v>40304</v>
      </c>
      <c r="K2108" s="4"/>
      <c r="L2108" s="7" t="s">
        <v>14</v>
      </c>
      <c r="M2108" s="2" t="s">
        <v>1682</v>
      </c>
      <c r="N2108" s="2" t="s">
        <v>974</v>
      </c>
    </row>
    <row r="2109" spans="6:17" ht="45" x14ac:dyDescent="0.25">
      <c r="F2109" s="10">
        <v>14</v>
      </c>
      <c r="H2109" s="7" t="s">
        <v>1837</v>
      </c>
      <c r="I2109" s="2" t="s">
        <v>29</v>
      </c>
      <c r="J2109" s="3">
        <v>40304</v>
      </c>
      <c r="K2109" s="4"/>
      <c r="L2109" s="7" t="s">
        <v>14</v>
      </c>
      <c r="M2109" s="2" t="s">
        <v>1682</v>
      </c>
      <c r="N2109" s="2" t="s">
        <v>974</v>
      </c>
    </row>
    <row r="2110" spans="6:17" ht="90" x14ac:dyDescent="0.25">
      <c r="F2110" s="10">
        <v>15</v>
      </c>
      <c r="H2110" s="7" t="s">
        <v>1827</v>
      </c>
      <c r="I2110" s="2" t="s">
        <v>29</v>
      </c>
      <c r="J2110" s="3">
        <v>40304</v>
      </c>
      <c r="K2110" s="4"/>
      <c r="L2110" s="7" t="s">
        <v>14</v>
      </c>
      <c r="M2110" s="2" t="s">
        <v>1682</v>
      </c>
      <c r="N2110" s="2" t="s">
        <v>974</v>
      </c>
      <c r="O2110" s="2" t="s">
        <v>2346</v>
      </c>
      <c r="P2110" s="2" t="s">
        <v>980</v>
      </c>
      <c r="Q2110" s="2" t="s">
        <v>540</v>
      </c>
    </row>
    <row r="2111" spans="6:17" ht="105" x14ac:dyDescent="0.25">
      <c r="H2111" s="7"/>
      <c r="J2111" s="3"/>
      <c r="K2111" s="3"/>
      <c r="N2111" s="2" t="s">
        <v>974</v>
      </c>
      <c r="O2111" s="2" t="s">
        <v>2375</v>
      </c>
      <c r="P2111" s="2" t="s">
        <v>977</v>
      </c>
      <c r="Q2111" s="2" t="s">
        <v>540</v>
      </c>
    </row>
    <row r="2112" spans="6:17" ht="75" x14ac:dyDescent="0.25">
      <c r="H2112" s="7"/>
      <c r="J2112" s="3"/>
      <c r="K2112" s="3"/>
      <c r="N2112" s="2" t="s">
        <v>974</v>
      </c>
      <c r="O2112" s="2" t="s">
        <v>3126</v>
      </c>
      <c r="P2112" s="2" t="s">
        <v>982</v>
      </c>
      <c r="Q2112" s="2" t="s">
        <v>540</v>
      </c>
    </row>
    <row r="2113" spans="5:17" ht="105" x14ac:dyDescent="0.25">
      <c r="F2113" s="10">
        <v>16</v>
      </c>
      <c r="H2113" s="7" t="s">
        <v>1828</v>
      </c>
      <c r="I2113" s="2" t="s">
        <v>30</v>
      </c>
      <c r="J2113" s="3">
        <v>40304</v>
      </c>
      <c r="K2113" s="4"/>
      <c r="L2113" s="7" t="s">
        <v>14</v>
      </c>
      <c r="M2113" s="2" t="s">
        <v>1682</v>
      </c>
      <c r="N2113" s="2" t="s">
        <v>974</v>
      </c>
      <c r="O2113" s="2" t="s">
        <v>2425</v>
      </c>
      <c r="P2113" s="2" t="s">
        <v>980</v>
      </c>
      <c r="Q2113" s="2" t="s">
        <v>540</v>
      </c>
    </row>
    <row r="2114" spans="5:17" ht="45" x14ac:dyDescent="0.25">
      <c r="F2114" s="10">
        <v>17</v>
      </c>
      <c r="H2114" s="7" t="s">
        <v>1829</v>
      </c>
      <c r="I2114" s="2" t="s">
        <v>29</v>
      </c>
      <c r="J2114" s="3">
        <v>40304</v>
      </c>
      <c r="K2114" s="4"/>
      <c r="L2114" s="7" t="s">
        <v>14</v>
      </c>
      <c r="M2114" s="2" t="s">
        <v>1682</v>
      </c>
      <c r="N2114" s="2" t="s">
        <v>974</v>
      </c>
    </row>
    <row r="2115" spans="5:17" ht="45" x14ac:dyDescent="0.25">
      <c r="F2115" s="10">
        <v>18</v>
      </c>
      <c r="H2115" s="2" t="s">
        <v>1806</v>
      </c>
      <c r="I2115" s="2" t="s">
        <v>29</v>
      </c>
      <c r="J2115" s="3">
        <v>40304</v>
      </c>
      <c r="K2115" s="4"/>
      <c r="L2115" s="7" t="s">
        <v>14</v>
      </c>
      <c r="M2115" s="2" t="s">
        <v>1682</v>
      </c>
      <c r="N2115" s="2" t="s">
        <v>33</v>
      </c>
      <c r="O2115" s="2" t="s">
        <v>3127</v>
      </c>
    </row>
    <row r="2116" spans="5:17" x14ac:dyDescent="0.25">
      <c r="F2116" s="10">
        <v>19</v>
      </c>
      <c r="H2116" s="7" t="s">
        <v>1815</v>
      </c>
      <c r="I2116" s="2" t="s">
        <v>29</v>
      </c>
      <c r="J2116" s="3">
        <v>40304</v>
      </c>
      <c r="K2116" s="4"/>
      <c r="L2116" s="7" t="s">
        <v>14</v>
      </c>
      <c r="M2116" s="2" t="s">
        <v>1682</v>
      </c>
      <c r="N2116" s="2" t="s">
        <v>33</v>
      </c>
      <c r="O2116" s="2" t="s">
        <v>3127</v>
      </c>
    </row>
    <row r="2117" spans="5:17" ht="30" x14ac:dyDescent="0.25">
      <c r="F2117" s="10">
        <v>20</v>
      </c>
      <c r="H2117" s="7" t="s">
        <v>3128</v>
      </c>
      <c r="I2117" s="2" t="s">
        <v>29</v>
      </c>
      <c r="J2117" s="3">
        <v>40304</v>
      </c>
      <c r="K2117" s="4"/>
      <c r="L2117" s="7" t="s">
        <v>14</v>
      </c>
      <c r="M2117" s="2" t="s">
        <v>1682</v>
      </c>
      <c r="N2117" s="2" t="s">
        <v>974</v>
      </c>
    </row>
    <row r="2118" spans="5:17" ht="45" x14ac:dyDescent="0.25">
      <c r="F2118" s="10">
        <v>21</v>
      </c>
      <c r="H2118" s="7" t="s">
        <v>1969</v>
      </c>
      <c r="I2118" s="2" t="s">
        <v>29</v>
      </c>
      <c r="J2118" s="7" t="s">
        <v>33</v>
      </c>
      <c r="K2118" s="4"/>
      <c r="L2118" s="7" t="s">
        <v>14</v>
      </c>
      <c r="M2118" s="2" t="s">
        <v>1682</v>
      </c>
      <c r="N2118" s="2" t="s">
        <v>974</v>
      </c>
    </row>
    <row r="2119" spans="5:17" ht="60" x14ac:dyDescent="0.25">
      <c r="F2119" s="10">
        <v>22</v>
      </c>
      <c r="H2119" s="7" t="s">
        <v>1980</v>
      </c>
      <c r="I2119" s="2" t="s">
        <v>29</v>
      </c>
      <c r="J2119" s="3">
        <v>40322</v>
      </c>
      <c r="K2119" s="4"/>
      <c r="L2119" s="7" t="s">
        <v>14</v>
      </c>
      <c r="M2119" s="2" t="s">
        <v>1682</v>
      </c>
      <c r="N2119" s="2" t="s">
        <v>974</v>
      </c>
    </row>
    <row r="2120" spans="5:17" ht="90" x14ac:dyDescent="0.25">
      <c r="F2120" s="10">
        <v>23</v>
      </c>
      <c r="H2120" s="7" t="s">
        <v>3129</v>
      </c>
      <c r="I2120" s="2" t="s">
        <v>29</v>
      </c>
      <c r="J2120" s="7" t="s">
        <v>33</v>
      </c>
      <c r="K2120" s="4"/>
      <c r="L2120" s="7" t="s">
        <v>14</v>
      </c>
      <c r="M2120" s="2" t="s">
        <v>1682</v>
      </c>
      <c r="N2120" s="2" t="s">
        <v>974</v>
      </c>
    </row>
    <row r="2121" spans="5:17" ht="30" x14ac:dyDescent="0.25">
      <c r="F2121" s="10">
        <v>24</v>
      </c>
      <c r="H2121" s="7" t="s">
        <v>2200</v>
      </c>
      <c r="I2121" s="2" t="s">
        <v>29</v>
      </c>
      <c r="J2121" s="7" t="s">
        <v>33</v>
      </c>
      <c r="K2121" s="4"/>
      <c r="L2121" s="7" t="s">
        <v>14</v>
      </c>
      <c r="M2121" s="2" t="s">
        <v>1682</v>
      </c>
      <c r="N2121" s="2" t="s">
        <v>974</v>
      </c>
    </row>
    <row r="2122" spans="5:17" ht="60" x14ac:dyDescent="0.25">
      <c r="F2122" s="10">
        <v>25</v>
      </c>
      <c r="H2122" s="7" t="s">
        <v>2201</v>
      </c>
      <c r="I2122" s="2" t="s">
        <v>29</v>
      </c>
      <c r="J2122" s="3">
        <v>40322</v>
      </c>
      <c r="K2122" s="4"/>
      <c r="L2122" s="7" t="s">
        <v>14</v>
      </c>
      <c r="M2122" s="2" t="s">
        <v>1682</v>
      </c>
      <c r="N2122" s="2" t="s">
        <v>974</v>
      </c>
    </row>
    <row r="2123" spans="5:17" ht="75" x14ac:dyDescent="0.25">
      <c r="F2123" s="10">
        <v>26</v>
      </c>
      <c r="H2123" s="7" t="s">
        <v>3982</v>
      </c>
      <c r="I2123" s="2" t="s">
        <v>29</v>
      </c>
      <c r="J2123" s="3">
        <v>40315</v>
      </c>
      <c r="K2123" s="4"/>
      <c r="L2123" s="7" t="s">
        <v>14</v>
      </c>
      <c r="M2123" s="2" t="s">
        <v>1682</v>
      </c>
      <c r="N2123" s="2" t="s">
        <v>974</v>
      </c>
    </row>
    <row r="2124" spans="5:17" x14ac:dyDescent="0.25">
      <c r="F2124" s="10">
        <v>27</v>
      </c>
      <c r="H2124" s="7" t="s">
        <v>2237</v>
      </c>
      <c r="I2124" s="2" t="s">
        <v>33</v>
      </c>
      <c r="J2124" s="3" t="s">
        <v>33</v>
      </c>
      <c r="K2124" s="4"/>
      <c r="L2124" s="7" t="s">
        <v>14</v>
      </c>
      <c r="M2124" s="2" t="s">
        <v>1682</v>
      </c>
      <c r="N2124" s="2" t="s">
        <v>974</v>
      </c>
    </row>
    <row r="2125" spans="5:17" ht="45" x14ac:dyDescent="0.25">
      <c r="F2125" s="10">
        <v>28</v>
      </c>
      <c r="H2125" s="7" t="s">
        <v>2241</v>
      </c>
      <c r="I2125" s="2" t="s">
        <v>33</v>
      </c>
      <c r="J2125" s="3" t="s">
        <v>33</v>
      </c>
      <c r="K2125" s="4"/>
      <c r="L2125" s="7" t="s">
        <v>14</v>
      </c>
      <c r="M2125" s="2" t="s">
        <v>1682</v>
      </c>
      <c r="N2125" s="2" t="s">
        <v>974</v>
      </c>
    </row>
    <row r="2126" spans="5:17" ht="90" x14ac:dyDescent="0.25">
      <c r="F2126" s="10">
        <v>29</v>
      </c>
      <c r="H2126" s="7" t="s">
        <v>2276</v>
      </c>
      <c r="I2126" s="2" t="s">
        <v>29</v>
      </c>
      <c r="J2126" s="3">
        <v>40322</v>
      </c>
      <c r="K2126" s="4"/>
      <c r="L2126" s="4"/>
      <c r="M2126" s="4"/>
      <c r="N2126" s="2" t="s">
        <v>974</v>
      </c>
      <c r="O2126" s="2" t="s">
        <v>2347</v>
      </c>
      <c r="P2126" s="2" t="s">
        <v>977</v>
      </c>
      <c r="Q2126" s="2" t="s">
        <v>540</v>
      </c>
    </row>
    <row r="2127" spans="5:17" ht="45" x14ac:dyDescent="0.25">
      <c r="E2127" s="10" t="s">
        <v>123</v>
      </c>
      <c r="F2127" s="10">
        <v>1</v>
      </c>
      <c r="G2127" s="2" t="s">
        <v>3785</v>
      </c>
    </row>
    <row r="2128" spans="5:17" ht="30" x14ac:dyDescent="0.25">
      <c r="F2128" s="10">
        <v>2</v>
      </c>
      <c r="H2128" s="2" t="s">
        <v>1809</v>
      </c>
      <c r="I2128" s="2" t="s">
        <v>29</v>
      </c>
      <c r="J2128" s="3">
        <v>40304</v>
      </c>
      <c r="K2128" s="4"/>
      <c r="L2128" s="7" t="s">
        <v>14</v>
      </c>
      <c r="M2128" s="2" t="s">
        <v>1682</v>
      </c>
      <c r="N2128" s="2" t="s">
        <v>974</v>
      </c>
    </row>
    <row r="2129" spans="1:17" ht="30" x14ac:dyDescent="0.25">
      <c r="F2129" s="10">
        <v>3</v>
      </c>
      <c r="H2129" s="2" t="s">
        <v>1810</v>
      </c>
      <c r="I2129" s="2" t="s">
        <v>29</v>
      </c>
      <c r="J2129" s="3">
        <v>40304</v>
      </c>
      <c r="K2129" s="4"/>
      <c r="L2129" s="7" t="s">
        <v>14</v>
      </c>
      <c r="M2129" s="2" t="s">
        <v>1682</v>
      </c>
      <c r="N2129" s="2" t="s">
        <v>974</v>
      </c>
    </row>
    <row r="2130" spans="1:17" ht="90" x14ac:dyDescent="0.25">
      <c r="F2130" s="10">
        <v>4</v>
      </c>
      <c r="H2130" s="2" t="s">
        <v>1812</v>
      </c>
      <c r="I2130" s="2" t="s">
        <v>30</v>
      </c>
      <c r="J2130" s="3">
        <v>40304</v>
      </c>
      <c r="K2130" s="4"/>
      <c r="L2130" s="7" t="s">
        <v>14</v>
      </c>
      <c r="M2130" s="2" t="s">
        <v>1682</v>
      </c>
      <c r="N2130" s="2" t="s">
        <v>974</v>
      </c>
    </row>
    <row r="2131" spans="1:17" ht="135" x14ac:dyDescent="0.25">
      <c r="F2131" s="10">
        <v>5</v>
      </c>
      <c r="H2131" s="2" t="s">
        <v>1813</v>
      </c>
      <c r="I2131" s="2" t="s">
        <v>30</v>
      </c>
      <c r="J2131" s="3">
        <v>40304</v>
      </c>
      <c r="K2131" s="4"/>
      <c r="L2131" s="7" t="s">
        <v>14</v>
      </c>
      <c r="M2131" s="2" t="s">
        <v>1682</v>
      </c>
      <c r="N2131" s="2" t="s">
        <v>974</v>
      </c>
      <c r="O2131" s="2" t="s">
        <v>2348</v>
      </c>
      <c r="P2131" s="2" t="s">
        <v>977</v>
      </c>
      <c r="Q2131" s="2" t="s">
        <v>540</v>
      </c>
    </row>
    <row r="2132" spans="1:17" ht="75" x14ac:dyDescent="0.25">
      <c r="F2132" s="10">
        <v>6</v>
      </c>
      <c r="H2132" s="7" t="s">
        <v>1826</v>
      </c>
      <c r="I2132" s="2" t="s">
        <v>29</v>
      </c>
      <c r="J2132" s="3">
        <v>40304</v>
      </c>
      <c r="K2132" s="4"/>
      <c r="L2132" s="7" t="s">
        <v>14</v>
      </c>
      <c r="M2132" s="2" t="s">
        <v>1682</v>
      </c>
      <c r="N2132" s="2" t="s">
        <v>974</v>
      </c>
    </row>
    <row r="2133" spans="1:17" ht="105" x14ac:dyDescent="0.25">
      <c r="F2133" s="10">
        <v>7</v>
      </c>
      <c r="H2133" s="7" t="s">
        <v>1830</v>
      </c>
      <c r="I2133" s="7" t="s">
        <v>30</v>
      </c>
      <c r="J2133" s="3">
        <v>40304</v>
      </c>
      <c r="K2133" s="4"/>
      <c r="L2133" s="7" t="s">
        <v>14</v>
      </c>
      <c r="M2133" s="2" t="s">
        <v>1682</v>
      </c>
      <c r="N2133" s="2" t="s">
        <v>974</v>
      </c>
      <c r="O2133" s="2" t="s">
        <v>2349</v>
      </c>
      <c r="P2133" s="2" t="s">
        <v>977</v>
      </c>
      <c r="Q2133" s="2" t="s">
        <v>540</v>
      </c>
    </row>
    <row r="2134" spans="1:17" ht="30" x14ac:dyDescent="0.25">
      <c r="F2134" s="10">
        <v>8</v>
      </c>
      <c r="H2134" s="7" t="s">
        <v>1831</v>
      </c>
      <c r="I2134" s="2" t="s">
        <v>29</v>
      </c>
      <c r="J2134" s="3">
        <v>40304</v>
      </c>
      <c r="K2134" s="4"/>
      <c r="L2134" s="7" t="s">
        <v>14</v>
      </c>
      <c r="M2134" s="2" t="s">
        <v>1682</v>
      </c>
      <c r="N2134" s="2" t="s">
        <v>974</v>
      </c>
    </row>
    <row r="2135" spans="1:17" ht="75" x14ac:dyDescent="0.25">
      <c r="F2135" s="10">
        <v>9</v>
      </c>
      <c r="H2135" s="7" t="s">
        <v>3130</v>
      </c>
      <c r="I2135" s="2" t="s">
        <v>29</v>
      </c>
      <c r="J2135" s="3">
        <v>40309</v>
      </c>
      <c r="K2135" s="4"/>
      <c r="L2135" s="7" t="s">
        <v>14</v>
      </c>
      <c r="M2135" s="2" t="s">
        <v>1682</v>
      </c>
      <c r="N2135" s="2" t="s">
        <v>974</v>
      </c>
      <c r="O2135" s="2" t="s">
        <v>3131</v>
      </c>
      <c r="P2135" s="2" t="s">
        <v>977</v>
      </c>
      <c r="Q2135" s="2" t="s">
        <v>540</v>
      </c>
    </row>
    <row r="2136" spans="1:17" ht="45" x14ac:dyDescent="0.25">
      <c r="F2136" s="10">
        <v>10</v>
      </c>
      <c r="H2136" s="7" t="s">
        <v>3132</v>
      </c>
      <c r="I2136" s="2" t="s">
        <v>30</v>
      </c>
      <c r="J2136" s="3">
        <v>40309</v>
      </c>
      <c r="K2136" s="4"/>
      <c r="L2136" s="7" t="s">
        <v>14</v>
      </c>
      <c r="M2136" s="2" t="s">
        <v>1682</v>
      </c>
      <c r="N2136" s="2" t="s">
        <v>974</v>
      </c>
    </row>
    <row r="2137" spans="1:17" ht="30" x14ac:dyDescent="0.25">
      <c r="F2137" s="10">
        <v>11</v>
      </c>
      <c r="H2137" s="7" t="s">
        <v>2233</v>
      </c>
      <c r="I2137" s="2" t="s">
        <v>29</v>
      </c>
      <c r="J2137" s="3" t="s">
        <v>33</v>
      </c>
      <c r="K2137" s="4"/>
      <c r="L2137" s="7" t="s">
        <v>14</v>
      </c>
      <c r="M2137" s="2" t="s">
        <v>1682</v>
      </c>
      <c r="N2137" s="2" t="s">
        <v>974</v>
      </c>
    </row>
    <row r="2138" spans="1:17" ht="60" x14ac:dyDescent="0.25">
      <c r="E2138" s="10" t="s">
        <v>126</v>
      </c>
      <c r="F2138" s="10">
        <v>1</v>
      </c>
      <c r="G2138" s="2" t="s">
        <v>3883</v>
      </c>
      <c r="H2138" s="7"/>
      <c r="J2138" s="3"/>
      <c r="K2138" s="3"/>
      <c r="L2138" s="3"/>
    </row>
    <row r="2139" spans="1:17" ht="30" x14ac:dyDescent="0.25">
      <c r="F2139" s="10">
        <v>2</v>
      </c>
      <c r="H2139" s="7" t="s">
        <v>2228</v>
      </c>
      <c r="I2139" s="2" t="s">
        <v>30</v>
      </c>
      <c r="J2139" s="3">
        <v>40304</v>
      </c>
      <c r="K2139" s="4"/>
      <c r="L2139" s="7" t="s">
        <v>14</v>
      </c>
      <c r="M2139" s="2" t="s">
        <v>1682</v>
      </c>
      <c r="N2139" s="2" t="s">
        <v>974</v>
      </c>
    </row>
    <row r="2140" spans="1:17" ht="45" x14ac:dyDescent="0.25">
      <c r="F2140" s="10">
        <v>3</v>
      </c>
      <c r="H2140" s="7" t="s">
        <v>2229</v>
      </c>
      <c r="I2140" s="2" t="s">
        <v>30</v>
      </c>
      <c r="J2140" s="3">
        <v>40304</v>
      </c>
      <c r="K2140" s="4"/>
      <c r="L2140" s="7" t="s">
        <v>14</v>
      </c>
      <c r="M2140" s="2" t="s">
        <v>1682</v>
      </c>
      <c r="N2140" s="2" t="s">
        <v>974</v>
      </c>
    </row>
    <row r="2141" spans="1:17" ht="45" x14ac:dyDescent="0.25">
      <c r="F2141" s="10">
        <v>4</v>
      </c>
      <c r="H2141" s="7" t="s">
        <v>2230</v>
      </c>
      <c r="I2141" s="2" t="s">
        <v>30</v>
      </c>
      <c r="J2141" s="3">
        <v>40304</v>
      </c>
      <c r="K2141" s="4"/>
      <c r="L2141" s="7" t="s">
        <v>14</v>
      </c>
      <c r="M2141" s="2" t="s">
        <v>1682</v>
      </c>
      <c r="N2141" s="2" t="s">
        <v>974</v>
      </c>
    </row>
    <row r="2143" spans="1:17" ht="45" x14ac:dyDescent="0.25">
      <c r="A2143" s="19" t="s">
        <v>1903</v>
      </c>
      <c r="B2143" s="19" t="s">
        <v>3786</v>
      </c>
      <c r="C2143" s="19" t="s">
        <v>460</v>
      </c>
      <c r="D2143" s="19" t="s">
        <v>3133</v>
      </c>
      <c r="E2143" s="10" t="s">
        <v>121</v>
      </c>
      <c r="F2143" s="10">
        <v>1</v>
      </c>
      <c r="G2143" s="2" t="s">
        <v>3785</v>
      </c>
    </row>
    <row r="2144" spans="1:17" ht="105" x14ac:dyDescent="0.25">
      <c r="F2144" s="10">
        <v>2</v>
      </c>
      <c r="H2144" s="2" t="s">
        <v>2226</v>
      </c>
      <c r="I2144" s="2" t="s">
        <v>29</v>
      </c>
      <c r="J2144" s="3">
        <v>40304</v>
      </c>
      <c r="K2144" s="4"/>
      <c r="L2144" s="7" t="s">
        <v>14</v>
      </c>
      <c r="M2144" s="2" t="s">
        <v>1682</v>
      </c>
      <c r="N2144" s="2" t="s">
        <v>974</v>
      </c>
    </row>
    <row r="2145" spans="1:17" ht="150" x14ac:dyDescent="0.25">
      <c r="F2145" s="10">
        <v>3</v>
      </c>
      <c r="H2145" s="2" t="s">
        <v>1833</v>
      </c>
      <c r="I2145" s="2" t="s">
        <v>29</v>
      </c>
      <c r="J2145" s="3">
        <v>40304</v>
      </c>
      <c r="K2145" s="4"/>
      <c r="L2145" s="7" t="s">
        <v>14</v>
      </c>
      <c r="M2145" s="2" t="s">
        <v>2694</v>
      </c>
      <c r="N2145" s="2" t="s">
        <v>33</v>
      </c>
    </row>
    <row r="2146" spans="1:17" ht="120" x14ac:dyDescent="0.25">
      <c r="F2146" s="10">
        <v>4</v>
      </c>
      <c r="H2146" s="2" t="s">
        <v>3134</v>
      </c>
      <c r="I2146" s="2" t="s">
        <v>29</v>
      </c>
      <c r="J2146" s="3">
        <v>40304</v>
      </c>
      <c r="K2146" s="4"/>
      <c r="L2146" s="7" t="s">
        <v>14</v>
      </c>
      <c r="M2146" s="2" t="s">
        <v>1682</v>
      </c>
      <c r="N2146" s="2" t="s">
        <v>974</v>
      </c>
    </row>
    <row r="2147" spans="1:17" ht="120" x14ac:dyDescent="0.25">
      <c r="F2147" s="10">
        <v>5</v>
      </c>
      <c r="H2147" s="2" t="s">
        <v>1832</v>
      </c>
      <c r="I2147" s="2" t="s">
        <v>29</v>
      </c>
      <c r="J2147" s="3">
        <v>40304</v>
      </c>
      <c r="K2147" s="4"/>
      <c r="L2147" s="7" t="s">
        <v>14</v>
      </c>
      <c r="M2147" s="2" t="s">
        <v>1682</v>
      </c>
      <c r="N2147" s="2" t="s">
        <v>974</v>
      </c>
    </row>
    <row r="2149" spans="1:17" ht="60" x14ac:dyDescent="0.25">
      <c r="A2149" s="19" t="s">
        <v>2057</v>
      </c>
      <c r="B2149" s="19" t="s">
        <v>3787</v>
      </c>
      <c r="C2149" s="7" t="s">
        <v>39</v>
      </c>
      <c r="D2149" s="19" t="s">
        <v>1798</v>
      </c>
      <c r="E2149" s="10" t="s">
        <v>121</v>
      </c>
      <c r="F2149" s="10">
        <v>1</v>
      </c>
      <c r="G2149" s="2" t="s">
        <v>3135</v>
      </c>
    </row>
    <row r="2150" spans="1:17" ht="45" x14ac:dyDescent="0.25">
      <c r="F2150" s="10">
        <v>2</v>
      </c>
      <c r="H2150" s="7" t="s">
        <v>1804</v>
      </c>
      <c r="I2150" s="7" t="s">
        <v>30</v>
      </c>
      <c r="J2150" s="3">
        <v>40304</v>
      </c>
      <c r="K2150" s="4"/>
      <c r="L2150" s="4"/>
      <c r="M2150" s="2" t="s">
        <v>1682</v>
      </c>
      <c r="N2150" s="2" t="s">
        <v>974</v>
      </c>
    </row>
    <row r="2151" spans="1:17" ht="75" x14ac:dyDescent="0.25">
      <c r="F2151" s="10">
        <v>3</v>
      </c>
      <c r="H2151" s="7" t="s">
        <v>1805</v>
      </c>
      <c r="I2151" s="7" t="s">
        <v>30</v>
      </c>
      <c r="J2151" s="3">
        <v>40304</v>
      </c>
      <c r="K2151" s="4"/>
      <c r="L2151" s="4"/>
      <c r="M2151" s="2" t="s">
        <v>1682</v>
      </c>
      <c r="N2151" s="2" t="s">
        <v>974</v>
      </c>
      <c r="O2151" s="2" t="s">
        <v>2640</v>
      </c>
      <c r="Q2151" s="2" t="s">
        <v>540</v>
      </c>
    </row>
    <row r="2152" spans="1:17" ht="60" x14ac:dyDescent="0.25">
      <c r="F2152" s="10">
        <v>4</v>
      </c>
      <c r="H2152" s="2" t="s">
        <v>1803</v>
      </c>
      <c r="I2152" s="7" t="s">
        <v>30</v>
      </c>
      <c r="J2152" s="3">
        <v>40304</v>
      </c>
      <c r="K2152" s="4"/>
      <c r="L2152" s="4"/>
      <c r="M2152" s="2" t="s">
        <v>1682</v>
      </c>
      <c r="N2152" s="2" t="s">
        <v>974</v>
      </c>
    </row>
    <row r="2153" spans="1:17" ht="30" x14ac:dyDescent="0.25">
      <c r="F2153" s="10">
        <v>5</v>
      </c>
      <c r="H2153" s="2" t="s">
        <v>2215</v>
      </c>
      <c r="I2153" s="7" t="s">
        <v>30</v>
      </c>
      <c r="J2153" s="3">
        <v>40304</v>
      </c>
      <c r="K2153" s="4"/>
      <c r="L2153" s="4"/>
      <c r="M2153" s="2" t="s">
        <v>1682</v>
      </c>
      <c r="N2153" s="2" t="s">
        <v>974</v>
      </c>
    </row>
    <row r="2154" spans="1:17" ht="30" x14ac:dyDescent="0.25">
      <c r="F2154" s="10">
        <v>6</v>
      </c>
      <c r="H2154" s="2" t="s">
        <v>1807</v>
      </c>
      <c r="I2154" s="7" t="s">
        <v>30</v>
      </c>
      <c r="J2154" s="3">
        <v>40304</v>
      </c>
      <c r="K2154" s="4"/>
      <c r="L2154" s="4"/>
      <c r="M2154" s="2" t="s">
        <v>1682</v>
      </c>
      <c r="N2154" s="2" t="s">
        <v>974</v>
      </c>
    </row>
    <row r="2155" spans="1:17" ht="30" x14ac:dyDescent="0.25">
      <c r="F2155" s="10">
        <v>7</v>
      </c>
      <c r="H2155" s="2" t="s">
        <v>1808</v>
      </c>
      <c r="I2155" s="7" t="s">
        <v>30</v>
      </c>
      <c r="J2155" s="3">
        <v>40304</v>
      </c>
      <c r="K2155" s="4"/>
      <c r="L2155" s="4"/>
      <c r="M2155" s="2" t="s">
        <v>1682</v>
      </c>
      <c r="N2155" s="2" t="s">
        <v>974</v>
      </c>
    </row>
    <row r="2156" spans="1:17" ht="30" x14ac:dyDescent="0.25">
      <c r="F2156" s="10">
        <v>8</v>
      </c>
      <c r="H2156" s="2" t="s">
        <v>1814</v>
      </c>
      <c r="I2156" s="2" t="s">
        <v>30</v>
      </c>
      <c r="J2156" s="3">
        <v>40304</v>
      </c>
      <c r="K2156" s="4"/>
      <c r="L2156" s="4"/>
      <c r="M2156" s="2" t="s">
        <v>1682</v>
      </c>
      <c r="N2156" s="2" t="s">
        <v>974</v>
      </c>
    </row>
    <row r="2157" spans="1:17" ht="30" x14ac:dyDescent="0.25">
      <c r="F2157" s="10">
        <v>9</v>
      </c>
      <c r="H2157" s="2" t="s">
        <v>1959</v>
      </c>
      <c r="I2157" s="2" t="s">
        <v>30</v>
      </c>
      <c r="J2157" s="3">
        <v>40304</v>
      </c>
      <c r="K2157" s="4"/>
      <c r="L2157" s="4"/>
      <c r="M2157" s="2" t="s">
        <v>1682</v>
      </c>
      <c r="N2157" s="2" t="s">
        <v>974</v>
      </c>
    </row>
    <row r="2158" spans="1:17" ht="30" x14ac:dyDescent="0.25">
      <c r="F2158" s="10">
        <v>10</v>
      </c>
      <c r="H2158" s="2" t="s">
        <v>3788</v>
      </c>
      <c r="I2158" s="2" t="s">
        <v>30</v>
      </c>
      <c r="J2158" s="3">
        <v>40322</v>
      </c>
      <c r="K2158" s="4"/>
      <c r="L2158" s="4"/>
      <c r="M2158" s="2" t="s">
        <v>1682</v>
      </c>
      <c r="N2158" s="2" t="s">
        <v>974</v>
      </c>
    </row>
    <row r="2159" spans="1:17" ht="30" x14ac:dyDescent="0.25">
      <c r="F2159" s="10">
        <v>11</v>
      </c>
      <c r="H2159" s="2" t="s">
        <v>2212</v>
      </c>
      <c r="I2159" s="2" t="s">
        <v>29</v>
      </c>
      <c r="J2159" s="7" t="s">
        <v>33</v>
      </c>
      <c r="K2159" s="4"/>
      <c r="L2159" s="4"/>
      <c r="M2159" s="2" t="s">
        <v>1682</v>
      </c>
      <c r="N2159" s="2" t="s">
        <v>974</v>
      </c>
    </row>
    <row r="2160" spans="1:17" ht="30" x14ac:dyDescent="0.25">
      <c r="F2160" s="10">
        <v>12</v>
      </c>
      <c r="H2160" s="2" t="s">
        <v>2213</v>
      </c>
      <c r="I2160" s="2" t="s">
        <v>29</v>
      </c>
      <c r="J2160" s="7" t="s">
        <v>33</v>
      </c>
      <c r="K2160" s="4"/>
      <c r="L2160" s="4"/>
      <c r="M2160" s="2" t="s">
        <v>1682</v>
      </c>
      <c r="N2160" s="2" t="s">
        <v>974</v>
      </c>
    </row>
    <row r="2161" spans="1:18" ht="30" x14ac:dyDescent="0.25">
      <c r="F2161" s="10">
        <v>13</v>
      </c>
      <c r="H2161" s="2" t="s">
        <v>2214</v>
      </c>
      <c r="I2161" s="2" t="s">
        <v>33</v>
      </c>
      <c r="J2161" s="7" t="s">
        <v>33</v>
      </c>
      <c r="K2161" s="4"/>
      <c r="L2161" s="4"/>
      <c r="M2161" s="2" t="s">
        <v>1682</v>
      </c>
      <c r="N2161" s="2" t="s">
        <v>974</v>
      </c>
    </row>
    <row r="2163" spans="1:18" ht="45" x14ac:dyDescent="0.25">
      <c r="A2163" s="19" t="s">
        <v>2058</v>
      </c>
      <c r="B2163" s="19" t="s">
        <v>3789</v>
      </c>
      <c r="C2163" s="7" t="s">
        <v>39</v>
      </c>
      <c r="D2163" s="19" t="s">
        <v>3136</v>
      </c>
      <c r="E2163" s="10" t="s">
        <v>121</v>
      </c>
      <c r="F2163" s="10">
        <v>1</v>
      </c>
      <c r="G2163" s="2" t="s">
        <v>3137</v>
      </c>
    </row>
    <row r="2164" spans="1:18" ht="75" x14ac:dyDescent="0.25">
      <c r="F2164" s="10">
        <v>2</v>
      </c>
      <c r="H2164" s="7" t="s">
        <v>3138</v>
      </c>
      <c r="I2164" s="2" t="s">
        <v>30</v>
      </c>
      <c r="J2164" s="3">
        <v>40304</v>
      </c>
      <c r="K2164" s="4"/>
      <c r="L2164" s="4"/>
    </row>
    <row r="2165" spans="1:18" x14ac:dyDescent="0.25">
      <c r="F2165" s="10">
        <v>3</v>
      </c>
      <c r="G2165" s="2" t="s">
        <v>3139</v>
      </c>
    </row>
    <row r="2166" spans="1:18" ht="30" x14ac:dyDescent="0.25">
      <c r="F2166" s="10">
        <v>4</v>
      </c>
      <c r="H2166" s="2" t="s">
        <v>3140</v>
      </c>
      <c r="I2166" s="2" t="s">
        <v>30</v>
      </c>
      <c r="J2166" s="3">
        <v>40304</v>
      </c>
      <c r="K2166" s="4"/>
      <c r="L2166" s="4"/>
    </row>
    <row r="2167" spans="1:18" x14ac:dyDescent="0.25">
      <c r="E2167" s="10" t="s">
        <v>308</v>
      </c>
      <c r="F2167" s="10">
        <v>1</v>
      </c>
      <c r="G2167" s="2" t="s">
        <v>1819</v>
      </c>
    </row>
    <row r="2168" spans="1:18" ht="60" x14ac:dyDescent="0.25">
      <c r="F2168" s="10">
        <v>2</v>
      </c>
      <c r="H2168" s="2" t="s">
        <v>3141</v>
      </c>
      <c r="I2168" s="2" t="s">
        <v>30</v>
      </c>
      <c r="J2168" s="3">
        <v>40304</v>
      </c>
      <c r="K2168" s="4"/>
      <c r="L2168" s="4"/>
    </row>
    <row r="2169" spans="1:18" ht="30" x14ac:dyDescent="0.25">
      <c r="E2169" s="10" t="s">
        <v>309</v>
      </c>
      <c r="F2169" s="10">
        <v>1</v>
      </c>
      <c r="G2169" s="2" t="s">
        <v>1820</v>
      </c>
      <c r="H2169" s="7"/>
    </row>
    <row r="2170" spans="1:18" ht="60" x14ac:dyDescent="0.25">
      <c r="F2170" s="10">
        <v>2</v>
      </c>
      <c r="H2170" s="2" t="s">
        <v>3142</v>
      </c>
      <c r="I2170" s="2" t="s">
        <v>30</v>
      </c>
      <c r="J2170" s="3">
        <v>40304</v>
      </c>
      <c r="K2170" s="4"/>
      <c r="L2170" s="4"/>
    </row>
    <row r="2172" spans="1:18" ht="60" x14ac:dyDescent="0.25">
      <c r="A2172" s="19" t="s">
        <v>2059</v>
      </c>
      <c r="B2172" s="19" t="s">
        <v>1935</v>
      </c>
      <c r="C2172" s="19" t="s">
        <v>39</v>
      </c>
      <c r="D2172" s="19" t="s">
        <v>1798</v>
      </c>
      <c r="E2172" s="10" t="s">
        <v>121</v>
      </c>
      <c r="F2172" s="10">
        <v>1</v>
      </c>
      <c r="G2172" s="2" t="s">
        <v>1839</v>
      </c>
      <c r="L2172" s="32" t="s">
        <v>581</v>
      </c>
    </row>
    <row r="2173" spans="1:18" ht="30" x14ac:dyDescent="0.25">
      <c r="F2173" s="10">
        <v>2</v>
      </c>
      <c r="H2173" s="2" t="s">
        <v>1840</v>
      </c>
      <c r="I2173" s="2" t="s">
        <v>29</v>
      </c>
      <c r="J2173" s="3">
        <v>40309</v>
      </c>
      <c r="K2173" s="4"/>
      <c r="L2173" s="32" t="s">
        <v>581</v>
      </c>
      <c r="N2173" s="2" t="s">
        <v>974</v>
      </c>
      <c r="O2173" s="2" t="s">
        <v>2288</v>
      </c>
      <c r="P2173" s="2" t="s">
        <v>977</v>
      </c>
      <c r="Q2173" s="2" t="s">
        <v>540</v>
      </c>
      <c r="R2173" s="2" t="s">
        <v>2290</v>
      </c>
    </row>
    <row r="2174" spans="1:18" ht="45" x14ac:dyDescent="0.25">
      <c r="F2174" s="10">
        <v>3</v>
      </c>
      <c r="H2174" s="2" t="s">
        <v>1841</v>
      </c>
      <c r="I2174" s="2" t="s">
        <v>29</v>
      </c>
      <c r="J2174" s="3">
        <v>40309</v>
      </c>
      <c r="K2174" s="4"/>
      <c r="L2174" s="32" t="s">
        <v>581</v>
      </c>
      <c r="N2174" s="2" t="s">
        <v>974</v>
      </c>
    </row>
    <row r="2175" spans="1:18" ht="30" x14ac:dyDescent="0.25">
      <c r="F2175" s="10">
        <v>4</v>
      </c>
      <c r="H2175" s="2" t="s">
        <v>1842</v>
      </c>
      <c r="I2175" s="2" t="s">
        <v>29</v>
      </c>
      <c r="J2175" s="3">
        <v>40309</v>
      </c>
      <c r="K2175" s="4"/>
      <c r="L2175" s="32" t="s">
        <v>581</v>
      </c>
      <c r="N2175" s="2" t="s">
        <v>974</v>
      </c>
    </row>
    <row r="2176" spans="1:18" x14ac:dyDescent="0.25">
      <c r="F2176" s="10">
        <v>5</v>
      </c>
      <c r="H2176" s="7" t="s">
        <v>1973</v>
      </c>
      <c r="I2176" s="2" t="s">
        <v>29</v>
      </c>
      <c r="J2176" s="3">
        <v>40322</v>
      </c>
      <c r="K2176" s="4"/>
      <c r="L2176" s="32" t="s">
        <v>581</v>
      </c>
      <c r="N2176" s="2" t="s">
        <v>974</v>
      </c>
    </row>
    <row r="2177" spans="1:18" ht="60" x14ac:dyDescent="0.25">
      <c r="F2177" s="10">
        <v>6</v>
      </c>
      <c r="H2177" s="2" t="s">
        <v>1843</v>
      </c>
      <c r="I2177" s="2" t="s">
        <v>29</v>
      </c>
      <c r="J2177" s="3">
        <v>40309</v>
      </c>
      <c r="K2177" s="4"/>
      <c r="L2177" s="32" t="s">
        <v>581</v>
      </c>
      <c r="N2177" s="2" t="s">
        <v>974</v>
      </c>
    </row>
    <row r="2178" spans="1:18" ht="45" x14ac:dyDescent="0.25">
      <c r="F2178" s="10">
        <v>7</v>
      </c>
      <c r="H2178" s="2" t="s">
        <v>1845</v>
      </c>
      <c r="I2178" s="2" t="s">
        <v>29</v>
      </c>
      <c r="J2178" s="3">
        <v>40309</v>
      </c>
      <c r="K2178" s="4"/>
      <c r="L2178" s="32" t="s">
        <v>581</v>
      </c>
      <c r="N2178" s="2" t="s">
        <v>974</v>
      </c>
    </row>
    <row r="2179" spans="1:18" ht="45" x14ac:dyDescent="0.25">
      <c r="F2179" s="10">
        <v>8</v>
      </c>
      <c r="H2179" s="2" t="s">
        <v>1844</v>
      </c>
      <c r="I2179" s="2" t="s">
        <v>29</v>
      </c>
      <c r="J2179" s="3">
        <v>40309</v>
      </c>
      <c r="K2179" s="4"/>
      <c r="L2179" s="32" t="s">
        <v>581</v>
      </c>
      <c r="N2179" s="2" t="s">
        <v>974</v>
      </c>
    </row>
    <row r="2180" spans="1:18" ht="30" x14ac:dyDescent="0.25">
      <c r="F2180" s="10">
        <v>9</v>
      </c>
      <c r="H2180" s="2" t="s">
        <v>1846</v>
      </c>
      <c r="I2180" s="2" t="s">
        <v>30</v>
      </c>
      <c r="J2180" s="3">
        <v>40309</v>
      </c>
      <c r="K2180" s="4"/>
      <c r="L2180" s="32" t="s">
        <v>581</v>
      </c>
      <c r="N2180" s="2" t="s">
        <v>974</v>
      </c>
    </row>
    <row r="2181" spans="1:18" x14ac:dyDescent="0.25">
      <c r="F2181" s="10">
        <v>10</v>
      </c>
      <c r="G2181" s="2" t="s">
        <v>1847</v>
      </c>
      <c r="L2181" s="32" t="s">
        <v>581</v>
      </c>
    </row>
    <row r="2182" spans="1:18" ht="30" x14ac:dyDescent="0.25">
      <c r="F2182" s="10">
        <v>11</v>
      </c>
      <c r="H2182" s="2" t="s">
        <v>3716</v>
      </c>
      <c r="I2182" s="2" t="s">
        <v>30</v>
      </c>
      <c r="J2182" s="3">
        <v>40309</v>
      </c>
      <c r="K2182" s="4"/>
      <c r="L2182" s="32" t="s">
        <v>581</v>
      </c>
      <c r="N2182" s="2" t="s">
        <v>974</v>
      </c>
    </row>
    <row r="2183" spans="1:18" ht="30" x14ac:dyDescent="0.25">
      <c r="F2183" s="10">
        <v>12</v>
      </c>
      <c r="H2183" s="2" t="s">
        <v>1848</v>
      </c>
      <c r="I2183" s="2" t="s">
        <v>30</v>
      </c>
      <c r="J2183" s="3">
        <v>40309</v>
      </c>
      <c r="K2183" s="4"/>
      <c r="L2183" s="32" t="s">
        <v>581</v>
      </c>
      <c r="N2183" s="2" t="s">
        <v>974</v>
      </c>
    </row>
    <row r="2185" spans="1:18" ht="60" x14ac:dyDescent="0.25">
      <c r="A2185" s="19" t="s">
        <v>2060</v>
      </c>
      <c r="B2185" s="19" t="s">
        <v>1936</v>
      </c>
      <c r="C2185" s="19" t="s">
        <v>39</v>
      </c>
      <c r="D2185" s="19" t="s">
        <v>1798</v>
      </c>
      <c r="E2185" s="10" t="s">
        <v>121</v>
      </c>
      <c r="F2185" s="10">
        <v>1</v>
      </c>
      <c r="G2185" s="2" t="s">
        <v>1851</v>
      </c>
    </row>
    <row r="2186" spans="1:18" x14ac:dyDescent="0.25">
      <c r="F2186" s="10">
        <v>2</v>
      </c>
      <c r="H2186" s="7" t="s">
        <v>1852</v>
      </c>
      <c r="I2186" s="2" t="s">
        <v>29</v>
      </c>
      <c r="J2186" s="3">
        <v>40309</v>
      </c>
      <c r="K2186" s="4"/>
      <c r="L2186" s="32" t="s">
        <v>581</v>
      </c>
      <c r="N2186" s="2" t="s">
        <v>974</v>
      </c>
    </row>
    <row r="2187" spans="1:18" ht="30" x14ac:dyDescent="0.25">
      <c r="F2187" s="10">
        <v>3</v>
      </c>
      <c r="H2187" s="7" t="s">
        <v>1853</v>
      </c>
      <c r="I2187" s="2" t="s">
        <v>29</v>
      </c>
      <c r="J2187" s="3">
        <v>40304</v>
      </c>
      <c r="K2187" s="4"/>
      <c r="L2187" s="32" t="s">
        <v>581</v>
      </c>
      <c r="N2187" s="2" t="s">
        <v>974</v>
      </c>
    </row>
    <row r="2188" spans="1:18" ht="45" x14ac:dyDescent="0.25">
      <c r="F2188" s="10">
        <v>4</v>
      </c>
      <c r="H2188" s="7" t="s">
        <v>1854</v>
      </c>
      <c r="I2188" s="2" t="s">
        <v>29</v>
      </c>
      <c r="J2188" s="3">
        <v>40304</v>
      </c>
      <c r="K2188" s="4"/>
      <c r="L2188" s="32" t="s">
        <v>581</v>
      </c>
      <c r="N2188" s="2" t="s">
        <v>974</v>
      </c>
    </row>
    <row r="2189" spans="1:18" ht="45" x14ac:dyDescent="0.25">
      <c r="F2189" s="10">
        <v>5</v>
      </c>
      <c r="H2189" s="2" t="s">
        <v>2222</v>
      </c>
      <c r="I2189" s="2" t="s">
        <v>29</v>
      </c>
      <c r="J2189" s="4"/>
      <c r="K2189" s="4"/>
      <c r="L2189" s="32" t="s">
        <v>581</v>
      </c>
      <c r="N2189" s="2" t="s">
        <v>974</v>
      </c>
      <c r="O2189" s="2" t="s">
        <v>2350</v>
      </c>
      <c r="P2189" s="2" t="s">
        <v>977</v>
      </c>
      <c r="Q2189" s="2" t="s">
        <v>974</v>
      </c>
      <c r="R2189" s="2" t="s">
        <v>2354</v>
      </c>
    </row>
    <row r="2190" spans="1:18" x14ac:dyDescent="0.25">
      <c r="F2190" s="10">
        <v>6</v>
      </c>
      <c r="H2190" s="2" t="s">
        <v>1933</v>
      </c>
      <c r="I2190" s="2" t="s">
        <v>29</v>
      </c>
      <c r="J2190" s="3">
        <v>40309</v>
      </c>
      <c r="K2190" s="4"/>
      <c r="L2190" s="32" t="s">
        <v>581</v>
      </c>
      <c r="N2190" s="2" t="s">
        <v>974</v>
      </c>
    </row>
    <row r="2191" spans="1:18" ht="45" x14ac:dyDescent="0.25">
      <c r="F2191" s="10">
        <v>7</v>
      </c>
      <c r="G2191" s="2" t="s">
        <v>1863</v>
      </c>
      <c r="K2191" s="2"/>
      <c r="L2191" s="32"/>
    </row>
    <row r="2192" spans="1:18" x14ac:dyDescent="0.25">
      <c r="F2192" s="10">
        <v>8</v>
      </c>
      <c r="H2192" s="2" t="s">
        <v>1856</v>
      </c>
      <c r="I2192" s="2" t="s">
        <v>29</v>
      </c>
      <c r="J2192" s="3">
        <v>40309</v>
      </c>
      <c r="K2192" s="4"/>
      <c r="L2192" s="32" t="s">
        <v>581</v>
      </c>
      <c r="N2192" s="2" t="s">
        <v>974</v>
      </c>
    </row>
    <row r="2193" spans="5:14" x14ac:dyDescent="0.25">
      <c r="F2193" s="10">
        <v>9</v>
      </c>
      <c r="H2193" s="2" t="s">
        <v>1933</v>
      </c>
      <c r="I2193" s="2" t="s">
        <v>29</v>
      </c>
      <c r="J2193" s="3">
        <v>40309</v>
      </c>
      <c r="K2193" s="4"/>
      <c r="L2193" s="32" t="s">
        <v>581</v>
      </c>
      <c r="N2193" s="2" t="s">
        <v>974</v>
      </c>
    </row>
    <row r="2194" spans="5:14" x14ac:dyDescent="0.25">
      <c r="F2194" s="10">
        <v>10</v>
      </c>
      <c r="G2194" s="2" t="s">
        <v>1860</v>
      </c>
      <c r="K2194" s="2"/>
      <c r="L2194" s="32"/>
    </row>
    <row r="2195" spans="5:14" ht="30" x14ac:dyDescent="0.25">
      <c r="F2195" s="10">
        <v>11</v>
      </c>
      <c r="H2195" s="2" t="s">
        <v>1862</v>
      </c>
      <c r="I2195" s="2" t="s">
        <v>29</v>
      </c>
      <c r="J2195" s="3">
        <v>40309</v>
      </c>
      <c r="K2195" s="4"/>
      <c r="L2195" s="32" t="s">
        <v>581</v>
      </c>
      <c r="N2195" s="2" t="s">
        <v>974</v>
      </c>
    </row>
    <row r="2196" spans="5:14" ht="45" x14ac:dyDescent="0.25">
      <c r="F2196" s="10">
        <v>12</v>
      </c>
      <c r="H2196" s="2" t="s">
        <v>1861</v>
      </c>
      <c r="I2196" s="2" t="s">
        <v>29</v>
      </c>
      <c r="J2196" s="3">
        <v>40309</v>
      </c>
      <c r="K2196" s="4"/>
      <c r="L2196" s="32" t="s">
        <v>581</v>
      </c>
      <c r="N2196" s="2" t="s">
        <v>974</v>
      </c>
    </row>
    <row r="2197" spans="5:14" ht="45" x14ac:dyDescent="0.25">
      <c r="F2197" s="10">
        <v>13</v>
      </c>
      <c r="H2197" s="2" t="s">
        <v>1932</v>
      </c>
      <c r="I2197" s="2" t="s">
        <v>29</v>
      </c>
      <c r="J2197" s="3">
        <v>40309</v>
      </c>
      <c r="K2197" s="4"/>
      <c r="L2197" s="32" t="s">
        <v>581</v>
      </c>
      <c r="N2197" s="2" t="s">
        <v>974</v>
      </c>
    </row>
    <row r="2198" spans="5:14" ht="30" x14ac:dyDescent="0.25">
      <c r="E2198" s="10" t="s">
        <v>771</v>
      </c>
      <c r="F2198" s="10">
        <v>1</v>
      </c>
      <c r="G2198" s="2" t="s">
        <v>1855</v>
      </c>
      <c r="L2198" s="32"/>
    </row>
    <row r="2199" spans="5:14" x14ac:dyDescent="0.25">
      <c r="F2199" s="10">
        <v>2</v>
      </c>
      <c r="H2199" s="2" t="s">
        <v>1856</v>
      </c>
      <c r="I2199" s="2" t="s">
        <v>29</v>
      </c>
      <c r="J2199" s="3">
        <v>40309</v>
      </c>
      <c r="K2199" s="4"/>
      <c r="L2199" s="32" t="s">
        <v>581</v>
      </c>
      <c r="N2199" s="2" t="s">
        <v>974</v>
      </c>
    </row>
    <row r="2200" spans="5:14" ht="45" x14ac:dyDescent="0.25">
      <c r="F2200" s="10">
        <v>3</v>
      </c>
      <c r="H2200" s="2" t="s">
        <v>1857</v>
      </c>
      <c r="I2200" s="2" t="s">
        <v>29</v>
      </c>
      <c r="J2200" s="3">
        <v>40309</v>
      </c>
      <c r="K2200" s="4"/>
      <c r="L2200" s="32" t="s">
        <v>581</v>
      </c>
      <c r="N2200" s="2" t="s">
        <v>974</v>
      </c>
    </row>
    <row r="2201" spans="5:14" ht="30" x14ac:dyDescent="0.25">
      <c r="F2201" s="10">
        <v>4</v>
      </c>
      <c r="H2201" s="2" t="s">
        <v>1858</v>
      </c>
      <c r="I2201" s="2" t="s">
        <v>29</v>
      </c>
      <c r="J2201" s="3">
        <v>40309</v>
      </c>
      <c r="K2201" s="4"/>
      <c r="L2201" s="32" t="s">
        <v>581</v>
      </c>
      <c r="N2201" s="2" t="s">
        <v>974</v>
      </c>
    </row>
    <row r="2202" spans="5:14" ht="45" x14ac:dyDescent="0.25">
      <c r="F2202" s="10">
        <v>5</v>
      </c>
      <c r="H2202" s="2" t="s">
        <v>1932</v>
      </c>
      <c r="I2202" s="2" t="s">
        <v>29</v>
      </c>
      <c r="J2202" s="3">
        <v>40309</v>
      </c>
      <c r="K2202" s="4"/>
      <c r="L2202" s="32" t="s">
        <v>581</v>
      </c>
      <c r="N2202" s="2" t="s">
        <v>974</v>
      </c>
    </row>
    <row r="2203" spans="5:14" x14ac:dyDescent="0.25">
      <c r="F2203" s="10">
        <v>6</v>
      </c>
      <c r="H2203" s="2" t="s">
        <v>1859</v>
      </c>
      <c r="I2203" s="2" t="s">
        <v>29</v>
      </c>
      <c r="J2203" s="3">
        <v>40309</v>
      </c>
      <c r="K2203" s="4"/>
      <c r="L2203" s="32" t="s">
        <v>581</v>
      </c>
      <c r="N2203" s="2" t="s">
        <v>974</v>
      </c>
    </row>
    <row r="2204" spans="5:14" ht="45" x14ac:dyDescent="0.25">
      <c r="E2204" s="10" t="s">
        <v>492</v>
      </c>
      <c r="F2204" s="10">
        <v>1</v>
      </c>
      <c r="G2204" s="2" t="s">
        <v>1864</v>
      </c>
      <c r="L2204" s="32"/>
    </row>
    <row r="2205" spans="5:14" x14ac:dyDescent="0.25">
      <c r="F2205" s="10">
        <v>2</v>
      </c>
      <c r="H2205" s="2" t="s">
        <v>1856</v>
      </c>
      <c r="I2205" s="2" t="s">
        <v>29</v>
      </c>
      <c r="J2205" s="3">
        <v>40309</v>
      </c>
      <c r="K2205" s="4"/>
      <c r="L2205" s="32" t="s">
        <v>581</v>
      </c>
      <c r="N2205" s="2" t="s">
        <v>974</v>
      </c>
    </row>
    <row r="2206" spans="5:14" ht="45" x14ac:dyDescent="0.25">
      <c r="H2206" s="2" t="s">
        <v>1867</v>
      </c>
      <c r="I2206" s="2" t="s">
        <v>29</v>
      </c>
      <c r="J2206" s="3">
        <v>40309</v>
      </c>
      <c r="K2206" s="4"/>
      <c r="L2206" s="32" t="s">
        <v>581</v>
      </c>
      <c r="N2206" s="2" t="s">
        <v>974</v>
      </c>
    </row>
    <row r="2207" spans="5:14" ht="30" x14ac:dyDescent="0.25">
      <c r="H2207" s="2" t="s">
        <v>1858</v>
      </c>
      <c r="I2207" s="2" t="s">
        <v>29</v>
      </c>
      <c r="J2207" s="3">
        <v>40309</v>
      </c>
      <c r="K2207" s="4"/>
      <c r="L2207" s="32" t="s">
        <v>581</v>
      </c>
      <c r="N2207" s="2" t="s">
        <v>974</v>
      </c>
    </row>
    <row r="2208" spans="5:14" ht="45" x14ac:dyDescent="0.25">
      <c r="H2208" s="2" t="s">
        <v>1932</v>
      </c>
      <c r="I2208" s="2" t="s">
        <v>29</v>
      </c>
      <c r="J2208" s="3">
        <v>40309</v>
      </c>
      <c r="K2208" s="4"/>
      <c r="L2208" s="32" t="s">
        <v>581</v>
      </c>
      <c r="N2208" s="2" t="s">
        <v>974</v>
      </c>
    </row>
    <row r="2209" spans="1:18" x14ac:dyDescent="0.25">
      <c r="H2209" s="2" t="s">
        <v>1859</v>
      </c>
      <c r="I2209" s="2" t="s">
        <v>29</v>
      </c>
      <c r="J2209" s="3">
        <v>40309</v>
      </c>
      <c r="K2209" s="4"/>
      <c r="L2209" s="32" t="s">
        <v>581</v>
      </c>
      <c r="N2209" s="2" t="s">
        <v>974</v>
      </c>
    </row>
    <row r="2210" spans="1:18" ht="30" x14ac:dyDescent="0.25">
      <c r="E2210" s="10" t="s">
        <v>1943</v>
      </c>
      <c r="F2210" s="10">
        <v>1</v>
      </c>
      <c r="G2210" s="2" t="s">
        <v>1865</v>
      </c>
      <c r="L2210" s="32"/>
    </row>
    <row r="2211" spans="1:18" ht="30" x14ac:dyDescent="0.25">
      <c r="F2211" s="10">
        <v>2</v>
      </c>
      <c r="H2211" s="2" t="s">
        <v>1866</v>
      </c>
      <c r="I2211" s="2" t="s">
        <v>30</v>
      </c>
      <c r="J2211" s="3">
        <v>40309</v>
      </c>
      <c r="K2211" s="4"/>
      <c r="L2211" s="32" t="s">
        <v>581</v>
      </c>
      <c r="N2211" s="2" t="s">
        <v>974</v>
      </c>
    </row>
    <row r="2213" spans="1:18" ht="60" x14ac:dyDescent="0.25">
      <c r="A2213" s="19" t="s">
        <v>1891</v>
      </c>
      <c r="B2213" s="19" t="s">
        <v>1934</v>
      </c>
      <c r="C2213" s="19" t="s">
        <v>39</v>
      </c>
      <c r="D2213" s="19" t="s">
        <v>1798</v>
      </c>
      <c r="E2213" s="10" t="s">
        <v>121</v>
      </c>
      <c r="F2213" s="10">
        <v>1</v>
      </c>
      <c r="G2213" s="2" t="s">
        <v>650</v>
      </c>
      <c r="L2213" s="32" t="s">
        <v>581</v>
      </c>
    </row>
    <row r="2214" spans="1:18" x14ac:dyDescent="0.25">
      <c r="F2214" s="10">
        <v>2</v>
      </c>
      <c r="H2214" s="7" t="s">
        <v>1941</v>
      </c>
      <c r="I2214" s="2" t="s">
        <v>29</v>
      </c>
      <c r="J2214" s="3">
        <v>40309</v>
      </c>
      <c r="K2214" s="4"/>
      <c r="L2214" s="32" t="s">
        <v>581</v>
      </c>
      <c r="N2214" s="2" t="s">
        <v>974</v>
      </c>
    </row>
    <row r="2215" spans="1:18" ht="45" x14ac:dyDescent="0.25">
      <c r="F2215" s="10">
        <v>3</v>
      </c>
      <c r="H2215" s="7" t="s">
        <v>1850</v>
      </c>
      <c r="I2215" s="2" t="s">
        <v>29</v>
      </c>
      <c r="J2215" s="3">
        <v>40309</v>
      </c>
      <c r="K2215" s="4"/>
      <c r="L2215" s="32" t="s">
        <v>581</v>
      </c>
      <c r="N2215" s="2" t="s">
        <v>974</v>
      </c>
    </row>
    <row r="2216" spans="1:18" x14ac:dyDescent="0.25">
      <c r="F2216" s="10">
        <v>4</v>
      </c>
      <c r="H2216" s="7" t="s">
        <v>1942</v>
      </c>
      <c r="I2216" s="2" t="s">
        <v>29</v>
      </c>
      <c r="J2216" s="3">
        <v>40309</v>
      </c>
      <c r="K2216" s="4"/>
      <c r="L2216" s="32" t="s">
        <v>581</v>
      </c>
      <c r="N2216" s="2" t="s">
        <v>974</v>
      </c>
    </row>
    <row r="2217" spans="1:18" ht="90" x14ac:dyDescent="0.25">
      <c r="F2217" s="10">
        <v>5</v>
      </c>
      <c r="H2217" s="7" t="s">
        <v>1976</v>
      </c>
      <c r="I2217" s="2" t="s">
        <v>29</v>
      </c>
      <c r="J2217" s="2" t="s">
        <v>33</v>
      </c>
      <c r="K2217" s="4"/>
      <c r="L2217" s="32" t="s">
        <v>581</v>
      </c>
      <c r="N2217" s="2" t="s">
        <v>974</v>
      </c>
    </row>
    <row r="2218" spans="1:18" x14ac:dyDescent="0.25">
      <c r="F2218" s="10">
        <v>6</v>
      </c>
      <c r="G2218" s="2" t="s">
        <v>1263</v>
      </c>
      <c r="H2218" s="7"/>
      <c r="L2218" s="32" t="s">
        <v>581</v>
      </c>
    </row>
    <row r="2219" spans="1:18" ht="90" x14ac:dyDescent="0.25">
      <c r="F2219" s="10">
        <v>7</v>
      </c>
      <c r="H2219" s="7" t="s">
        <v>1949</v>
      </c>
      <c r="I2219" s="2" t="s">
        <v>29</v>
      </c>
      <c r="J2219" s="3">
        <v>40309</v>
      </c>
      <c r="K2219" s="4"/>
      <c r="L2219" s="32" t="s">
        <v>581</v>
      </c>
      <c r="N2219" s="2" t="s">
        <v>974</v>
      </c>
      <c r="O2219" s="2" t="s">
        <v>2419</v>
      </c>
      <c r="P2219" s="2" t="s">
        <v>977</v>
      </c>
      <c r="Q2219" s="2" t="s">
        <v>540</v>
      </c>
      <c r="R2219" s="2" t="s">
        <v>2437</v>
      </c>
    </row>
    <row r="2220" spans="1:18" x14ac:dyDescent="0.25">
      <c r="F2220" s="10">
        <v>8</v>
      </c>
      <c r="H2220" s="36" t="s">
        <v>1944</v>
      </c>
      <c r="I2220" s="2" t="s">
        <v>29</v>
      </c>
      <c r="J2220" s="3">
        <v>40309</v>
      </c>
      <c r="K2220" s="4"/>
      <c r="L2220" s="32" t="s">
        <v>581</v>
      </c>
      <c r="N2220" s="2" t="s">
        <v>974</v>
      </c>
    </row>
    <row r="2221" spans="1:18" x14ac:dyDescent="0.25">
      <c r="F2221" s="10">
        <v>9</v>
      </c>
      <c r="H2221" s="36" t="s">
        <v>1945</v>
      </c>
      <c r="I2221" s="2" t="s">
        <v>29</v>
      </c>
      <c r="J2221" s="3">
        <v>40309</v>
      </c>
      <c r="K2221" s="4"/>
      <c r="L2221" s="32" t="s">
        <v>581</v>
      </c>
      <c r="N2221" s="2" t="s">
        <v>974</v>
      </c>
    </row>
    <row r="2222" spans="1:18" x14ac:dyDescent="0.25">
      <c r="F2222" s="10">
        <v>10</v>
      </c>
      <c r="H2222" s="36" t="s">
        <v>1946</v>
      </c>
      <c r="I2222" s="2" t="s">
        <v>29</v>
      </c>
      <c r="J2222" s="3">
        <v>40309</v>
      </c>
      <c r="K2222" s="4"/>
      <c r="L2222" s="32" t="s">
        <v>581</v>
      </c>
      <c r="N2222" s="2" t="s">
        <v>974</v>
      </c>
    </row>
    <row r="2223" spans="1:18" x14ac:dyDescent="0.25">
      <c r="F2223" s="10">
        <v>11</v>
      </c>
      <c r="H2223" s="36" t="s">
        <v>1947</v>
      </c>
      <c r="I2223" s="2" t="s">
        <v>29</v>
      </c>
      <c r="J2223" s="3">
        <v>40309</v>
      </c>
      <c r="K2223" s="4"/>
      <c r="L2223" s="32" t="s">
        <v>581</v>
      </c>
      <c r="N2223" s="2" t="s">
        <v>974</v>
      </c>
    </row>
    <row r="2224" spans="1:18" ht="45" x14ac:dyDescent="0.25">
      <c r="F2224" s="10">
        <v>12</v>
      </c>
      <c r="H2224" s="36" t="s">
        <v>2417</v>
      </c>
      <c r="I2224" s="2" t="s">
        <v>29</v>
      </c>
      <c r="J2224" s="3">
        <v>40309</v>
      </c>
      <c r="K2224" s="4"/>
      <c r="L2224" s="4"/>
      <c r="N2224" s="2" t="s">
        <v>974</v>
      </c>
      <c r="O2224" s="2" t="s">
        <v>2418</v>
      </c>
      <c r="P2224" s="2" t="s">
        <v>977</v>
      </c>
      <c r="Q2224" s="2" t="s">
        <v>540</v>
      </c>
      <c r="R2224" s="2" t="s">
        <v>2437</v>
      </c>
    </row>
    <row r="2225" spans="1:18" ht="90" x14ac:dyDescent="0.25">
      <c r="F2225" s="10">
        <v>12</v>
      </c>
      <c r="H2225" s="7" t="s">
        <v>1948</v>
      </c>
      <c r="I2225" s="2" t="s">
        <v>29</v>
      </c>
      <c r="J2225" s="3">
        <v>40309</v>
      </c>
      <c r="K2225" s="4"/>
      <c r="L2225" s="32" t="s">
        <v>581</v>
      </c>
      <c r="N2225" s="2" t="s">
        <v>974</v>
      </c>
      <c r="O2225" s="2" t="s">
        <v>2420</v>
      </c>
      <c r="P2225" s="2" t="s">
        <v>977</v>
      </c>
      <c r="Q2225" s="2" t="s">
        <v>540</v>
      </c>
      <c r="R2225" s="44" t="s">
        <v>2697</v>
      </c>
    </row>
    <row r="2226" spans="1:18" ht="45" x14ac:dyDescent="0.25">
      <c r="F2226" s="10">
        <v>13</v>
      </c>
      <c r="H2226" s="7" t="s">
        <v>1954</v>
      </c>
      <c r="I2226" s="2" t="s">
        <v>29</v>
      </c>
      <c r="J2226" s="3">
        <v>40309</v>
      </c>
      <c r="K2226" s="4"/>
      <c r="L2226" s="32" t="s">
        <v>581</v>
      </c>
      <c r="N2226" s="2" t="s">
        <v>974</v>
      </c>
    </row>
    <row r="2227" spans="1:18" ht="45" x14ac:dyDescent="0.25">
      <c r="F2227" s="10">
        <v>14</v>
      </c>
      <c r="H2227" s="7" t="s">
        <v>1955</v>
      </c>
      <c r="I2227" s="2" t="s">
        <v>29</v>
      </c>
      <c r="J2227" s="3">
        <v>40309</v>
      </c>
      <c r="K2227" s="4"/>
      <c r="L2227" s="32" t="s">
        <v>581</v>
      </c>
      <c r="N2227" s="2" t="s">
        <v>974</v>
      </c>
    </row>
    <row r="2228" spans="1:18" ht="90" x14ac:dyDescent="0.25">
      <c r="F2228" s="10">
        <v>15</v>
      </c>
      <c r="H2228" s="7" t="s">
        <v>1950</v>
      </c>
      <c r="I2228" s="2" t="s">
        <v>29</v>
      </c>
      <c r="J2228" s="3">
        <v>40309</v>
      </c>
      <c r="K2228" s="4"/>
      <c r="L2228" s="32" t="s">
        <v>581</v>
      </c>
      <c r="N2228" s="2" t="s">
        <v>974</v>
      </c>
      <c r="O2228" s="2" t="s">
        <v>2419</v>
      </c>
      <c r="P2228" s="2" t="s">
        <v>977</v>
      </c>
      <c r="Q2228" s="2" t="s">
        <v>540</v>
      </c>
      <c r="R2228" s="2" t="s">
        <v>2437</v>
      </c>
    </row>
    <row r="2229" spans="1:18" ht="60" x14ac:dyDescent="0.25">
      <c r="H2229" s="7"/>
      <c r="J2229" s="3"/>
      <c r="K2229" s="3"/>
      <c r="L2229" s="32"/>
      <c r="N2229" s="2" t="s">
        <v>974</v>
      </c>
      <c r="O2229" s="2" t="s">
        <v>3884</v>
      </c>
      <c r="P2229" s="2" t="s">
        <v>980</v>
      </c>
      <c r="Q2229" s="2" t="s">
        <v>540</v>
      </c>
    </row>
    <row r="2230" spans="1:18" ht="105" x14ac:dyDescent="0.25">
      <c r="F2230" s="10">
        <v>16</v>
      </c>
      <c r="H2230" s="36" t="s">
        <v>1951</v>
      </c>
      <c r="I2230" s="2" t="s">
        <v>29</v>
      </c>
      <c r="J2230" s="3">
        <v>40309</v>
      </c>
      <c r="K2230" s="4"/>
      <c r="L2230" s="32" t="s">
        <v>581</v>
      </c>
      <c r="N2230" s="2" t="s">
        <v>974</v>
      </c>
      <c r="O2230" s="2" t="s">
        <v>2632</v>
      </c>
      <c r="P2230" s="2" t="s">
        <v>982</v>
      </c>
      <c r="Q2230" s="2" t="s">
        <v>540</v>
      </c>
      <c r="R2230" s="2" t="s">
        <v>2635</v>
      </c>
    </row>
    <row r="2231" spans="1:18" x14ac:dyDescent="0.25">
      <c r="F2231" s="10">
        <v>17</v>
      </c>
      <c r="H2231" s="36" t="s">
        <v>1913</v>
      </c>
      <c r="I2231" s="2" t="s">
        <v>29</v>
      </c>
      <c r="J2231" s="3">
        <v>40309</v>
      </c>
      <c r="K2231" s="4"/>
      <c r="L2231" s="32" t="s">
        <v>581</v>
      </c>
      <c r="N2231" s="2" t="s">
        <v>974</v>
      </c>
    </row>
    <row r="2232" spans="1:18" x14ac:dyDescent="0.25">
      <c r="F2232" s="10">
        <v>18</v>
      </c>
      <c r="H2232" s="36" t="s">
        <v>1952</v>
      </c>
      <c r="I2232" s="2" t="s">
        <v>29</v>
      </c>
      <c r="J2232" s="3">
        <v>40309</v>
      </c>
      <c r="K2232" s="4"/>
      <c r="L2232" s="32" t="s">
        <v>581</v>
      </c>
      <c r="N2232" s="2" t="s">
        <v>974</v>
      </c>
    </row>
    <row r="2233" spans="1:18" ht="60" x14ac:dyDescent="0.25">
      <c r="F2233" s="10">
        <v>19</v>
      </c>
      <c r="H2233" s="7" t="s">
        <v>1953</v>
      </c>
      <c r="I2233" s="2" t="s">
        <v>29</v>
      </c>
      <c r="J2233" s="3">
        <v>40309</v>
      </c>
      <c r="K2233" s="4"/>
      <c r="L2233" s="32" t="s">
        <v>581</v>
      </c>
      <c r="N2233" s="2" t="s">
        <v>974</v>
      </c>
      <c r="O2233" s="2" t="s">
        <v>2421</v>
      </c>
      <c r="P2233" s="2" t="s">
        <v>977</v>
      </c>
      <c r="Q2233" s="2" t="s">
        <v>540</v>
      </c>
      <c r="R2233" s="2" t="s">
        <v>2437</v>
      </c>
    </row>
    <row r="2234" spans="1:18" ht="90" x14ac:dyDescent="0.25">
      <c r="H2234" s="7"/>
      <c r="J2234" s="3"/>
      <c r="K2234" s="4"/>
      <c r="L2234" s="32"/>
      <c r="N2234" s="2" t="s">
        <v>974</v>
      </c>
      <c r="O2234" s="2" t="s">
        <v>2422</v>
      </c>
      <c r="P2234" s="2" t="s">
        <v>980</v>
      </c>
      <c r="Q2234" s="2" t="s">
        <v>540</v>
      </c>
      <c r="R2234" s="44" t="s">
        <v>2697</v>
      </c>
    </row>
    <row r="2235" spans="1:18" ht="60" x14ac:dyDescent="0.25">
      <c r="F2235" s="10">
        <v>20</v>
      </c>
      <c r="H2235" s="7" t="s">
        <v>1970</v>
      </c>
      <c r="I2235" s="2" t="s">
        <v>29</v>
      </c>
      <c r="J2235" s="3" t="s">
        <v>33</v>
      </c>
      <c r="K2235" s="4"/>
      <c r="L2235" s="32" t="s">
        <v>581</v>
      </c>
      <c r="N2235" s="2" t="s">
        <v>974</v>
      </c>
      <c r="O2235" s="2" t="s">
        <v>2423</v>
      </c>
      <c r="P2235" s="2" t="s">
        <v>982</v>
      </c>
      <c r="Q2235" s="2" t="s">
        <v>540</v>
      </c>
      <c r="R2235" s="2" t="s">
        <v>2437</v>
      </c>
    </row>
    <row r="2236" spans="1:18" ht="30" x14ac:dyDescent="0.25">
      <c r="F2236" s="10">
        <v>21</v>
      </c>
      <c r="H2236" s="7" t="s">
        <v>1979</v>
      </c>
      <c r="I2236" s="2" t="s">
        <v>29</v>
      </c>
      <c r="J2236" s="3">
        <v>40322</v>
      </c>
      <c r="K2236" s="4"/>
      <c r="L2236" s="32" t="s">
        <v>581</v>
      </c>
      <c r="N2236" s="2" t="s">
        <v>974</v>
      </c>
    </row>
    <row r="2238" spans="1:18" ht="60" x14ac:dyDescent="0.25">
      <c r="A2238" s="19" t="s">
        <v>1893</v>
      </c>
      <c r="B2238" s="7" t="s">
        <v>1937</v>
      </c>
      <c r="C2238" s="2" t="s">
        <v>460</v>
      </c>
      <c r="D2238" s="19" t="s">
        <v>1798</v>
      </c>
      <c r="E2238" s="10" t="s">
        <v>121</v>
      </c>
      <c r="F2238" s="10">
        <v>1</v>
      </c>
      <c r="G2238" s="2" t="s">
        <v>1929</v>
      </c>
    </row>
    <row r="2239" spans="1:18" ht="30" x14ac:dyDescent="0.25">
      <c r="A2239" s="2"/>
      <c r="B2239" s="2"/>
      <c r="C2239" s="2"/>
      <c r="D2239" s="2"/>
      <c r="E2239" s="2"/>
      <c r="F2239" s="10">
        <v>2</v>
      </c>
      <c r="G2239" s="2" t="s">
        <v>453</v>
      </c>
    </row>
    <row r="2240" spans="1:18" ht="45" x14ac:dyDescent="0.25">
      <c r="A2240" s="2"/>
      <c r="B2240" s="2"/>
      <c r="C2240" s="2"/>
      <c r="D2240" s="2"/>
      <c r="E2240" s="2"/>
      <c r="F2240" s="10">
        <v>3</v>
      </c>
      <c r="H2240" s="2" t="s">
        <v>2252</v>
      </c>
      <c r="I2240" s="2" t="s">
        <v>29</v>
      </c>
      <c r="J2240" s="3">
        <v>40309</v>
      </c>
      <c r="K2240" s="4"/>
      <c r="L2240" s="7" t="s">
        <v>474</v>
      </c>
      <c r="N2240" s="2" t="s">
        <v>974</v>
      </c>
      <c r="O2240" s="2" t="s">
        <v>2624</v>
      </c>
      <c r="P2240" s="2" t="s">
        <v>977</v>
      </c>
      <c r="Q2240" s="2" t="s">
        <v>540</v>
      </c>
    </row>
    <row r="2241" spans="1:14" ht="45" x14ac:dyDescent="0.25">
      <c r="A2241" s="2"/>
      <c r="B2241" s="2"/>
      <c r="C2241" s="2"/>
      <c r="D2241" s="2"/>
      <c r="E2241" s="2"/>
      <c r="F2241" s="10">
        <v>4</v>
      </c>
      <c r="H2241" s="2" t="s">
        <v>2253</v>
      </c>
      <c r="I2241" s="2" t="s">
        <v>29</v>
      </c>
      <c r="J2241" s="3">
        <v>40309</v>
      </c>
      <c r="K2241" s="4"/>
      <c r="L2241" s="7" t="s">
        <v>474</v>
      </c>
      <c r="N2241" s="2" t="s">
        <v>974</v>
      </c>
    </row>
    <row r="2242" spans="1:14" ht="30" x14ac:dyDescent="0.25">
      <c r="A2242" s="19"/>
      <c r="C2242" s="2"/>
      <c r="F2242" s="10">
        <v>5</v>
      </c>
      <c r="H2242" s="2" t="s">
        <v>1920</v>
      </c>
      <c r="I2242" s="2" t="s">
        <v>29</v>
      </c>
      <c r="J2242" s="3">
        <v>40309</v>
      </c>
      <c r="K2242" s="4"/>
      <c r="L2242" s="7" t="s">
        <v>474</v>
      </c>
      <c r="N2242" s="2" t="s">
        <v>974</v>
      </c>
    </row>
    <row r="2243" spans="1:14" ht="30" x14ac:dyDescent="0.25">
      <c r="A2243" s="19"/>
      <c r="C2243" s="2"/>
      <c r="F2243" s="10">
        <v>6</v>
      </c>
      <c r="H2243" s="2" t="s">
        <v>2254</v>
      </c>
      <c r="J2243" s="3"/>
      <c r="K2243" s="3"/>
      <c r="L2243" s="3"/>
    </row>
    <row r="2244" spans="1:14" ht="30" x14ac:dyDescent="0.25">
      <c r="A2244" s="19"/>
      <c r="C2244" s="2"/>
      <c r="F2244" s="10">
        <v>7</v>
      </c>
      <c r="H2244" s="2" t="s">
        <v>2255</v>
      </c>
      <c r="I2244" s="2" t="s">
        <v>29</v>
      </c>
      <c r="J2244" s="3">
        <v>40309</v>
      </c>
      <c r="K2244" s="4"/>
      <c r="L2244" s="7" t="s">
        <v>474</v>
      </c>
      <c r="N2244" s="2" t="s">
        <v>974</v>
      </c>
    </row>
    <row r="2245" spans="1:14" ht="60" x14ac:dyDescent="0.25">
      <c r="F2245" s="10">
        <v>8</v>
      </c>
      <c r="H2245" s="2" t="s">
        <v>2256</v>
      </c>
      <c r="I2245" s="2" t="s">
        <v>29</v>
      </c>
      <c r="J2245" s="3">
        <v>40309</v>
      </c>
      <c r="K2245" s="4"/>
      <c r="L2245" s="7" t="s">
        <v>474</v>
      </c>
      <c r="N2245" s="2" t="s">
        <v>974</v>
      </c>
    </row>
    <row r="2246" spans="1:14" ht="30" x14ac:dyDescent="0.25">
      <c r="F2246" s="10">
        <v>9</v>
      </c>
      <c r="H2246" s="2" t="s">
        <v>1911</v>
      </c>
    </row>
    <row r="2247" spans="1:14" x14ac:dyDescent="0.25">
      <c r="F2247" s="10">
        <v>10</v>
      </c>
      <c r="H2247" s="6" t="s">
        <v>1912</v>
      </c>
      <c r="I2247" s="2" t="s">
        <v>29</v>
      </c>
      <c r="J2247" s="3">
        <v>40309</v>
      </c>
      <c r="K2247" s="4"/>
      <c r="L2247" s="7" t="s">
        <v>474</v>
      </c>
      <c r="N2247" s="2" t="s">
        <v>974</v>
      </c>
    </row>
    <row r="2248" spans="1:14" x14ac:dyDescent="0.25">
      <c r="F2248" s="10">
        <v>11</v>
      </c>
      <c r="H2248" s="6" t="s">
        <v>1913</v>
      </c>
      <c r="I2248" s="2" t="s">
        <v>29</v>
      </c>
      <c r="J2248" s="3">
        <v>40309</v>
      </c>
      <c r="K2248" s="4"/>
      <c r="L2248" s="7" t="s">
        <v>474</v>
      </c>
      <c r="N2248" s="2" t="s">
        <v>974</v>
      </c>
    </row>
    <row r="2249" spans="1:14" ht="30" x14ac:dyDescent="0.25">
      <c r="F2249" s="10">
        <v>12</v>
      </c>
      <c r="H2249" s="6" t="s">
        <v>2257</v>
      </c>
      <c r="I2249" s="2" t="s">
        <v>29</v>
      </c>
      <c r="J2249" s="3">
        <v>40309</v>
      </c>
      <c r="K2249" s="4"/>
      <c r="L2249" s="7" t="s">
        <v>474</v>
      </c>
      <c r="N2249" s="2" t="s">
        <v>974</v>
      </c>
    </row>
    <row r="2250" spans="1:14" ht="30" x14ac:dyDescent="0.25">
      <c r="F2250" s="10">
        <v>13</v>
      </c>
      <c r="H2250" s="2" t="s">
        <v>3143</v>
      </c>
      <c r="J2250" s="3"/>
      <c r="K2250" s="3"/>
      <c r="L2250" s="3"/>
    </row>
    <row r="2251" spans="1:14" ht="30" x14ac:dyDescent="0.25">
      <c r="F2251" s="10">
        <v>14</v>
      </c>
      <c r="H2251" s="6" t="s">
        <v>1930</v>
      </c>
      <c r="I2251" s="2" t="s">
        <v>29</v>
      </c>
      <c r="J2251" s="3">
        <v>40309</v>
      </c>
      <c r="K2251" s="4"/>
      <c r="L2251" s="7" t="s">
        <v>474</v>
      </c>
      <c r="N2251" s="2" t="s">
        <v>974</v>
      </c>
    </row>
    <row r="2252" spans="1:14" x14ac:dyDescent="0.25">
      <c r="F2252" s="10">
        <v>15</v>
      </c>
      <c r="H2252" s="6" t="s">
        <v>1931</v>
      </c>
      <c r="I2252" s="2" t="s">
        <v>29</v>
      </c>
      <c r="J2252" s="3">
        <v>40309</v>
      </c>
      <c r="K2252" s="4"/>
      <c r="L2252" s="7" t="s">
        <v>474</v>
      </c>
      <c r="N2252" s="2" t="s">
        <v>974</v>
      </c>
    </row>
    <row r="2253" spans="1:14" x14ac:dyDescent="0.25">
      <c r="F2253" s="10">
        <v>16</v>
      </c>
      <c r="H2253" s="6" t="s">
        <v>1914</v>
      </c>
      <c r="I2253" s="2" t="s">
        <v>29</v>
      </c>
      <c r="J2253" s="3">
        <v>40309</v>
      </c>
      <c r="K2253" s="4"/>
      <c r="L2253" s="7" t="s">
        <v>474</v>
      </c>
      <c r="N2253" s="2" t="s">
        <v>974</v>
      </c>
    </row>
    <row r="2254" spans="1:14" x14ac:dyDescent="0.25">
      <c r="F2254" s="10">
        <v>17</v>
      </c>
      <c r="H2254" s="6" t="s">
        <v>1915</v>
      </c>
      <c r="I2254" s="2" t="s">
        <v>29</v>
      </c>
      <c r="J2254" s="3">
        <v>40309</v>
      </c>
      <c r="K2254" s="4"/>
      <c r="L2254" s="7" t="s">
        <v>474</v>
      </c>
      <c r="N2254" s="2" t="s">
        <v>974</v>
      </c>
    </row>
    <row r="2255" spans="1:14" ht="30" x14ac:dyDescent="0.25">
      <c r="F2255" s="10">
        <v>18</v>
      </c>
      <c r="H2255" s="2" t="s">
        <v>1916</v>
      </c>
      <c r="I2255" s="2" t="s">
        <v>33</v>
      </c>
      <c r="J2255" s="3">
        <v>40309</v>
      </c>
      <c r="K2255" s="4"/>
      <c r="L2255" s="7" t="s">
        <v>474</v>
      </c>
      <c r="N2255" s="2" t="s">
        <v>974</v>
      </c>
    </row>
    <row r="2256" spans="1:14" ht="30" x14ac:dyDescent="0.25">
      <c r="F2256" s="10">
        <v>19</v>
      </c>
      <c r="H2256" s="2" t="s">
        <v>1923</v>
      </c>
    </row>
    <row r="2257" spans="6:18" x14ac:dyDescent="0.25">
      <c r="F2257" s="10">
        <v>20</v>
      </c>
      <c r="H2257" s="6" t="s">
        <v>1917</v>
      </c>
      <c r="I2257" s="2" t="s">
        <v>29</v>
      </c>
      <c r="J2257" s="3">
        <v>40309</v>
      </c>
      <c r="K2257" s="4"/>
      <c r="L2257" s="7" t="s">
        <v>474</v>
      </c>
      <c r="N2257" s="2" t="s">
        <v>974</v>
      </c>
    </row>
    <row r="2258" spans="6:18" ht="60" x14ac:dyDescent="0.25">
      <c r="F2258" s="10">
        <v>21</v>
      </c>
      <c r="H2258" s="6" t="s">
        <v>1926</v>
      </c>
      <c r="I2258" s="2" t="s">
        <v>29</v>
      </c>
      <c r="J2258" s="3">
        <v>40309</v>
      </c>
      <c r="K2258" s="4"/>
      <c r="L2258" s="7" t="s">
        <v>474</v>
      </c>
      <c r="N2258" s="2" t="s">
        <v>974</v>
      </c>
      <c r="O2258" s="2" t="s">
        <v>2340</v>
      </c>
      <c r="P2258" s="2" t="s">
        <v>980</v>
      </c>
      <c r="Q2258" s="2" t="s">
        <v>540</v>
      </c>
    </row>
    <row r="2259" spans="6:18" ht="120" x14ac:dyDescent="0.25">
      <c r="H2259" s="6"/>
      <c r="J2259" s="3"/>
      <c r="K2259" s="3"/>
      <c r="N2259" s="2" t="s">
        <v>974</v>
      </c>
      <c r="O2259" s="2" t="s">
        <v>2343</v>
      </c>
      <c r="P2259" s="2" t="s">
        <v>980</v>
      </c>
      <c r="Q2259" s="2" t="s">
        <v>540</v>
      </c>
    </row>
    <row r="2260" spans="6:18" ht="30" x14ac:dyDescent="0.25">
      <c r="F2260" s="10">
        <v>22</v>
      </c>
      <c r="H2260" s="6" t="s">
        <v>2261</v>
      </c>
      <c r="I2260" s="2" t="s">
        <v>29</v>
      </c>
      <c r="J2260" s="3">
        <v>40309</v>
      </c>
      <c r="K2260" s="4"/>
      <c r="L2260" s="7" t="s">
        <v>474</v>
      </c>
      <c r="N2260" s="2" t="s">
        <v>974</v>
      </c>
    </row>
    <row r="2261" spans="6:18" ht="45" x14ac:dyDescent="0.25">
      <c r="F2261" s="10">
        <v>23</v>
      </c>
      <c r="H2261" s="6" t="s">
        <v>2262</v>
      </c>
      <c r="I2261" s="2" t="s">
        <v>29</v>
      </c>
      <c r="J2261" s="3">
        <v>40309</v>
      </c>
      <c r="K2261" s="4"/>
      <c r="L2261" s="7" t="s">
        <v>474</v>
      </c>
      <c r="N2261" s="2" t="s">
        <v>974</v>
      </c>
      <c r="O2261" s="2" t="s">
        <v>3790</v>
      </c>
      <c r="P2261" s="2" t="s">
        <v>980</v>
      </c>
      <c r="Q2261" s="2" t="s">
        <v>540</v>
      </c>
    </row>
    <row r="2262" spans="6:18" ht="45" x14ac:dyDescent="0.25">
      <c r="F2262" s="10">
        <v>24</v>
      </c>
      <c r="H2262" s="2" t="s">
        <v>2263</v>
      </c>
      <c r="I2262" s="2" t="s">
        <v>29</v>
      </c>
      <c r="J2262" s="3">
        <v>40309</v>
      </c>
      <c r="K2262" s="4"/>
      <c r="L2262" s="7" t="s">
        <v>474</v>
      </c>
      <c r="N2262" s="2" t="s">
        <v>974</v>
      </c>
    </row>
    <row r="2263" spans="6:18" ht="45" x14ac:dyDescent="0.25">
      <c r="F2263" s="10">
        <v>25</v>
      </c>
      <c r="H2263" s="2" t="s">
        <v>1921</v>
      </c>
      <c r="I2263" s="2" t="s">
        <v>29</v>
      </c>
      <c r="J2263" s="3">
        <v>40309</v>
      </c>
      <c r="K2263" s="4"/>
      <c r="L2263" s="7" t="s">
        <v>474</v>
      </c>
      <c r="N2263" s="2" t="s">
        <v>974</v>
      </c>
      <c r="O2263" s="2" t="s">
        <v>2342</v>
      </c>
      <c r="P2263" s="2" t="s">
        <v>980</v>
      </c>
      <c r="Q2263" s="2" t="s">
        <v>540</v>
      </c>
      <c r="R2263" s="2" t="s">
        <v>14</v>
      </c>
    </row>
    <row r="2264" spans="6:18" ht="30" x14ac:dyDescent="0.25">
      <c r="F2264" s="10">
        <v>26</v>
      </c>
      <c r="H2264" s="2" t="s">
        <v>2264</v>
      </c>
      <c r="I2264" s="2" t="s">
        <v>29</v>
      </c>
      <c r="J2264" s="3">
        <v>40309</v>
      </c>
      <c r="K2264" s="4"/>
      <c r="L2264" s="7" t="s">
        <v>474</v>
      </c>
      <c r="N2264" s="2" t="s">
        <v>974</v>
      </c>
    </row>
    <row r="2265" spans="6:18" ht="30" x14ac:dyDescent="0.25">
      <c r="F2265" s="10">
        <v>27</v>
      </c>
      <c r="H2265" s="2" t="s">
        <v>1927</v>
      </c>
      <c r="I2265" s="2" t="s">
        <v>29</v>
      </c>
      <c r="J2265" s="3">
        <v>40309</v>
      </c>
      <c r="K2265" s="4"/>
      <c r="L2265" s="7" t="s">
        <v>474</v>
      </c>
      <c r="N2265" s="2" t="s">
        <v>974</v>
      </c>
      <c r="O2265" s="2" t="s">
        <v>2339</v>
      </c>
      <c r="P2265" s="2" t="s">
        <v>982</v>
      </c>
      <c r="Q2265" s="2" t="s">
        <v>540</v>
      </c>
      <c r="R2265" s="2" t="s">
        <v>14</v>
      </c>
    </row>
    <row r="2266" spans="6:18" ht="30" x14ac:dyDescent="0.25">
      <c r="J2266" s="3"/>
      <c r="N2266" s="2" t="s">
        <v>974</v>
      </c>
      <c r="O2266" s="2" t="s">
        <v>2344</v>
      </c>
      <c r="P2266" s="2" t="s">
        <v>977</v>
      </c>
      <c r="Q2266" s="2" t="s">
        <v>540</v>
      </c>
    </row>
    <row r="2267" spans="6:18" ht="60" x14ac:dyDescent="0.25">
      <c r="F2267" s="10">
        <v>28</v>
      </c>
      <c r="H2267" s="2" t="s">
        <v>2258</v>
      </c>
      <c r="I2267" s="2" t="s">
        <v>29</v>
      </c>
      <c r="J2267" s="3">
        <v>40309</v>
      </c>
      <c r="K2267" s="4"/>
      <c r="L2267" s="7" t="s">
        <v>474</v>
      </c>
      <c r="N2267" s="2" t="s">
        <v>974</v>
      </c>
    </row>
    <row r="2268" spans="6:18" ht="75" x14ac:dyDescent="0.25">
      <c r="F2268" s="10">
        <v>29</v>
      </c>
      <c r="H2268" s="2" t="s">
        <v>3791</v>
      </c>
      <c r="I2268" s="2" t="s">
        <v>29</v>
      </c>
      <c r="J2268" s="3">
        <v>40309</v>
      </c>
      <c r="K2268" s="4"/>
      <c r="L2268" s="7" t="s">
        <v>474</v>
      </c>
      <c r="N2268" s="2" t="s">
        <v>974</v>
      </c>
    </row>
    <row r="2269" spans="6:18" ht="45" x14ac:dyDescent="0.25">
      <c r="F2269" s="10">
        <v>30</v>
      </c>
      <c r="H2269" s="2" t="s">
        <v>2180</v>
      </c>
      <c r="I2269" s="2" t="s">
        <v>29</v>
      </c>
      <c r="J2269" s="3">
        <v>40309</v>
      </c>
      <c r="K2269" s="4"/>
      <c r="L2269" s="7" t="s">
        <v>474</v>
      </c>
      <c r="N2269" s="2" t="s">
        <v>974</v>
      </c>
    </row>
    <row r="2270" spans="6:18" ht="90" x14ac:dyDescent="0.25">
      <c r="F2270" s="10">
        <v>31</v>
      </c>
      <c r="H2270" s="2" t="s">
        <v>2181</v>
      </c>
      <c r="I2270" s="2" t="s">
        <v>29</v>
      </c>
      <c r="J2270" s="3">
        <v>40309</v>
      </c>
      <c r="K2270" s="4"/>
      <c r="L2270" s="7" t="s">
        <v>474</v>
      </c>
      <c r="N2270" s="2" t="s">
        <v>974</v>
      </c>
    </row>
    <row r="2271" spans="6:18" ht="60" x14ac:dyDescent="0.25">
      <c r="F2271" s="10">
        <v>32</v>
      </c>
      <c r="H2271" s="2" t="s">
        <v>2182</v>
      </c>
      <c r="I2271" s="2" t="s">
        <v>29</v>
      </c>
      <c r="J2271" s="3">
        <v>40309</v>
      </c>
      <c r="K2271" s="4"/>
      <c r="L2271" s="7" t="s">
        <v>474</v>
      </c>
      <c r="N2271" s="2" t="s">
        <v>974</v>
      </c>
    </row>
    <row r="2272" spans="6:18" ht="45" x14ac:dyDescent="0.25">
      <c r="F2272" s="10">
        <v>33</v>
      </c>
      <c r="H2272" s="2" t="s">
        <v>1957</v>
      </c>
      <c r="I2272" s="2" t="s">
        <v>29</v>
      </c>
      <c r="J2272" s="3">
        <v>40309</v>
      </c>
      <c r="K2272" s="4"/>
      <c r="L2272" s="7" t="s">
        <v>474</v>
      </c>
      <c r="N2272" s="2" t="s">
        <v>974</v>
      </c>
    </row>
    <row r="2273" spans="5:18" ht="30" x14ac:dyDescent="0.25">
      <c r="F2273" s="10">
        <v>34</v>
      </c>
      <c r="H2273" s="2" t="s">
        <v>1956</v>
      </c>
      <c r="I2273" s="2" t="s">
        <v>29</v>
      </c>
      <c r="J2273" s="3">
        <v>40309</v>
      </c>
      <c r="K2273" s="4"/>
      <c r="L2273" s="7" t="s">
        <v>474</v>
      </c>
      <c r="N2273" s="2" t="s">
        <v>974</v>
      </c>
    </row>
    <row r="2274" spans="5:18" ht="30" x14ac:dyDescent="0.25">
      <c r="E2274" s="10" t="s">
        <v>767</v>
      </c>
      <c r="F2274" s="10">
        <v>1</v>
      </c>
      <c r="G2274" s="2" t="s">
        <v>1928</v>
      </c>
    </row>
    <row r="2275" spans="5:18" x14ac:dyDescent="0.25">
      <c r="F2275" s="10">
        <v>2</v>
      </c>
      <c r="H2275" s="2" t="s">
        <v>1922</v>
      </c>
    </row>
    <row r="2276" spans="5:18" x14ac:dyDescent="0.25">
      <c r="F2276" s="10">
        <v>3</v>
      </c>
      <c r="H2276" s="6" t="s">
        <v>1924</v>
      </c>
      <c r="I2276" s="2" t="s">
        <v>30</v>
      </c>
      <c r="J2276" s="3">
        <v>40309</v>
      </c>
      <c r="K2276" s="4"/>
      <c r="L2276" s="7" t="s">
        <v>474</v>
      </c>
      <c r="N2276" s="2" t="s">
        <v>974</v>
      </c>
    </row>
    <row r="2277" spans="5:18" x14ac:dyDescent="0.25">
      <c r="F2277" s="10">
        <v>4</v>
      </c>
      <c r="H2277" s="6" t="s">
        <v>1925</v>
      </c>
      <c r="I2277" s="2" t="s">
        <v>30</v>
      </c>
      <c r="J2277" s="3">
        <v>40309</v>
      </c>
      <c r="K2277" s="4"/>
      <c r="L2277" s="7" t="s">
        <v>474</v>
      </c>
      <c r="N2277" s="2" t="s">
        <v>974</v>
      </c>
    </row>
    <row r="2278" spans="5:18" x14ac:dyDescent="0.25">
      <c r="E2278" s="10" t="s">
        <v>590</v>
      </c>
      <c r="F2278" s="10">
        <v>1</v>
      </c>
      <c r="G2278" s="2" t="s">
        <v>2259</v>
      </c>
    </row>
    <row r="2279" spans="5:18" x14ac:dyDescent="0.25">
      <c r="F2279" s="10">
        <v>2</v>
      </c>
      <c r="H2279" s="2" t="s">
        <v>1922</v>
      </c>
      <c r="J2279" s="5"/>
      <c r="K2279" s="2"/>
      <c r="L2279" s="3"/>
    </row>
    <row r="2280" spans="5:18" x14ac:dyDescent="0.25">
      <c r="F2280" s="10">
        <v>3</v>
      </c>
      <c r="H2280" s="6" t="s">
        <v>2260</v>
      </c>
      <c r="I2280" s="2" t="s">
        <v>30</v>
      </c>
      <c r="J2280" s="5">
        <v>40309</v>
      </c>
      <c r="K2280" s="4"/>
      <c r="L2280" s="7" t="s">
        <v>474</v>
      </c>
      <c r="N2280" s="2" t="s">
        <v>974</v>
      </c>
    </row>
    <row r="2281" spans="5:18" x14ac:dyDescent="0.25">
      <c r="F2281" s="10">
        <v>4</v>
      </c>
      <c r="H2281" s="6" t="s">
        <v>3144</v>
      </c>
      <c r="I2281" s="2" t="s">
        <v>30</v>
      </c>
      <c r="J2281" s="5">
        <v>40309</v>
      </c>
      <c r="K2281" s="4"/>
      <c r="L2281" s="7" t="s">
        <v>474</v>
      </c>
      <c r="N2281" s="2" t="s">
        <v>974</v>
      </c>
    </row>
    <row r="2282" spans="5:18" x14ac:dyDescent="0.25">
      <c r="E2282" s="10" t="s">
        <v>2265</v>
      </c>
      <c r="F2282" s="10">
        <v>1</v>
      </c>
      <c r="G2282" s="2" t="s">
        <v>2266</v>
      </c>
      <c r="J2282" s="5"/>
      <c r="K2282" s="5"/>
      <c r="L2282" s="3"/>
    </row>
    <row r="2283" spans="5:18" x14ac:dyDescent="0.25">
      <c r="F2283" s="10">
        <v>2</v>
      </c>
      <c r="H2283" s="2" t="s">
        <v>1922</v>
      </c>
      <c r="J2283" s="5"/>
      <c r="K2283" s="5"/>
      <c r="L2283" s="3"/>
    </row>
    <row r="2284" spans="5:18" ht="30" x14ac:dyDescent="0.25">
      <c r="F2284" s="10">
        <v>3</v>
      </c>
      <c r="H2284" s="6" t="s">
        <v>2267</v>
      </c>
      <c r="I2284" s="2" t="s">
        <v>30</v>
      </c>
      <c r="J2284" s="5">
        <v>40309</v>
      </c>
      <c r="K2284" s="4"/>
      <c r="L2284" s="7" t="s">
        <v>474</v>
      </c>
      <c r="N2284" s="2" t="s">
        <v>974</v>
      </c>
    </row>
    <row r="2285" spans="5:18" ht="30" x14ac:dyDescent="0.25">
      <c r="E2285" s="10" t="s">
        <v>164</v>
      </c>
      <c r="F2285" s="10">
        <v>1</v>
      </c>
      <c r="G2285" s="2" t="s">
        <v>3885</v>
      </c>
      <c r="H2285" s="6"/>
      <c r="J2285" s="5"/>
      <c r="K2285" s="2"/>
      <c r="L2285" s="3"/>
    </row>
    <row r="2286" spans="5:18" x14ac:dyDescent="0.25">
      <c r="F2286" s="10">
        <v>2</v>
      </c>
      <c r="H2286" s="2" t="s">
        <v>1922</v>
      </c>
      <c r="J2286" s="5"/>
      <c r="K2286" s="2"/>
      <c r="L2286" s="3"/>
    </row>
    <row r="2287" spans="5:18" ht="45" x14ac:dyDescent="0.25">
      <c r="F2287" s="10">
        <v>3</v>
      </c>
      <c r="H2287" s="6" t="s">
        <v>2268</v>
      </c>
      <c r="I2287" s="2" t="s">
        <v>30</v>
      </c>
      <c r="J2287" s="5">
        <v>40309</v>
      </c>
      <c r="K2287" s="4"/>
      <c r="L2287" s="7" t="s">
        <v>474</v>
      </c>
      <c r="N2287" s="2" t="s">
        <v>974</v>
      </c>
    </row>
    <row r="2288" spans="5:18" ht="45" x14ac:dyDescent="0.25">
      <c r="F2288" s="10">
        <v>4</v>
      </c>
      <c r="H2288" s="2" t="s">
        <v>3886</v>
      </c>
      <c r="I2288" s="2" t="s">
        <v>30</v>
      </c>
      <c r="J2288" s="5">
        <v>40309</v>
      </c>
      <c r="K2288" s="4"/>
      <c r="L2288" s="7" t="s">
        <v>474</v>
      </c>
      <c r="N2288" s="2" t="s">
        <v>974</v>
      </c>
      <c r="O2288" s="2" t="s">
        <v>2358</v>
      </c>
      <c r="P2288" s="2" t="s">
        <v>982</v>
      </c>
      <c r="Q2288" s="2" t="s">
        <v>540</v>
      </c>
      <c r="R2288" s="2" t="s">
        <v>2171</v>
      </c>
    </row>
    <row r="2289" spans="1:14" ht="30" x14ac:dyDescent="0.25">
      <c r="F2289" s="10">
        <v>5</v>
      </c>
      <c r="H2289" s="2" t="s">
        <v>2269</v>
      </c>
      <c r="I2289" s="2" t="s">
        <v>30</v>
      </c>
      <c r="J2289" s="5">
        <v>40309</v>
      </c>
      <c r="K2289" s="4"/>
      <c r="L2289" s="7" t="s">
        <v>474</v>
      </c>
      <c r="N2289" s="2" t="s">
        <v>974</v>
      </c>
    </row>
    <row r="2291" spans="1:14" ht="60" x14ac:dyDescent="0.25">
      <c r="A2291" s="19" t="s">
        <v>1894</v>
      </c>
      <c r="B2291" s="19" t="s">
        <v>1918</v>
      </c>
      <c r="C2291" s="19" t="s">
        <v>460</v>
      </c>
      <c r="D2291" s="19" t="s">
        <v>1919</v>
      </c>
      <c r="E2291" s="10" t="s">
        <v>121</v>
      </c>
      <c r="F2291" s="10">
        <v>1</v>
      </c>
      <c r="G2291" s="2" t="s">
        <v>2204</v>
      </c>
    </row>
    <row r="2292" spans="1:14" ht="45" x14ac:dyDescent="0.25">
      <c r="A2292" s="19"/>
      <c r="B2292" s="19"/>
      <c r="C2292" s="19"/>
      <c r="D2292" s="19"/>
      <c r="F2292" s="10">
        <v>2</v>
      </c>
      <c r="H2292" s="2" t="s">
        <v>2206</v>
      </c>
      <c r="I2292" s="2" t="s">
        <v>30</v>
      </c>
      <c r="J2292" s="5">
        <v>40309</v>
      </c>
      <c r="K2292" s="4"/>
      <c r="L2292" s="7" t="s">
        <v>474</v>
      </c>
      <c r="N2292" s="2" t="s">
        <v>974</v>
      </c>
    </row>
    <row r="2293" spans="1:14" ht="60" x14ac:dyDescent="0.25">
      <c r="A2293" s="19"/>
      <c r="B2293" s="19"/>
      <c r="C2293" s="19"/>
      <c r="D2293" s="19"/>
      <c r="F2293" s="10">
        <v>3</v>
      </c>
      <c r="H2293" s="2" t="s">
        <v>3145</v>
      </c>
      <c r="I2293" s="2" t="s">
        <v>30</v>
      </c>
      <c r="J2293" s="5">
        <v>40309</v>
      </c>
      <c r="K2293" s="4"/>
      <c r="L2293" s="7" t="s">
        <v>474</v>
      </c>
      <c r="N2293" s="2" t="s">
        <v>974</v>
      </c>
    </row>
    <row r="2294" spans="1:14" ht="45" x14ac:dyDescent="0.25">
      <c r="A2294" s="19"/>
      <c r="B2294" s="19"/>
      <c r="C2294" s="19"/>
      <c r="D2294" s="19"/>
      <c r="F2294" s="10">
        <v>4</v>
      </c>
      <c r="H2294" s="2" t="s">
        <v>2209</v>
      </c>
      <c r="I2294" s="2" t="s">
        <v>30</v>
      </c>
      <c r="J2294" s="5">
        <v>40309</v>
      </c>
      <c r="K2294" s="4"/>
      <c r="L2294" s="7" t="s">
        <v>474</v>
      </c>
      <c r="N2294" s="2" t="s">
        <v>974</v>
      </c>
    </row>
    <row r="2295" spans="1:14" ht="30" x14ac:dyDescent="0.25">
      <c r="A2295" s="19"/>
      <c r="B2295" s="19"/>
      <c r="C2295" s="19"/>
      <c r="D2295" s="19"/>
      <c r="F2295" s="10">
        <v>5</v>
      </c>
      <c r="H2295" s="2" t="s">
        <v>2207</v>
      </c>
      <c r="I2295" s="2" t="s">
        <v>29</v>
      </c>
      <c r="J2295" s="5">
        <v>40309</v>
      </c>
      <c r="K2295" s="4"/>
      <c r="L2295" s="7" t="s">
        <v>474</v>
      </c>
      <c r="N2295" s="2" t="s">
        <v>974</v>
      </c>
    </row>
    <row r="2296" spans="1:14" ht="45" x14ac:dyDescent="0.25">
      <c r="A2296" s="19"/>
      <c r="B2296" s="19"/>
      <c r="C2296" s="19"/>
      <c r="D2296" s="19"/>
      <c r="F2296" s="10">
        <v>6</v>
      </c>
      <c r="H2296" s="2" t="s">
        <v>3146</v>
      </c>
      <c r="I2296" s="2" t="s">
        <v>29</v>
      </c>
      <c r="J2296" s="5">
        <v>40309</v>
      </c>
      <c r="K2296" s="4"/>
      <c r="L2296" s="7" t="s">
        <v>474</v>
      </c>
      <c r="N2296" s="2" t="s">
        <v>974</v>
      </c>
    </row>
    <row r="2297" spans="1:14" ht="75" x14ac:dyDescent="0.25">
      <c r="A2297" s="19"/>
      <c r="B2297" s="19"/>
      <c r="C2297" s="19"/>
      <c r="D2297" s="19"/>
      <c r="E2297" s="10" t="s">
        <v>308</v>
      </c>
      <c r="F2297" s="10">
        <v>1</v>
      </c>
      <c r="H2297" s="2" t="s">
        <v>3147</v>
      </c>
      <c r="I2297" s="2" t="s">
        <v>30</v>
      </c>
      <c r="J2297" s="5">
        <v>40309</v>
      </c>
      <c r="K2297" s="4"/>
      <c r="L2297" s="7" t="s">
        <v>474</v>
      </c>
      <c r="N2297" s="2" t="s">
        <v>974</v>
      </c>
    </row>
    <row r="2298" spans="1:14" ht="45" x14ac:dyDescent="0.25">
      <c r="A2298" s="19"/>
      <c r="B2298" s="19"/>
      <c r="C2298" s="19"/>
      <c r="D2298" s="19"/>
      <c r="F2298" s="10">
        <v>2</v>
      </c>
      <c r="H2298" s="2" t="s">
        <v>2210</v>
      </c>
      <c r="I2298" s="2" t="s">
        <v>30</v>
      </c>
      <c r="J2298" s="5">
        <v>40309</v>
      </c>
      <c r="K2298" s="4"/>
      <c r="L2298" s="7" t="s">
        <v>474</v>
      </c>
      <c r="N2298" s="2" t="s">
        <v>974</v>
      </c>
    </row>
    <row r="2299" spans="1:14" ht="30" x14ac:dyDescent="0.25">
      <c r="A2299" s="19"/>
      <c r="B2299" s="19"/>
      <c r="C2299" s="19"/>
      <c r="D2299" s="19"/>
      <c r="F2299" s="10">
        <v>3</v>
      </c>
      <c r="H2299" s="2" t="s">
        <v>2208</v>
      </c>
      <c r="I2299" s="2" t="s">
        <v>30</v>
      </c>
      <c r="J2299" s="5">
        <v>40309</v>
      </c>
      <c r="K2299" s="4"/>
      <c r="L2299" s="7" t="s">
        <v>474</v>
      </c>
      <c r="N2299" s="2" t="s">
        <v>974</v>
      </c>
    </row>
    <row r="2300" spans="1:14" ht="60" x14ac:dyDescent="0.25">
      <c r="A2300" s="19"/>
      <c r="B2300" s="19"/>
      <c r="C2300" s="19"/>
      <c r="D2300" s="19"/>
      <c r="F2300" s="10">
        <v>4</v>
      </c>
      <c r="H2300" s="2" t="s">
        <v>3148</v>
      </c>
      <c r="I2300" s="2" t="s">
        <v>30</v>
      </c>
      <c r="J2300" s="5">
        <v>40309</v>
      </c>
      <c r="K2300" s="4"/>
      <c r="L2300" s="7" t="s">
        <v>474</v>
      </c>
      <c r="N2300" s="2" t="s">
        <v>974</v>
      </c>
    </row>
    <row r="2301" spans="1:14" ht="60" x14ac:dyDescent="0.25">
      <c r="A2301" s="19"/>
      <c r="B2301" s="19"/>
      <c r="C2301" s="19"/>
      <c r="D2301" s="19"/>
      <c r="E2301" s="10" t="s">
        <v>309</v>
      </c>
      <c r="F2301" s="10">
        <v>1</v>
      </c>
      <c r="H2301" s="2" t="s">
        <v>3149</v>
      </c>
      <c r="I2301" s="2" t="s">
        <v>30</v>
      </c>
      <c r="J2301" s="5">
        <v>40309</v>
      </c>
      <c r="K2301" s="4"/>
      <c r="L2301" s="7" t="s">
        <v>474</v>
      </c>
      <c r="N2301" s="2" t="s">
        <v>974</v>
      </c>
    </row>
    <row r="2302" spans="1:14" ht="30" x14ac:dyDescent="0.25">
      <c r="A2302" s="19"/>
      <c r="B2302" s="19"/>
      <c r="C2302" s="19"/>
      <c r="D2302" s="19"/>
      <c r="F2302" s="10">
        <v>2</v>
      </c>
      <c r="H2302" s="2" t="s">
        <v>2211</v>
      </c>
      <c r="I2302" s="2" t="s">
        <v>30</v>
      </c>
      <c r="J2302" s="5">
        <v>40309</v>
      </c>
      <c r="K2302" s="4"/>
      <c r="L2302" s="7" t="s">
        <v>474</v>
      </c>
      <c r="N2302" s="2" t="s">
        <v>974</v>
      </c>
    </row>
    <row r="2303" spans="1:14" ht="30" x14ac:dyDescent="0.25">
      <c r="F2303" s="10">
        <v>3</v>
      </c>
      <c r="H2303" s="2" t="s">
        <v>2205</v>
      </c>
      <c r="I2303" s="2" t="s">
        <v>30</v>
      </c>
      <c r="J2303" s="5">
        <v>40309</v>
      </c>
      <c r="K2303" s="4"/>
      <c r="L2303" s="7" t="s">
        <v>474</v>
      </c>
      <c r="N2303" s="2" t="s">
        <v>974</v>
      </c>
    </row>
    <row r="2304" spans="1:14" ht="45" x14ac:dyDescent="0.25">
      <c r="F2304" s="10">
        <v>4</v>
      </c>
      <c r="H2304" s="2" t="s">
        <v>3150</v>
      </c>
      <c r="I2304" s="2" t="s">
        <v>30</v>
      </c>
      <c r="J2304" s="5">
        <v>40309</v>
      </c>
      <c r="K2304" s="4"/>
      <c r="L2304" s="7" t="s">
        <v>474</v>
      </c>
      <c r="N2304" s="2" t="s">
        <v>974</v>
      </c>
    </row>
    <row r="2306" spans="1:18" ht="60" x14ac:dyDescent="0.25">
      <c r="A2306" s="19" t="s">
        <v>1895</v>
      </c>
      <c r="B2306" s="19" t="s">
        <v>3792</v>
      </c>
      <c r="C2306" s="2" t="s">
        <v>460</v>
      </c>
      <c r="D2306" s="19" t="s">
        <v>1798</v>
      </c>
      <c r="E2306" s="10" t="s">
        <v>121</v>
      </c>
      <c r="F2306" s="10">
        <v>1</v>
      </c>
      <c r="G2306" s="2" t="s">
        <v>3151</v>
      </c>
    </row>
    <row r="2307" spans="1:18" ht="30" x14ac:dyDescent="0.25">
      <c r="F2307" s="10">
        <v>2</v>
      </c>
      <c r="H2307" s="2" t="s">
        <v>3793</v>
      </c>
      <c r="I2307" s="2" t="s">
        <v>29</v>
      </c>
      <c r="J2307" s="5">
        <v>40309</v>
      </c>
      <c r="K2307" s="4"/>
      <c r="L2307" s="7" t="s">
        <v>14</v>
      </c>
      <c r="M2307" s="2" t="s">
        <v>1682</v>
      </c>
      <c r="N2307" s="2" t="s">
        <v>974</v>
      </c>
    </row>
    <row r="2308" spans="1:18" ht="90" x14ac:dyDescent="0.25">
      <c r="F2308" s="10">
        <v>3</v>
      </c>
      <c r="H2308" s="2" t="s">
        <v>3794</v>
      </c>
      <c r="I2308" s="2" t="s">
        <v>29</v>
      </c>
      <c r="J2308" s="5">
        <v>40309</v>
      </c>
      <c r="K2308" s="4"/>
      <c r="L2308" s="7" t="s">
        <v>14</v>
      </c>
      <c r="M2308" s="2" t="s">
        <v>1682</v>
      </c>
      <c r="N2308" s="2" t="s">
        <v>974</v>
      </c>
    </row>
    <row r="2309" spans="1:18" ht="60" x14ac:dyDescent="0.25">
      <c r="F2309" s="10">
        <v>4</v>
      </c>
      <c r="H2309" s="2" t="s">
        <v>3152</v>
      </c>
      <c r="I2309" s="2" t="s">
        <v>29</v>
      </c>
      <c r="J2309" s="5">
        <v>40309</v>
      </c>
      <c r="K2309" s="4"/>
      <c r="L2309" s="7" t="s">
        <v>14</v>
      </c>
      <c r="M2309" s="2" t="s">
        <v>1682</v>
      </c>
      <c r="N2309" s="2" t="s">
        <v>974</v>
      </c>
      <c r="O2309" s="2" t="s">
        <v>2384</v>
      </c>
      <c r="P2309" s="2" t="s">
        <v>977</v>
      </c>
      <c r="Q2309" s="2" t="s">
        <v>540</v>
      </c>
    </row>
    <row r="2310" spans="1:18" ht="45" x14ac:dyDescent="0.25">
      <c r="J2310" s="5"/>
      <c r="K2310" s="4"/>
      <c r="N2310" s="2" t="s">
        <v>974</v>
      </c>
      <c r="O2310" s="2" t="s">
        <v>2385</v>
      </c>
      <c r="P2310" s="2" t="s">
        <v>977</v>
      </c>
      <c r="Q2310" s="2" t="s">
        <v>540</v>
      </c>
      <c r="R2310" s="2" t="s">
        <v>3153</v>
      </c>
    </row>
    <row r="2311" spans="1:18" x14ac:dyDescent="0.25">
      <c r="J2311" s="5"/>
      <c r="K2311" s="4"/>
      <c r="N2311" s="2" t="s">
        <v>974</v>
      </c>
      <c r="O2311" s="2" t="s">
        <v>2386</v>
      </c>
      <c r="P2311" s="2" t="s">
        <v>977</v>
      </c>
      <c r="Q2311" s="2" t="s">
        <v>540</v>
      </c>
    </row>
    <row r="2312" spans="1:18" ht="30" x14ac:dyDescent="0.25">
      <c r="J2312" s="5"/>
      <c r="K2312" s="4"/>
      <c r="N2312" s="2" t="s">
        <v>974</v>
      </c>
      <c r="O2312" s="2" t="s">
        <v>2387</v>
      </c>
      <c r="P2312" s="2" t="s">
        <v>977</v>
      </c>
      <c r="Q2312" s="2" t="s">
        <v>540</v>
      </c>
    </row>
    <row r="2313" spans="1:18" ht="45" x14ac:dyDescent="0.25">
      <c r="J2313" s="5"/>
      <c r="K2313" s="4"/>
      <c r="N2313" s="2" t="s">
        <v>974</v>
      </c>
      <c r="O2313" s="2" t="s">
        <v>2392</v>
      </c>
      <c r="P2313" s="2" t="s">
        <v>977</v>
      </c>
      <c r="Q2313" s="2" t="s">
        <v>540</v>
      </c>
    </row>
    <row r="2314" spans="1:18" ht="60" x14ac:dyDescent="0.25">
      <c r="J2314" s="5"/>
      <c r="N2314" s="2" t="s">
        <v>974</v>
      </c>
      <c r="O2314" s="2" t="s">
        <v>2413</v>
      </c>
      <c r="P2314" s="2" t="s">
        <v>977</v>
      </c>
      <c r="Q2314" s="2" t="s">
        <v>540</v>
      </c>
    </row>
    <row r="2315" spans="1:18" ht="45" x14ac:dyDescent="0.25">
      <c r="J2315" s="5"/>
      <c r="K2315" s="4"/>
      <c r="N2315" s="2" t="s">
        <v>974</v>
      </c>
      <c r="O2315" s="2" t="s">
        <v>2393</v>
      </c>
      <c r="P2315" s="2" t="s">
        <v>977</v>
      </c>
      <c r="Q2315" s="2" t="s">
        <v>540</v>
      </c>
    </row>
    <row r="2316" spans="1:18" ht="60" x14ac:dyDescent="0.25">
      <c r="F2316" s="10">
        <v>5</v>
      </c>
      <c r="H2316" s="2" t="s">
        <v>3983</v>
      </c>
      <c r="I2316" s="2" t="s">
        <v>29</v>
      </c>
      <c r="J2316" s="3">
        <v>40322</v>
      </c>
      <c r="K2316" s="4"/>
      <c r="L2316" s="7" t="s">
        <v>14</v>
      </c>
      <c r="M2316" s="2" t="s">
        <v>1682</v>
      </c>
      <c r="N2316" s="2" t="s">
        <v>974</v>
      </c>
    </row>
    <row r="2317" spans="1:18" ht="45" x14ac:dyDescent="0.25">
      <c r="F2317" s="10">
        <v>5</v>
      </c>
      <c r="H2317" s="2" t="s">
        <v>3154</v>
      </c>
      <c r="I2317" s="2" t="s">
        <v>29</v>
      </c>
      <c r="J2317" s="5">
        <v>40309</v>
      </c>
      <c r="K2317" s="4"/>
      <c r="L2317" s="7" t="s">
        <v>14</v>
      </c>
      <c r="M2317" s="2" t="s">
        <v>1682</v>
      </c>
      <c r="N2317" s="2" t="s">
        <v>974</v>
      </c>
    </row>
    <row r="2318" spans="1:18" ht="45" x14ac:dyDescent="0.25">
      <c r="F2318" s="10">
        <v>6</v>
      </c>
      <c r="H2318" s="2" t="s">
        <v>3155</v>
      </c>
      <c r="I2318" s="2" t="s">
        <v>29</v>
      </c>
      <c r="J2318" s="5">
        <v>40309</v>
      </c>
      <c r="K2318" s="4"/>
      <c r="L2318" s="7" t="s">
        <v>14</v>
      </c>
      <c r="M2318" s="2" t="s">
        <v>1682</v>
      </c>
      <c r="N2318" s="2" t="s">
        <v>974</v>
      </c>
    </row>
    <row r="2319" spans="1:18" ht="30" x14ac:dyDescent="0.25">
      <c r="F2319" s="10">
        <v>7</v>
      </c>
      <c r="H2319" s="2" t="s">
        <v>3156</v>
      </c>
      <c r="I2319" s="2" t="s">
        <v>29</v>
      </c>
      <c r="J2319" s="5">
        <v>40309</v>
      </c>
      <c r="K2319" s="4"/>
      <c r="L2319" s="7" t="s">
        <v>14</v>
      </c>
      <c r="M2319" s="2" t="s">
        <v>1682</v>
      </c>
      <c r="N2319" s="2" t="s">
        <v>974</v>
      </c>
    </row>
    <row r="2320" spans="1:18" ht="45" x14ac:dyDescent="0.25">
      <c r="F2320" s="10">
        <v>8</v>
      </c>
      <c r="H2320" s="2" t="s">
        <v>3157</v>
      </c>
      <c r="I2320" s="2" t="s">
        <v>29</v>
      </c>
      <c r="J2320" s="5">
        <v>40309</v>
      </c>
      <c r="K2320" s="4"/>
      <c r="L2320" s="7" t="s">
        <v>14</v>
      </c>
      <c r="M2320" s="2" t="s">
        <v>1682</v>
      </c>
      <c r="N2320" s="2" t="s">
        <v>974</v>
      </c>
    </row>
    <row r="2321" spans="5:17" ht="30" x14ac:dyDescent="0.25">
      <c r="F2321" s="10">
        <v>9</v>
      </c>
      <c r="H2321" s="2" t="s">
        <v>3158</v>
      </c>
      <c r="I2321" s="2" t="s">
        <v>29</v>
      </c>
      <c r="J2321" s="3">
        <v>40322</v>
      </c>
      <c r="K2321" s="4"/>
      <c r="L2321" s="7" t="s">
        <v>14</v>
      </c>
      <c r="M2321" s="2" t="s">
        <v>1682</v>
      </c>
      <c r="N2321" s="2" t="s">
        <v>974</v>
      </c>
    </row>
    <row r="2322" spans="5:17" ht="30" x14ac:dyDescent="0.25">
      <c r="F2322" s="10">
        <v>10</v>
      </c>
      <c r="H2322" s="2" t="s">
        <v>3159</v>
      </c>
      <c r="I2322" s="2" t="s">
        <v>29</v>
      </c>
      <c r="J2322" s="3">
        <v>40322</v>
      </c>
      <c r="K2322" s="4"/>
      <c r="L2322" s="7" t="s">
        <v>14</v>
      </c>
      <c r="M2322" s="2" t="s">
        <v>1682</v>
      </c>
      <c r="N2322" s="2" t="s">
        <v>974</v>
      </c>
    </row>
    <row r="2323" spans="5:17" ht="45" x14ac:dyDescent="0.25">
      <c r="F2323" s="10">
        <v>11</v>
      </c>
      <c r="H2323" s="2" t="s">
        <v>3160</v>
      </c>
      <c r="I2323" s="2" t="s">
        <v>29</v>
      </c>
      <c r="J2323" s="5">
        <v>40309</v>
      </c>
      <c r="K2323" s="4"/>
      <c r="L2323" s="7" t="s">
        <v>14</v>
      </c>
      <c r="M2323" s="2" t="s">
        <v>1682</v>
      </c>
      <c r="N2323" s="2" t="s">
        <v>974</v>
      </c>
    </row>
    <row r="2324" spans="5:17" ht="45" x14ac:dyDescent="0.25">
      <c r="F2324" s="10">
        <v>12</v>
      </c>
      <c r="H2324" s="2" t="s">
        <v>2220</v>
      </c>
      <c r="I2324" s="2" t="s">
        <v>29</v>
      </c>
      <c r="J2324" s="3">
        <v>40322</v>
      </c>
      <c r="K2324" s="4"/>
      <c r="L2324" s="7" t="s">
        <v>14</v>
      </c>
      <c r="M2324" s="2" t="s">
        <v>1682</v>
      </c>
      <c r="N2324" s="2" t="s">
        <v>974</v>
      </c>
    </row>
    <row r="2325" spans="5:17" ht="75" x14ac:dyDescent="0.25">
      <c r="F2325" s="10">
        <v>13</v>
      </c>
      <c r="H2325" s="2" t="s">
        <v>2389</v>
      </c>
      <c r="I2325" s="2" t="s">
        <v>30</v>
      </c>
      <c r="J2325" s="3">
        <v>40322</v>
      </c>
      <c r="K2325" s="4"/>
      <c r="L2325" s="4"/>
      <c r="M2325" s="2" t="s">
        <v>1682</v>
      </c>
      <c r="N2325" s="2" t="s">
        <v>974</v>
      </c>
      <c r="O2325" s="2" t="s">
        <v>2390</v>
      </c>
      <c r="P2325" s="2" t="s">
        <v>980</v>
      </c>
      <c r="Q2325" s="2" t="s">
        <v>540</v>
      </c>
    </row>
    <row r="2326" spans="5:17" ht="90" x14ac:dyDescent="0.25">
      <c r="F2326" s="10">
        <v>14</v>
      </c>
      <c r="H2326" s="2" t="s">
        <v>1968</v>
      </c>
      <c r="I2326" s="2" t="s">
        <v>30</v>
      </c>
      <c r="J2326" s="3">
        <v>40322</v>
      </c>
      <c r="K2326" s="4"/>
      <c r="L2326" s="7" t="s">
        <v>14</v>
      </c>
      <c r="M2326" s="2" t="s">
        <v>1682</v>
      </c>
      <c r="N2326" s="2" t="s">
        <v>974</v>
      </c>
    </row>
    <row r="2327" spans="5:17" ht="75" x14ac:dyDescent="0.25">
      <c r="F2327" s="10">
        <v>15</v>
      </c>
      <c r="H2327" s="2" t="s">
        <v>3161</v>
      </c>
      <c r="I2327" s="2" t="s">
        <v>29</v>
      </c>
      <c r="J2327" s="3">
        <v>40322</v>
      </c>
      <c r="K2327" s="4"/>
      <c r="L2327" s="7" t="s">
        <v>14</v>
      </c>
      <c r="M2327" s="2" t="s">
        <v>1682</v>
      </c>
      <c r="N2327" s="2" t="s">
        <v>974</v>
      </c>
    </row>
    <row r="2328" spans="5:17" ht="30" x14ac:dyDescent="0.25">
      <c r="F2328" s="10">
        <v>15</v>
      </c>
      <c r="G2328" s="2" t="s">
        <v>1965</v>
      </c>
      <c r="K2328" s="2"/>
      <c r="L2328" s="2"/>
    </row>
    <row r="2329" spans="5:17" ht="45" x14ac:dyDescent="0.25">
      <c r="F2329" s="10">
        <v>16</v>
      </c>
      <c r="H2329" s="2" t="s">
        <v>1966</v>
      </c>
      <c r="J2329" s="3">
        <v>40325</v>
      </c>
      <c r="K2329" s="4"/>
      <c r="L2329" s="7" t="s">
        <v>14</v>
      </c>
      <c r="M2329" s="2" t="s">
        <v>1682</v>
      </c>
      <c r="N2329" s="2" t="s">
        <v>974</v>
      </c>
      <c r="O2329" s="2" t="s">
        <v>2388</v>
      </c>
      <c r="P2329" s="2" t="s">
        <v>977</v>
      </c>
      <c r="Q2329" s="2" t="s">
        <v>540</v>
      </c>
    </row>
    <row r="2330" spans="5:17" ht="30" x14ac:dyDescent="0.25">
      <c r="F2330" s="10">
        <v>17</v>
      </c>
      <c r="H2330" s="2" t="s">
        <v>1967</v>
      </c>
      <c r="J2330" s="3">
        <v>40325</v>
      </c>
      <c r="K2330" s="4"/>
      <c r="L2330" s="7" t="s">
        <v>14</v>
      </c>
      <c r="M2330" s="2" t="s">
        <v>1682</v>
      </c>
      <c r="N2330" s="2" t="s">
        <v>974</v>
      </c>
      <c r="O2330" s="2" t="s">
        <v>3795</v>
      </c>
      <c r="P2330" s="2" t="s">
        <v>980</v>
      </c>
      <c r="Q2330" s="2" t="s">
        <v>540</v>
      </c>
    </row>
    <row r="2331" spans="5:17" ht="60" x14ac:dyDescent="0.25">
      <c r="E2331" s="10" t="s">
        <v>123</v>
      </c>
      <c r="F2331" s="10">
        <v>1</v>
      </c>
      <c r="G2331" s="2" t="s">
        <v>3162</v>
      </c>
    </row>
    <row r="2332" spans="5:17" x14ac:dyDescent="0.25">
      <c r="F2332" s="10">
        <v>2</v>
      </c>
      <c r="H2332" s="2" t="s">
        <v>1958</v>
      </c>
    </row>
    <row r="2333" spans="5:17" ht="45" x14ac:dyDescent="0.25">
      <c r="F2333" s="10">
        <v>3</v>
      </c>
      <c r="H2333" s="2" t="s">
        <v>3163</v>
      </c>
      <c r="I2333" s="2" t="s">
        <v>30</v>
      </c>
      <c r="J2333" s="3">
        <v>40322</v>
      </c>
      <c r="K2333" s="4"/>
      <c r="L2333" s="7" t="s">
        <v>14</v>
      </c>
      <c r="M2333" s="2" t="s">
        <v>1682</v>
      </c>
      <c r="N2333" s="2" t="s">
        <v>974</v>
      </c>
      <c r="O2333" s="2" t="s">
        <v>2391</v>
      </c>
    </row>
    <row r="2334" spans="5:17" ht="45" x14ac:dyDescent="0.25">
      <c r="E2334" s="10" t="s">
        <v>126</v>
      </c>
      <c r="F2334" s="10">
        <v>1</v>
      </c>
      <c r="G2334" s="2" t="s">
        <v>3887</v>
      </c>
      <c r="K2334" s="2"/>
      <c r="L2334" s="2"/>
    </row>
    <row r="2335" spans="5:17" x14ac:dyDescent="0.25">
      <c r="F2335" s="10">
        <v>2</v>
      </c>
      <c r="H2335" s="2" t="s">
        <v>1958</v>
      </c>
    </row>
    <row r="2336" spans="5:17" ht="30" x14ac:dyDescent="0.25">
      <c r="F2336" s="10">
        <v>3</v>
      </c>
      <c r="H2336" s="2" t="s">
        <v>3163</v>
      </c>
      <c r="I2336" s="2" t="s">
        <v>30</v>
      </c>
      <c r="J2336" s="3">
        <v>40322</v>
      </c>
      <c r="K2336" s="4"/>
      <c r="L2336" s="7" t="s">
        <v>14</v>
      </c>
      <c r="M2336" s="2" t="s">
        <v>1682</v>
      </c>
      <c r="N2336" s="2" t="s">
        <v>974</v>
      </c>
    </row>
    <row r="2337" spans="1:18" ht="60" x14ac:dyDescent="0.25">
      <c r="E2337" s="10" t="s">
        <v>127</v>
      </c>
      <c r="F2337" s="10">
        <v>1</v>
      </c>
      <c r="G2337" s="2" t="s">
        <v>3164</v>
      </c>
      <c r="K2337" s="2"/>
      <c r="L2337" s="2"/>
    </row>
    <row r="2338" spans="1:18" ht="30" x14ac:dyDescent="0.25">
      <c r="F2338" s="10">
        <v>2</v>
      </c>
      <c r="H2338" s="2" t="s">
        <v>1964</v>
      </c>
    </row>
    <row r="2339" spans="1:18" ht="90" x14ac:dyDescent="0.25">
      <c r="F2339" s="10">
        <v>3</v>
      </c>
      <c r="H2339" s="2" t="s">
        <v>3796</v>
      </c>
      <c r="I2339" s="2" t="s">
        <v>29</v>
      </c>
      <c r="J2339" s="3">
        <v>40325</v>
      </c>
      <c r="K2339" s="4"/>
      <c r="L2339" s="7" t="s">
        <v>14</v>
      </c>
      <c r="M2339" s="2" t="s">
        <v>1682</v>
      </c>
      <c r="N2339" s="2" t="s">
        <v>974</v>
      </c>
      <c r="O2339" s="2" t="s">
        <v>2394</v>
      </c>
      <c r="P2339" s="2" t="s">
        <v>980</v>
      </c>
      <c r="Q2339" s="2" t="s">
        <v>540</v>
      </c>
    </row>
    <row r="2340" spans="1:18" ht="45" x14ac:dyDescent="0.25">
      <c r="F2340" s="10">
        <v>4</v>
      </c>
      <c r="H2340" s="2" t="s">
        <v>3165</v>
      </c>
      <c r="J2340" s="3">
        <v>40325</v>
      </c>
      <c r="K2340" s="4"/>
      <c r="L2340" s="7" t="s">
        <v>14</v>
      </c>
      <c r="M2340" s="2" t="s">
        <v>1682</v>
      </c>
      <c r="N2340" s="2" t="s">
        <v>974</v>
      </c>
    </row>
    <row r="2342" spans="1:18" ht="45" x14ac:dyDescent="0.25">
      <c r="A2342" s="19" t="s">
        <v>1892</v>
      </c>
      <c r="B2342" s="19" t="s">
        <v>1905</v>
      </c>
      <c r="C2342" s="19" t="s">
        <v>39</v>
      </c>
      <c r="D2342" s="19" t="s">
        <v>1906</v>
      </c>
      <c r="E2342" s="10" t="s">
        <v>121</v>
      </c>
      <c r="F2342" s="10">
        <v>1</v>
      </c>
      <c r="G2342" s="2" t="s">
        <v>466</v>
      </c>
    </row>
    <row r="2343" spans="1:18" ht="30" x14ac:dyDescent="0.25">
      <c r="A2343" s="2"/>
      <c r="B2343" s="2"/>
      <c r="C2343" s="2"/>
      <c r="D2343" s="2"/>
      <c r="E2343" s="2"/>
      <c r="F2343" s="10">
        <v>2</v>
      </c>
      <c r="H2343" s="2" t="s">
        <v>1910</v>
      </c>
      <c r="I2343" s="2" t="s">
        <v>30</v>
      </c>
      <c r="J2343" s="7" t="s">
        <v>33</v>
      </c>
      <c r="K2343" s="4"/>
      <c r="L2343" s="4"/>
      <c r="M2343" s="2" t="s">
        <v>2450</v>
      </c>
      <c r="N2343" s="2" t="s">
        <v>974</v>
      </c>
    </row>
    <row r="2344" spans="1:18" ht="60" x14ac:dyDescent="0.25">
      <c r="F2344" s="10">
        <v>3</v>
      </c>
      <c r="H2344" s="2" t="s">
        <v>2273</v>
      </c>
      <c r="I2344" s="2" t="s">
        <v>29</v>
      </c>
      <c r="J2344" s="5">
        <v>40309</v>
      </c>
      <c r="K2344" s="4"/>
      <c r="L2344" s="4"/>
      <c r="M2344" s="2" t="s">
        <v>1682</v>
      </c>
      <c r="N2344" s="2" t="s">
        <v>974</v>
      </c>
    </row>
    <row r="2345" spans="1:18" ht="45" x14ac:dyDescent="0.25">
      <c r="F2345" s="10">
        <v>4</v>
      </c>
      <c r="H2345" s="2" t="s">
        <v>1971</v>
      </c>
      <c r="I2345" s="2" t="s">
        <v>30</v>
      </c>
      <c r="J2345" s="3">
        <v>40353</v>
      </c>
      <c r="K2345" s="4"/>
      <c r="L2345" s="4"/>
      <c r="M2345" s="2" t="s">
        <v>2531</v>
      </c>
      <c r="N2345" s="2" t="s">
        <v>974</v>
      </c>
    </row>
    <row r="2346" spans="1:18" ht="45" x14ac:dyDescent="0.25">
      <c r="F2346" s="10">
        <v>5</v>
      </c>
      <c r="H2346" s="2" t="s">
        <v>1907</v>
      </c>
      <c r="I2346" s="2" t="s">
        <v>29</v>
      </c>
      <c r="J2346" s="3">
        <v>40309</v>
      </c>
      <c r="K2346" s="4"/>
      <c r="L2346" s="4"/>
      <c r="M2346" s="2" t="s">
        <v>2450</v>
      </c>
      <c r="N2346" s="2" t="s">
        <v>974</v>
      </c>
    </row>
    <row r="2347" spans="1:18" ht="60" x14ac:dyDescent="0.25">
      <c r="F2347" s="10">
        <v>6</v>
      </c>
      <c r="H2347" s="7" t="s">
        <v>800</v>
      </c>
      <c r="I2347" s="2" t="s">
        <v>29</v>
      </c>
      <c r="J2347" s="7" t="s">
        <v>33</v>
      </c>
      <c r="K2347" s="4"/>
      <c r="L2347" s="4"/>
      <c r="N2347" s="2" t="s">
        <v>974</v>
      </c>
      <c r="O2347" s="2" t="s">
        <v>2472</v>
      </c>
      <c r="P2347" s="2" t="s">
        <v>977</v>
      </c>
      <c r="Q2347" s="2" t="s">
        <v>540</v>
      </c>
      <c r="R2347" s="2" t="s">
        <v>2524</v>
      </c>
    </row>
    <row r="2348" spans="1:18" x14ac:dyDescent="0.25">
      <c r="F2348" s="10">
        <v>7</v>
      </c>
      <c r="H2348" s="2" t="s">
        <v>1940</v>
      </c>
      <c r="I2348" s="2" t="s">
        <v>29</v>
      </c>
      <c r="J2348" s="3">
        <v>40309</v>
      </c>
      <c r="K2348" s="4"/>
      <c r="L2348" s="4"/>
      <c r="M2348" s="2" t="s">
        <v>1682</v>
      </c>
      <c r="N2348" s="2" t="s">
        <v>974</v>
      </c>
    </row>
    <row r="2349" spans="1:18" ht="45" x14ac:dyDescent="0.25">
      <c r="F2349" s="10">
        <v>8</v>
      </c>
      <c r="H2349" s="2" t="s">
        <v>1972</v>
      </c>
      <c r="I2349" s="2" t="s">
        <v>29</v>
      </c>
      <c r="J2349" s="3">
        <v>40353</v>
      </c>
      <c r="K2349" s="4"/>
      <c r="L2349" s="4"/>
      <c r="M2349" s="2" t="s">
        <v>980</v>
      </c>
      <c r="N2349" s="2" t="s">
        <v>974</v>
      </c>
      <c r="O2349" s="2" t="s">
        <v>2473</v>
      </c>
      <c r="P2349" s="2" t="s">
        <v>977</v>
      </c>
      <c r="Q2349" s="2" t="s">
        <v>540</v>
      </c>
    </row>
    <row r="2350" spans="1:18" ht="30" x14ac:dyDescent="0.25">
      <c r="F2350" s="10">
        <v>9</v>
      </c>
      <c r="H2350" s="2" t="s">
        <v>1974</v>
      </c>
      <c r="I2350" s="2" t="s">
        <v>29</v>
      </c>
      <c r="J2350" s="3">
        <v>40353</v>
      </c>
      <c r="K2350" s="4"/>
      <c r="L2350" s="4"/>
      <c r="M2350" s="2" t="s">
        <v>1682</v>
      </c>
      <c r="N2350" s="2" t="s">
        <v>974</v>
      </c>
    </row>
    <row r="2351" spans="1:18" ht="30" x14ac:dyDescent="0.25">
      <c r="F2351" s="10">
        <v>10</v>
      </c>
      <c r="H2351" s="2" t="s">
        <v>1975</v>
      </c>
      <c r="I2351" s="2" t="s">
        <v>29</v>
      </c>
      <c r="J2351" s="3">
        <v>40353</v>
      </c>
      <c r="K2351" s="4"/>
      <c r="L2351" s="4"/>
      <c r="M2351" s="2" t="s">
        <v>1682</v>
      </c>
      <c r="N2351" s="2" t="s">
        <v>974</v>
      </c>
    </row>
    <row r="2352" spans="1:18" ht="45" x14ac:dyDescent="0.25">
      <c r="F2352" s="10">
        <v>11</v>
      </c>
      <c r="H2352" s="2" t="s">
        <v>3166</v>
      </c>
      <c r="I2352" s="7" t="s">
        <v>29</v>
      </c>
      <c r="J2352" s="7" t="s">
        <v>33</v>
      </c>
      <c r="K2352" s="4"/>
      <c r="L2352" s="4"/>
      <c r="N2352" s="2" t="s">
        <v>974</v>
      </c>
    </row>
    <row r="2353" spans="6:18" ht="30" x14ac:dyDescent="0.25">
      <c r="F2353" s="10">
        <v>12</v>
      </c>
      <c r="H2353" s="2" t="s">
        <v>1977</v>
      </c>
      <c r="I2353" s="7" t="s">
        <v>30</v>
      </c>
      <c r="J2353" s="7" t="s">
        <v>33</v>
      </c>
      <c r="K2353" s="4"/>
      <c r="L2353" s="4"/>
      <c r="M2353" s="2" t="s">
        <v>2475</v>
      </c>
      <c r="N2353" s="2" t="s">
        <v>974</v>
      </c>
    </row>
    <row r="2354" spans="6:18" ht="45" x14ac:dyDescent="0.25">
      <c r="F2354" s="10">
        <v>13</v>
      </c>
      <c r="H2354" s="2" t="s">
        <v>1978</v>
      </c>
      <c r="I2354" s="7" t="s">
        <v>30</v>
      </c>
      <c r="J2354" s="7" t="s">
        <v>33</v>
      </c>
      <c r="K2354" s="4"/>
      <c r="L2354" s="4"/>
      <c r="M2354" s="2" t="s">
        <v>2475</v>
      </c>
      <c r="N2354" s="2" t="s">
        <v>974</v>
      </c>
    </row>
    <row r="2355" spans="6:18" ht="45" x14ac:dyDescent="0.25">
      <c r="F2355" s="10">
        <v>14</v>
      </c>
      <c r="H2355" s="2" t="s">
        <v>2192</v>
      </c>
      <c r="I2355" s="2" t="s">
        <v>29</v>
      </c>
      <c r="J2355" s="3">
        <v>40309</v>
      </c>
      <c r="K2355" s="4"/>
      <c r="L2355" s="4"/>
      <c r="N2355" s="2" t="s">
        <v>974</v>
      </c>
    </row>
    <row r="2356" spans="6:18" x14ac:dyDescent="0.25">
      <c r="F2356" s="10">
        <v>15</v>
      </c>
      <c r="H2356" s="2" t="s">
        <v>2197</v>
      </c>
      <c r="I2356" s="2" t="s">
        <v>29</v>
      </c>
      <c r="J2356" s="7" t="s">
        <v>33</v>
      </c>
      <c r="K2356" s="4"/>
      <c r="L2356" s="4"/>
      <c r="N2356" s="2" t="s">
        <v>974</v>
      </c>
    </row>
    <row r="2357" spans="6:18" ht="30" x14ac:dyDescent="0.25">
      <c r="F2357" s="10">
        <v>16</v>
      </c>
      <c r="H2357" s="2" t="s">
        <v>2198</v>
      </c>
      <c r="I2357" s="2" t="s">
        <v>29</v>
      </c>
      <c r="J2357" s="7" t="s">
        <v>33</v>
      </c>
      <c r="K2357" s="4"/>
      <c r="L2357" s="4"/>
      <c r="M2357" s="2" t="s">
        <v>1682</v>
      </c>
      <c r="N2357" s="2" t="s">
        <v>974</v>
      </c>
    </row>
    <row r="2358" spans="6:18" ht="105" x14ac:dyDescent="0.25">
      <c r="F2358" s="10">
        <v>17</v>
      </c>
      <c r="H2358" s="2" t="s">
        <v>2199</v>
      </c>
      <c r="I2358" s="2" t="s">
        <v>29</v>
      </c>
      <c r="J2358" s="7"/>
      <c r="K2358" s="4"/>
      <c r="L2358" s="4"/>
      <c r="M2358" s="2" t="s">
        <v>2450</v>
      </c>
      <c r="N2358" s="2" t="s">
        <v>973</v>
      </c>
      <c r="O2358" s="2" t="s">
        <v>2530</v>
      </c>
      <c r="P2358" s="2" t="s">
        <v>977</v>
      </c>
      <c r="Q2358" s="2" t="s">
        <v>1494</v>
      </c>
    </row>
    <row r="2359" spans="6:18" ht="30" x14ac:dyDescent="0.25">
      <c r="F2359" s="10">
        <v>18</v>
      </c>
      <c r="H2359" s="2" t="s">
        <v>3984</v>
      </c>
      <c r="I2359" s="2" t="s">
        <v>29</v>
      </c>
      <c r="J2359" s="7"/>
      <c r="K2359" s="4"/>
      <c r="L2359" s="4"/>
      <c r="M2359" s="2" t="s">
        <v>1682</v>
      </c>
      <c r="N2359" s="2" t="s">
        <v>974</v>
      </c>
    </row>
    <row r="2360" spans="6:18" ht="90" x14ac:dyDescent="0.25">
      <c r="F2360" s="10">
        <v>19</v>
      </c>
      <c r="H2360" s="2" t="s">
        <v>1989</v>
      </c>
      <c r="I2360" s="2" t="s">
        <v>30</v>
      </c>
      <c r="J2360" s="7" t="s">
        <v>33</v>
      </c>
      <c r="K2360" s="7" t="s">
        <v>33</v>
      </c>
      <c r="L2360" s="4"/>
      <c r="M2360" s="2" t="s">
        <v>1682</v>
      </c>
      <c r="N2360" s="2" t="s">
        <v>974</v>
      </c>
      <c r="O2360" s="2" t="s">
        <v>3102</v>
      </c>
      <c r="P2360" s="2" t="s">
        <v>977</v>
      </c>
      <c r="Q2360" s="2" t="s">
        <v>540</v>
      </c>
      <c r="R2360" s="2" t="s">
        <v>2476</v>
      </c>
    </row>
    <row r="2361" spans="6:18" ht="45" x14ac:dyDescent="0.25">
      <c r="F2361" s="10">
        <v>20</v>
      </c>
      <c r="H2361" s="2" t="s">
        <v>2202</v>
      </c>
      <c r="I2361" s="2" t="s">
        <v>30</v>
      </c>
      <c r="J2361" s="3" t="s">
        <v>33</v>
      </c>
      <c r="K2361" s="7" t="s">
        <v>33</v>
      </c>
      <c r="L2361" s="4"/>
      <c r="M2361" s="2" t="s">
        <v>982</v>
      </c>
      <c r="N2361" s="2" t="s">
        <v>974</v>
      </c>
      <c r="Q2361" s="2" t="s">
        <v>540</v>
      </c>
      <c r="R2361" s="2" t="s">
        <v>2477</v>
      </c>
    </row>
    <row r="2362" spans="6:18" ht="45" x14ac:dyDescent="0.25">
      <c r="F2362" s="10">
        <v>21</v>
      </c>
      <c r="H2362" s="2" t="s">
        <v>1643</v>
      </c>
      <c r="I2362" s="2" t="s">
        <v>30</v>
      </c>
      <c r="J2362" s="3" t="s">
        <v>33</v>
      </c>
      <c r="K2362" s="7" t="s">
        <v>33</v>
      </c>
      <c r="L2362" s="4"/>
      <c r="M2362" s="2" t="s">
        <v>2450</v>
      </c>
      <c r="N2362" s="2" t="s">
        <v>974</v>
      </c>
      <c r="O2362" s="2" t="s">
        <v>2474</v>
      </c>
      <c r="P2362" s="2" t="s">
        <v>977</v>
      </c>
      <c r="Q2362" s="2" t="s">
        <v>540</v>
      </c>
      <c r="R2362" s="2" t="s">
        <v>2476</v>
      </c>
    </row>
    <row r="2363" spans="6:18" ht="54.75" customHeight="1" x14ac:dyDescent="0.25">
      <c r="F2363" s="10">
        <v>22</v>
      </c>
      <c r="H2363" s="2" t="s">
        <v>1700</v>
      </c>
      <c r="I2363" s="2" t="s">
        <v>30</v>
      </c>
      <c r="J2363" s="3" t="s">
        <v>33</v>
      </c>
      <c r="K2363" s="7" t="s">
        <v>33</v>
      </c>
      <c r="L2363" s="4"/>
      <c r="M2363" s="2" t="s">
        <v>2450</v>
      </c>
      <c r="N2363" s="2" t="s">
        <v>974</v>
      </c>
    </row>
    <row r="2364" spans="6:18" ht="60" x14ac:dyDescent="0.25">
      <c r="F2364" s="10">
        <v>23</v>
      </c>
      <c r="H2364" s="2" t="s">
        <v>1451</v>
      </c>
      <c r="I2364" s="2" t="s">
        <v>30</v>
      </c>
      <c r="J2364" s="3" t="s">
        <v>33</v>
      </c>
      <c r="K2364" s="7" t="s">
        <v>33</v>
      </c>
      <c r="L2364" s="4"/>
      <c r="N2364" s="2" t="s">
        <v>974</v>
      </c>
    </row>
    <row r="2365" spans="6:18" ht="105" x14ac:dyDescent="0.25">
      <c r="F2365" s="10">
        <v>24</v>
      </c>
      <c r="H2365" s="2" t="s">
        <v>2168</v>
      </c>
      <c r="I2365" s="2" t="s">
        <v>29</v>
      </c>
      <c r="J2365" s="3" t="s">
        <v>33</v>
      </c>
      <c r="K2365" s="7" t="s">
        <v>33</v>
      </c>
      <c r="L2365" s="4"/>
      <c r="M2365" s="2" t="s">
        <v>1682</v>
      </c>
      <c r="N2365" s="2" t="s">
        <v>974</v>
      </c>
      <c r="O2365" s="2" t="s">
        <v>3086</v>
      </c>
      <c r="P2365" s="2" t="s">
        <v>977</v>
      </c>
      <c r="Q2365" s="2" t="s">
        <v>540</v>
      </c>
    </row>
    <row r="2366" spans="6:18" ht="75" x14ac:dyDescent="0.25">
      <c r="J2366" s="3"/>
      <c r="N2366" s="2" t="s">
        <v>974</v>
      </c>
      <c r="O2366" s="2" t="s">
        <v>3087</v>
      </c>
      <c r="P2366" s="2" t="s">
        <v>977</v>
      </c>
      <c r="Q2366" s="2" t="s">
        <v>540</v>
      </c>
    </row>
    <row r="2367" spans="6:18" ht="60" x14ac:dyDescent="0.25">
      <c r="J2367" s="3"/>
      <c r="N2367" s="2" t="s">
        <v>974</v>
      </c>
      <c r="O2367" s="2" t="s">
        <v>3034</v>
      </c>
      <c r="P2367" s="2" t="s">
        <v>980</v>
      </c>
      <c r="Q2367" s="2" t="s">
        <v>540</v>
      </c>
    </row>
    <row r="2369" spans="1:18" ht="75" x14ac:dyDescent="0.25">
      <c r="A2369" s="19" t="s">
        <v>1896</v>
      </c>
      <c r="B2369" s="19" t="s">
        <v>1938</v>
      </c>
      <c r="C2369" s="19" t="s">
        <v>460</v>
      </c>
      <c r="D2369" s="19" t="s">
        <v>1939</v>
      </c>
      <c r="E2369" s="10" t="s">
        <v>121</v>
      </c>
      <c r="F2369" s="10">
        <v>1</v>
      </c>
      <c r="G2369" s="2" t="s">
        <v>1263</v>
      </c>
    </row>
    <row r="2370" spans="1:18" ht="75" x14ac:dyDescent="0.25">
      <c r="F2370" s="10">
        <v>2</v>
      </c>
      <c r="H2370" s="2" t="s">
        <v>3167</v>
      </c>
      <c r="I2370" s="2" t="s">
        <v>30</v>
      </c>
      <c r="J2370" s="3">
        <v>40309</v>
      </c>
      <c r="K2370" s="4"/>
      <c r="L2370" s="7" t="s">
        <v>474</v>
      </c>
      <c r="N2370" s="2" t="s">
        <v>974</v>
      </c>
    </row>
    <row r="2371" spans="1:18" ht="225" x14ac:dyDescent="0.25">
      <c r="F2371" s="10">
        <v>3</v>
      </c>
      <c r="H2371" s="2" t="s">
        <v>1963</v>
      </c>
      <c r="I2371" s="2" t="s">
        <v>30</v>
      </c>
      <c r="J2371" s="3">
        <v>40309</v>
      </c>
      <c r="K2371" s="4"/>
      <c r="L2371" s="7" t="s">
        <v>474</v>
      </c>
      <c r="N2371" s="2" t="s">
        <v>974</v>
      </c>
      <c r="O2371" s="2" t="s">
        <v>2341</v>
      </c>
      <c r="P2371" s="2" t="s">
        <v>980</v>
      </c>
      <c r="Q2371" s="2" t="s">
        <v>540</v>
      </c>
      <c r="R2371" s="2" t="s">
        <v>2177</v>
      </c>
    </row>
    <row r="2372" spans="1:18" x14ac:dyDescent="0.25">
      <c r="E2372" s="10" t="s">
        <v>123</v>
      </c>
      <c r="F2372" s="10">
        <v>1</v>
      </c>
      <c r="G2372" s="2" t="s">
        <v>1263</v>
      </c>
      <c r="J2372" s="3"/>
      <c r="K2372" s="3"/>
    </row>
    <row r="2373" spans="1:18" x14ac:dyDescent="0.25">
      <c r="F2373" s="10">
        <v>2</v>
      </c>
      <c r="G2373" s="2" t="s">
        <v>2186</v>
      </c>
      <c r="J2373" s="3"/>
      <c r="K2373" s="3"/>
    </row>
    <row r="2374" spans="1:18" ht="45" x14ac:dyDescent="0.25">
      <c r="F2374" s="10">
        <v>3</v>
      </c>
      <c r="H2374" s="2" t="s">
        <v>2187</v>
      </c>
      <c r="I2374" s="2" t="s">
        <v>30</v>
      </c>
      <c r="J2374" s="3">
        <v>40322</v>
      </c>
      <c r="K2374" s="4"/>
      <c r="L2374" s="7" t="s">
        <v>474</v>
      </c>
      <c r="N2374" s="2" t="s">
        <v>2335</v>
      </c>
      <c r="O2374" s="2" t="s">
        <v>2338</v>
      </c>
    </row>
    <row r="2375" spans="1:18" ht="30" x14ac:dyDescent="0.25">
      <c r="F2375" s="10">
        <v>4</v>
      </c>
      <c r="H2375" s="2" t="s">
        <v>2190</v>
      </c>
      <c r="I2375" s="2" t="s">
        <v>29</v>
      </c>
      <c r="J2375" s="3">
        <v>40322</v>
      </c>
      <c r="K2375" s="4"/>
      <c r="L2375" s="7" t="s">
        <v>474</v>
      </c>
      <c r="N2375" s="2" t="s">
        <v>974</v>
      </c>
    </row>
    <row r="2376" spans="1:18" x14ac:dyDescent="0.25">
      <c r="F2376" s="10">
        <v>5</v>
      </c>
      <c r="G2376" s="2" t="s">
        <v>2188</v>
      </c>
      <c r="J2376" s="3"/>
      <c r="K2376" s="3"/>
    </row>
    <row r="2377" spans="1:18" ht="30" x14ac:dyDescent="0.25">
      <c r="F2377" s="10">
        <v>6</v>
      </c>
      <c r="H2377" s="2" t="s">
        <v>2189</v>
      </c>
      <c r="I2377" s="2" t="s">
        <v>30</v>
      </c>
      <c r="J2377" s="3">
        <v>40322</v>
      </c>
      <c r="K2377" s="4"/>
      <c r="L2377" s="7" t="s">
        <v>474</v>
      </c>
      <c r="N2377" s="2" t="s">
        <v>974</v>
      </c>
    </row>
    <row r="2378" spans="1:18" ht="45" x14ac:dyDescent="0.25">
      <c r="F2378" s="10">
        <v>7</v>
      </c>
      <c r="H2378" s="2" t="s">
        <v>2191</v>
      </c>
      <c r="I2378" s="2" t="s">
        <v>30</v>
      </c>
      <c r="J2378" s="3">
        <v>40322</v>
      </c>
      <c r="K2378" s="4"/>
      <c r="L2378" s="7" t="s">
        <v>474</v>
      </c>
      <c r="N2378" s="2" t="s">
        <v>974</v>
      </c>
    </row>
    <row r="2380" spans="1:18" ht="45" x14ac:dyDescent="0.25">
      <c r="A2380" s="7" t="s">
        <v>646</v>
      </c>
      <c r="B2380" s="19" t="s">
        <v>792</v>
      </c>
      <c r="C2380" s="7" t="s">
        <v>39</v>
      </c>
      <c r="D2380" s="19" t="s">
        <v>3985</v>
      </c>
      <c r="E2380" s="10" t="s">
        <v>121</v>
      </c>
      <c r="F2380" s="10">
        <v>1</v>
      </c>
      <c r="G2380" s="2" t="s">
        <v>812</v>
      </c>
    </row>
    <row r="2381" spans="1:18" ht="30" x14ac:dyDescent="0.25">
      <c r="F2381" s="10">
        <v>2</v>
      </c>
      <c r="H2381" s="2" t="s">
        <v>2183</v>
      </c>
      <c r="I2381" s="2" t="s">
        <v>29</v>
      </c>
      <c r="J2381" s="3">
        <v>40322</v>
      </c>
      <c r="K2381" s="4"/>
      <c r="L2381" s="7" t="s">
        <v>14</v>
      </c>
      <c r="M2381" s="2" t="s">
        <v>1682</v>
      </c>
      <c r="N2381" s="2" t="s">
        <v>974</v>
      </c>
    </row>
    <row r="2382" spans="1:18" ht="30" x14ac:dyDescent="0.25">
      <c r="F2382" s="10">
        <v>3</v>
      </c>
      <c r="G2382" s="2" t="s">
        <v>2184</v>
      </c>
    </row>
    <row r="2383" spans="1:18" ht="45" x14ac:dyDescent="0.25">
      <c r="F2383" s="10">
        <v>4</v>
      </c>
      <c r="H2383" s="2" t="s">
        <v>2218</v>
      </c>
      <c r="I2383" s="2" t="s">
        <v>29</v>
      </c>
      <c r="J2383" s="3">
        <v>40322</v>
      </c>
      <c r="K2383" s="4"/>
      <c r="L2383" s="7" t="s">
        <v>14</v>
      </c>
      <c r="M2383" s="2" t="s">
        <v>1682</v>
      </c>
      <c r="N2383" s="2" t="s">
        <v>974</v>
      </c>
      <c r="O2383" s="2" t="s">
        <v>2686</v>
      </c>
      <c r="P2383" s="2" t="s">
        <v>977</v>
      </c>
      <c r="Q2383" s="2" t="s">
        <v>540</v>
      </c>
      <c r="R2383" s="2" t="s">
        <v>2695</v>
      </c>
    </row>
    <row r="2384" spans="1:18" ht="30" x14ac:dyDescent="0.25">
      <c r="F2384" s="10">
        <v>5</v>
      </c>
      <c r="H2384" s="2" t="s">
        <v>2185</v>
      </c>
      <c r="I2384" s="2" t="s">
        <v>29</v>
      </c>
      <c r="J2384" s="3">
        <v>40322</v>
      </c>
      <c r="K2384" s="4"/>
      <c r="L2384" s="7" t="s">
        <v>14</v>
      </c>
      <c r="M2384" s="2" t="s">
        <v>1682</v>
      </c>
      <c r="N2384" s="2" t="s">
        <v>974</v>
      </c>
    </row>
    <row r="2385" spans="1:14" ht="30" x14ac:dyDescent="0.25">
      <c r="F2385" s="10">
        <v>6</v>
      </c>
      <c r="H2385" s="2" t="s">
        <v>2219</v>
      </c>
      <c r="I2385" s="2" t="s">
        <v>29</v>
      </c>
      <c r="J2385" s="3">
        <v>40322</v>
      </c>
      <c r="K2385" s="4"/>
      <c r="L2385" s="7" t="s">
        <v>14</v>
      </c>
      <c r="M2385" s="2" t="s">
        <v>1682</v>
      </c>
      <c r="N2385" s="2" t="s">
        <v>974</v>
      </c>
    </row>
    <row r="2386" spans="1:14" ht="30" x14ac:dyDescent="0.25">
      <c r="E2386" s="10" t="s">
        <v>123</v>
      </c>
      <c r="F2386" s="10">
        <v>1</v>
      </c>
      <c r="G2386" s="2" t="s">
        <v>650</v>
      </c>
    </row>
    <row r="2387" spans="1:14" ht="45" x14ac:dyDescent="0.25">
      <c r="F2387" s="10">
        <v>2</v>
      </c>
      <c r="H2387" s="2" t="s">
        <v>2353</v>
      </c>
      <c r="I2387" s="2" t="s">
        <v>29</v>
      </c>
      <c r="J2387" s="3">
        <v>40322</v>
      </c>
      <c r="K2387" s="4"/>
      <c r="L2387" s="7" t="s">
        <v>14</v>
      </c>
      <c r="M2387" s="2" t="s">
        <v>1682</v>
      </c>
      <c r="N2387" s="2" t="s">
        <v>974</v>
      </c>
    </row>
    <row r="2388" spans="1:14" ht="30" x14ac:dyDescent="0.25">
      <c r="F2388" s="10">
        <v>3</v>
      </c>
      <c r="G2388" s="2" t="s">
        <v>2184</v>
      </c>
    </row>
    <row r="2389" spans="1:14" ht="30" x14ac:dyDescent="0.25">
      <c r="F2389" s="10">
        <v>4</v>
      </c>
      <c r="H2389" s="2" t="s">
        <v>2218</v>
      </c>
      <c r="I2389" s="2" t="s">
        <v>29</v>
      </c>
      <c r="J2389" s="3">
        <v>40322</v>
      </c>
      <c r="K2389" s="4"/>
      <c r="L2389" s="7" t="s">
        <v>14</v>
      </c>
      <c r="M2389" s="2" t="s">
        <v>1682</v>
      </c>
      <c r="N2389" s="2" t="s">
        <v>974</v>
      </c>
    </row>
    <row r="2390" spans="1:14" x14ac:dyDescent="0.25">
      <c r="E2390" s="10" t="s">
        <v>126</v>
      </c>
      <c r="F2390" s="10">
        <v>1</v>
      </c>
      <c r="G2390" s="2" t="s">
        <v>1263</v>
      </c>
    </row>
    <row r="2391" spans="1:14" ht="45" x14ac:dyDescent="0.25">
      <c r="F2391" s="10">
        <v>2</v>
      </c>
      <c r="H2391" s="2" t="s">
        <v>2353</v>
      </c>
      <c r="I2391" s="2" t="s">
        <v>29</v>
      </c>
      <c r="J2391" s="3">
        <v>40322</v>
      </c>
      <c r="K2391" s="4"/>
      <c r="L2391" s="7" t="s">
        <v>14</v>
      </c>
      <c r="M2391" s="2" t="s">
        <v>1682</v>
      </c>
      <c r="N2391" s="2" t="s">
        <v>974</v>
      </c>
    </row>
    <row r="2392" spans="1:14" ht="30" x14ac:dyDescent="0.25">
      <c r="F2392" s="10">
        <v>3</v>
      </c>
      <c r="G2392" s="2" t="s">
        <v>2184</v>
      </c>
    </row>
    <row r="2393" spans="1:14" ht="30" x14ac:dyDescent="0.25">
      <c r="F2393" s="10">
        <v>4</v>
      </c>
      <c r="H2393" s="2" t="s">
        <v>2218</v>
      </c>
      <c r="I2393" s="2" t="s">
        <v>29</v>
      </c>
      <c r="J2393" s="3">
        <v>40322</v>
      </c>
      <c r="K2393" s="4"/>
      <c r="L2393" s="7" t="s">
        <v>14</v>
      </c>
      <c r="M2393" s="2" t="s">
        <v>1682</v>
      </c>
      <c r="N2393" s="2" t="s">
        <v>974</v>
      </c>
    </row>
    <row r="2395" spans="1:14" ht="75" x14ac:dyDescent="0.25">
      <c r="A2395" s="19" t="s">
        <v>1901</v>
      </c>
      <c r="B2395" s="19" t="s">
        <v>2203</v>
      </c>
      <c r="C2395" s="19" t="s">
        <v>39</v>
      </c>
      <c r="D2395" s="19" t="s">
        <v>1182</v>
      </c>
      <c r="E2395" s="10" t="s">
        <v>121</v>
      </c>
      <c r="F2395" s="10">
        <v>1</v>
      </c>
      <c r="H2395" s="2" t="s">
        <v>3888</v>
      </c>
      <c r="I2395" s="2" t="s">
        <v>30</v>
      </c>
      <c r="J2395" s="3" t="s">
        <v>33</v>
      </c>
      <c r="K2395" s="7" t="s">
        <v>33</v>
      </c>
      <c r="L2395" s="4" t="s">
        <v>474</v>
      </c>
      <c r="M2395" s="2" t="s">
        <v>1889</v>
      </c>
      <c r="N2395" s="2" t="s">
        <v>974</v>
      </c>
    </row>
    <row r="2396" spans="1:14" x14ac:dyDescent="0.25">
      <c r="F2396" s="10">
        <v>3</v>
      </c>
      <c r="H2396" s="2" t="s">
        <v>2243</v>
      </c>
      <c r="I2396" s="2" t="s">
        <v>30</v>
      </c>
      <c r="J2396" s="3" t="s">
        <v>33</v>
      </c>
      <c r="K2396" s="7" t="s">
        <v>33</v>
      </c>
      <c r="L2396" s="4" t="s">
        <v>474</v>
      </c>
      <c r="M2396" s="2" t="s">
        <v>1889</v>
      </c>
      <c r="N2396" s="2" t="s">
        <v>974</v>
      </c>
    </row>
    <row r="2397" spans="1:14" ht="30" x14ac:dyDescent="0.25">
      <c r="F2397" s="10">
        <v>4</v>
      </c>
      <c r="H2397" s="2" t="s">
        <v>2244</v>
      </c>
      <c r="I2397" s="2" t="s">
        <v>30</v>
      </c>
      <c r="J2397" s="3" t="s">
        <v>33</v>
      </c>
      <c r="K2397" s="7" t="s">
        <v>33</v>
      </c>
      <c r="L2397" s="4" t="s">
        <v>474</v>
      </c>
      <c r="M2397" s="2" t="s">
        <v>1889</v>
      </c>
      <c r="N2397" s="2" t="s">
        <v>974</v>
      </c>
    </row>
    <row r="2398" spans="1:14" ht="45" x14ac:dyDescent="0.25">
      <c r="F2398" s="10">
        <v>5</v>
      </c>
      <c r="H2398" s="2" t="s">
        <v>2245</v>
      </c>
      <c r="I2398" s="2" t="s">
        <v>30</v>
      </c>
      <c r="J2398" s="3" t="s">
        <v>33</v>
      </c>
      <c r="K2398" s="7" t="s">
        <v>33</v>
      </c>
      <c r="L2398" s="4" t="s">
        <v>474</v>
      </c>
      <c r="M2398" s="2" t="s">
        <v>1889</v>
      </c>
      <c r="N2398" s="2" t="s">
        <v>974</v>
      </c>
    </row>
    <row r="2399" spans="1:14" ht="45" x14ac:dyDescent="0.25">
      <c r="F2399" s="10">
        <v>6</v>
      </c>
      <c r="H2399" s="2" t="s">
        <v>3889</v>
      </c>
      <c r="I2399" s="2" t="s">
        <v>30</v>
      </c>
      <c r="J2399" s="3" t="s">
        <v>33</v>
      </c>
      <c r="K2399" s="7" t="s">
        <v>33</v>
      </c>
      <c r="L2399" s="4" t="s">
        <v>474</v>
      </c>
      <c r="M2399" s="2" t="s">
        <v>1889</v>
      </c>
      <c r="N2399" s="2" t="s">
        <v>974</v>
      </c>
    </row>
    <row r="2400" spans="1:14" ht="60" x14ac:dyDescent="0.25">
      <c r="F2400" s="10">
        <v>9</v>
      </c>
      <c r="H2400" s="2" t="s">
        <v>3986</v>
      </c>
      <c r="I2400" s="2" t="s">
        <v>30</v>
      </c>
      <c r="J2400" s="3" t="s">
        <v>33</v>
      </c>
      <c r="K2400" s="7" t="s">
        <v>33</v>
      </c>
      <c r="L2400" s="4" t="s">
        <v>474</v>
      </c>
      <c r="M2400" s="7" t="s">
        <v>1889</v>
      </c>
      <c r="N2400" s="2" t="s">
        <v>974</v>
      </c>
    </row>
    <row r="2401" spans="1:17" ht="45" x14ac:dyDescent="0.25">
      <c r="F2401" s="10">
        <v>10</v>
      </c>
      <c r="H2401" s="2" t="s">
        <v>2284</v>
      </c>
      <c r="I2401" s="2" t="s">
        <v>30</v>
      </c>
      <c r="J2401" s="3" t="s">
        <v>33</v>
      </c>
      <c r="K2401" s="7" t="s">
        <v>33</v>
      </c>
      <c r="L2401" s="4" t="s">
        <v>474</v>
      </c>
      <c r="M2401" s="2" t="s">
        <v>1889</v>
      </c>
      <c r="N2401" s="2" t="s">
        <v>974</v>
      </c>
    </row>
    <row r="2402" spans="1:17" ht="45" x14ac:dyDescent="0.25">
      <c r="F2402" s="10">
        <v>11</v>
      </c>
      <c r="H2402" s="2" t="s">
        <v>3168</v>
      </c>
      <c r="I2402" s="2" t="s">
        <v>29</v>
      </c>
      <c r="J2402" s="3" t="s">
        <v>33</v>
      </c>
      <c r="K2402" s="7" t="s">
        <v>33</v>
      </c>
      <c r="L2402" s="4" t="s">
        <v>474</v>
      </c>
      <c r="M2402" s="2" t="s">
        <v>1889</v>
      </c>
      <c r="N2402" s="2" t="s">
        <v>974</v>
      </c>
    </row>
    <row r="2403" spans="1:17" ht="75" x14ac:dyDescent="0.25">
      <c r="F2403" s="10">
        <v>14</v>
      </c>
      <c r="H2403" s="2" t="s">
        <v>2356</v>
      </c>
      <c r="I2403" s="2" t="s">
        <v>30</v>
      </c>
      <c r="J2403" s="3" t="s">
        <v>33</v>
      </c>
      <c r="K2403" s="7" t="s">
        <v>33</v>
      </c>
      <c r="L2403" s="4" t="s">
        <v>474</v>
      </c>
      <c r="M2403" s="2" t="s">
        <v>2645</v>
      </c>
      <c r="N2403" s="2" t="s">
        <v>974</v>
      </c>
    </row>
    <row r="2404" spans="1:17" ht="45" x14ac:dyDescent="0.25">
      <c r="F2404" s="10">
        <v>16</v>
      </c>
      <c r="H2404" s="2" t="s">
        <v>2357</v>
      </c>
      <c r="I2404" s="2" t="s">
        <v>29</v>
      </c>
      <c r="J2404" s="3" t="s">
        <v>33</v>
      </c>
      <c r="K2404" s="7" t="s">
        <v>33</v>
      </c>
      <c r="L2404" s="4"/>
      <c r="M2404" s="2" t="s">
        <v>1889</v>
      </c>
      <c r="N2404" s="2" t="s">
        <v>974</v>
      </c>
    </row>
    <row r="2405" spans="1:17" ht="75" x14ac:dyDescent="0.25">
      <c r="F2405" s="10">
        <v>17</v>
      </c>
      <c r="H2405" s="2" t="s">
        <v>2359</v>
      </c>
      <c r="I2405" s="2" t="s">
        <v>30</v>
      </c>
      <c r="J2405" s="3" t="s">
        <v>33</v>
      </c>
      <c r="K2405" s="7" t="s">
        <v>33</v>
      </c>
      <c r="L2405" s="4"/>
      <c r="M2405" s="7" t="s">
        <v>1889</v>
      </c>
      <c r="N2405" s="2" t="s">
        <v>974</v>
      </c>
    </row>
    <row r="2406" spans="1:17" ht="75" x14ac:dyDescent="0.25">
      <c r="F2406" s="10">
        <v>18</v>
      </c>
      <c r="H2406" s="2" t="s">
        <v>2397</v>
      </c>
      <c r="I2406" s="2" t="s">
        <v>30</v>
      </c>
      <c r="J2406" s="3" t="s">
        <v>33</v>
      </c>
      <c r="K2406" s="7" t="s">
        <v>33</v>
      </c>
      <c r="L2406" s="4" t="s">
        <v>474</v>
      </c>
      <c r="M2406" s="7" t="s">
        <v>2646</v>
      </c>
      <c r="N2406" s="2" t="s">
        <v>974</v>
      </c>
    </row>
    <row r="2408" spans="1:17" ht="60" x14ac:dyDescent="0.25">
      <c r="A2408" s="19" t="s">
        <v>1904</v>
      </c>
      <c r="B2408" s="19" t="s">
        <v>2326</v>
      </c>
      <c r="C2408" s="19" t="s">
        <v>460</v>
      </c>
      <c r="D2408" s="19" t="s">
        <v>2327</v>
      </c>
      <c r="E2408" s="10" t="s">
        <v>121</v>
      </c>
      <c r="F2408" s="10">
        <v>1</v>
      </c>
      <c r="G2408" s="2" t="s">
        <v>3169</v>
      </c>
    </row>
    <row r="2409" spans="1:17" ht="30" x14ac:dyDescent="0.25">
      <c r="F2409" s="10">
        <v>2</v>
      </c>
      <c r="G2409" s="2" t="s">
        <v>2376</v>
      </c>
    </row>
    <row r="2410" spans="1:17" ht="30" x14ac:dyDescent="0.25">
      <c r="F2410" s="10">
        <v>3</v>
      </c>
      <c r="H2410" s="2" t="s">
        <v>2377</v>
      </c>
      <c r="I2410" s="2" t="s">
        <v>30</v>
      </c>
      <c r="J2410" s="3">
        <v>40325</v>
      </c>
      <c r="K2410" s="4"/>
      <c r="L2410" s="7" t="s">
        <v>14</v>
      </c>
      <c r="M2410" s="2" t="s">
        <v>1682</v>
      </c>
      <c r="N2410" s="2" t="s">
        <v>974</v>
      </c>
    </row>
    <row r="2411" spans="1:17" ht="195" x14ac:dyDescent="0.25">
      <c r="F2411" s="10">
        <v>4</v>
      </c>
      <c r="H2411" s="2" t="s">
        <v>2378</v>
      </c>
      <c r="I2411" s="2" t="s">
        <v>30</v>
      </c>
      <c r="J2411" s="3">
        <v>40325</v>
      </c>
      <c r="K2411" s="4"/>
      <c r="L2411" s="7" t="s">
        <v>14</v>
      </c>
      <c r="M2411" s="2" t="s">
        <v>1682</v>
      </c>
      <c r="N2411" s="2" t="s">
        <v>974</v>
      </c>
      <c r="O2411" s="2" t="s">
        <v>2691</v>
      </c>
      <c r="P2411" s="2" t="s">
        <v>977</v>
      </c>
      <c r="Q2411" s="2" t="s">
        <v>540</v>
      </c>
    </row>
    <row r="2412" spans="1:17" ht="75" x14ac:dyDescent="0.25">
      <c r="J2412" s="3"/>
      <c r="K2412" s="4"/>
      <c r="N2412" s="2" t="s">
        <v>974</v>
      </c>
      <c r="O2412" s="2" t="s">
        <v>2692</v>
      </c>
      <c r="P2412" s="2" t="s">
        <v>977</v>
      </c>
      <c r="Q2412" s="2" t="s">
        <v>540</v>
      </c>
    </row>
    <row r="2413" spans="1:17" ht="30" x14ac:dyDescent="0.25">
      <c r="F2413" s="10">
        <v>5</v>
      </c>
      <c r="H2413" s="2" t="s">
        <v>2379</v>
      </c>
      <c r="I2413" s="2" t="s">
        <v>30</v>
      </c>
      <c r="J2413" s="3">
        <v>40325</v>
      </c>
      <c r="K2413" s="4"/>
      <c r="L2413" s="7" t="s">
        <v>14</v>
      </c>
      <c r="M2413" s="2" t="s">
        <v>1682</v>
      </c>
      <c r="N2413" s="2" t="s">
        <v>974</v>
      </c>
    </row>
    <row r="2414" spans="1:17" ht="30" x14ac:dyDescent="0.25">
      <c r="F2414" s="10">
        <v>6</v>
      </c>
      <c r="H2414" s="2" t="s">
        <v>2380</v>
      </c>
      <c r="I2414" s="2" t="s">
        <v>30</v>
      </c>
      <c r="J2414" s="3">
        <v>40325</v>
      </c>
      <c r="K2414" s="4"/>
      <c r="L2414" s="7" t="s">
        <v>14</v>
      </c>
      <c r="M2414" s="2" t="s">
        <v>1682</v>
      </c>
      <c r="N2414" s="2" t="s">
        <v>974</v>
      </c>
    </row>
    <row r="2415" spans="1:17" x14ac:dyDescent="0.25">
      <c r="E2415" s="10" t="s">
        <v>164</v>
      </c>
      <c r="F2415" s="10">
        <v>1</v>
      </c>
      <c r="G2415" s="2" t="s">
        <v>2381</v>
      </c>
      <c r="K2415" s="2"/>
      <c r="L2415" s="2"/>
    </row>
    <row r="2416" spans="1:17" ht="30" x14ac:dyDescent="0.25">
      <c r="F2416" s="10">
        <v>2</v>
      </c>
      <c r="H2416" s="2" t="s">
        <v>2382</v>
      </c>
      <c r="I2416" s="2" t="s">
        <v>30</v>
      </c>
      <c r="J2416" s="3">
        <v>40325</v>
      </c>
      <c r="K2416" s="4"/>
      <c r="L2416" s="7" t="s">
        <v>14</v>
      </c>
      <c r="M2416" s="2" t="s">
        <v>1682</v>
      </c>
      <c r="N2416" s="2" t="s">
        <v>974</v>
      </c>
    </row>
    <row r="2417" spans="1:18" ht="30" x14ac:dyDescent="0.25">
      <c r="F2417" s="10">
        <v>3</v>
      </c>
      <c r="H2417" s="2" t="s">
        <v>2383</v>
      </c>
      <c r="I2417" s="2" t="s">
        <v>30</v>
      </c>
      <c r="J2417" s="3">
        <v>40325</v>
      </c>
      <c r="K2417" s="4"/>
      <c r="L2417" s="7" t="s">
        <v>14</v>
      </c>
      <c r="M2417" s="2" t="s">
        <v>1682</v>
      </c>
      <c r="N2417" s="2" t="s">
        <v>974</v>
      </c>
    </row>
    <row r="2419" spans="1:18" ht="90" x14ac:dyDescent="0.25">
      <c r="A2419" s="19" t="s">
        <v>2310</v>
      </c>
      <c r="B2419" s="19" t="s">
        <v>2426</v>
      </c>
      <c r="C2419" s="19" t="s">
        <v>1321</v>
      </c>
      <c r="D2419" s="19" t="s">
        <v>2415</v>
      </c>
      <c r="E2419" s="10" t="s">
        <v>121</v>
      </c>
      <c r="F2419" s="10">
        <v>1</v>
      </c>
      <c r="H2419" s="2" t="s">
        <v>2027</v>
      </c>
      <c r="I2419" s="2" t="s">
        <v>30</v>
      </c>
      <c r="J2419" s="7" t="s">
        <v>33</v>
      </c>
      <c r="K2419" s="7" t="s">
        <v>33</v>
      </c>
      <c r="L2419" s="7" t="s">
        <v>2114</v>
      </c>
      <c r="M2419" s="7" t="s">
        <v>980</v>
      </c>
      <c r="N2419" s="2" t="s">
        <v>974</v>
      </c>
      <c r="R2419" s="2" t="s">
        <v>14</v>
      </c>
    </row>
    <row r="2420" spans="1:18" ht="135" x14ac:dyDescent="0.25">
      <c r="F2420" s="10">
        <v>2</v>
      </c>
      <c r="H2420" s="2" t="s">
        <v>3797</v>
      </c>
      <c r="I2420" s="2" t="s">
        <v>30</v>
      </c>
      <c r="J2420" s="7" t="s">
        <v>33</v>
      </c>
      <c r="K2420" s="7" t="s">
        <v>33</v>
      </c>
      <c r="L2420" s="4"/>
      <c r="M2420" s="7" t="s">
        <v>977</v>
      </c>
      <c r="N2420" s="2" t="s">
        <v>974</v>
      </c>
      <c r="R2420" s="2" t="s">
        <v>3170</v>
      </c>
    </row>
    <row r="2421" spans="1:18" ht="45" x14ac:dyDescent="0.25">
      <c r="F2421" s="10">
        <v>3</v>
      </c>
      <c r="H2421" s="2" t="s">
        <v>3798</v>
      </c>
      <c r="I2421" s="2" t="s">
        <v>33</v>
      </c>
      <c r="J2421" s="7" t="s">
        <v>33</v>
      </c>
      <c r="K2421" s="7" t="s">
        <v>33</v>
      </c>
      <c r="L2421" s="4"/>
      <c r="M2421" s="7" t="s">
        <v>977</v>
      </c>
      <c r="N2421" s="2" t="s">
        <v>974</v>
      </c>
      <c r="R2421" s="2" t="s">
        <v>14</v>
      </c>
    </row>
    <row r="2422" spans="1:18" ht="75" x14ac:dyDescent="0.25">
      <c r="F2422" s="10">
        <v>4</v>
      </c>
      <c r="H2422" s="2" t="s">
        <v>1811</v>
      </c>
      <c r="I2422" s="2" t="s">
        <v>33</v>
      </c>
      <c r="J2422" s="7" t="s">
        <v>33</v>
      </c>
      <c r="K2422" s="7" t="s">
        <v>33</v>
      </c>
      <c r="L2422" s="4"/>
      <c r="M2422" s="7" t="s">
        <v>980</v>
      </c>
      <c r="N2422" s="2" t="s">
        <v>974</v>
      </c>
      <c r="Q2422" s="2" t="s">
        <v>986</v>
      </c>
      <c r="R2422" s="2" t="s">
        <v>2149</v>
      </c>
    </row>
    <row r="2423" spans="1:18" ht="30" x14ac:dyDescent="0.25">
      <c r="F2423" s="10">
        <v>6</v>
      </c>
      <c r="H2423" s="2" t="s">
        <v>1836</v>
      </c>
      <c r="I2423" s="2" t="s">
        <v>33</v>
      </c>
      <c r="J2423" s="7" t="s">
        <v>33</v>
      </c>
      <c r="K2423" s="7" t="s">
        <v>33</v>
      </c>
      <c r="L2423" s="4"/>
      <c r="M2423" s="7" t="s">
        <v>980</v>
      </c>
      <c r="N2423" s="2" t="s">
        <v>974</v>
      </c>
    </row>
    <row r="2424" spans="1:18" ht="45" x14ac:dyDescent="0.25">
      <c r="F2424" s="10">
        <v>7</v>
      </c>
      <c r="H2424" s="2" t="s">
        <v>1849</v>
      </c>
      <c r="I2424" s="2" t="s">
        <v>33</v>
      </c>
      <c r="J2424" s="7" t="s">
        <v>33</v>
      </c>
      <c r="K2424" s="7" t="s">
        <v>33</v>
      </c>
      <c r="L2424" s="4"/>
      <c r="M2424" s="7" t="s">
        <v>977</v>
      </c>
      <c r="N2424" s="2" t="s">
        <v>974</v>
      </c>
      <c r="R2424" s="2" t="s">
        <v>2713</v>
      </c>
    </row>
    <row r="2425" spans="1:18" ht="30" x14ac:dyDescent="0.25">
      <c r="F2425" s="10">
        <v>8</v>
      </c>
      <c r="H2425" s="2" t="s">
        <v>3171</v>
      </c>
      <c r="I2425" s="2" t="s">
        <v>33</v>
      </c>
      <c r="J2425" s="7" t="s">
        <v>33</v>
      </c>
      <c r="K2425" s="7" t="s">
        <v>33</v>
      </c>
      <c r="L2425" s="4"/>
      <c r="M2425" s="7" t="s">
        <v>980</v>
      </c>
      <c r="N2425" s="2" t="s">
        <v>974</v>
      </c>
      <c r="R2425" s="2" t="s">
        <v>14</v>
      </c>
    </row>
    <row r="2426" spans="1:18" ht="120" x14ac:dyDescent="0.25">
      <c r="F2426" s="10">
        <v>10</v>
      </c>
      <c r="H2426" s="2" t="s">
        <v>3799</v>
      </c>
      <c r="I2426" s="2" t="s">
        <v>33</v>
      </c>
      <c r="J2426" s="7" t="s">
        <v>33</v>
      </c>
      <c r="K2426" s="7" t="s">
        <v>33</v>
      </c>
      <c r="L2426" s="4"/>
      <c r="M2426" s="2" t="s">
        <v>980</v>
      </c>
      <c r="N2426" s="2" t="s">
        <v>974</v>
      </c>
      <c r="R2426" s="2" t="s">
        <v>14</v>
      </c>
    </row>
    <row r="2427" spans="1:18" ht="105" x14ac:dyDescent="0.25">
      <c r="F2427" s="10">
        <v>11</v>
      </c>
      <c r="H2427" s="2" t="s">
        <v>3172</v>
      </c>
      <c r="I2427" s="2" t="s">
        <v>33</v>
      </c>
      <c r="J2427" s="7" t="s">
        <v>33</v>
      </c>
      <c r="K2427" s="7" t="s">
        <v>33</v>
      </c>
      <c r="L2427" s="4"/>
      <c r="M2427" s="2" t="s">
        <v>980</v>
      </c>
      <c r="N2427" s="2" t="s">
        <v>974</v>
      </c>
      <c r="R2427" s="2" t="s">
        <v>2715</v>
      </c>
    </row>
    <row r="2428" spans="1:18" ht="60" x14ac:dyDescent="0.25">
      <c r="F2428" s="10">
        <v>12</v>
      </c>
      <c r="H2428" s="2" t="s">
        <v>3173</v>
      </c>
      <c r="I2428" s="2" t="s">
        <v>33</v>
      </c>
      <c r="J2428" s="7" t="s">
        <v>33</v>
      </c>
      <c r="K2428" s="7" t="s">
        <v>33</v>
      </c>
      <c r="L2428" s="4"/>
      <c r="M2428" s="2" t="s">
        <v>980</v>
      </c>
      <c r="N2428" s="2" t="s">
        <v>974</v>
      </c>
      <c r="R2428" s="2" t="s">
        <v>14</v>
      </c>
    </row>
    <row r="2429" spans="1:18" ht="60" x14ac:dyDescent="0.25">
      <c r="F2429" s="10">
        <v>13</v>
      </c>
      <c r="H2429" s="2" t="s">
        <v>3800</v>
      </c>
      <c r="I2429" s="2" t="s">
        <v>33</v>
      </c>
      <c r="J2429" s="7" t="s">
        <v>33</v>
      </c>
      <c r="K2429" s="7" t="s">
        <v>33</v>
      </c>
      <c r="L2429" s="4"/>
      <c r="M2429" s="2" t="s">
        <v>977</v>
      </c>
      <c r="N2429" s="2" t="s">
        <v>974</v>
      </c>
      <c r="R2429" s="2" t="s">
        <v>14</v>
      </c>
    </row>
    <row r="2430" spans="1:18" ht="105" x14ac:dyDescent="0.25">
      <c r="F2430" s="10">
        <v>14</v>
      </c>
      <c r="H2430" s="2" t="s">
        <v>3174</v>
      </c>
      <c r="I2430" s="2" t="s">
        <v>33</v>
      </c>
      <c r="J2430" s="7" t="s">
        <v>33</v>
      </c>
      <c r="K2430" s="7" t="s">
        <v>33</v>
      </c>
      <c r="L2430" s="4"/>
      <c r="M2430" s="2" t="s">
        <v>982</v>
      </c>
      <c r="N2430" s="2" t="s">
        <v>974</v>
      </c>
      <c r="O2430" s="2" t="s">
        <v>3080</v>
      </c>
      <c r="P2430" s="2" t="s">
        <v>977</v>
      </c>
      <c r="Q2430" s="2" t="s">
        <v>540</v>
      </c>
      <c r="R2430" s="2" t="s">
        <v>2451</v>
      </c>
    </row>
    <row r="2431" spans="1:18" ht="30" x14ac:dyDescent="0.25">
      <c r="F2431" s="10">
        <v>15</v>
      </c>
      <c r="H2431" s="2" t="s">
        <v>3987</v>
      </c>
      <c r="I2431" s="2" t="s">
        <v>30</v>
      </c>
      <c r="J2431" s="3" t="s">
        <v>33</v>
      </c>
      <c r="K2431" s="7" t="s">
        <v>33</v>
      </c>
      <c r="L2431" s="4"/>
      <c r="M2431" s="2" t="s">
        <v>982</v>
      </c>
      <c r="N2431" s="2" t="s">
        <v>974</v>
      </c>
      <c r="R2431" s="2" t="s">
        <v>14</v>
      </c>
    </row>
    <row r="2432" spans="1:18" ht="30" x14ac:dyDescent="0.25">
      <c r="F2432" s="10">
        <v>16</v>
      </c>
      <c r="H2432" s="2" t="s">
        <v>2709</v>
      </c>
      <c r="I2432" s="2" t="s">
        <v>30</v>
      </c>
      <c r="J2432" s="3" t="s">
        <v>33</v>
      </c>
      <c r="K2432" s="7" t="s">
        <v>33</v>
      </c>
      <c r="L2432" s="4"/>
      <c r="M2432" s="2" t="s">
        <v>982</v>
      </c>
      <c r="N2432" s="2" t="s">
        <v>974</v>
      </c>
      <c r="Q2432" s="2" t="s">
        <v>540</v>
      </c>
      <c r="R2432" s="2" t="s">
        <v>14</v>
      </c>
    </row>
    <row r="2433" spans="6:18" ht="75" x14ac:dyDescent="0.25">
      <c r="F2433" s="10">
        <v>17</v>
      </c>
      <c r="H2433" s="2" t="s">
        <v>2718</v>
      </c>
      <c r="I2433" s="2" t="s">
        <v>30</v>
      </c>
      <c r="J2433" s="3" t="s">
        <v>33</v>
      </c>
      <c r="K2433" s="7" t="s">
        <v>33</v>
      </c>
      <c r="L2433" s="4"/>
      <c r="M2433" s="2" t="s">
        <v>982</v>
      </c>
      <c r="N2433" s="2" t="s">
        <v>974</v>
      </c>
    </row>
    <row r="2434" spans="6:18" ht="45" x14ac:dyDescent="0.25">
      <c r="F2434" s="10">
        <v>18</v>
      </c>
      <c r="H2434" s="2" t="s">
        <v>2719</v>
      </c>
      <c r="I2434" s="2" t="s">
        <v>30</v>
      </c>
      <c r="J2434" s="3" t="s">
        <v>33</v>
      </c>
      <c r="K2434" s="7" t="s">
        <v>33</v>
      </c>
      <c r="L2434" s="4"/>
      <c r="M2434" s="2" t="s">
        <v>982</v>
      </c>
      <c r="N2434" s="2" t="s">
        <v>974</v>
      </c>
      <c r="Q2434" s="2" t="s">
        <v>540</v>
      </c>
    </row>
    <row r="2435" spans="6:18" ht="45" x14ac:dyDescent="0.25">
      <c r="F2435" s="10">
        <v>19</v>
      </c>
      <c r="H2435" s="2" t="s">
        <v>3801</v>
      </c>
      <c r="I2435" s="2" t="s">
        <v>30</v>
      </c>
      <c r="J2435" s="3" t="s">
        <v>33</v>
      </c>
      <c r="K2435" s="7" t="s">
        <v>33</v>
      </c>
      <c r="L2435" s="4"/>
      <c r="M2435" s="2" t="s">
        <v>982</v>
      </c>
      <c r="N2435" s="2" t="s">
        <v>974</v>
      </c>
    </row>
    <row r="2436" spans="6:18" x14ac:dyDescent="0.25">
      <c r="F2436" s="10">
        <v>20</v>
      </c>
      <c r="H2436" s="2" t="s">
        <v>3837</v>
      </c>
      <c r="I2436" s="2" t="s">
        <v>30</v>
      </c>
      <c r="J2436" s="3" t="s">
        <v>33</v>
      </c>
      <c r="K2436" s="7" t="s">
        <v>33</v>
      </c>
      <c r="L2436" s="4"/>
      <c r="M2436" s="2" t="s">
        <v>977</v>
      </c>
      <c r="N2436" s="2" t="s">
        <v>974</v>
      </c>
      <c r="R2436" s="2" t="s">
        <v>14</v>
      </c>
    </row>
    <row r="2437" spans="6:18" ht="30" x14ac:dyDescent="0.25">
      <c r="F2437" s="10">
        <v>21</v>
      </c>
      <c r="H2437" s="2" t="s">
        <v>2721</v>
      </c>
      <c r="I2437" s="2" t="s">
        <v>30</v>
      </c>
      <c r="J2437" s="3" t="s">
        <v>33</v>
      </c>
      <c r="K2437" s="7" t="s">
        <v>33</v>
      </c>
      <c r="L2437" s="4"/>
      <c r="M2437" s="2" t="s">
        <v>982</v>
      </c>
      <c r="N2437" s="2" t="s">
        <v>974</v>
      </c>
      <c r="O2437" s="2" t="s">
        <v>3107</v>
      </c>
      <c r="Q2437" s="2" t="s">
        <v>540</v>
      </c>
      <c r="R2437" s="2" t="s">
        <v>474</v>
      </c>
    </row>
    <row r="2438" spans="6:18" ht="60" x14ac:dyDescent="0.25">
      <c r="F2438" s="10">
        <v>22</v>
      </c>
      <c r="H2438" s="2" t="s">
        <v>3175</v>
      </c>
      <c r="I2438" s="2" t="s">
        <v>33</v>
      </c>
      <c r="J2438" s="7" t="s">
        <v>33</v>
      </c>
      <c r="K2438" s="7" t="s">
        <v>33</v>
      </c>
      <c r="L2438" s="4"/>
      <c r="M2438" s="2" t="s">
        <v>2728</v>
      </c>
      <c r="N2438" s="2" t="s">
        <v>33</v>
      </c>
    </row>
    <row r="2439" spans="6:18" ht="75" x14ac:dyDescent="0.25">
      <c r="F2439" s="10">
        <v>23</v>
      </c>
      <c r="H2439" s="2" t="s">
        <v>2724</v>
      </c>
      <c r="I2439" s="2" t="s">
        <v>33</v>
      </c>
      <c r="J2439" s="7" t="s">
        <v>33</v>
      </c>
      <c r="K2439" s="7" t="s">
        <v>33</v>
      </c>
      <c r="L2439" s="4"/>
      <c r="M2439" s="2" t="s">
        <v>1494</v>
      </c>
      <c r="N2439" s="2" t="s">
        <v>974</v>
      </c>
    </row>
    <row r="2440" spans="6:18" ht="45" x14ac:dyDescent="0.25">
      <c r="F2440" s="10">
        <v>25</v>
      </c>
      <c r="H2440" s="2" t="s">
        <v>2727</v>
      </c>
      <c r="I2440" s="2" t="s">
        <v>33</v>
      </c>
      <c r="J2440" s="7" t="s">
        <v>33</v>
      </c>
      <c r="K2440" s="7" t="s">
        <v>33</v>
      </c>
      <c r="L2440" s="4"/>
      <c r="M2440" s="2" t="s">
        <v>980</v>
      </c>
      <c r="N2440" s="2" t="s">
        <v>974</v>
      </c>
      <c r="R2440" s="2" t="s">
        <v>2174</v>
      </c>
    </row>
    <row r="2441" spans="6:18" ht="105" x14ac:dyDescent="0.25">
      <c r="F2441" s="10">
        <v>26</v>
      </c>
      <c r="H2441" s="2" t="s">
        <v>3176</v>
      </c>
      <c r="I2441" s="2" t="s">
        <v>33</v>
      </c>
      <c r="J2441" s="7" t="s">
        <v>33</v>
      </c>
      <c r="K2441" s="7" t="s">
        <v>33</v>
      </c>
      <c r="L2441" s="4"/>
      <c r="M2441" s="2" t="s">
        <v>3020</v>
      </c>
      <c r="N2441" s="2" t="s">
        <v>974</v>
      </c>
    </row>
    <row r="2442" spans="6:18" ht="67.5" customHeight="1" x14ac:dyDescent="0.25">
      <c r="F2442" s="10">
        <v>27</v>
      </c>
      <c r="H2442" s="2" t="s">
        <v>2729</v>
      </c>
      <c r="I2442" s="2" t="s">
        <v>33</v>
      </c>
      <c r="J2442" s="7" t="s">
        <v>33</v>
      </c>
      <c r="K2442" s="7" t="s">
        <v>33</v>
      </c>
      <c r="L2442" s="4"/>
      <c r="M2442" s="2" t="s">
        <v>980</v>
      </c>
      <c r="N2442" s="2" t="s">
        <v>974</v>
      </c>
    </row>
    <row r="2443" spans="6:18" ht="60" x14ac:dyDescent="0.25">
      <c r="F2443" s="10">
        <v>28</v>
      </c>
      <c r="H2443" s="2" t="s">
        <v>3177</v>
      </c>
      <c r="I2443" s="2" t="s">
        <v>33</v>
      </c>
      <c r="J2443" s="7" t="s">
        <v>33</v>
      </c>
      <c r="K2443" s="7" t="s">
        <v>33</v>
      </c>
      <c r="L2443" s="4"/>
      <c r="M2443" s="2" t="s">
        <v>980</v>
      </c>
      <c r="N2443" s="2" t="s">
        <v>974</v>
      </c>
      <c r="R2443" s="2" t="s">
        <v>14</v>
      </c>
    </row>
    <row r="2444" spans="6:18" ht="45" x14ac:dyDescent="0.25">
      <c r="F2444" s="10">
        <v>29</v>
      </c>
      <c r="H2444" s="2" t="s">
        <v>2747</v>
      </c>
      <c r="I2444" s="2" t="s">
        <v>33</v>
      </c>
      <c r="J2444" s="7" t="s">
        <v>33</v>
      </c>
      <c r="K2444" s="7" t="s">
        <v>33</v>
      </c>
      <c r="L2444" s="4"/>
      <c r="M2444" s="2" t="s">
        <v>982</v>
      </c>
      <c r="N2444" s="2" t="s">
        <v>974</v>
      </c>
      <c r="R2444" s="2" t="s">
        <v>14</v>
      </c>
    </row>
    <row r="2445" spans="6:18" ht="75" x14ac:dyDescent="0.25">
      <c r="F2445" s="10">
        <v>30</v>
      </c>
      <c r="H2445" s="2" t="s">
        <v>3988</v>
      </c>
      <c r="I2445" s="2" t="s">
        <v>33</v>
      </c>
      <c r="J2445" s="7" t="s">
        <v>33</v>
      </c>
      <c r="K2445" s="7" t="s">
        <v>33</v>
      </c>
      <c r="L2445" s="4"/>
      <c r="M2445" s="2" t="s">
        <v>977</v>
      </c>
      <c r="N2445" s="2" t="s">
        <v>974</v>
      </c>
      <c r="R2445" s="2" t="s">
        <v>474</v>
      </c>
    </row>
    <row r="2446" spans="6:18" ht="60" x14ac:dyDescent="0.25">
      <c r="F2446" s="10">
        <v>31</v>
      </c>
      <c r="H2446" s="2" t="s">
        <v>2749</v>
      </c>
      <c r="I2446" s="2" t="s">
        <v>33</v>
      </c>
      <c r="J2446" s="7" t="s">
        <v>33</v>
      </c>
      <c r="K2446" s="7" t="s">
        <v>33</v>
      </c>
      <c r="L2446" s="4"/>
      <c r="M2446" s="2" t="s">
        <v>982</v>
      </c>
      <c r="N2446" s="2" t="s">
        <v>974</v>
      </c>
      <c r="Q2446" s="2" t="s">
        <v>986</v>
      </c>
      <c r="R2446" s="2" t="s">
        <v>3108</v>
      </c>
    </row>
    <row r="2447" spans="6:18" ht="90" x14ac:dyDescent="0.25">
      <c r="F2447" s="10">
        <v>32</v>
      </c>
      <c r="H2447" s="2" t="s">
        <v>3109</v>
      </c>
      <c r="I2447" s="2" t="s">
        <v>33</v>
      </c>
      <c r="J2447" s="7" t="s">
        <v>33</v>
      </c>
      <c r="K2447" s="7" t="s">
        <v>33</v>
      </c>
      <c r="L2447" s="4"/>
      <c r="M2447" s="2" t="s">
        <v>982</v>
      </c>
      <c r="N2447" s="2" t="s">
        <v>974</v>
      </c>
      <c r="R2447" s="2" t="s">
        <v>14</v>
      </c>
    </row>
    <row r="2448" spans="6:18" ht="30" x14ac:dyDescent="0.25">
      <c r="F2448" s="10">
        <v>33</v>
      </c>
      <c r="H2448" s="2" t="s">
        <v>3717</v>
      </c>
      <c r="I2448" s="2" t="s">
        <v>33</v>
      </c>
      <c r="J2448" s="7" t="s">
        <v>33</v>
      </c>
      <c r="K2448" s="7" t="s">
        <v>33</v>
      </c>
      <c r="L2448" s="4"/>
      <c r="M2448" s="2" t="s">
        <v>977</v>
      </c>
      <c r="N2448" s="2" t="s">
        <v>974</v>
      </c>
      <c r="R2448" s="2" t="s">
        <v>14</v>
      </c>
    </row>
    <row r="2449" spans="6:18" ht="409.5" x14ac:dyDescent="0.25">
      <c r="F2449" s="10">
        <v>34</v>
      </c>
      <c r="H2449" s="2" t="s">
        <v>2766</v>
      </c>
      <c r="I2449" s="2" t="s">
        <v>33</v>
      </c>
      <c r="J2449" s="7" t="s">
        <v>33</v>
      </c>
      <c r="K2449" s="7" t="s">
        <v>33</v>
      </c>
      <c r="L2449" s="4"/>
      <c r="M2449" s="2" t="s">
        <v>980</v>
      </c>
      <c r="N2449" s="2" t="s">
        <v>974</v>
      </c>
      <c r="Q2449" s="2" t="s">
        <v>986</v>
      </c>
      <c r="R2449" s="2" t="s">
        <v>3110</v>
      </c>
    </row>
    <row r="2450" spans="6:18" ht="60" x14ac:dyDescent="0.25">
      <c r="F2450" s="10">
        <v>35</v>
      </c>
      <c r="H2450" s="2" t="s">
        <v>2767</v>
      </c>
      <c r="I2450" s="2" t="s">
        <v>33</v>
      </c>
      <c r="J2450" s="7" t="s">
        <v>33</v>
      </c>
      <c r="K2450" s="7" t="s">
        <v>33</v>
      </c>
      <c r="L2450" s="4"/>
      <c r="M2450" s="2" t="s">
        <v>977</v>
      </c>
      <c r="N2450" s="2" t="s">
        <v>974</v>
      </c>
      <c r="R2450" s="2" t="s">
        <v>14</v>
      </c>
    </row>
    <row r="2451" spans="6:18" ht="120" x14ac:dyDescent="0.25">
      <c r="F2451" s="10">
        <v>36</v>
      </c>
      <c r="H2451" s="2" t="s">
        <v>3989</v>
      </c>
      <c r="I2451" s="2" t="s">
        <v>33</v>
      </c>
      <c r="J2451" s="7" t="s">
        <v>33</v>
      </c>
      <c r="K2451" s="7" t="s">
        <v>33</v>
      </c>
      <c r="L2451" s="4"/>
      <c r="M2451" s="2" t="s">
        <v>977</v>
      </c>
      <c r="N2451" s="2" t="s">
        <v>974</v>
      </c>
      <c r="Q2451" s="2" t="s">
        <v>540</v>
      </c>
      <c r="R2451" s="2" t="s">
        <v>3718</v>
      </c>
    </row>
    <row r="2452" spans="6:18" ht="60" x14ac:dyDescent="0.25">
      <c r="F2452" s="10">
        <v>37</v>
      </c>
      <c r="H2452" s="2" t="s">
        <v>2768</v>
      </c>
      <c r="I2452" s="2" t="s">
        <v>33</v>
      </c>
      <c r="J2452" s="7" t="s">
        <v>33</v>
      </c>
      <c r="K2452" s="7" t="s">
        <v>33</v>
      </c>
      <c r="L2452" s="4"/>
      <c r="M2452" s="2" t="s">
        <v>977</v>
      </c>
      <c r="N2452" s="2" t="s">
        <v>974</v>
      </c>
      <c r="R2452" s="2" t="s">
        <v>14</v>
      </c>
    </row>
    <row r="2453" spans="6:18" ht="75" x14ac:dyDescent="0.25">
      <c r="F2453" s="10">
        <v>38</v>
      </c>
      <c r="H2453" s="2" t="s">
        <v>2770</v>
      </c>
      <c r="I2453" s="2" t="s">
        <v>33</v>
      </c>
      <c r="J2453" s="7" t="s">
        <v>33</v>
      </c>
      <c r="K2453" s="7" t="s">
        <v>33</v>
      </c>
      <c r="L2453" s="4"/>
      <c r="M2453" s="2" t="s">
        <v>982</v>
      </c>
      <c r="N2453" s="2" t="s">
        <v>974</v>
      </c>
      <c r="R2453" s="2" t="s">
        <v>474</v>
      </c>
    </row>
    <row r="2454" spans="6:18" ht="90" x14ac:dyDescent="0.25">
      <c r="F2454" s="10">
        <v>39</v>
      </c>
      <c r="H2454" s="2" t="s">
        <v>2771</v>
      </c>
      <c r="I2454" s="2" t="s">
        <v>33</v>
      </c>
      <c r="J2454" s="7" t="s">
        <v>33</v>
      </c>
      <c r="K2454" s="7" t="s">
        <v>33</v>
      </c>
      <c r="L2454" s="4"/>
      <c r="M2454" s="2" t="s">
        <v>980</v>
      </c>
      <c r="N2454" s="2" t="s">
        <v>974</v>
      </c>
      <c r="R2454" s="2" t="s">
        <v>14</v>
      </c>
    </row>
    <row r="2455" spans="6:18" ht="60" x14ac:dyDescent="0.25">
      <c r="F2455" s="10">
        <v>40</v>
      </c>
      <c r="H2455" s="2" t="s">
        <v>3990</v>
      </c>
      <c r="I2455" s="2" t="s">
        <v>33</v>
      </c>
      <c r="J2455" s="7" t="s">
        <v>33</v>
      </c>
      <c r="K2455" s="7" t="s">
        <v>33</v>
      </c>
      <c r="L2455" s="4"/>
      <c r="M2455" s="2" t="s">
        <v>982</v>
      </c>
      <c r="N2455" s="2" t="s">
        <v>974</v>
      </c>
      <c r="R2455" s="2" t="s">
        <v>2158</v>
      </c>
    </row>
    <row r="2456" spans="6:18" ht="60" x14ac:dyDescent="0.25">
      <c r="F2456" s="10">
        <v>41</v>
      </c>
      <c r="H2456" s="2" t="s">
        <v>2772</v>
      </c>
      <c r="I2456" s="2" t="s">
        <v>33</v>
      </c>
      <c r="J2456" s="7" t="s">
        <v>33</v>
      </c>
      <c r="K2456" s="7" t="s">
        <v>33</v>
      </c>
      <c r="L2456" s="4"/>
      <c r="M2456" s="2" t="s">
        <v>982</v>
      </c>
      <c r="N2456" s="2" t="s">
        <v>974</v>
      </c>
      <c r="R2456" s="2" t="s">
        <v>14</v>
      </c>
    </row>
    <row r="2457" spans="6:18" ht="60" x14ac:dyDescent="0.25">
      <c r="F2457" s="10">
        <v>42</v>
      </c>
      <c r="H2457" s="2" t="s">
        <v>2773</v>
      </c>
      <c r="I2457" s="2" t="s">
        <v>33</v>
      </c>
      <c r="J2457" s="7" t="s">
        <v>33</v>
      </c>
      <c r="K2457" s="7" t="s">
        <v>33</v>
      </c>
      <c r="L2457" s="4"/>
      <c r="M2457" s="2" t="s">
        <v>982</v>
      </c>
      <c r="N2457" s="2" t="s">
        <v>974</v>
      </c>
      <c r="R2457" s="2" t="s">
        <v>474</v>
      </c>
    </row>
    <row r="2458" spans="6:18" ht="90" x14ac:dyDescent="0.25">
      <c r="F2458" s="10">
        <v>43</v>
      </c>
      <c r="H2458" s="2" t="s">
        <v>2448</v>
      </c>
      <c r="I2458" s="2" t="s">
        <v>33</v>
      </c>
      <c r="J2458" s="7" t="s">
        <v>33</v>
      </c>
      <c r="K2458" s="7" t="s">
        <v>33</v>
      </c>
      <c r="L2458" s="4"/>
      <c r="M2458" s="2" t="s">
        <v>977</v>
      </c>
      <c r="N2458" s="2" t="s">
        <v>974</v>
      </c>
      <c r="R2458" s="2" t="s">
        <v>14</v>
      </c>
    </row>
    <row r="2459" spans="6:18" ht="75" x14ac:dyDescent="0.25">
      <c r="F2459" s="10">
        <v>44</v>
      </c>
      <c r="H2459" s="2" t="s">
        <v>2780</v>
      </c>
      <c r="I2459" s="2" t="s">
        <v>33</v>
      </c>
      <c r="J2459" s="7" t="s">
        <v>33</v>
      </c>
      <c r="K2459" s="7" t="s">
        <v>33</v>
      </c>
      <c r="L2459" s="4"/>
      <c r="M2459" s="2" t="s">
        <v>977</v>
      </c>
      <c r="N2459" s="2" t="s">
        <v>974</v>
      </c>
      <c r="R2459" s="2" t="s">
        <v>14</v>
      </c>
    </row>
    <row r="2460" spans="6:18" ht="105" x14ac:dyDescent="0.25">
      <c r="F2460" s="10">
        <v>46</v>
      </c>
      <c r="H2460" s="2" t="s">
        <v>2148</v>
      </c>
      <c r="I2460" s="2" t="s">
        <v>33</v>
      </c>
      <c r="J2460" s="7" t="s">
        <v>33</v>
      </c>
      <c r="K2460" s="7" t="s">
        <v>33</v>
      </c>
      <c r="L2460" s="4"/>
      <c r="M2460" s="2" t="s">
        <v>980</v>
      </c>
      <c r="N2460" s="2" t="s">
        <v>974</v>
      </c>
      <c r="Q2460" s="2" t="s">
        <v>540</v>
      </c>
      <c r="R2460" s="2" t="s">
        <v>2511</v>
      </c>
    </row>
    <row r="2461" spans="6:18" ht="152.25" customHeight="1" x14ac:dyDescent="0.25">
      <c r="F2461" s="10">
        <v>47</v>
      </c>
      <c r="H2461" s="2" t="s">
        <v>2159</v>
      </c>
      <c r="I2461" s="2" t="s">
        <v>33</v>
      </c>
      <c r="J2461" s="2" t="s">
        <v>33</v>
      </c>
      <c r="K2461" s="2" t="s">
        <v>33</v>
      </c>
      <c r="L2461" s="4"/>
      <c r="N2461" s="2" t="s">
        <v>974</v>
      </c>
      <c r="Q2461" s="2" t="s">
        <v>540</v>
      </c>
      <c r="R2461" s="2" t="s">
        <v>474</v>
      </c>
    </row>
    <row r="2462" spans="6:18" ht="45" x14ac:dyDescent="0.25">
      <c r="F2462" s="10">
        <v>48</v>
      </c>
      <c r="H2462" s="2" t="s">
        <v>2161</v>
      </c>
      <c r="I2462" s="2" t="s">
        <v>33</v>
      </c>
      <c r="J2462" s="2" t="s">
        <v>33</v>
      </c>
      <c r="K2462" s="2" t="s">
        <v>33</v>
      </c>
      <c r="L2462" s="4"/>
      <c r="M2462" s="2" t="s">
        <v>982</v>
      </c>
      <c r="N2462" s="2" t="s">
        <v>974</v>
      </c>
    </row>
    <row r="2463" spans="6:18" ht="90" x14ac:dyDescent="0.25">
      <c r="F2463" s="10">
        <v>49</v>
      </c>
      <c r="H2463" s="2" t="s">
        <v>3991</v>
      </c>
      <c r="I2463" s="2" t="s">
        <v>33</v>
      </c>
      <c r="J2463" s="2" t="s">
        <v>33</v>
      </c>
      <c r="K2463" s="2" t="s">
        <v>33</v>
      </c>
      <c r="L2463" s="4"/>
      <c r="M2463" s="2" t="s">
        <v>980</v>
      </c>
      <c r="N2463" s="2" t="s">
        <v>974</v>
      </c>
    </row>
    <row r="2464" spans="6:18" ht="45" x14ac:dyDescent="0.25">
      <c r="F2464" s="10">
        <v>50</v>
      </c>
      <c r="H2464" s="2" t="s">
        <v>3992</v>
      </c>
      <c r="I2464" s="2" t="s">
        <v>33</v>
      </c>
      <c r="J2464" s="2" t="s">
        <v>33</v>
      </c>
      <c r="K2464" s="2" t="s">
        <v>33</v>
      </c>
      <c r="L2464" s="4"/>
      <c r="M2464" s="2" t="s">
        <v>980</v>
      </c>
      <c r="N2464" s="2" t="s">
        <v>974</v>
      </c>
      <c r="O2464" s="2" t="s">
        <v>2461</v>
      </c>
      <c r="Q2464" s="2" t="s">
        <v>540</v>
      </c>
      <c r="R2464" s="2" t="s">
        <v>2501</v>
      </c>
    </row>
    <row r="2465" spans="6:18" ht="111" customHeight="1" x14ac:dyDescent="0.25">
      <c r="F2465" s="10">
        <v>52</v>
      </c>
      <c r="H2465" s="2" t="s">
        <v>3023</v>
      </c>
      <c r="I2465" s="2" t="s">
        <v>33</v>
      </c>
      <c r="J2465" s="2" t="s">
        <v>33</v>
      </c>
      <c r="K2465" s="2" t="s">
        <v>33</v>
      </c>
      <c r="L2465" s="4"/>
      <c r="M2465" s="2" t="s">
        <v>2536</v>
      </c>
      <c r="N2465" s="2" t="s">
        <v>974</v>
      </c>
      <c r="Q2465" s="2" t="s">
        <v>540</v>
      </c>
      <c r="R2465" s="2" t="s">
        <v>2231</v>
      </c>
    </row>
    <row r="2466" spans="6:18" ht="75" x14ac:dyDescent="0.25">
      <c r="F2466" s="10">
        <v>53</v>
      </c>
      <c r="H2466" s="2" t="s">
        <v>3037</v>
      </c>
      <c r="I2466" s="2" t="s">
        <v>33</v>
      </c>
      <c r="J2466" s="2" t="s">
        <v>33</v>
      </c>
      <c r="K2466" s="2" t="s">
        <v>33</v>
      </c>
      <c r="L2466" s="4"/>
      <c r="M2466" s="2" t="s">
        <v>3039</v>
      </c>
      <c r="N2466" s="2" t="s">
        <v>33</v>
      </c>
    </row>
    <row r="2467" spans="6:18" ht="90" x14ac:dyDescent="0.25">
      <c r="F2467" s="10">
        <v>54</v>
      </c>
      <c r="H2467" s="2" t="s">
        <v>3038</v>
      </c>
      <c r="K2467" s="2"/>
      <c r="L2467" s="4"/>
      <c r="M2467" s="2" t="s">
        <v>980</v>
      </c>
      <c r="N2467" s="2" t="s">
        <v>974</v>
      </c>
      <c r="R2467" s="2" t="s">
        <v>474</v>
      </c>
    </row>
    <row r="2468" spans="6:18" ht="45" x14ac:dyDescent="0.25">
      <c r="F2468" s="10">
        <v>55</v>
      </c>
      <c r="H2468" s="2" t="s">
        <v>3088</v>
      </c>
      <c r="I2468" s="2" t="s">
        <v>33</v>
      </c>
      <c r="J2468" s="2" t="s">
        <v>33</v>
      </c>
      <c r="K2468" s="2" t="s">
        <v>33</v>
      </c>
      <c r="L2468" s="4"/>
      <c r="M2468" s="2" t="s">
        <v>977</v>
      </c>
      <c r="N2468" s="2" t="s">
        <v>974</v>
      </c>
      <c r="Q2468" s="2" t="s">
        <v>540</v>
      </c>
    </row>
    <row r="2469" spans="6:18" ht="112.5" customHeight="1" x14ac:dyDescent="0.25">
      <c r="F2469" s="10">
        <v>57</v>
      </c>
      <c r="H2469" s="2" t="s">
        <v>3095</v>
      </c>
      <c r="I2469" s="2" t="s">
        <v>33</v>
      </c>
      <c r="J2469" s="2" t="s">
        <v>33</v>
      </c>
      <c r="K2469" s="2" t="s">
        <v>33</v>
      </c>
      <c r="L2469" s="4"/>
      <c r="M2469" s="2" t="s">
        <v>977</v>
      </c>
      <c r="N2469" s="2" t="s">
        <v>974</v>
      </c>
      <c r="Q2469" s="2" t="s">
        <v>540</v>
      </c>
    </row>
    <row r="2470" spans="6:18" ht="75" x14ac:dyDescent="0.25">
      <c r="F2470" s="10">
        <v>58</v>
      </c>
      <c r="H2470" s="2" t="s">
        <v>3890</v>
      </c>
      <c r="I2470" s="2" t="s">
        <v>33</v>
      </c>
      <c r="J2470" s="2" t="s">
        <v>33</v>
      </c>
      <c r="K2470" s="2" t="s">
        <v>33</v>
      </c>
      <c r="L2470" s="4"/>
      <c r="M2470" s="2" t="s">
        <v>980</v>
      </c>
      <c r="N2470" s="2" t="s">
        <v>974</v>
      </c>
      <c r="Q2470" s="2" t="s">
        <v>540</v>
      </c>
    </row>
    <row r="2471" spans="6:18" ht="75" x14ac:dyDescent="0.25">
      <c r="F2471" s="10">
        <v>59</v>
      </c>
      <c r="H2471" s="2" t="s">
        <v>2457</v>
      </c>
      <c r="I2471" s="2" t="s">
        <v>33</v>
      </c>
      <c r="J2471" s="2" t="s">
        <v>33</v>
      </c>
      <c r="K2471" s="2" t="s">
        <v>33</v>
      </c>
      <c r="L2471" s="4"/>
      <c r="M2471" s="2" t="s">
        <v>2503</v>
      </c>
      <c r="N2471" s="2" t="s">
        <v>974</v>
      </c>
      <c r="Q2471" s="2" t="s">
        <v>540</v>
      </c>
      <c r="R2471" s="2" t="s">
        <v>2483</v>
      </c>
    </row>
    <row r="2472" spans="6:18" ht="47.25" customHeight="1" x14ac:dyDescent="0.25">
      <c r="F2472" s="10">
        <v>63</v>
      </c>
      <c r="H2472" s="2" t="s">
        <v>2478</v>
      </c>
      <c r="I2472" s="2" t="s">
        <v>33</v>
      </c>
      <c r="J2472" s="2" t="s">
        <v>33</v>
      </c>
      <c r="K2472" s="2" t="s">
        <v>33</v>
      </c>
      <c r="L2472" s="4"/>
      <c r="M2472" s="2" t="s">
        <v>980</v>
      </c>
      <c r="N2472" s="2" t="s">
        <v>974</v>
      </c>
      <c r="Q2472" s="2" t="s">
        <v>540</v>
      </c>
    </row>
    <row r="2473" spans="6:18" ht="33.75" customHeight="1" x14ac:dyDescent="0.25">
      <c r="F2473" s="10">
        <v>64</v>
      </c>
      <c r="H2473" s="2" t="s">
        <v>2479</v>
      </c>
      <c r="I2473" s="2" t="s">
        <v>33</v>
      </c>
      <c r="J2473" s="2" t="s">
        <v>33</v>
      </c>
      <c r="K2473" s="2" t="s">
        <v>33</v>
      </c>
      <c r="L2473" s="4"/>
      <c r="M2473" s="2" t="s">
        <v>977</v>
      </c>
      <c r="N2473" s="2" t="s">
        <v>974</v>
      </c>
      <c r="Q2473" s="2" t="s">
        <v>540</v>
      </c>
    </row>
    <row r="2474" spans="6:18" ht="45" x14ac:dyDescent="0.25">
      <c r="F2474" s="10">
        <v>65</v>
      </c>
      <c r="H2474" s="2" t="s">
        <v>2502</v>
      </c>
      <c r="I2474" s="2" t="s">
        <v>33</v>
      </c>
      <c r="J2474" s="2" t="s">
        <v>33</v>
      </c>
      <c r="K2474" s="2" t="s">
        <v>33</v>
      </c>
      <c r="L2474" s="4"/>
      <c r="M2474" s="2" t="s">
        <v>980</v>
      </c>
      <c r="N2474" s="2" t="s">
        <v>974</v>
      </c>
      <c r="O2474" s="2" t="s">
        <v>3993</v>
      </c>
    </row>
    <row r="2475" spans="6:18" ht="257.25" customHeight="1" x14ac:dyDescent="0.25">
      <c r="F2475" s="10">
        <v>66</v>
      </c>
      <c r="H2475" s="2" t="s">
        <v>2515</v>
      </c>
      <c r="I2475" s="2" t="s">
        <v>33</v>
      </c>
      <c r="J2475" s="2" t="s">
        <v>33</v>
      </c>
      <c r="K2475" s="2" t="s">
        <v>33</v>
      </c>
      <c r="L2475" s="4"/>
      <c r="M2475" s="2" t="s">
        <v>980</v>
      </c>
      <c r="N2475" s="2" t="s">
        <v>974</v>
      </c>
      <c r="O2475" s="2" t="s">
        <v>2532</v>
      </c>
      <c r="Q2475" s="2" t="s">
        <v>540</v>
      </c>
    </row>
    <row r="2476" spans="6:18" ht="30" x14ac:dyDescent="0.25">
      <c r="F2476" s="10">
        <v>67</v>
      </c>
      <c r="H2476" s="2" t="s">
        <v>2523</v>
      </c>
      <c r="I2476" s="2" t="s">
        <v>33</v>
      </c>
      <c r="J2476" s="2" t="s">
        <v>33</v>
      </c>
      <c r="K2476" s="2" t="s">
        <v>33</v>
      </c>
      <c r="L2476" s="4"/>
      <c r="M2476" s="2" t="s">
        <v>982</v>
      </c>
      <c r="N2476" s="2" t="s">
        <v>974</v>
      </c>
    </row>
    <row r="2477" spans="6:18" ht="45" x14ac:dyDescent="0.25">
      <c r="F2477" s="10">
        <v>71</v>
      </c>
      <c r="H2477" s="2" t="s">
        <v>2529</v>
      </c>
      <c r="I2477" s="2" t="s">
        <v>33</v>
      </c>
      <c r="J2477" s="2" t="s">
        <v>33</v>
      </c>
      <c r="K2477" s="2" t="s">
        <v>33</v>
      </c>
      <c r="L2477" s="4"/>
      <c r="M2477" s="2" t="s">
        <v>980</v>
      </c>
      <c r="N2477" s="2" t="s">
        <v>974</v>
      </c>
      <c r="O2477" s="2" t="s">
        <v>14</v>
      </c>
      <c r="Q2477" s="2" t="s">
        <v>540</v>
      </c>
    </row>
    <row r="2478" spans="6:18" ht="30" x14ac:dyDescent="0.25">
      <c r="F2478" s="10">
        <v>72</v>
      </c>
      <c r="H2478" s="2" t="s">
        <v>3802</v>
      </c>
      <c r="I2478" s="2" t="s">
        <v>33</v>
      </c>
      <c r="J2478" s="2" t="s">
        <v>33</v>
      </c>
      <c r="K2478" s="2" t="s">
        <v>33</v>
      </c>
      <c r="L2478" s="4"/>
      <c r="M2478" s="2" t="s">
        <v>980</v>
      </c>
      <c r="N2478" s="2" t="s">
        <v>974</v>
      </c>
      <c r="Q2478" s="2" t="s">
        <v>540</v>
      </c>
    </row>
    <row r="2479" spans="6:18" ht="75" x14ac:dyDescent="0.25">
      <c r="F2479" s="10">
        <v>73</v>
      </c>
      <c r="H2479" s="2" t="s">
        <v>2534</v>
      </c>
      <c r="I2479" s="2" t="s">
        <v>33</v>
      </c>
      <c r="J2479" s="2" t="s">
        <v>33</v>
      </c>
      <c r="K2479" s="2" t="s">
        <v>33</v>
      </c>
      <c r="L2479" s="4"/>
      <c r="M2479" s="2" t="s">
        <v>980</v>
      </c>
      <c r="N2479" s="2" t="s">
        <v>974</v>
      </c>
      <c r="Q2479" s="2" t="s">
        <v>540</v>
      </c>
      <c r="R2479" s="2" t="s">
        <v>2538</v>
      </c>
    </row>
    <row r="2480" spans="6:18" ht="90" x14ac:dyDescent="0.25">
      <c r="F2480" s="10">
        <v>74</v>
      </c>
      <c r="H2480" s="2" t="s">
        <v>2535</v>
      </c>
      <c r="I2480" s="2" t="s">
        <v>33</v>
      </c>
      <c r="J2480" s="2" t="s">
        <v>33</v>
      </c>
      <c r="K2480" s="2" t="s">
        <v>33</v>
      </c>
      <c r="L2480" s="4"/>
      <c r="M2480" s="2" t="s">
        <v>982</v>
      </c>
      <c r="N2480" s="2" t="s">
        <v>974</v>
      </c>
      <c r="Q2480" s="2" t="s">
        <v>540</v>
      </c>
      <c r="R2480" s="2" t="s">
        <v>2538</v>
      </c>
    </row>
    <row r="2482" spans="1:18" ht="60" x14ac:dyDescent="0.25">
      <c r="A2482" s="19" t="s">
        <v>1897</v>
      </c>
      <c r="B2482" s="19" t="s">
        <v>2194</v>
      </c>
      <c r="C2482" s="19" t="s">
        <v>39</v>
      </c>
      <c r="D2482" s="19" t="s">
        <v>3994</v>
      </c>
      <c r="E2482" s="10" t="s">
        <v>121</v>
      </c>
      <c r="F2482" s="10">
        <v>1</v>
      </c>
      <c r="G2482" s="2" t="s">
        <v>3995</v>
      </c>
    </row>
    <row r="2483" spans="1:18" ht="45" x14ac:dyDescent="0.25">
      <c r="F2483" s="10">
        <v>2</v>
      </c>
      <c r="H2483" s="2" t="s">
        <v>3996</v>
      </c>
      <c r="I2483" s="2" t="s">
        <v>30</v>
      </c>
      <c r="J2483" s="5">
        <v>40325</v>
      </c>
      <c r="K2483" s="7" t="s">
        <v>33</v>
      </c>
      <c r="L2483" s="4"/>
      <c r="N2483" s="2" t="s">
        <v>974</v>
      </c>
    </row>
    <row r="2484" spans="1:18" ht="30" x14ac:dyDescent="0.25">
      <c r="F2484" s="10">
        <v>3</v>
      </c>
      <c r="H2484" s="2" t="s">
        <v>3761</v>
      </c>
      <c r="I2484" s="2" t="s">
        <v>30</v>
      </c>
      <c r="J2484" s="5">
        <v>40325</v>
      </c>
      <c r="K2484" s="7" t="s">
        <v>33</v>
      </c>
      <c r="L2484" s="4"/>
      <c r="N2484" s="2" t="s">
        <v>974</v>
      </c>
    </row>
    <row r="2486" spans="1:18" ht="30" x14ac:dyDescent="0.25">
      <c r="A2486" s="19" t="s">
        <v>2311</v>
      </c>
      <c r="B2486" s="19" t="s">
        <v>2629</v>
      </c>
      <c r="C2486" s="19" t="s">
        <v>39</v>
      </c>
      <c r="D2486" s="19" t="s">
        <v>2630</v>
      </c>
      <c r="E2486" s="10" t="s">
        <v>121</v>
      </c>
      <c r="F2486" s="10">
        <v>1</v>
      </c>
      <c r="G2486" s="2" t="s">
        <v>466</v>
      </c>
    </row>
    <row r="2487" spans="1:18" ht="60" x14ac:dyDescent="0.25">
      <c r="H2487" s="2" t="s">
        <v>3719</v>
      </c>
      <c r="I2487" s="7" t="s">
        <v>29</v>
      </c>
      <c r="J2487" s="2" t="s">
        <v>33</v>
      </c>
      <c r="K2487" s="2" t="s">
        <v>33</v>
      </c>
      <c r="L2487" s="4"/>
      <c r="N2487" s="2" t="s">
        <v>974</v>
      </c>
      <c r="O2487" s="2" t="s">
        <v>14</v>
      </c>
    </row>
    <row r="2488" spans="1:18" ht="90" x14ac:dyDescent="0.25">
      <c r="H2488" s="2" t="s">
        <v>3891</v>
      </c>
      <c r="I2488" s="7" t="s">
        <v>29</v>
      </c>
      <c r="J2488" s="2" t="s">
        <v>33</v>
      </c>
      <c r="K2488" s="2" t="s">
        <v>33</v>
      </c>
      <c r="L2488" s="4"/>
      <c r="N2488" s="2" t="s">
        <v>974</v>
      </c>
      <c r="O2488" s="2" t="s">
        <v>14</v>
      </c>
    </row>
    <row r="2489" spans="1:18" ht="75" x14ac:dyDescent="0.25">
      <c r="H2489" s="7" t="s">
        <v>2167</v>
      </c>
      <c r="I2489" s="7" t="s">
        <v>29</v>
      </c>
      <c r="J2489" s="2" t="s">
        <v>33</v>
      </c>
      <c r="K2489" s="2" t="s">
        <v>33</v>
      </c>
      <c r="L2489" s="4"/>
      <c r="N2489" s="2" t="s">
        <v>974</v>
      </c>
      <c r="O2489" s="2" t="s">
        <v>3031</v>
      </c>
      <c r="P2489" s="2" t="s">
        <v>980</v>
      </c>
      <c r="Q2489" s="2" t="s">
        <v>540</v>
      </c>
    </row>
    <row r="2490" spans="1:18" ht="60" x14ac:dyDescent="0.25">
      <c r="H2490" s="7"/>
      <c r="I2490" s="7"/>
      <c r="K2490" s="2"/>
      <c r="N2490" s="2" t="s">
        <v>973</v>
      </c>
      <c r="O2490" s="2" t="s">
        <v>3032</v>
      </c>
      <c r="P2490" s="2" t="s">
        <v>980</v>
      </c>
      <c r="Q2490" s="2" t="s">
        <v>2172</v>
      </c>
      <c r="R2490" s="2" t="s">
        <v>2504</v>
      </c>
    </row>
    <row r="2491" spans="1:18" ht="30" x14ac:dyDescent="0.25">
      <c r="H2491" s="7"/>
      <c r="I2491" s="7"/>
      <c r="K2491" s="2"/>
      <c r="N2491" s="2" t="s">
        <v>974</v>
      </c>
      <c r="O2491" s="2" t="s">
        <v>3033</v>
      </c>
      <c r="P2491" s="2" t="s">
        <v>980</v>
      </c>
      <c r="Q2491" s="2" t="s">
        <v>540</v>
      </c>
      <c r="R2491" s="2" t="s">
        <v>3082</v>
      </c>
    </row>
    <row r="2492" spans="1:18" ht="45" x14ac:dyDescent="0.25">
      <c r="H2492" s="7"/>
      <c r="I2492" s="7"/>
      <c r="K2492" s="2"/>
      <c r="N2492" s="2" t="s">
        <v>974</v>
      </c>
      <c r="O2492" s="2" t="s">
        <v>3083</v>
      </c>
      <c r="P2492" s="2" t="s">
        <v>980</v>
      </c>
      <c r="Q2492" s="2" t="s">
        <v>540</v>
      </c>
    </row>
    <row r="2493" spans="1:18" ht="45" x14ac:dyDescent="0.25">
      <c r="H2493" s="7"/>
      <c r="I2493" s="7"/>
      <c r="K2493" s="2"/>
      <c r="N2493" s="2" t="s">
        <v>974</v>
      </c>
      <c r="O2493" s="2" t="s">
        <v>3084</v>
      </c>
      <c r="P2493" s="2" t="s">
        <v>980</v>
      </c>
      <c r="Q2493" s="2" t="s">
        <v>540</v>
      </c>
      <c r="R2493" s="2" t="s">
        <v>2506</v>
      </c>
    </row>
    <row r="2494" spans="1:18" ht="105" x14ac:dyDescent="0.25">
      <c r="H2494" s="7"/>
      <c r="I2494" s="7"/>
      <c r="K2494" s="2"/>
      <c r="N2494" s="2" t="s">
        <v>974</v>
      </c>
      <c r="O2494" s="2" t="s">
        <v>3085</v>
      </c>
      <c r="P2494" s="2" t="s">
        <v>977</v>
      </c>
      <c r="Q2494" s="2" t="s">
        <v>540</v>
      </c>
    </row>
    <row r="2495" spans="1:18" ht="90" x14ac:dyDescent="0.25">
      <c r="H2495" s="7"/>
      <c r="I2495" s="7"/>
      <c r="K2495" s="2"/>
      <c r="N2495" s="2" t="s">
        <v>973</v>
      </c>
      <c r="O2495" s="2" t="s">
        <v>3096</v>
      </c>
      <c r="P2495" s="2" t="s">
        <v>980</v>
      </c>
      <c r="Q2495" s="2" t="s">
        <v>1394</v>
      </c>
      <c r="R2495" s="2" t="s">
        <v>2505</v>
      </c>
    </row>
    <row r="2496" spans="1:18" ht="60" x14ac:dyDescent="0.25">
      <c r="H2496" s="7"/>
      <c r="I2496" s="7"/>
      <c r="K2496" s="2"/>
      <c r="N2496" s="2" t="s">
        <v>974</v>
      </c>
      <c r="O2496" s="2" t="s">
        <v>3097</v>
      </c>
      <c r="P2496" s="2" t="s">
        <v>980</v>
      </c>
      <c r="Q2496" s="2" t="s">
        <v>540</v>
      </c>
      <c r="R2496" s="2" t="s">
        <v>2506</v>
      </c>
    </row>
    <row r="2497" spans="1:18" ht="60" x14ac:dyDescent="0.25">
      <c r="H2497" s="7"/>
      <c r="I2497" s="7"/>
      <c r="K2497" s="2"/>
      <c r="N2497" s="2" t="s">
        <v>974</v>
      </c>
      <c r="O2497" s="2" t="s">
        <v>3098</v>
      </c>
      <c r="P2497" s="2" t="s">
        <v>980</v>
      </c>
      <c r="Q2497" s="2" t="s">
        <v>540</v>
      </c>
      <c r="R2497" s="2" t="s">
        <v>2514</v>
      </c>
    </row>
    <row r="2498" spans="1:18" ht="90" x14ac:dyDescent="0.25">
      <c r="H2498" s="7"/>
      <c r="I2498" s="7"/>
      <c r="K2498" s="2"/>
      <c r="N2498" s="2" t="s">
        <v>974</v>
      </c>
      <c r="O2498" s="2" t="s">
        <v>3099</v>
      </c>
      <c r="P2498" s="2" t="s">
        <v>980</v>
      </c>
      <c r="Q2498" s="2" t="s">
        <v>540</v>
      </c>
    </row>
    <row r="2499" spans="1:18" ht="75" x14ac:dyDescent="0.25">
      <c r="H2499" s="7"/>
      <c r="I2499" s="7"/>
      <c r="K2499" s="2"/>
      <c r="N2499" s="2" t="s">
        <v>974</v>
      </c>
      <c r="O2499" s="2" t="s">
        <v>3892</v>
      </c>
      <c r="P2499" s="2" t="s">
        <v>980</v>
      </c>
      <c r="Q2499" s="2" t="s">
        <v>540</v>
      </c>
      <c r="R2499" s="2" t="s">
        <v>2513</v>
      </c>
    </row>
    <row r="2500" spans="1:18" ht="60" x14ac:dyDescent="0.25">
      <c r="H2500" s="7"/>
      <c r="I2500" s="7"/>
      <c r="K2500" s="2"/>
      <c r="N2500" s="2" t="s">
        <v>973</v>
      </c>
      <c r="O2500" s="2" t="s">
        <v>3803</v>
      </c>
      <c r="P2500" s="2" t="s">
        <v>980</v>
      </c>
      <c r="Q2500" s="2" t="s">
        <v>1394</v>
      </c>
      <c r="R2500" s="2" t="s">
        <v>2505</v>
      </c>
    </row>
    <row r="2501" spans="1:18" ht="110.25" customHeight="1" x14ac:dyDescent="0.25">
      <c r="H2501" s="7"/>
      <c r="I2501" s="7"/>
      <c r="K2501" s="2"/>
      <c r="N2501" s="2" t="s">
        <v>973</v>
      </c>
      <c r="O2501" s="2" t="s">
        <v>3100</v>
      </c>
      <c r="P2501" s="2" t="s">
        <v>980</v>
      </c>
      <c r="Q2501" s="2" t="s">
        <v>1394</v>
      </c>
      <c r="R2501" s="2" t="s">
        <v>2505</v>
      </c>
    </row>
    <row r="2502" spans="1:18" ht="110.25" customHeight="1" x14ac:dyDescent="0.25">
      <c r="H2502" s="7"/>
      <c r="I2502" s="7"/>
      <c r="K2502" s="2"/>
      <c r="N2502" s="2" t="s">
        <v>973</v>
      </c>
      <c r="O2502" s="2" t="s">
        <v>3804</v>
      </c>
      <c r="P2502" s="2" t="s">
        <v>980</v>
      </c>
      <c r="Q2502" s="2" t="s">
        <v>1394</v>
      </c>
      <c r="R2502" s="2" t="s">
        <v>2505</v>
      </c>
    </row>
    <row r="2503" spans="1:18" ht="97.5" customHeight="1" x14ac:dyDescent="0.25">
      <c r="H2503" s="7"/>
      <c r="I2503" s="7"/>
      <c r="K2503" s="2"/>
      <c r="N2503" s="2" t="s">
        <v>973</v>
      </c>
      <c r="O2503" s="2" t="s">
        <v>2508</v>
      </c>
      <c r="P2503" s="2" t="s">
        <v>980</v>
      </c>
      <c r="Q2503" s="2" t="s">
        <v>1394</v>
      </c>
    </row>
    <row r="2505" spans="1:18" ht="75" x14ac:dyDescent="0.25">
      <c r="A2505" s="19" t="s">
        <v>2324</v>
      </c>
      <c r="B2505" s="19" t="s">
        <v>2707</v>
      </c>
      <c r="C2505" s="19" t="s">
        <v>39</v>
      </c>
      <c r="D2505" s="19" t="s">
        <v>1182</v>
      </c>
      <c r="E2505" s="2"/>
      <c r="F2505" s="10">
        <v>1</v>
      </c>
      <c r="H2505" s="2" t="s">
        <v>3805</v>
      </c>
      <c r="I2505" s="2" t="s">
        <v>30</v>
      </c>
      <c r="J2505" s="3" t="s">
        <v>33</v>
      </c>
      <c r="K2505" s="7" t="s">
        <v>33</v>
      </c>
      <c r="L2505" s="4"/>
      <c r="M2505" s="2" t="s">
        <v>977</v>
      </c>
      <c r="N2505" s="2" t="s">
        <v>974</v>
      </c>
    </row>
    <row r="2506" spans="1:18" ht="60" x14ac:dyDescent="0.25">
      <c r="F2506" s="10">
        <v>4</v>
      </c>
      <c r="H2506" s="2" t="s">
        <v>2307</v>
      </c>
      <c r="I2506" s="2" t="s">
        <v>30</v>
      </c>
      <c r="J2506" s="3" t="s">
        <v>33</v>
      </c>
      <c r="K2506" s="7" t="s">
        <v>33</v>
      </c>
      <c r="L2506" s="4"/>
      <c r="M2506" s="2" t="s">
        <v>982</v>
      </c>
      <c r="N2506" s="2" t="s">
        <v>974</v>
      </c>
      <c r="O2506" s="2" t="s">
        <v>2769</v>
      </c>
    </row>
    <row r="2507" spans="1:18" ht="75" x14ac:dyDescent="0.25">
      <c r="F2507" s="10">
        <v>5</v>
      </c>
      <c r="H2507" s="2" t="s">
        <v>2355</v>
      </c>
      <c r="I2507" s="2" t="s">
        <v>29</v>
      </c>
      <c r="J2507" s="3">
        <v>40353</v>
      </c>
      <c r="K2507" s="4"/>
      <c r="L2507" s="4"/>
      <c r="M2507" s="2" t="s">
        <v>3093</v>
      </c>
      <c r="N2507" s="2" t="s">
        <v>974</v>
      </c>
    </row>
    <row r="2508" spans="1:18" ht="75" x14ac:dyDescent="0.25">
      <c r="F2508" s="10">
        <v>6</v>
      </c>
      <c r="H2508" s="2" t="s">
        <v>3806</v>
      </c>
      <c r="I2508" s="2" t="s">
        <v>29</v>
      </c>
      <c r="J2508" s="3" t="s">
        <v>33</v>
      </c>
      <c r="K2508" s="7" t="s">
        <v>33</v>
      </c>
      <c r="L2508" s="4"/>
      <c r="M2508" s="2" t="s">
        <v>977</v>
      </c>
      <c r="N2508" s="2" t="s">
        <v>974</v>
      </c>
    </row>
    <row r="2509" spans="1:18" ht="60" x14ac:dyDescent="0.25">
      <c r="F2509" s="10">
        <v>7</v>
      </c>
      <c r="H2509" s="2" t="s">
        <v>2435</v>
      </c>
      <c r="I2509" s="2" t="s">
        <v>30</v>
      </c>
      <c r="J2509" s="3" t="s">
        <v>33</v>
      </c>
      <c r="K2509" s="7" t="s">
        <v>33</v>
      </c>
      <c r="L2509" s="4" t="s">
        <v>14</v>
      </c>
      <c r="M2509" s="7" t="s">
        <v>1682</v>
      </c>
      <c r="N2509" s="2" t="s">
        <v>974</v>
      </c>
      <c r="O2509" s="2" t="s">
        <v>2800</v>
      </c>
      <c r="P2509" s="2" t="s">
        <v>977</v>
      </c>
      <c r="Q2509" s="2" t="s">
        <v>540</v>
      </c>
    </row>
    <row r="2510" spans="1:18" ht="60" x14ac:dyDescent="0.25">
      <c r="F2510" s="10">
        <v>8</v>
      </c>
      <c r="H2510" s="2" t="s">
        <v>2436</v>
      </c>
      <c r="I2510" s="2" t="s">
        <v>30</v>
      </c>
      <c r="J2510" s="3" t="s">
        <v>33</v>
      </c>
      <c r="K2510" s="7" t="s">
        <v>33</v>
      </c>
      <c r="L2510" s="4"/>
      <c r="M2510" s="7" t="s">
        <v>980</v>
      </c>
      <c r="N2510" s="2" t="s">
        <v>974</v>
      </c>
    </row>
    <row r="2511" spans="1:18" ht="45" x14ac:dyDescent="0.25">
      <c r="F2511" s="10">
        <v>9</v>
      </c>
      <c r="H2511" s="2" t="s">
        <v>2720</v>
      </c>
      <c r="I2511" s="7" t="s">
        <v>30</v>
      </c>
      <c r="J2511" s="3" t="s">
        <v>33</v>
      </c>
      <c r="K2511" s="7" t="s">
        <v>33</v>
      </c>
      <c r="L2511" s="4"/>
      <c r="M2511" s="2" t="s">
        <v>977</v>
      </c>
      <c r="N2511" s="2" t="s">
        <v>974</v>
      </c>
      <c r="O2511" s="2" t="s">
        <v>2146</v>
      </c>
      <c r="P2511" s="2" t="s">
        <v>980</v>
      </c>
      <c r="Q2511" s="2" t="s">
        <v>540</v>
      </c>
    </row>
    <row r="2512" spans="1:18" ht="75" x14ac:dyDescent="0.25">
      <c r="F2512" s="10">
        <v>10</v>
      </c>
      <c r="H2512" s="2" t="s">
        <v>2722</v>
      </c>
      <c r="I2512" s="7" t="s">
        <v>30</v>
      </c>
      <c r="J2512" s="3" t="s">
        <v>33</v>
      </c>
      <c r="K2512" s="7" t="s">
        <v>33</v>
      </c>
      <c r="L2512" s="4"/>
      <c r="M2512" s="2" t="s">
        <v>980</v>
      </c>
      <c r="N2512" s="2" t="s">
        <v>974</v>
      </c>
      <c r="O2512" s="2" t="s">
        <v>2147</v>
      </c>
      <c r="P2512" s="2" t="s">
        <v>977</v>
      </c>
      <c r="Q2512" s="2" t="s">
        <v>540</v>
      </c>
    </row>
    <row r="2513" spans="1:14" ht="30" x14ac:dyDescent="0.25">
      <c r="F2513" s="10">
        <v>12</v>
      </c>
      <c r="H2513" s="2" t="s">
        <v>2739</v>
      </c>
      <c r="I2513" s="7" t="s">
        <v>30</v>
      </c>
      <c r="J2513" s="3" t="s">
        <v>33</v>
      </c>
      <c r="K2513" s="7" t="s">
        <v>33</v>
      </c>
      <c r="L2513" s="4"/>
      <c r="M2513" s="2" t="s">
        <v>3093</v>
      </c>
      <c r="N2513" s="2" t="s">
        <v>974</v>
      </c>
    </row>
    <row r="2514" spans="1:14" ht="135" x14ac:dyDescent="0.25">
      <c r="F2514" s="10">
        <v>14</v>
      </c>
      <c r="H2514" s="2" t="s">
        <v>2744</v>
      </c>
      <c r="I2514" s="7" t="s">
        <v>30</v>
      </c>
      <c r="J2514" s="3" t="s">
        <v>33</v>
      </c>
      <c r="K2514" s="7" t="s">
        <v>33</v>
      </c>
      <c r="L2514" s="4"/>
      <c r="M2514" s="2" t="s">
        <v>3093</v>
      </c>
      <c r="N2514" s="2" t="s">
        <v>974</v>
      </c>
    </row>
    <row r="2515" spans="1:14" ht="45" x14ac:dyDescent="0.25">
      <c r="F2515" s="10">
        <v>15</v>
      </c>
      <c r="H2515" s="2" t="s">
        <v>2746</v>
      </c>
      <c r="I2515" s="7" t="s">
        <v>30</v>
      </c>
      <c r="J2515" s="3" t="s">
        <v>33</v>
      </c>
      <c r="K2515" s="7" t="s">
        <v>33</v>
      </c>
      <c r="L2515" s="4"/>
      <c r="M2515" s="2" t="s">
        <v>977</v>
      </c>
      <c r="N2515" s="2" t="s">
        <v>974</v>
      </c>
    </row>
    <row r="2516" spans="1:14" ht="60" x14ac:dyDescent="0.25">
      <c r="F2516" s="10">
        <v>16</v>
      </c>
      <c r="H2516" s="2" t="s">
        <v>2750</v>
      </c>
      <c r="I2516" s="7" t="s">
        <v>30</v>
      </c>
      <c r="J2516" s="3" t="s">
        <v>33</v>
      </c>
      <c r="K2516" s="7" t="s">
        <v>33</v>
      </c>
      <c r="L2516" s="4"/>
      <c r="M2516" s="2" t="s">
        <v>3094</v>
      </c>
      <c r="N2516" s="2" t="s">
        <v>974</v>
      </c>
    </row>
    <row r="2517" spans="1:14" ht="30" x14ac:dyDescent="0.25">
      <c r="F2517" s="10">
        <v>18</v>
      </c>
      <c r="H2517" s="2" t="s">
        <v>3027</v>
      </c>
      <c r="I2517" s="7" t="s">
        <v>30</v>
      </c>
      <c r="J2517" s="3" t="s">
        <v>33</v>
      </c>
      <c r="K2517" s="7" t="s">
        <v>33</v>
      </c>
      <c r="L2517" s="4"/>
      <c r="M2517" s="2" t="s">
        <v>1889</v>
      </c>
      <c r="N2517" s="2" t="s">
        <v>974</v>
      </c>
    </row>
    <row r="2518" spans="1:14" ht="30" x14ac:dyDescent="0.25">
      <c r="F2518" s="10">
        <v>19</v>
      </c>
      <c r="H2518" s="2" t="s">
        <v>3807</v>
      </c>
      <c r="I2518" s="7" t="s">
        <v>30</v>
      </c>
      <c r="J2518" s="3" t="s">
        <v>33</v>
      </c>
      <c r="K2518" s="7" t="s">
        <v>33</v>
      </c>
      <c r="L2518" s="4"/>
      <c r="M2518" s="2" t="s">
        <v>977</v>
      </c>
      <c r="N2518" s="2" t="s">
        <v>974</v>
      </c>
    </row>
    <row r="2520" spans="1:14" ht="45" x14ac:dyDescent="0.25">
      <c r="A2520" s="19" t="s">
        <v>2313</v>
      </c>
      <c r="B2520" s="19" t="s">
        <v>2648</v>
      </c>
      <c r="C2520" s="19" t="s">
        <v>39</v>
      </c>
      <c r="D2520" s="19" t="s">
        <v>2649</v>
      </c>
      <c r="E2520" s="10" t="s">
        <v>121</v>
      </c>
      <c r="F2520" s="10">
        <v>1</v>
      </c>
      <c r="G2520" s="2" t="s">
        <v>2754</v>
      </c>
    </row>
    <row r="2521" spans="1:14" ht="30" x14ac:dyDescent="0.25">
      <c r="F2521" s="10">
        <v>2</v>
      </c>
      <c r="H2521" s="2" t="s">
        <v>2033</v>
      </c>
      <c r="I2521" s="2" t="s">
        <v>29</v>
      </c>
      <c r="J2521" s="3">
        <v>40343</v>
      </c>
      <c r="K2521" s="4"/>
      <c r="L2521" s="4" t="s">
        <v>474</v>
      </c>
      <c r="N2521" s="2" t="s">
        <v>974</v>
      </c>
    </row>
    <row r="2522" spans="1:14" ht="45" x14ac:dyDescent="0.25">
      <c r="F2522" s="10">
        <v>3</v>
      </c>
      <c r="H2522" s="2" t="s">
        <v>2755</v>
      </c>
      <c r="I2522" s="2" t="s">
        <v>29</v>
      </c>
      <c r="J2522" s="3">
        <v>40343</v>
      </c>
      <c r="K2522" s="4"/>
      <c r="L2522" s="4" t="s">
        <v>474</v>
      </c>
      <c r="N2522" s="2" t="s">
        <v>974</v>
      </c>
    </row>
    <row r="2523" spans="1:14" x14ac:dyDescent="0.25">
      <c r="F2523" s="10">
        <v>4</v>
      </c>
      <c r="H2523" s="2" t="s">
        <v>2756</v>
      </c>
      <c r="I2523" s="2" t="s">
        <v>30</v>
      </c>
      <c r="J2523" s="3">
        <v>40343</v>
      </c>
      <c r="K2523" s="4"/>
      <c r="L2523" s="4" t="s">
        <v>474</v>
      </c>
      <c r="N2523" s="2" t="s">
        <v>974</v>
      </c>
    </row>
    <row r="2524" spans="1:14" ht="30" x14ac:dyDescent="0.25">
      <c r="F2524" s="10">
        <v>5</v>
      </c>
      <c r="G2524" s="2" t="s">
        <v>2757</v>
      </c>
    </row>
    <row r="2525" spans="1:14" x14ac:dyDescent="0.25">
      <c r="F2525" s="10">
        <v>6</v>
      </c>
      <c r="H2525" s="2" t="s">
        <v>2758</v>
      </c>
      <c r="I2525" s="2" t="s">
        <v>30</v>
      </c>
      <c r="J2525" s="3">
        <v>40343</v>
      </c>
      <c r="K2525" s="4"/>
      <c r="L2525" s="4" t="s">
        <v>474</v>
      </c>
      <c r="N2525" s="2" t="s">
        <v>974</v>
      </c>
    </row>
    <row r="2526" spans="1:14" x14ac:dyDescent="0.25">
      <c r="F2526" s="10">
        <v>7</v>
      </c>
      <c r="G2526" s="2" t="s">
        <v>2759</v>
      </c>
    </row>
    <row r="2527" spans="1:14" x14ac:dyDescent="0.25">
      <c r="F2527" s="10">
        <v>8</v>
      </c>
      <c r="G2527" s="2" t="s">
        <v>2760</v>
      </c>
    </row>
    <row r="2528" spans="1:14" ht="30" x14ac:dyDescent="0.25">
      <c r="F2528" s="10">
        <v>9</v>
      </c>
      <c r="H2528" s="2" t="s">
        <v>2761</v>
      </c>
      <c r="I2528" s="2" t="s">
        <v>29</v>
      </c>
      <c r="J2528" s="3">
        <v>40343</v>
      </c>
      <c r="K2528" s="4"/>
      <c r="L2528" s="4" t="s">
        <v>474</v>
      </c>
      <c r="N2528" s="2" t="s">
        <v>974</v>
      </c>
    </row>
    <row r="2529" spans="1:17" ht="75" x14ac:dyDescent="0.25">
      <c r="F2529" s="10">
        <v>10</v>
      </c>
      <c r="H2529" s="2" t="s">
        <v>2762</v>
      </c>
      <c r="I2529" s="2" t="s">
        <v>29</v>
      </c>
      <c r="J2529" s="3">
        <v>40343</v>
      </c>
      <c r="K2529" s="4"/>
      <c r="L2529" s="4" t="s">
        <v>474</v>
      </c>
      <c r="N2529" s="2" t="s">
        <v>974</v>
      </c>
    </row>
    <row r="2530" spans="1:17" ht="105" x14ac:dyDescent="0.25">
      <c r="F2530" s="10">
        <v>11</v>
      </c>
      <c r="H2530" s="2" t="s">
        <v>2763</v>
      </c>
      <c r="I2530" s="2" t="s">
        <v>29</v>
      </c>
      <c r="J2530" s="3">
        <v>40343</v>
      </c>
      <c r="K2530" s="4"/>
      <c r="L2530" s="4" t="s">
        <v>474</v>
      </c>
      <c r="M2530" s="2" t="s">
        <v>2980</v>
      </c>
      <c r="N2530" s="2" t="s">
        <v>974</v>
      </c>
      <c r="O2530" s="2" t="s">
        <v>2993</v>
      </c>
    </row>
    <row r="2531" spans="1:17" ht="120" x14ac:dyDescent="0.25">
      <c r="F2531" s="10">
        <v>12</v>
      </c>
      <c r="H2531" s="2" t="s">
        <v>2764</v>
      </c>
      <c r="I2531" s="2" t="s">
        <v>29</v>
      </c>
      <c r="J2531" s="3">
        <v>40343</v>
      </c>
      <c r="K2531" s="4"/>
      <c r="L2531" s="4" t="s">
        <v>474</v>
      </c>
      <c r="N2531" s="2" t="s">
        <v>974</v>
      </c>
      <c r="O2531" s="2" t="s">
        <v>2994</v>
      </c>
    </row>
    <row r="2532" spans="1:17" ht="120" x14ac:dyDescent="0.25">
      <c r="F2532" s="10">
        <v>13</v>
      </c>
      <c r="H2532" s="2" t="s">
        <v>2765</v>
      </c>
      <c r="I2532" s="2" t="s">
        <v>29</v>
      </c>
      <c r="J2532" s="3">
        <v>40343</v>
      </c>
      <c r="K2532" s="4"/>
      <c r="L2532" s="4" t="s">
        <v>474</v>
      </c>
      <c r="M2532" s="2" t="s">
        <v>2981</v>
      </c>
      <c r="N2532" s="2" t="s">
        <v>974</v>
      </c>
      <c r="O2532" s="2" t="s">
        <v>2995</v>
      </c>
    </row>
    <row r="2534" spans="1:17" ht="75" x14ac:dyDescent="0.25">
      <c r="A2534" s="19" t="s">
        <v>2670</v>
      </c>
      <c r="B2534" s="19" t="s">
        <v>3808</v>
      </c>
      <c r="C2534" s="19" t="s">
        <v>39</v>
      </c>
      <c r="D2534" s="19" t="s">
        <v>3997</v>
      </c>
      <c r="E2534" s="10" t="s">
        <v>121</v>
      </c>
      <c r="F2534" s="10">
        <v>1</v>
      </c>
      <c r="G2534" s="2" t="s">
        <v>3998</v>
      </c>
    </row>
    <row r="2535" spans="1:17" ht="45" x14ac:dyDescent="0.25">
      <c r="F2535" s="10">
        <v>2</v>
      </c>
      <c r="H2535" s="2" t="s">
        <v>3999</v>
      </c>
      <c r="I2535" s="2" t="s">
        <v>29</v>
      </c>
      <c r="J2535" s="3">
        <v>40343</v>
      </c>
      <c r="K2535" s="4"/>
      <c r="L2535" s="7" t="s">
        <v>474</v>
      </c>
      <c r="M2535" s="2" t="s">
        <v>1889</v>
      </c>
      <c r="N2535" s="2" t="s">
        <v>974</v>
      </c>
    </row>
    <row r="2536" spans="1:17" ht="30" x14ac:dyDescent="0.25">
      <c r="F2536" s="10">
        <v>3</v>
      </c>
      <c r="G2536" s="2" t="s">
        <v>4000</v>
      </c>
    </row>
    <row r="2537" spans="1:17" ht="45" x14ac:dyDescent="0.25">
      <c r="F2537" s="10">
        <v>4</v>
      </c>
      <c r="H2537" s="2" t="s">
        <v>4001</v>
      </c>
      <c r="I2537" s="2" t="s">
        <v>29</v>
      </c>
      <c r="J2537" s="3">
        <v>40343</v>
      </c>
      <c r="K2537" s="4"/>
      <c r="L2537" s="7" t="s">
        <v>474</v>
      </c>
      <c r="M2537" s="2" t="s">
        <v>1889</v>
      </c>
      <c r="N2537" s="2" t="s">
        <v>974</v>
      </c>
    </row>
    <row r="2538" spans="1:17" ht="30" x14ac:dyDescent="0.25">
      <c r="F2538" s="10">
        <v>5</v>
      </c>
      <c r="G2538" s="2" t="s">
        <v>2776</v>
      </c>
    </row>
    <row r="2539" spans="1:17" ht="45" x14ac:dyDescent="0.25">
      <c r="F2539" s="10">
        <v>6</v>
      </c>
      <c r="H2539" s="2" t="s">
        <v>4001</v>
      </c>
      <c r="I2539" s="2" t="s">
        <v>29</v>
      </c>
      <c r="J2539" s="3">
        <v>40343</v>
      </c>
      <c r="K2539" s="4"/>
      <c r="L2539" s="7" t="s">
        <v>2114</v>
      </c>
      <c r="N2539" s="2" t="s">
        <v>974</v>
      </c>
    </row>
    <row r="2540" spans="1:17" ht="30" x14ac:dyDescent="0.25">
      <c r="F2540" s="10">
        <v>7</v>
      </c>
      <c r="G2540" s="2" t="s">
        <v>4002</v>
      </c>
    </row>
    <row r="2541" spans="1:17" ht="45" x14ac:dyDescent="0.25">
      <c r="H2541" s="2" t="s">
        <v>4003</v>
      </c>
      <c r="I2541" s="2" t="s">
        <v>30</v>
      </c>
      <c r="J2541" s="3">
        <v>40343</v>
      </c>
      <c r="K2541" s="4"/>
      <c r="L2541" s="7" t="s">
        <v>2114</v>
      </c>
      <c r="M2541" s="2" t="s">
        <v>2779</v>
      </c>
      <c r="N2541" s="2" t="s">
        <v>974</v>
      </c>
    </row>
    <row r="2542" spans="1:17" ht="45" x14ac:dyDescent="0.25">
      <c r="F2542" s="10">
        <v>8</v>
      </c>
      <c r="H2542" s="2" t="s">
        <v>4004</v>
      </c>
      <c r="I2542" s="2" t="s">
        <v>30</v>
      </c>
      <c r="J2542" s="3">
        <v>40343</v>
      </c>
      <c r="K2542" s="4"/>
      <c r="L2542" s="7" t="s">
        <v>2114</v>
      </c>
      <c r="M2542" s="2" t="s">
        <v>2779</v>
      </c>
      <c r="N2542" s="2" t="s">
        <v>974</v>
      </c>
    </row>
    <row r="2543" spans="1:17" x14ac:dyDescent="0.25">
      <c r="F2543" s="10">
        <v>9</v>
      </c>
      <c r="G2543" s="2" t="s">
        <v>4005</v>
      </c>
    </row>
    <row r="2544" spans="1:17" ht="45" x14ac:dyDescent="0.25">
      <c r="F2544" s="10">
        <v>10</v>
      </c>
      <c r="H2544" s="2" t="s">
        <v>4006</v>
      </c>
      <c r="I2544" s="2" t="s">
        <v>29</v>
      </c>
      <c r="J2544" s="3">
        <v>40343</v>
      </c>
      <c r="K2544" s="4"/>
      <c r="L2544" s="7" t="s">
        <v>2114</v>
      </c>
      <c r="N2544" s="2" t="s">
        <v>974</v>
      </c>
      <c r="O2544" s="2" t="s">
        <v>3068</v>
      </c>
      <c r="P2544" s="2" t="s">
        <v>980</v>
      </c>
      <c r="Q2544" s="2" t="s">
        <v>540</v>
      </c>
    </row>
    <row r="2545" spans="1:14" ht="45" x14ac:dyDescent="0.25">
      <c r="F2545" s="10">
        <v>11</v>
      </c>
      <c r="H2545" s="2" t="s">
        <v>4007</v>
      </c>
      <c r="I2545" s="2" t="s">
        <v>29</v>
      </c>
      <c r="J2545" s="3">
        <v>40343</v>
      </c>
      <c r="K2545" s="4"/>
      <c r="L2545" s="7" t="s">
        <v>2114</v>
      </c>
      <c r="N2545" s="2" t="s">
        <v>974</v>
      </c>
    </row>
    <row r="2546" spans="1:14" ht="30" x14ac:dyDescent="0.25">
      <c r="E2546" s="10" t="s">
        <v>123</v>
      </c>
      <c r="F2546" s="10">
        <v>1</v>
      </c>
      <c r="G2546" s="2" t="s">
        <v>4008</v>
      </c>
    </row>
    <row r="2547" spans="1:14" x14ac:dyDescent="0.25">
      <c r="F2547" s="10">
        <v>2</v>
      </c>
      <c r="H2547" s="2" t="s">
        <v>2778</v>
      </c>
      <c r="I2547" s="2" t="s">
        <v>29</v>
      </c>
      <c r="J2547" s="3">
        <v>40343</v>
      </c>
      <c r="K2547" s="4"/>
      <c r="L2547" s="7" t="s">
        <v>474</v>
      </c>
      <c r="M2547" s="2" t="s">
        <v>1889</v>
      </c>
      <c r="N2547" s="2" t="s">
        <v>974</v>
      </c>
    </row>
    <row r="2550" spans="1:14" ht="30" x14ac:dyDescent="0.25">
      <c r="A2550" s="19" t="s">
        <v>2314</v>
      </c>
      <c r="B2550" s="19" t="s">
        <v>2650</v>
      </c>
      <c r="C2550" s="19" t="s">
        <v>39</v>
      </c>
      <c r="D2550" s="19" t="s">
        <v>2651</v>
      </c>
      <c r="E2550" s="10" t="s">
        <v>121</v>
      </c>
      <c r="F2550" s="10">
        <v>1</v>
      </c>
      <c r="G2550" s="2" t="s">
        <v>812</v>
      </c>
    </row>
    <row r="2551" spans="1:14" ht="45" x14ac:dyDescent="0.25">
      <c r="F2551" s="10">
        <v>2</v>
      </c>
      <c r="H2551" s="2" t="s">
        <v>3042</v>
      </c>
      <c r="I2551" s="2" t="s">
        <v>29</v>
      </c>
      <c r="J2551" s="3">
        <v>40353</v>
      </c>
      <c r="K2551" s="4"/>
      <c r="L2551" s="7" t="s">
        <v>1288</v>
      </c>
      <c r="M2551" s="2" t="s">
        <v>1682</v>
      </c>
      <c r="N2551" s="2" t="s">
        <v>974</v>
      </c>
    </row>
    <row r="2552" spans="1:14" ht="30" x14ac:dyDescent="0.25">
      <c r="F2552" s="10">
        <v>3</v>
      </c>
      <c r="G2552" s="2" t="s">
        <v>3043</v>
      </c>
      <c r="K2552" s="2"/>
    </row>
    <row r="2553" spans="1:14" ht="30" x14ac:dyDescent="0.25">
      <c r="F2553" s="10">
        <v>4</v>
      </c>
      <c r="H2553" s="2" t="s">
        <v>3044</v>
      </c>
      <c r="I2553" s="2" t="s">
        <v>29</v>
      </c>
      <c r="J2553" s="3">
        <v>40353</v>
      </c>
      <c r="K2553" s="4"/>
      <c r="L2553" s="7" t="s">
        <v>1288</v>
      </c>
      <c r="N2553" s="2" t="s">
        <v>974</v>
      </c>
    </row>
    <row r="2554" spans="1:14" x14ac:dyDescent="0.25">
      <c r="F2554" s="10">
        <v>5</v>
      </c>
      <c r="H2554" s="2" t="s">
        <v>2486</v>
      </c>
      <c r="I2554" s="2" t="s">
        <v>29</v>
      </c>
      <c r="J2554" s="3">
        <v>40353</v>
      </c>
      <c r="K2554" s="4"/>
      <c r="L2554" s="7" t="s">
        <v>1288</v>
      </c>
      <c r="N2554" s="2" t="s">
        <v>974</v>
      </c>
    </row>
    <row r="2555" spans="1:14" ht="45" x14ac:dyDescent="0.25">
      <c r="F2555" s="10">
        <v>6</v>
      </c>
      <c r="H2555" s="2" t="s">
        <v>3047</v>
      </c>
      <c r="I2555" s="2" t="s">
        <v>29</v>
      </c>
      <c r="J2555" s="3">
        <v>40353</v>
      </c>
      <c r="K2555" s="4"/>
      <c r="L2555" s="7" t="s">
        <v>1288</v>
      </c>
      <c r="N2555" s="2" t="s">
        <v>974</v>
      </c>
    </row>
    <row r="2556" spans="1:14" ht="45" x14ac:dyDescent="0.25">
      <c r="F2556" s="10">
        <v>7</v>
      </c>
      <c r="H2556" s="2" t="s">
        <v>3048</v>
      </c>
      <c r="I2556" s="2" t="s">
        <v>29</v>
      </c>
      <c r="J2556" s="3">
        <v>40353</v>
      </c>
      <c r="K2556" s="4"/>
      <c r="L2556" s="7" t="s">
        <v>1288</v>
      </c>
      <c r="N2556" s="2" t="s">
        <v>974</v>
      </c>
    </row>
    <row r="2557" spans="1:14" x14ac:dyDescent="0.25">
      <c r="E2557" s="10" t="s">
        <v>123</v>
      </c>
      <c r="F2557" s="10">
        <v>1</v>
      </c>
      <c r="G2557" s="2" t="s">
        <v>4009</v>
      </c>
      <c r="K2557" s="2"/>
    </row>
    <row r="2558" spans="1:14" ht="45" x14ac:dyDescent="0.25">
      <c r="F2558" s="10">
        <v>2</v>
      </c>
      <c r="H2558" s="2" t="s">
        <v>3054</v>
      </c>
      <c r="I2558" s="2" t="s">
        <v>29</v>
      </c>
      <c r="J2558" s="3">
        <v>40353</v>
      </c>
      <c r="K2558" s="4"/>
      <c r="L2558" s="7" t="s">
        <v>1288</v>
      </c>
      <c r="N2558" s="2" t="s">
        <v>974</v>
      </c>
    </row>
    <row r="2559" spans="1:14" ht="30" x14ac:dyDescent="0.25">
      <c r="F2559" s="10">
        <v>3</v>
      </c>
      <c r="G2559" s="2" t="s">
        <v>3043</v>
      </c>
      <c r="K2559" s="2"/>
    </row>
    <row r="2560" spans="1:14" ht="30" x14ac:dyDescent="0.25">
      <c r="F2560" s="10">
        <v>4</v>
      </c>
      <c r="H2560" s="2" t="s">
        <v>3044</v>
      </c>
      <c r="I2560" s="2" t="s">
        <v>29</v>
      </c>
      <c r="J2560" s="3">
        <v>40353</v>
      </c>
      <c r="K2560" s="4"/>
      <c r="L2560" s="7" t="s">
        <v>1288</v>
      </c>
      <c r="N2560" s="2" t="s">
        <v>974</v>
      </c>
    </row>
    <row r="2561" spans="5:14" ht="30" x14ac:dyDescent="0.25">
      <c r="E2561" s="10" t="s">
        <v>126</v>
      </c>
      <c r="F2561" s="10">
        <v>1</v>
      </c>
      <c r="G2561" s="2" t="s">
        <v>3045</v>
      </c>
      <c r="K2561" s="2"/>
    </row>
    <row r="2562" spans="5:14" ht="45" x14ac:dyDescent="0.25">
      <c r="F2562" s="10">
        <v>2</v>
      </c>
      <c r="H2562" s="2" t="s">
        <v>3054</v>
      </c>
      <c r="I2562" s="2" t="s">
        <v>29</v>
      </c>
      <c r="J2562" s="3">
        <v>40353</v>
      </c>
      <c r="K2562" s="4"/>
      <c r="L2562" s="7" t="s">
        <v>1288</v>
      </c>
      <c r="N2562" s="2" t="s">
        <v>974</v>
      </c>
    </row>
    <row r="2563" spans="5:14" ht="30" x14ac:dyDescent="0.25">
      <c r="F2563" s="10">
        <v>3</v>
      </c>
      <c r="G2563" s="2" t="s">
        <v>3043</v>
      </c>
      <c r="K2563" s="2"/>
    </row>
    <row r="2564" spans="5:14" ht="30" x14ac:dyDescent="0.25">
      <c r="F2564" s="10">
        <v>4</v>
      </c>
      <c r="H2564" s="2" t="s">
        <v>3044</v>
      </c>
      <c r="I2564" s="2" t="s">
        <v>29</v>
      </c>
      <c r="J2564" s="3">
        <v>40353</v>
      </c>
      <c r="K2564" s="4"/>
      <c r="L2564" s="7" t="s">
        <v>1288</v>
      </c>
      <c r="N2564" s="2" t="s">
        <v>974</v>
      </c>
    </row>
    <row r="2565" spans="5:14" ht="30" x14ac:dyDescent="0.25">
      <c r="E2565" s="10" t="s">
        <v>127</v>
      </c>
      <c r="F2565" s="10">
        <v>1</v>
      </c>
      <c r="G2565" s="2" t="s">
        <v>3046</v>
      </c>
      <c r="K2565" s="2"/>
    </row>
    <row r="2566" spans="5:14" ht="45" x14ac:dyDescent="0.25">
      <c r="F2566" s="10">
        <v>2</v>
      </c>
      <c r="H2566" s="2" t="s">
        <v>3054</v>
      </c>
      <c r="I2566" s="2" t="s">
        <v>29</v>
      </c>
      <c r="J2566" s="3">
        <v>40353</v>
      </c>
      <c r="K2566" s="4"/>
      <c r="L2566" s="7" t="s">
        <v>1288</v>
      </c>
      <c r="N2566" s="2" t="s">
        <v>974</v>
      </c>
    </row>
    <row r="2567" spans="5:14" ht="30" x14ac:dyDescent="0.25">
      <c r="F2567" s="10">
        <v>3</v>
      </c>
      <c r="G2567" s="2" t="s">
        <v>3043</v>
      </c>
      <c r="K2567" s="2"/>
    </row>
    <row r="2568" spans="5:14" ht="30" x14ac:dyDescent="0.25">
      <c r="F2568" s="10">
        <v>4</v>
      </c>
      <c r="H2568" s="2" t="s">
        <v>3044</v>
      </c>
      <c r="I2568" s="2" t="s">
        <v>29</v>
      </c>
      <c r="J2568" s="3">
        <v>40353</v>
      </c>
      <c r="K2568" s="4"/>
      <c r="L2568" s="7" t="s">
        <v>1288</v>
      </c>
      <c r="N2568" s="2" t="s">
        <v>974</v>
      </c>
    </row>
    <row r="2569" spans="5:14" x14ac:dyDescent="0.25">
      <c r="E2569" s="10" t="s">
        <v>469</v>
      </c>
      <c r="F2569" s="10">
        <v>1</v>
      </c>
      <c r="G2569" s="2" t="s">
        <v>812</v>
      </c>
    </row>
    <row r="2570" spans="5:14" ht="45" x14ac:dyDescent="0.25">
      <c r="F2570" s="10">
        <v>2</v>
      </c>
      <c r="H2570" s="2" t="s">
        <v>3049</v>
      </c>
      <c r="I2570" s="2" t="s">
        <v>29</v>
      </c>
      <c r="J2570" s="3">
        <v>40353</v>
      </c>
      <c r="K2570" s="4"/>
      <c r="L2570" s="7" t="s">
        <v>2507</v>
      </c>
      <c r="M2570" s="2" t="s">
        <v>3838</v>
      </c>
      <c r="N2570" s="2" t="s">
        <v>974</v>
      </c>
    </row>
    <row r="2571" spans="5:14" x14ac:dyDescent="0.25">
      <c r="F2571" s="10">
        <v>3</v>
      </c>
      <c r="G2571" s="2" t="s">
        <v>3051</v>
      </c>
      <c r="K2571" s="2"/>
    </row>
    <row r="2572" spans="5:14" ht="30" x14ac:dyDescent="0.25">
      <c r="F2572" s="10">
        <v>4</v>
      </c>
      <c r="H2572" s="2" t="s">
        <v>3050</v>
      </c>
      <c r="I2572" s="2" t="s">
        <v>29</v>
      </c>
      <c r="J2572" s="3">
        <v>40353</v>
      </c>
      <c r="K2572" s="4"/>
      <c r="L2572" s="7" t="s">
        <v>1288</v>
      </c>
      <c r="N2572" s="2" t="s">
        <v>974</v>
      </c>
    </row>
    <row r="2573" spans="5:14" x14ac:dyDescent="0.25">
      <c r="F2573" s="10">
        <v>5</v>
      </c>
      <c r="H2573" s="2" t="s">
        <v>2486</v>
      </c>
      <c r="I2573" s="2" t="s">
        <v>29</v>
      </c>
      <c r="J2573" s="3">
        <v>40353</v>
      </c>
      <c r="K2573" s="4"/>
      <c r="N2573" s="2" t="s">
        <v>974</v>
      </c>
    </row>
    <row r="2574" spans="5:14" ht="45" x14ac:dyDescent="0.25">
      <c r="F2574" s="10">
        <v>6</v>
      </c>
      <c r="H2574" s="2" t="s">
        <v>3047</v>
      </c>
      <c r="I2574" s="2" t="s">
        <v>29</v>
      </c>
      <c r="J2574" s="3">
        <v>40353</v>
      </c>
      <c r="K2574" s="4"/>
      <c r="L2574" s="7" t="s">
        <v>1288</v>
      </c>
      <c r="N2574" s="2" t="s">
        <v>974</v>
      </c>
    </row>
    <row r="2575" spans="5:14" ht="45" x14ac:dyDescent="0.25">
      <c r="F2575" s="10">
        <v>7</v>
      </c>
      <c r="H2575" s="2" t="s">
        <v>2491</v>
      </c>
      <c r="J2575" s="3"/>
      <c r="K2575" s="4"/>
      <c r="L2575" s="7" t="s">
        <v>1288</v>
      </c>
      <c r="N2575" s="2" t="s">
        <v>974</v>
      </c>
    </row>
    <row r="2576" spans="5:14" ht="45" x14ac:dyDescent="0.25">
      <c r="F2576" s="10">
        <v>8</v>
      </c>
      <c r="H2576" s="2" t="s">
        <v>3048</v>
      </c>
      <c r="I2576" s="2" t="s">
        <v>29</v>
      </c>
      <c r="J2576" s="3">
        <v>40353</v>
      </c>
      <c r="K2576" s="4"/>
      <c r="L2576" s="7" t="s">
        <v>1288</v>
      </c>
      <c r="N2576" s="2" t="s">
        <v>974</v>
      </c>
    </row>
    <row r="2577" spans="5:17" ht="30" x14ac:dyDescent="0.25">
      <c r="E2577" s="10" t="s">
        <v>877</v>
      </c>
      <c r="F2577" s="10">
        <v>1</v>
      </c>
      <c r="G2577" s="2" t="s">
        <v>3425</v>
      </c>
      <c r="K2577" s="2"/>
    </row>
    <row r="2578" spans="5:17" ht="45" x14ac:dyDescent="0.25">
      <c r="F2578" s="10">
        <v>2</v>
      </c>
      <c r="H2578" s="2" t="s">
        <v>3052</v>
      </c>
      <c r="I2578" s="2" t="s">
        <v>29</v>
      </c>
      <c r="J2578" s="3">
        <v>40353</v>
      </c>
      <c r="K2578" s="4"/>
      <c r="L2578" s="7" t="s">
        <v>1288</v>
      </c>
      <c r="N2578" s="2" t="s">
        <v>974</v>
      </c>
    </row>
    <row r="2579" spans="5:17" x14ac:dyDescent="0.25">
      <c r="F2579" s="10">
        <v>3</v>
      </c>
      <c r="G2579" s="2" t="s">
        <v>3051</v>
      </c>
      <c r="K2579" s="2"/>
    </row>
    <row r="2580" spans="5:17" ht="30" x14ac:dyDescent="0.25">
      <c r="F2580" s="10">
        <v>4</v>
      </c>
      <c r="H2580" s="2" t="s">
        <v>3050</v>
      </c>
      <c r="I2580" s="2" t="s">
        <v>29</v>
      </c>
      <c r="J2580" s="3">
        <v>40353</v>
      </c>
      <c r="K2580" s="4"/>
      <c r="L2580" s="7" t="s">
        <v>1288</v>
      </c>
      <c r="N2580" s="2" t="s">
        <v>974</v>
      </c>
    </row>
    <row r="2581" spans="5:17" ht="30" x14ac:dyDescent="0.25">
      <c r="E2581" s="10" t="s">
        <v>878</v>
      </c>
      <c r="F2581" s="10">
        <v>1</v>
      </c>
      <c r="G2581" s="2" t="s">
        <v>3893</v>
      </c>
    </row>
    <row r="2582" spans="5:17" ht="45" x14ac:dyDescent="0.25">
      <c r="F2582" s="10">
        <v>2</v>
      </c>
      <c r="H2582" s="2" t="s">
        <v>3053</v>
      </c>
      <c r="I2582" s="7" t="s">
        <v>30</v>
      </c>
      <c r="J2582" s="3">
        <v>40353</v>
      </c>
      <c r="K2582" s="4"/>
      <c r="L2582" s="7" t="s">
        <v>1288</v>
      </c>
      <c r="N2582" s="2" t="s">
        <v>974</v>
      </c>
    </row>
    <row r="2583" spans="5:17" x14ac:dyDescent="0.25">
      <c r="F2583" s="10">
        <v>3</v>
      </c>
      <c r="G2583" s="2" t="s">
        <v>3051</v>
      </c>
      <c r="K2583" s="2"/>
    </row>
    <row r="2584" spans="5:17" ht="30" x14ac:dyDescent="0.25">
      <c r="F2584" s="10">
        <v>4</v>
      </c>
      <c r="H2584" s="2" t="s">
        <v>3050</v>
      </c>
      <c r="I2584" s="2" t="s">
        <v>29</v>
      </c>
      <c r="J2584" s="3">
        <v>40353</v>
      </c>
      <c r="K2584" s="4"/>
      <c r="L2584" s="7" t="s">
        <v>1288</v>
      </c>
      <c r="N2584" s="2" t="s">
        <v>974</v>
      </c>
    </row>
    <row r="2585" spans="5:17" x14ac:dyDescent="0.25">
      <c r="E2585" s="10" t="s">
        <v>879</v>
      </c>
      <c r="F2585" s="10">
        <v>1</v>
      </c>
      <c r="G2585" s="2" t="s">
        <v>812</v>
      </c>
      <c r="J2585" s="3"/>
      <c r="K2585" s="3"/>
      <c r="L2585" s="3"/>
    </row>
    <row r="2586" spans="5:17" ht="30" x14ac:dyDescent="0.25">
      <c r="F2586" s="10">
        <v>2</v>
      </c>
      <c r="H2586" s="2" t="s">
        <v>3845</v>
      </c>
      <c r="I2586" s="2" t="s">
        <v>29</v>
      </c>
      <c r="J2586" s="3">
        <v>40353</v>
      </c>
      <c r="K2586" s="4"/>
      <c r="L2586" s="7" t="s">
        <v>1288</v>
      </c>
      <c r="N2586" s="2" t="s">
        <v>974</v>
      </c>
    </row>
    <row r="2587" spans="5:17" ht="30" x14ac:dyDescent="0.25">
      <c r="F2587" s="10">
        <v>3</v>
      </c>
      <c r="H2587" s="2" t="s">
        <v>2487</v>
      </c>
      <c r="I2587" s="2" t="s">
        <v>29</v>
      </c>
      <c r="J2587" s="3">
        <v>40353</v>
      </c>
      <c r="K2587" s="4"/>
      <c r="L2587" s="7" t="s">
        <v>1288</v>
      </c>
      <c r="N2587" s="2" t="s">
        <v>974</v>
      </c>
    </row>
    <row r="2588" spans="5:17" ht="30" x14ac:dyDescent="0.25">
      <c r="F2588" s="10">
        <v>4</v>
      </c>
      <c r="H2588" s="2" t="s">
        <v>2488</v>
      </c>
      <c r="I2588" s="2" t="s">
        <v>29</v>
      </c>
      <c r="J2588" s="3">
        <v>40353</v>
      </c>
      <c r="K2588" s="4"/>
      <c r="L2588" s="7" t="s">
        <v>1288</v>
      </c>
      <c r="N2588" s="2" t="s">
        <v>974</v>
      </c>
    </row>
    <row r="2589" spans="5:17" x14ac:dyDescent="0.25">
      <c r="F2589" s="10">
        <v>5</v>
      </c>
      <c r="G2589" s="2" t="s">
        <v>2489</v>
      </c>
      <c r="J2589" s="3"/>
      <c r="K2589" s="3"/>
      <c r="L2589" s="3"/>
    </row>
    <row r="2590" spans="5:17" ht="30" x14ac:dyDescent="0.25">
      <c r="F2590" s="10">
        <v>6</v>
      </c>
      <c r="H2590" s="2" t="s">
        <v>2490</v>
      </c>
      <c r="I2590" s="2" t="s">
        <v>29</v>
      </c>
      <c r="J2590" s="3">
        <v>40353</v>
      </c>
      <c r="K2590" s="4"/>
      <c r="L2590" s="7" t="s">
        <v>1288</v>
      </c>
      <c r="N2590" s="2" t="s">
        <v>974</v>
      </c>
    </row>
    <row r="2591" spans="5:17" ht="60" x14ac:dyDescent="0.25">
      <c r="F2591" s="10">
        <v>7</v>
      </c>
      <c r="H2591" s="2" t="s">
        <v>2486</v>
      </c>
      <c r="I2591" s="2" t="s">
        <v>29</v>
      </c>
      <c r="J2591" s="3">
        <v>40354</v>
      </c>
      <c r="K2591" s="4"/>
      <c r="L2591" s="7" t="s">
        <v>1288</v>
      </c>
      <c r="N2591" s="2" t="s">
        <v>974</v>
      </c>
      <c r="O2591" s="2" t="s">
        <v>2520</v>
      </c>
      <c r="P2591" s="2" t="s">
        <v>980</v>
      </c>
      <c r="Q2591" s="2" t="s">
        <v>540</v>
      </c>
    </row>
    <row r="2592" spans="5:17" ht="45" x14ac:dyDescent="0.25">
      <c r="F2592" s="10">
        <v>8</v>
      </c>
      <c r="H2592" s="2" t="s">
        <v>3047</v>
      </c>
      <c r="I2592" s="2" t="s">
        <v>29</v>
      </c>
      <c r="J2592" s="3">
        <v>40355</v>
      </c>
      <c r="K2592" s="4"/>
      <c r="L2592" s="7" t="s">
        <v>1288</v>
      </c>
      <c r="N2592" s="2" t="s">
        <v>974</v>
      </c>
    </row>
    <row r="2593" spans="1:18" ht="45" x14ac:dyDescent="0.25">
      <c r="F2593" s="10">
        <v>9</v>
      </c>
      <c r="H2593" s="2" t="s">
        <v>2491</v>
      </c>
      <c r="I2593" s="2" t="s">
        <v>29</v>
      </c>
      <c r="J2593" s="3">
        <v>40356</v>
      </c>
      <c r="K2593" s="4"/>
      <c r="L2593" s="7" t="s">
        <v>1288</v>
      </c>
      <c r="N2593" s="2" t="s">
        <v>974</v>
      </c>
    </row>
    <row r="2594" spans="1:18" ht="45" x14ac:dyDescent="0.25">
      <c r="F2594" s="10">
        <v>10</v>
      </c>
      <c r="H2594" s="2" t="s">
        <v>3048</v>
      </c>
      <c r="I2594" s="2" t="s">
        <v>29</v>
      </c>
      <c r="J2594" s="3">
        <v>40357</v>
      </c>
      <c r="K2594" s="4"/>
      <c r="L2594" s="7" t="s">
        <v>1288</v>
      </c>
      <c r="N2594" s="2" t="s">
        <v>974</v>
      </c>
    </row>
    <row r="2595" spans="1:18" x14ac:dyDescent="0.25">
      <c r="E2595" s="10" t="s">
        <v>884</v>
      </c>
      <c r="F2595" s="10">
        <v>1</v>
      </c>
      <c r="G2595" s="2" t="s">
        <v>2492</v>
      </c>
    </row>
    <row r="2596" spans="1:18" ht="30" x14ac:dyDescent="0.25">
      <c r="F2596" s="10">
        <v>2</v>
      </c>
      <c r="H2596" s="2" t="s">
        <v>2493</v>
      </c>
      <c r="I2596" s="2" t="s">
        <v>29</v>
      </c>
      <c r="J2596" s="3">
        <v>40357</v>
      </c>
      <c r="K2596" s="4"/>
      <c r="L2596" s="7" t="s">
        <v>1288</v>
      </c>
      <c r="N2596" s="2" t="s">
        <v>974</v>
      </c>
      <c r="O2596" s="2" t="s">
        <v>2522</v>
      </c>
      <c r="P2596" s="2" t="s">
        <v>980</v>
      </c>
      <c r="Q2596" s="2" t="s">
        <v>540</v>
      </c>
    </row>
    <row r="2597" spans="1:18" ht="30" x14ac:dyDescent="0.25">
      <c r="F2597" s="10">
        <v>3</v>
      </c>
      <c r="H2597" s="2" t="s">
        <v>2494</v>
      </c>
      <c r="I2597" s="2" t="s">
        <v>29</v>
      </c>
      <c r="J2597" s="3">
        <v>40357</v>
      </c>
      <c r="K2597" s="4"/>
      <c r="L2597" s="7" t="s">
        <v>1288</v>
      </c>
      <c r="N2597" s="2" t="s">
        <v>974</v>
      </c>
      <c r="P2597" s="2" t="s">
        <v>980</v>
      </c>
      <c r="Q2597" s="2" t="s">
        <v>540</v>
      </c>
    </row>
    <row r="2598" spans="1:18" ht="30" x14ac:dyDescent="0.25">
      <c r="F2598" s="10">
        <v>4</v>
      </c>
      <c r="H2598" s="2" t="s">
        <v>2495</v>
      </c>
      <c r="I2598" s="2" t="s">
        <v>29</v>
      </c>
      <c r="J2598" s="3">
        <v>40357</v>
      </c>
      <c r="K2598" s="4"/>
      <c r="L2598" s="7" t="s">
        <v>1288</v>
      </c>
      <c r="N2598" s="2" t="s">
        <v>974</v>
      </c>
      <c r="P2598" s="2" t="s">
        <v>980</v>
      </c>
      <c r="Q2598" s="2" t="s">
        <v>540</v>
      </c>
    </row>
    <row r="2599" spans="1:18" x14ac:dyDescent="0.25">
      <c r="E2599" s="10" t="s">
        <v>6</v>
      </c>
      <c r="F2599" s="10">
        <v>1</v>
      </c>
      <c r="G2599" s="2" t="s">
        <v>2496</v>
      </c>
      <c r="J2599" s="3"/>
      <c r="K2599" s="3"/>
      <c r="L2599" s="3"/>
    </row>
    <row r="2600" spans="1:18" ht="105" x14ac:dyDescent="0.25">
      <c r="H2600" s="2" t="s">
        <v>2497</v>
      </c>
      <c r="J2600" s="3">
        <v>40357</v>
      </c>
      <c r="K2600" s="4"/>
      <c r="L2600" s="7" t="s">
        <v>1288</v>
      </c>
      <c r="N2600" s="2" t="s">
        <v>974</v>
      </c>
      <c r="O2600" s="2" t="s">
        <v>2521</v>
      </c>
    </row>
    <row r="2602" spans="1:18" ht="45" x14ac:dyDescent="0.25">
      <c r="A2602" s="19" t="s">
        <v>2671</v>
      </c>
      <c r="B2602" s="19" t="s">
        <v>3055</v>
      </c>
      <c r="C2602" s="19" t="s">
        <v>460</v>
      </c>
      <c r="D2602" s="19" t="s">
        <v>3056</v>
      </c>
      <c r="E2602" s="10" t="s">
        <v>121</v>
      </c>
      <c r="F2602" s="10">
        <v>1</v>
      </c>
      <c r="G2602" s="2" t="s">
        <v>3426</v>
      </c>
    </row>
    <row r="2603" spans="1:18" ht="30" x14ac:dyDescent="0.25">
      <c r="F2603" s="10">
        <v>2</v>
      </c>
      <c r="H2603" s="2" t="s">
        <v>1582</v>
      </c>
      <c r="I2603" s="2" t="s">
        <v>29</v>
      </c>
      <c r="J2603" s="3">
        <v>40353</v>
      </c>
      <c r="K2603" s="4"/>
      <c r="L2603" s="4"/>
      <c r="M2603" s="2" t="s">
        <v>1682</v>
      </c>
      <c r="N2603" s="2" t="s">
        <v>974</v>
      </c>
      <c r="Q2603" s="2" t="s">
        <v>540</v>
      </c>
    </row>
    <row r="2604" spans="1:18" ht="30" x14ac:dyDescent="0.25">
      <c r="F2604" s="10">
        <v>3</v>
      </c>
      <c r="H2604" s="2" t="s">
        <v>3057</v>
      </c>
      <c r="I2604" s="2" t="s">
        <v>29</v>
      </c>
      <c r="J2604" s="3">
        <v>40353</v>
      </c>
      <c r="K2604" s="4"/>
      <c r="L2604" s="4"/>
      <c r="M2604" s="2" t="s">
        <v>1682</v>
      </c>
      <c r="N2604" s="2" t="s">
        <v>974</v>
      </c>
      <c r="Q2604" s="2" t="s">
        <v>540</v>
      </c>
    </row>
    <row r="2605" spans="1:18" ht="165.75" customHeight="1" x14ac:dyDescent="0.25">
      <c r="K2605" s="2"/>
      <c r="L2605" s="2"/>
      <c r="N2605" s="2" t="s">
        <v>974</v>
      </c>
      <c r="O2605" s="2" t="s">
        <v>2459</v>
      </c>
      <c r="P2605" s="2" t="s">
        <v>980</v>
      </c>
      <c r="Q2605" s="2" t="s">
        <v>540</v>
      </c>
    </row>
    <row r="2606" spans="1:18" ht="137.25" customHeight="1" x14ac:dyDescent="0.25">
      <c r="K2606" s="2"/>
      <c r="L2606" s="2"/>
      <c r="N2606" s="2" t="s">
        <v>974</v>
      </c>
      <c r="O2606" s="2" t="s">
        <v>2509</v>
      </c>
      <c r="Q2606" s="2" t="s">
        <v>540</v>
      </c>
    </row>
    <row r="2607" spans="1:18" ht="285" customHeight="1" x14ac:dyDescent="0.25">
      <c r="K2607" s="2"/>
      <c r="L2607" s="2"/>
      <c r="M2607" s="2" t="s">
        <v>2517</v>
      </c>
      <c r="N2607" s="2" t="s">
        <v>974</v>
      </c>
      <c r="O2607" s="2" t="s">
        <v>2516</v>
      </c>
      <c r="Q2607" s="2" t="s">
        <v>540</v>
      </c>
      <c r="R2607" s="2" t="s">
        <v>2512</v>
      </c>
    </row>
    <row r="2608" spans="1:18" ht="30" x14ac:dyDescent="0.25">
      <c r="F2608" s="10">
        <v>4</v>
      </c>
      <c r="H2608" s="2" t="s">
        <v>3058</v>
      </c>
      <c r="I2608" s="2" t="s">
        <v>29</v>
      </c>
      <c r="J2608" s="3">
        <v>40353</v>
      </c>
      <c r="K2608" s="4"/>
      <c r="L2608" s="4"/>
      <c r="M2608" s="2" t="s">
        <v>1682</v>
      </c>
      <c r="N2608" s="2" t="s">
        <v>974</v>
      </c>
      <c r="Q2608" s="2" t="s">
        <v>540</v>
      </c>
    </row>
    <row r="2609" spans="1:18" x14ac:dyDescent="0.25">
      <c r="F2609" s="10">
        <v>5</v>
      </c>
      <c r="G2609" s="2" t="s">
        <v>3059</v>
      </c>
    </row>
    <row r="2610" spans="1:18" ht="30" x14ac:dyDescent="0.25">
      <c r="F2610" s="10">
        <v>6</v>
      </c>
      <c r="H2610" s="2" t="s">
        <v>3060</v>
      </c>
      <c r="I2610" s="2" t="s">
        <v>29</v>
      </c>
      <c r="J2610" s="3">
        <v>40353</v>
      </c>
      <c r="K2610" s="4"/>
      <c r="L2610" s="4"/>
      <c r="M2610" s="2" t="s">
        <v>1682</v>
      </c>
      <c r="N2610" s="2" t="s">
        <v>974</v>
      </c>
      <c r="Q2610" s="2" t="s">
        <v>540</v>
      </c>
    </row>
    <row r="2611" spans="1:18" ht="65.25" customHeight="1" x14ac:dyDescent="0.25">
      <c r="F2611" s="10">
        <v>7</v>
      </c>
      <c r="H2611" s="2" t="s">
        <v>3061</v>
      </c>
      <c r="I2611" s="2" t="s">
        <v>29</v>
      </c>
      <c r="J2611" s="3">
        <v>40353</v>
      </c>
      <c r="K2611" s="4"/>
      <c r="L2611" s="4"/>
      <c r="M2611" s="2" t="s">
        <v>1682</v>
      </c>
      <c r="N2611" s="2" t="s">
        <v>974</v>
      </c>
      <c r="O2611" s="2" t="s">
        <v>2471</v>
      </c>
    </row>
    <row r="2612" spans="1:18" ht="45" x14ac:dyDescent="0.25">
      <c r="F2612" s="10">
        <v>8</v>
      </c>
      <c r="H2612" s="2" t="s">
        <v>3062</v>
      </c>
      <c r="I2612" s="2" t="s">
        <v>29</v>
      </c>
      <c r="J2612" s="3">
        <v>40353</v>
      </c>
      <c r="K2612" s="4"/>
      <c r="L2612" s="4"/>
      <c r="M2612" s="2" t="s">
        <v>1682</v>
      </c>
      <c r="N2612" s="2" t="s">
        <v>974</v>
      </c>
      <c r="O2612" s="2" t="s">
        <v>2471</v>
      </c>
    </row>
    <row r="2613" spans="1:18" ht="45" x14ac:dyDescent="0.25">
      <c r="F2613" s="10">
        <v>0</v>
      </c>
      <c r="H2613" s="2" t="s">
        <v>3065</v>
      </c>
      <c r="I2613" s="2" t="s">
        <v>29</v>
      </c>
      <c r="J2613" s="3">
        <v>40353</v>
      </c>
      <c r="K2613" s="4"/>
      <c r="L2613" s="4"/>
      <c r="M2613" s="2" t="s">
        <v>2455</v>
      </c>
      <c r="N2613" s="2" t="s">
        <v>974</v>
      </c>
      <c r="Q2613" s="2" t="s">
        <v>540</v>
      </c>
    </row>
    <row r="2614" spans="1:18" x14ac:dyDescent="0.25">
      <c r="F2614" s="10">
        <v>10</v>
      </c>
      <c r="G2614" s="2" t="s">
        <v>3063</v>
      </c>
    </row>
    <row r="2615" spans="1:18" ht="60" x14ac:dyDescent="0.25">
      <c r="F2615" s="10">
        <v>11</v>
      </c>
      <c r="H2615" s="2" t="s">
        <v>3064</v>
      </c>
      <c r="I2615" s="2" t="s">
        <v>29</v>
      </c>
      <c r="J2615" s="3">
        <v>40353</v>
      </c>
      <c r="K2615" s="4"/>
      <c r="L2615" s="4"/>
      <c r="M2615" s="2" t="s">
        <v>1682</v>
      </c>
      <c r="N2615" s="2" t="s">
        <v>974</v>
      </c>
    </row>
    <row r="2616" spans="1:18" ht="30" x14ac:dyDescent="0.25">
      <c r="F2616" s="10">
        <v>12</v>
      </c>
      <c r="H2616" s="2" t="s">
        <v>3066</v>
      </c>
      <c r="I2616" s="2" t="s">
        <v>29</v>
      </c>
      <c r="J2616" s="3">
        <v>40353</v>
      </c>
      <c r="K2616" s="4"/>
      <c r="L2616" s="4"/>
      <c r="M2616" s="2" t="s">
        <v>1682</v>
      </c>
      <c r="N2616" s="2" t="s">
        <v>974</v>
      </c>
    </row>
    <row r="2617" spans="1:18" ht="225" x14ac:dyDescent="0.25">
      <c r="J2617" s="3">
        <v>40353</v>
      </c>
      <c r="K2617" s="4"/>
      <c r="L2617" s="4"/>
      <c r="N2617" s="2" t="s">
        <v>974</v>
      </c>
      <c r="O2617" s="2" t="s">
        <v>3427</v>
      </c>
      <c r="P2617" s="2" t="s">
        <v>977</v>
      </c>
      <c r="Q2617" s="2" t="s">
        <v>540</v>
      </c>
      <c r="R2617" s="2" t="s">
        <v>2519</v>
      </c>
    </row>
    <row r="2619" spans="1:18" ht="45" x14ac:dyDescent="0.25">
      <c r="A2619" s="19" t="s">
        <v>2672</v>
      </c>
      <c r="B2619" s="19" t="s">
        <v>3809</v>
      </c>
      <c r="C2619" s="19" t="s">
        <v>460</v>
      </c>
      <c r="D2619" s="19" t="s">
        <v>3810</v>
      </c>
      <c r="E2619" s="10" t="s">
        <v>121</v>
      </c>
      <c r="F2619" s="10">
        <v>1</v>
      </c>
      <c r="G2619" s="2" t="s">
        <v>3428</v>
      </c>
    </row>
    <row r="2620" spans="1:18" ht="30" x14ac:dyDescent="0.25">
      <c r="H2620" s="2" t="s">
        <v>3071</v>
      </c>
      <c r="I2620" s="2" t="s">
        <v>30</v>
      </c>
      <c r="J2620" s="3">
        <v>40353</v>
      </c>
      <c r="K2620" s="4"/>
      <c r="L2620" s="4"/>
      <c r="N2620" s="2" t="s">
        <v>974</v>
      </c>
      <c r="Q2620" s="2" t="s">
        <v>540</v>
      </c>
    </row>
    <row r="2621" spans="1:18" ht="30" x14ac:dyDescent="0.25">
      <c r="H2621" s="2" t="s">
        <v>3072</v>
      </c>
      <c r="I2621" s="2" t="s">
        <v>30</v>
      </c>
      <c r="J2621" s="3">
        <v>40353</v>
      </c>
      <c r="K2621" s="4"/>
      <c r="L2621" s="4"/>
      <c r="N2621" s="2" t="s">
        <v>974</v>
      </c>
      <c r="Q2621" s="2" t="s">
        <v>540</v>
      </c>
    </row>
    <row r="2622" spans="1:18" x14ac:dyDescent="0.25">
      <c r="G2622" s="2" t="s">
        <v>3073</v>
      </c>
    </row>
    <row r="2623" spans="1:18" ht="30" x14ac:dyDescent="0.25">
      <c r="H2623" s="2" t="s">
        <v>3074</v>
      </c>
      <c r="I2623" s="2" t="s">
        <v>30</v>
      </c>
      <c r="J2623" s="3">
        <v>40353</v>
      </c>
      <c r="K2623" s="4"/>
      <c r="L2623" s="4"/>
      <c r="M2623" s="2" t="s">
        <v>1682</v>
      </c>
      <c r="N2623" s="2" t="s">
        <v>974</v>
      </c>
      <c r="Q2623" s="2" t="s">
        <v>540</v>
      </c>
    </row>
    <row r="2624" spans="1:18" ht="30" x14ac:dyDescent="0.25">
      <c r="G2624" s="2" t="s">
        <v>3078</v>
      </c>
    </row>
    <row r="2625" spans="1:17" ht="60" x14ac:dyDescent="0.25">
      <c r="H2625" s="2" t="s">
        <v>3079</v>
      </c>
      <c r="I2625" s="2" t="s">
        <v>30</v>
      </c>
      <c r="J2625" s="3">
        <v>40353</v>
      </c>
      <c r="K2625" s="4"/>
      <c r="L2625" s="4"/>
      <c r="M2625" s="2" t="s">
        <v>2456</v>
      </c>
      <c r="N2625" s="2" t="s">
        <v>974</v>
      </c>
      <c r="Q2625" s="2" t="s">
        <v>540</v>
      </c>
    </row>
    <row r="2626" spans="1:17" x14ac:dyDescent="0.25">
      <c r="G2626" s="2" t="s">
        <v>3075</v>
      </c>
    </row>
    <row r="2627" spans="1:17" ht="60" x14ac:dyDescent="0.25">
      <c r="H2627" s="2" t="s">
        <v>3076</v>
      </c>
      <c r="I2627" s="2" t="s">
        <v>30</v>
      </c>
      <c r="J2627" s="3">
        <v>40353</v>
      </c>
      <c r="K2627" s="4"/>
      <c r="L2627" s="4"/>
      <c r="M2627" s="2" t="s">
        <v>1682</v>
      </c>
      <c r="N2627" s="2" t="s">
        <v>974</v>
      </c>
      <c r="Q2627" s="2" t="s">
        <v>540</v>
      </c>
    </row>
    <row r="2628" spans="1:17" ht="45" x14ac:dyDescent="0.25">
      <c r="G2628" s="2" t="s">
        <v>3077</v>
      </c>
    </row>
    <row r="2629" spans="1:17" ht="60" x14ac:dyDescent="0.25">
      <c r="H2629" s="2" t="s">
        <v>3076</v>
      </c>
      <c r="I2629" s="2" t="s">
        <v>30</v>
      </c>
      <c r="J2629" s="3">
        <v>40353</v>
      </c>
      <c r="K2629" s="4"/>
      <c r="L2629" s="4"/>
      <c r="M2629" s="2" t="s">
        <v>1682</v>
      </c>
      <c r="N2629" s="2" t="s">
        <v>974</v>
      </c>
      <c r="Q2629" s="2" t="s">
        <v>540</v>
      </c>
    </row>
    <row r="2630" spans="1:17" ht="180" x14ac:dyDescent="0.25">
      <c r="N2630" s="2" t="s">
        <v>974</v>
      </c>
      <c r="O2630" s="2" t="s">
        <v>2481</v>
      </c>
      <c r="P2630" s="2" t="s">
        <v>977</v>
      </c>
      <c r="Q2630" s="2" t="s">
        <v>540</v>
      </c>
    </row>
    <row r="2631" spans="1:17" ht="186" customHeight="1" x14ac:dyDescent="0.25">
      <c r="N2631" s="2" t="s">
        <v>974</v>
      </c>
      <c r="O2631" s="2" t="s">
        <v>2482</v>
      </c>
      <c r="P2631" s="2" t="s">
        <v>977</v>
      </c>
      <c r="Q2631" s="2" t="s">
        <v>540</v>
      </c>
    </row>
    <row r="2633" spans="1:17" ht="75" x14ac:dyDescent="0.25">
      <c r="A2633" s="19" t="s">
        <v>2673</v>
      </c>
      <c r="B2633" s="19" t="s">
        <v>2518</v>
      </c>
      <c r="C2633" s="19" t="s">
        <v>39</v>
      </c>
      <c r="D2633" s="19" t="s">
        <v>1182</v>
      </c>
      <c r="E2633" s="10" t="s">
        <v>121</v>
      </c>
      <c r="F2633" s="10">
        <v>2</v>
      </c>
      <c r="H2633" s="2" t="s">
        <v>2740</v>
      </c>
      <c r="I2633" s="7" t="s">
        <v>30</v>
      </c>
      <c r="J2633" s="3" t="s">
        <v>33</v>
      </c>
      <c r="K2633" s="7" t="s">
        <v>33</v>
      </c>
      <c r="L2633" s="4"/>
      <c r="M2633" s="2" t="s">
        <v>977</v>
      </c>
      <c r="N2633" s="2" t="s">
        <v>974</v>
      </c>
    </row>
    <row r="2634" spans="1:17" ht="45" x14ac:dyDescent="0.25">
      <c r="F2634" s="10">
        <v>3</v>
      </c>
      <c r="H2634" s="2" t="s">
        <v>3894</v>
      </c>
      <c r="I2634" s="7" t="s">
        <v>30</v>
      </c>
      <c r="J2634" s="3" t="s">
        <v>33</v>
      </c>
      <c r="K2634" s="7" t="s">
        <v>33</v>
      </c>
      <c r="L2634" s="4"/>
      <c r="M2634" s="2" t="s">
        <v>1889</v>
      </c>
      <c r="N2634" s="2" t="s">
        <v>974</v>
      </c>
    </row>
    <row r="2635" spans="1:17" ht="45" x14ac:dyDescent="0.25">
      <c r="F2635" s="10">
        <v>4</v>
      </c>
      <c r="H2635" s="2" t="s">
        <v>3105</v>
      </c>
      <c r="I2635" s="7" t="s">
        <v>30</v>
      </c>
      <c r="J2635" s="3">
        <v>40353</v>
      </c>
      <c r="K2635" s="7" t="s">
        <v>33</v>
      </c>
      <c r="L2635" s="4"/>
      <c r="M2635" s="2" t="s">
        <v>1889</v>
      </c>
      <c r="N2635" s="2" t="s">
        <v>974</v>
      </c>
    </row>
    <row r="2636" spans="1:17" ht="45" x14ac:dyDescent="0.25">
      <c r="F2636" s="10">
        <v>5</v>
      </c>
      <c r="H2636" s="2" t="s">
        <v>3106</v>
      </c>
      <c r="I2636" s="7" t="s">
        <v>30</v>
      </c>
      <c r="J2636" s="3">
        <v>40353</v>
      </c>
      <c r="K2636" s="7" t="s">
        <v>33</v>
      </c>
      <c r="L2636" s="4"/>
      <c r="M2636" s="2" t="s">
        <v>1889</v>
      </c>
      <c r="N2636" s="2" t="s">
        <v>974</v>
      </c>
    </row>
    <row r="2637" spans="1:17" ht="45" x14ac:dyDescent="0.25">
      <c r="F2637" s="10">
        <v>6</v>
      </c>
      <c r="H2637" s="2" t="s">
        <v>3811</v>
      </c>
      <c r="I2637" s="7" t="s">
        <v>30</v>
      </c>
      <c r="J2637" s="3">
        <v>40353</v>
      </c>
      <c r="K2637" s="7" t="s">
        <v>33</v>
      </c>
      <c r="L2637" s="4"/>
      <c r="M2637" s="2" t="s">
        <v>1889</v>
      </c>
      <c r="N2637" s="2" t="s">
        <v>974</v>
      </c>
      <c r="O2637" s="2" t="s">
        <v>3812</v>
      </c>
      <c r="P2637" s="2" t="s">
        <v>977</v>
      </c>
      <c r="Q2637" s="2" t="s">
        <v>540</v>
      </c>
    </row>
    <row r="2638" spans="1:17" ht="165" x14ac:dyDescent="0.25">
      <c r="F2638" s="10">
        <v>7</v>
      </c>
      <c r="H2638" s="2" t="s">
        <v>3720</v>
      </c>
      <c r="I2638" s="7" t="s">
        <v>30</v>
      </c>
      <c r="J2638" s="3">
        <v>40353</v>
      </c>
      <c r="K2638" s="7" t="s">
        <v>33</v>
      </c>
      <c r="L2638" s="4"/>
      <c r="M2638" s="2" t="s">
        <v>977</v>
      </c>
      <c r="N2638" s="2" t="s">
        <v>974</v>
      </c>
    </row>
    <row r="2639" spans="1:17" ht="75" x14ac:dyDescent="0.25">
      <c r="F2639" s="10">
        <v>9</v>
      </c>
      <c r="H2639" s="2" t="s">
        <v>3429</v>
      </c>
      <c r="I2639" s="7" t="s">
        <v>29</v>
      </c>
      <c r="J2639" s="3" t="s">
        <v>33</v>
      </c>
      <c r="K2639" s="7" t="s">
        <v>33</v>
      </c>
      <c r="L2639" s="4"/>
      <c r="M2639" s="2" t="s">
        <v>1889</v>
      </c>
      <c r="N2639" s="2" t="s">
        <v>974</v>
      </c>
      <c r="O2639" s="2" t="s">
        <v>2860</v>
      </c>
      <c r="P2639" s="2" t="s">
        <v>977</v>
      </c>
      <c r="Q2639" s="2" t="s">
        <v>540</v>
      </c>
    </row>
    <row r="2640" spans="1:17" ht="75" x14ac:dyDescent="0.25">
      <c r="F2640" s="10">
        <v>10</v>
      </c>
      <c r="H2640" s="2" t="s">
        <v>2844</v>
      </c>
      <c r="I2640" s="7" t="s">
        <v>29</v>
      </c>
      <c r="J2640" s="3">
        <v>40364</v>
      </c>
      <c r="K2640" s="7" t="s">
        <v>33</v>
      </c>
      <c r="L2640" s="4"/>
      <c r="M2640" s="2" t="s">
        <v>2855</v>
      </c>
      <c r="N2640" s="2" t="s">
        <v>974</v>
      </c>
      <c r="O2640" s="2" t="s">
        <v>3726</v>
      </c>
      <c r="P2640" s="2" t="s">
        <v>977</v>
      </c>
      <c r="Q2640" s="2" t="s">
        <v>540</v>
      </c>
    </row>
    <row r="2641" spans="6:17" ht="45" x14ac:dyDescent="0.25">
      <c r="F2641" s="10">
        <v>11</v>
      </c>
      <c r="H2641" s="2" t="s">
        <v>2845</v>
      </c>
      <c r="I2641" s="2" t="s">
        <v>30</v>
      </c>
      <c r="J2641" s="3" t="s">
        <v>33</v>
      </c>
      <c r="K2641" s="7" t="s">
        <v>33</v>
      </c>
      <c r="L2641" s="4"/>
      <c r="M2641" s="2" t="s">
        <v>977</v>
      </c>
      <c r="N2641" s="2" t="s">
        <v>974</v>
      </c>
    </row>
    <row r="2642" spans="6:17" ht="75" x14ac:dyDescent="0.25">
      <c r="F2642" s="10">
        <v>12</v>
      </c>
      <c r="H2642" s="2" t="s">
        <v>2546</v>
      </c>
      <c r="I2642" s="2" t="s">
        <v>30</v>
      </c>
      <c r="J2642" s="3">
        <v>40364</v>
      </c>
      <c r="K2642" s="7" t="s">
        <v>33</v>
      </c>
      <c r="L2642" s="4"/>
      <c r="M2642" s="2" t="s">
        <v>977</v>
      </c>
      <c r="N2642" s="2" t="s">
        <v>974</v>
      </c>
      <c r="O2642" s="2" t="s">
        <v>2861</v>
      </c>
      <c r="P2642" s="2" t="s">
        <v>977</v>
      </c>
      <c r="Q2642" s="2" t="s">
        <v>540</v>
      </c>
    </row>
    <row r="2643" spans="6:17" ht="45" x14ac:dyDescent="0.25">
      <c r="F2643" s="10">
        <v>13</v>
      </c>
      <c r="H2643" s="2" t="s">
        <v>2547</v>
      </c>
      <c r="I2643" s="2" t="s">
        <v>30</v>
      </c>
      <c r="J2643" s="3">
        <v>40364</v>
      </c>
      <c r="K2643" s="7" t="s">
        <v>33</v>
      </c>
      <c r="L2643" s="4"/>
      <c r="M2643" s="2" t="s">
        <v>977</v>
      </c>
      <c r="N2643" s="2" t="s">
        <v>974</v>
      </c>
      <c r="Q2643" s="2" t="s">
        <v>540</v>
      </c>
    </row>
    <row r="2644" spans="6:17" ht="225" x14ac:dyDescent="0.25">
      <c r="F2644" s="10">
        <v>14</v>
      </c>
      <c r="H2644" s="2" t="s">
        <v>2548</v>
      </c>
      <c r="I2644" s="2" t="s">
        <v>30</v>
      </c>
      <c r="J2644" s="3" t="s">
        <v>33</v>
      </c>
      <c r="K2644" s="7" t="s">
        <v>33</v>
      </c>
      <c r="L2644" s="4"/>
      <c r="M2644" s="2" t="s">
        <v>3813</v>
      </c>
      <c r="N2644" s="2" t="s">
        <v>974</v>
      </c>
      <c r="O2644" s="2" t="s">
        <v>2862</v>
      </c>
      <c r="Q2644" s="2" t="s">
        <v>540</v>
      </c>
    </row>
    <row r="2645" spans="6:17" ht="120" x14ac:dyDescent="0.25">
      <c r="F2645" s="10">
        <v>15</v>
      </c>
      <c r="H2645" s="2" t="s">
        <v>2846</v>
      </c>
      <c r="I2645" s="2" t="s">
        <v>30</v>
      </c>
      <c r="J2645" s="3" t="s">
        <v>33</v>
      </c>
      <c r="K2645" s="7" t="s">
        <v>33</v>
      </c>
      <c r="L2645" s="4"/>
      <c r="M2645" s="2" t="s">
        <v>977</v>
      </c>
      <c r="N2645" s="2" t="s">
        <v>974</v>
      </c>
    </row>
    <row r="2646" spans="6:17" ht="75" x14ac:dyDescent="0.25">
      <c r="F2646" s="10">
        <v>16</v>
      </c>
      <c r="H2646" s="2" t="s">
        <v>2554</v>
      </c>
      <c r="I2646" s="2" t="s">
        <v>30</v>
      </c>
      <c r="J2646" s="3" t="s">
        <v>33</v>
      </c>
      <c r="K2646" s="7" t="s">
        <v>33</v>
      </c>
      <c r="L2646" s="4"/>
      <c r="M2646" s="2" t="s">
        <v>977</v>
      </c>
      <c r="N2646" s="2" t="s">
        <v>974</v>
      </c>
      <c r="O2646" s="2" t="s">
        <v>2863</v>
      </c>
      <c r="P2646" s="2" t="s">
        <v>977</v>
      </c>
      <c r="Q2646" s="2" t="s">
        <v>540</v>
      </c>
    </row>
    <row r="2647" spans="6:17" ht="45" x14ac:dyDescent="0.25">
      <c r="F2647" s="10">
        <v>17</v>
      </c>
      <c r="H2647" s="2" t="s">
        <v>2606</v>
      </c>
      <c r="I2647" s="2" t="s">
        <v>29</v>
      </c>
      <c r="J2647" s="3" t="s">
        <v>33</v>
      </c>
      <c r="K2647" s="7" t="s">
        <v>33</v>
      </c>
      <c r="L2647" s="4"/>
      <c r="M2647" s="2" t="s">
        <v>980</v>
      </c>
      <c r="N2647" s="2" t="s">
        <v>974</v>
      </c>
      <c r="O2647" s="2" t="s">
        <v>2864</v>
      </c>
      <c r="P2647" s="2" t="s">
        <v>977</v>
      </c>
      <c r="Q2647" s="2" t="s">
        <v>540</v>
      </c>
    </row>
    <row r="2648" spans="6:17" ht="45" x14ac:dyDescent="0.25">
      <c r="F2648" s="10">
        <v>18</v>
      </c>
      <c r="H2648" s="2" t="s">
        <v>3388</v>
      </c>
      <c r="I2648" s="2" t="s">
        <v>30</v>
      </c>
      <c r="J2648" s="3" t="s">
        <v>33</v>
      </c>
      <c r="K2648" s="7" t="s">
        <v>33</v>
      </c>
      <c r="L2648" s="4"/>
      <c r="M2648" s="2" t="s">
        <v>2854</v>
      </c>
      <c r="N2648" s="2" t="s">
        <v>974</v>
      </c>
      <c r="O2648" s="2" t="s">
        <v>2853</v>
      </c>
    </row>
    <row r="2649" spans="6:17" ht="60" x14ac:dyDescent="0.25">
      <c r="F2649" s="10">
        <v>20</v>
      </c>
      <c r="H2649" s="2" t="s">
        <v>2819</v>
      </c>
      <c r="I2649" s="2" t="s">
        <v>30</v>
      </c>
      <c r="J2649" s="3" t="s">
        <v>33</v>
      </c>
      <c r="K2649" s="7" t="s">
        <v>33</v>
      </c>
      <c r="L2649" s="4"/>
      <c r="M2649" s="2" t="s">
        <v>980</v>
      </c>
      <c r="N2649" s="2" t="s">
        <v>974</v>
      </c>
    </row>
    <row r="2650" spans="6:17" ht="60" x14ac:dyDescent="0.25">
      <c r="F2650" s="10">
        <v>21</v>
      </c>
      <c r="H2650" s="2" t="s">
        <v>2826</v>
      </c>
      <c r="I2650" s="2" t="s">
        <v>30</v>
      </c>
      <c r="J2650" s="3" t="s">
        <v>33</v>
      </c>
      <c r="K2650" s="7" t="s">
        <v>33</v>
      </c>
      <c r="L2650" s="4"/>
      <c r="M2650" s="2" t="s">
        <v>2858</v>
      </c>
      <c r="N2650" s="2" t="s">
        <v>974</v>
      </c>
      <c r="O2650" s="2" t="s">
        <v>2866</v>
      </c>
      <c r="P2650" s="2" t="s">
        <v>977</v>
      </c>
      <c r="Q2650" s="2" t="s">
        <v>540</v>
      </c>
    </row>
    <row r="2651" spans="6:17" ht="120" x14ac:dyDescent="0.25">
      <c r="F2651" s="10">
        <v>22</v>
      </c>
      <c r="H2651" s="2" t="s">
        <v>2850</v>
      </c>
      <c r="I2651" s="2" t="s">
        <v>30</v>
      </c>
      <c r="J2651" s="3" t="s">
        <v>33</v>
      </c>
      <c r="K2651" s="7" t="s">
        <v>33</v>
      </c>
      <c r="L2651" s="4"/>
      <c r="M2651" s="2" t="s">
        <v>2856</v>
      </c>
      <c r="N2651" s="2" t="s">
        <v>974</v>
      </c>
      <c r="O2651" s="2" t="s">
        <v>2865</v>
      </c>
      <c r="P2651" s="2" t="s">
        <v>977</v>
      </c>
      <c r="Q2651" s="2" t="s">
        <v>540</v>
      </c>
    </row>
    <row r="2652" spans="6:17" ht="90" x14ac:dyDescent="0.25">
      <c r="F2652" s="10">
        <v>23</v>
      </c>
      <c r="H2652" s="2" t="s">
        <v>3814</v>
      </c>
      <c r="I2652" s="2" t="s">
        <v>30</v>
      </c>
      <c r="J2652" s="3" t="s">
        <v>33</v>
      </c>
      <c r="K2652" s="7" t="s">
        <v>33</v>
      </c>
      <c r="L2652" s="4"/>
      <c r="M2652" s="2" t="s">
        <v>980</v>
      </c>
      <c r="N2652" s="2" t="s">
        <v>974</v>
      </c>
    </row>
    <row r="2653" spans="6:17" ht="75" x14ac:dyDescent="0.25">
      <c r="F2653" s="10">
        <v>24</v>
      </c>
      <c r="H2653" s="2" t="s">
        <v>2859</v>
      </c>
      <c r="I2653" s="2" t="s">
        <v>29</v>
      </c>
      <c r="J2653" s="3" t="s">
        <v>33</v>
      </c>
      <c r="K2653" s="7" t="s">
        <v>33</v>
      </c>
      <c r="L2653" s="4"/>
      <c r="M2653" s="2" t="s">
        <v>977</v>
      </c>
      <c r="N2653" s="2" t="s">
        <v>974</v>
      </c>
    </row>
    <row r="2654" spans="6:17" ht="135" x14ac:dyDescent="0.25">
      <c r="F2654" s="10">
        <v>25</v>
      </c>
      <c r="H2654" s="2" t="s">
        <v>3721</v>
      </c>
      <c r="I2654" s="2" t="s">
        <v>29</v>
      </c>
      <c r="J2654" s="3" t="s">
        <v>33</v>
      </c>
      <c r="K2654" s="7" t="s">
        <v>33</v>
      </c>
      <c r="L2654" s="4"/>
      <c r="M2654" s="2" t="s">
        <v>977</v>
      </c>
      <c r="N2654" s="2" t="s">
        <v>974</v>
      </c>
      <c r="O2654" s="2" t="s">
        <v>2975</v>
      </c>
      <c r="Q2654" s="2" t="s">
        <v>540</v>
      </c>
    </row>
    <row r="2655" spans="6:17" ht="45" x14ac:dyDescent="0.25">
      <c r="F2655" s="10">
        <v>26</v>
      </c>
      <c r="H2655" s="2" t="s">
        <v>2869</v>
      </c>
      <c r="I2655" s="2" t="s">
        <v>29</v>
      </c>
      <c r="J2655" s="3" t="s">
        <v>33</v>
      </c>
      <c r="K2655" s="7" t="s">
        <v>33</v>
      </c>
      <c r="L2655" s="4"/>
      <c r="M2655" s="2" t="s">
        <v>977</v>
      </c>
      <c r="N2655" s="2" t="s">
        <v>974</v>
      </c>
    </row>
    <row r="2656" spans="6:17" ht="60" x14ac:dyDescent="0.25">
      <c r="F2656" s="10">
        <v>27</v>
      </c>
      <c r="H2656" s="2" t="s">
        <v>2916</v>
      </c>
      <c r="I2656" s="2" t="s">
        <v>30</v>
      </c>
      <c r="J2656" s="3" t="s">
        <v>33</v>
      </c>
      <c r="K2656" s="7" t="s">
        <v>33</v>
      </c>
      <c r="L2656" s="4"/>
      <c r="M2656" s="2" t="s">
        <v>977</v>
      </c>
      <c r="N2656" s="2" t="s">
        <v>974</v>
      </c>
      <c r="O2656" s="2" t="s">
        <v>2973</v>
      </c>
      <c r="Q2656" s="2" t="s">
        <v>540</v>
      </c>
    </row>
    <row r="2657" spans="1:14" ht="90" x14ac:dyDescent="0.25">
      <c r="F2657" s="10">
        <v>28</v>
      </c>
      <c r="H2657" s="2" t="s">
        <v>2917</v>
      </c>
      <c r="I2657" s="2" t="s">
        <v>30</v>
      </c>
      <c r="J2657" s="3" t="s">
        <v>33</v>
      </c>
      <c r="K2657" s="7" t="s">
        <v>33</v>
      </c>
      <c r="L2657" s="4"/>
      <c r="M2657" s="2" t="s">
        <v>977</v>
      </c>
      <c r="N2657" s="2" t="s">
        <v>974</v>
      </c>
    </row>
    <row r="2658" spans="1:14" ht="45" x14ac:dyDescent="0.25">
      <c r="F2658" s="10">
        <v>29</v>
      </c>
      <c r="H2658" s="2" t="s">
        <v>2920</v>
      </c>
      <c r="I2658" s="2" t="s">
        <v>30</v>
      </c>
      <c r="J2658" s="3" t="s">
        <v>33</v>
      </c>
      <c r="K2658" s="7" t="s">
        <v>33</v>
      </c>
      <c r="L2658" s="4"/>
      <c r="M2658" s="2" t="s">
        <v>977</v>
      </c>
      <c r="N2658" s="2" t="s">
        <v>974</v>
      </c>
    </row>
    <row r="2659" spans="1:14" ht="30" x14ac:dyDescent="0.25">
      <c r="F2659" s="10">
        <v>30</v>
      </c>
      <c r="H2659" s="2" t="s">
        <v>2922</v>
      </c>
      <c r="I2659" s="2" t="s">
        <v>30</v>
      </c>
      <c r="J2659" s="3" t="s">
        <v>33</v>
      </c>
      <c r="K2659" s="7" t="s">
        <v>33</v>
      </c>
      <c r="L2659" s="4"/>
      <c r="M2659" s="2" t="s">
        <v>977</v>
      </c>
      <c r="N2659" s="2" t="s">
        <v>974</v>
      </c>
    </row>
    <row r="2660" spans="1:14" ht="60" x14ac:dyDescent="0.25">
      <c r="F2660" s="10">
        <v>31</v>
      </c>
      <c r="H2660" s="2" t="s">
        <v>3430</v>
      </c>
      <c r="I2660" s="2" t="s">
        <v>30</v>
      </c>
      <c r="J2660" s="3" t="s">
        <v>33</v>
      </c>
      <c r="K2660" s="7" t="s">
        <v>33</v>
      </c>
      <c r="L2660" s="4"/>
      <c r="M2660" s="2" t="s">
        <v>977</v>
      </c>
      <c r="N2660" s="2" t="s">
        <v>974</v>
      </c>
    </row>
    <row r="2661" spans="1:14" ht="45" x14ac:dyDescent="0.25">
      <c r="F2661" s="10">
        <v>32</v>
      </c>
      <c r="H2661" s="2" t="s">
        <v>2923</v>
      </c>
      <c r="I2661" s="2" t="s">
        <v>30</v>
      </c>
      <c r="J2661" s="3" t="s">
        <v>33</v>
      </c>
      <c r="K2661" s="7" t="s">
        <v>33</v>
      </c>
      <c r="L2661" s="4"/>
      <c r="M2661" s="2" t="s">
        <v>977</v>
      </c>
      <c r="N2661" s="2" t="s">
        <v>974</v>
      </c>
    </row>
    <row r="2662" spans="1:14" ht="60" x14ac:dyDescent="0.25">
      <c r="F2662" s="10">
        <v>33</v>
      </c>
      <c r="H2662" s="2" t="s">
        <v>2924</v>
      </c>
      <c r="I2662" s="2" t="s">
        <v>30</v>
      </c>
      <c r="J2662" s="3" t="s">
        <v>33</v>
      </c>
      <c r="K2662" s="7" t="s">
        <v>33</v>
      </c>
      <c r="L2662" s="4"/>
      <c r="M2662" s="2" t="s">
        <v>977</v>
      </c>
      <c r="N2662" s="2" t="s">
        <v>974</v>
      </c>
    </row>
    <row r="2663" spans="1:14" ht="30" x14ac:dyDescent="0.25">
      <c r="F2663" s="10">
        <v>34</v>
      </c>
      <c r="H2663" s="2" t="s">
        <v>2925</v>
      </c>
      <c r="I2663" s="2" t="s">
        <v>30</v>
      </c>
      <c r="J2663" s="3" t="s">
        <v>33</v>
      </c>
      <c r="K2663" s="7" t="s">
        <v>33</v>
      </c>
      <c r="L2663" s="4"/>
      <c r="M2663" s="2" t="s">
        <v>977</v>
      </c>
      <c r="N2663" s="2" t="s">
        <v>974</v>
      </c>
    </row>
    <row r="2664" spans="1:14" ht="45" x14ac:dyDescent="0.25">
      <c r="F2664" s="10">
        <v>35</v>
      </c>
      <c r="H2664" s="2" t="s">
        <v>2926</v>
      </c>
      <c r="I2664" s="2" t="s">
        <v>29</v>
      </c>
      <c r="J2664" s="3" t="s">
        <v>33</v>
      </c>
      <c r="K2664" s="7" t="s">
        <v>33</v>
      </c>
      <c r="L2664" s="7" t="s">
        <v>2933</v>
      </c>
      <c r="M2664" s="2" t="s">
        <v>3431</v>
      </c>
      <c r="N2664" s="2" t="s">
        <v>974</v>
      </c>
    </row>
    <row r="2665" spans="1:14" ht="30" x14ac:dyDescent="0.25">
      <c r="F2665" s="10">
        <v>36</v>
      </c>
      <c r="H2665" s="2" t="s">
        <v>2929</v>
      </c>
      <c r="I2665" s="2" t="s">
        <v>29</v>
      </c>
      <c r="J2665" s="3" t="s">
        <v>33</v>
      </c>
      <c r="K2665" s="7" t="s">
        <v>33</v>
      </c>
      <c r="L2665" s="4"/>
      <c r="M2665" s="2" t="s">
        <v>977</v>
      </c>
      <c r="N2665" s="2" t="s">
        <v>974</v>
      </c>
    </row>
    <row r="2666" spans="1:14" ht="45" x14ac:dyDescent="0.25">
      <c r="F2666" s="10">
        <v>40</v>
      </c>
      <c r="H2666" s="2" t="s">
        <v>2947</v>
      </c>
      <c r="I2666" s="2" t="s">
        <v>29</v>
      </c>
      <c r="J2666" s="3" t="s">
        <v>33</v>
      </c>
      <c r="K2666" s="7" t="s">
        <v>33</v>
      </c>
      <c r="L2666" s="4" t="s">
        <v>474</v>
      </c>
      <c r="M2666" s="2" t="s">
        <v>977</v>
      </c>
      <c r="N2666" s="2" t="s">
        <v>974</v>
      </c>
    </row>
    <row r="2667" spans="1:14" x14ac:dyDescent="0.25">
      <c r="A2667" s="2"/>
      <c r="B2667" s="2"/>
      <c r="C2667" s="2"/>
      <c r="D2667" s="2"/>
    </row>
    <row r="2668" spans="1:14" ht="60" x14ac:dyDescent="0.25">
      <c r="A2668" s="19" t="s">
        <v>2678</v>
      </c>
      <c r="B2668" s="19" t="s">
        <v>2974</v>
      </c>
      <c r="C2668" s="19" t="s">
        <v>39</v>
      </c>
      <c r="D2668" s="19" t="s">
        <v>1182</v>
      </c>
      <c r="E2668" s="10" t="s">
        <v>121</v>
      </c>
      <c r="F2668" s="10">
        <v>1</v>
      </c>
      <c r="H2668" s="2" t="s">
        <v>2723</v>
      </c>
      <c r="I2668" s="7" t="s">
        <v>30</v>
      </c>
      <c r="J2668" s="3" t="s">
        <v>33</v>
      </c>
      <c r="K2668" s="7" t="s">
        <v>33</v>
      </c>
      <c r="L2668" s="4"/>
      <c r="M2668" s="2" t="s">
        <v>977</v>
      </c>
    </row>
    <row r="2669" spans="1:14" ht="30" x14ac:dyDescent="0.25">
      <c r="F2669" s="10">
        <v>2</v>
      </c>
      <c r="H2669" s="2" t="s">
        <v>2931</v>
      </c>
      <c r="I2669" s="2" t="s">
        <v>29</v>
      </c>
      <c r="J2669" s="3" t="s">
        <v>33</v>
      </c>
      <c r="K2669" s="7" t="s">
        <v>33</v>
      </c>
      <c r="L2669" s="4"/>
      <c r="M2669" s="2" t="s">
        <v>977</v>
      </c>
    </row>
    <row r="2670" spans="1:14" ht="45" x14ac:dyDescent="0.25">
      <c r="F2670" s="10">
        <v>3</v>
      </c>
      <c r="H2670" s="2" t="s">
        <v>2934</v>
      </c>
      <c r="I2670" s="2" t="s">
        <v>29</v>
      </c>
      <c r="J2670" s="3" t="s">
        <v>33</v>
      </c>
      <c r="K2670" s="7" t="s">
        <v>33</v>
      </c>
      <c r="L2670" s="4"/>
      <c r="M2670" s="2" t="s">
        <v>977</v>
      </c>
    </row>
    <row r="2671" spans="1:14" ht="45" x14ac:dyDescent="0.25">
      <c r="F2671" s="10">
        <v>4</v>
      </c>
      <c r="H2671" s="2" t="s">
        <v>2972</v>
      </c>
      <c r="I2671" s="2" t="s">
        <v>29</v>
      </c>
      <c r="J2671" s="3" t="s">
        <v>33</v>
      </c>
      <c r="K2671" s="7" t="s">
        <v>33</v>
      </c>
      <c r="L2671" s="4"/>
      <c r="M2671" s="2" t="s">
        <v>977</v>
      </c>
    </row>
    <row r="2672" spans="1:14" ht="30" x14ac:dyDescent="0.25">
      <c r="F2672" s="10">
        <v>5</v>
      </c>
      <c r="H2672" s="2" t="s">
        <v>2977</v>
      </c>
      <c r="I2672" s="2" t="s">
        <v>29</v>
      </c>
      <c r="J2672" s="3" t="s">
        <v>33</v>
      </c>
      <c r="K2672" s="7" t="s">
        <v>33</v>
      </c>
      <c r="L2672" s="4"/>
      <c r="M2672" s="2" t="s">
        <v>977</v>
      </c>
    </row>
    <row r="2674" spans="1:18" ht="90" x14ac:dyDescent="0.25">
      <c r="A2674" s="19" t="s">
        <v>2674</v>
      </c>
      <c r="B2674" s="19" t="s">
        <v>2544</v>
      </c>
      <c r="C2674" s="19" t="s">
        <v>1321</v>
      </c>
      <c r="D2674" s="19" t="s">
        <v>2415</v>
      </c>
      <c r="E2674" s="10" t="s">
        <v>121</v>
      </c>
      <c r="F2674" s="10">
        <v>1</v>
      </c>
      <c r="H2674" s="2" t="s">
        <v>2545</v>
      </c>
      <c r="I2674" s="2" t="s">
        <v>30</v>
      </c>
      <c r="J2674" s="2" t="s">
        <v>33</v>
      </c>
      <c r="K2674" s="7" t="s">
        <v>33</v>
      </c>
      <c r="L2674" s="4"/>
      <c r="M2674" s="2" t="s">
        <v>982</v>
      </c>
      <c r="N2674" s="2" t="s">
        <v>974</v>
      </c>
      <c r="Q2674" s="2" t="s">
        <v>540</v>
      </c>
    </row>
    <row r="2675" spans="1:18" ht="75" x14ac:dyDescent="0.25">
      <c r="F2675" s="10">
        <v>2</v>
      </c>
      <c r="H2675" s="2" t="s">
        <v>2557</v>
      </c>
      <c r="I2675" s="2" t="s">
        <v>30</v>
      </c>
      <c r="J2675" s="2" t="s">
        <v>33</v>
      </c>
      <c r="K2675" s="7" t="s">
        <v>33</v>
      </c>
      <c r="L2675" s="4"/>
      <c r="M2675" s="7" t="s">
        <v>980</v>
      </c>
      <c r="N2675" s="2" t="s">
        <v>974</v>
      </c>
      <c r="O2675" s="2" t="s">
        <v>2830</v>
      </c>
      <c r="Q2675" s="2" t="s">
        <v>986</v>
      </c>
      <c r="R2675" s="2" t="s">
        <v>2847</v>
      </c>
    </row>
    <row r="2676" spans="1:18" ht="60" x14ac:dyDescent="0.25">
      <c r="F2676" s="10">
        <v>3</v>
      </c>
      <c r="H2676" s="2" t="s">
        <v>2552</v>
      </c>
      <c r="I2676" s="2" t="s">
        <v>30</v>
      </c>
      <c r="J2676" s="2" t="s">
        <v>33</v>
      </c>
      <c r="K2676" s="7" t="s">
        <v>33</v>
      </c>
      <c r="L2676" s="4"/>
      <c r="M2676" s="7" t="s">
        <v>980</v>
      </c>
      <c r="N2676" s="2" t="s">
        <v>974</v>
      </c>
      <c r="Q2676" s="2" t="s">
        <v>540</v>
      </c>
    </row>
    <row r="2677" spans="1:18" ht="30" x14ac:dyDescent="0.25">
      <c r="F2677" s="10">
        <v>4</v>
      </c>
      <c r="H2677" s="2" t="s">
        <v>2553</v>
      </c>
      <c r="I2677" s="2" t="s">
        <v>30</v>
      </c>
      <c r="J2677" s="2" t="s">
        <v>33</v>
      </c>
      <c r="K2677" s="7" t="s">
        <v>33</v>
      </c>
      <c r="L2677" s="4"/>
      <c r="M2677" s="7" t="s">
        <v>977</v>
      </c>
      <c r="N2677" s="2" t="s">
        <v>974</v>
      </c>
      <c r="O2677" s="2" t="s">
        <v>2831</v>
      </c>
      <c r="Q2677" s="2" t="s">
        <v>540</v>
      </c>
      <c r="R2677" s="2" t="s">
        <v>2848</v>
      </c>
    </row>
    <row r="2678" spans="1:18" ht="60" x14ac:dyDescent="0.25">
      <c r="F2678" s="10">
        <v>5</v>
      </c>
      <c r="H2678" s="2" t="s">
        <v>3895</v>
      </c>
      <c r="I2678" s="2" t="s">
        <v>30</v>
      </c>
      <c r="J2678" s="2" t="s">
        <v>33</v>
      </c>
      <c r="K2678" s="7" t="s">
        <v>33</v>
      </c>
      <c r="L2678" s="4"/>
      <c r="M2678" s="7" t="s">
        <v>980</v>
      </c>
      <c r="N2678" s="2" t="s">
        <v>974</v>
      </c>
      <c r="Q2678" s="2" t="s">
        <v>540</v>
      </c>
    </row>
    <row r="2679" spans="1:18" ht="90" x14ac:dyDescent="0.25">
      <c r="F2679" s="10">
        <v>6</v>
      </c>
      <c r="H2679" s="2" t="s">
        <v>2555</v>
      </c>
      <c r="I2679" s="2" t="s">
        <v>30</v>
      </c>
      <c r="J2679" s="3" t="s">
        <v>33</v>
      </c>
      <c r="K2679" s="7" t="s">
        <v>33</v>
      </c>
      <c r="L2679" s="4"/>
      <c r="M2679" s="7" t="s">
        <v>982</v>
      </c>
      <c r="N2679" s="2" t="s">
        <v>974</v>
      </c>
      <c r="O2679" s="2" t="s">
        <v>2825</v>
      </c>
      <c r="Q2679" s="2" t="s">
        <v>540</v>
      </c>
      <c r="R2679" s="2" t="s">
        <v>2834</v>
      </c>
    </row>
    <row r="2680" spans="1:18" ht="30" x14ac:dyDescent="0.25">
      <c r="F2680" s="10">
        <v>7</v>
      </c>
      <c r="H2680" s="2" t="s">
        <v>2572</v>
      </c>
      <c r="I2680" s="2" t="s">
        <v>30</v>
      </c>
      <c r="J2680" s="3" t="s">
        <v>33</v>
      </c>
      <c r="K2680" s="7" t="s">
        <v>33</v>
      </c>
      <c r="L2680" s="4"/>
      <c r="M2680" s="7" t="s">
        <v>977</v>
      </c>
      <c r="N2680" s="2" t="s">
        <v>974</v>
      </c>
      <c r="Q2680" s="2" t="s">
        <v>540</v>
      </c>
    </row>
    <row r="2681" spans="1:18" ht="45" x14ac:dyDescent="0.25">
      <c r="F2681" s="10">
        <v>8</v>
      </c>
      <c r="H2681" s="2" t="s">
        <v>2573</v>
      </c>
      <c r="I2681" s="2" t="s">
        <v>30</v>
      </c>
      <c r="J2681" s="3" t="s">
        <v>33</v>
      </c>
      <c r="K2681" s="7" t="s">
        <v>33</v>
      </c>
      <c r="L2681" s="4"/>
      <c r="M2681" s="7" t="s">
        <v>977</v>
      </c>
      <c r="N2681" s="2" t="s">
        <v>974</v>
      </c>
      <c r="Q2681" s="2" t="s">
        <v>540</v>
      </c>
    </row>
    <row r="2682" spans="1:18" ht="30" x14ac:dyDescent="0.25">
      <c r="F2682" s="10">
        <v>9</v>
      </c>
      <c r="H2682" s="2" t="s">
        <v>3846</v>
      </c>
      <c r="I2682" s="2" t="s">
        <v>30</v>
      </c>
      <c r="J2682" s="2" t="s">
        <v>33</v>
      </c>
      <c r="K2682" s="7" t="s">
        <v>33</v>
      </c>
      <c r="L2682" s="4"/>
      <c r="M2682" s="7" t="s">
        <v>980</v>
      </c>
      <c r="N2682" s="2" t="s">
        <v>974</v>
      </c>
      <c r="O2682" s="2" t="s">
        <v>2832</v>
      </c>
      <c r="Q2682" s="2" t="s">
        <v>540</v>
      </c>
    </row>
    <row r="2683" spans="1:18" ht="60" x14ac:dyDescent="0.25">
      <c r="F2683" s="10">
        <v>10</v>
      </c>
      <c r="H2683" s="2" t="s">
        <v>2574</v>
      </c>
      <c r="I2683" s="2" t="s">
        <v>30</v>
      </c>
      <c r="J2683" s="3" t="s">
        <v>33</v>
      </c>
      <c r="K2683" s="7" t="s">
        <v>33</v>
      </c>
      <c r="L2683" s="4"/>
      <c r="M2683" s="2" t="s">
        <v>977</v>
      </c>
      <c r="N2683" s="2" t="s">
        <v>974</v>
      </c>
      <c r="O2683" s="2" t="s">
        <v>2833</v>
      </c>
      <c r="Q2683" s="2" t="s">
        <v>540</v>
      </c>
      <c r="R2683" s="2" t="s">
        <v>2849</v>
      </c>
    </row>
    <row r="2684" spans="1:18" ht="60" x14ac:dyDescent="0.25">
      <c r="F2684" s="10">
        <v>11</v>
      </c>
      <c r="H2684" s="2" t="s">
        <v>3762</v>
      </c>
      <c r="I2684" s="2" t="s">
        <v>30</v>
      </c>
      <c r="J2684" s="3" t="s">
        <v>33</v>
      </c>
      <c r="K2684" s="7" t="s">
        <v>33</v>
      </c>
      <c r="L2684" s="4"/>
      <c r="M2684" s="7" t="s">
        <v>982</v>
      </c>
      <c r="N2684" s="2" t="s">
        <v>974</v>
      </c>
      <c r="Q2684" s="2" t="s">
        <v>540</v>
      </c>
      <c r="R2684" s="2" t="s">
        <v>2867</v>
      </c>
    </row>
    <row r="2685" spans="1:18" ht="135" x14ac:dyDescent="0.25">
      <c r="F2685" s="10">
        <v>12</v>
      </c>
      <c r="H2685" s="2" t="s">
        <v>2575</v>
      </c>
      <c r="I2685" s="2" t="s">
        <v>30</v>
      </c>
      <c r="J2685" s="3" t="s">
        <v>33</v>
      </c>
      <c r="K2685" s="7" t="s">
        <v>33</v>
      </c>
      <c r="L2685" s="4"/>
      <c r="M2685" s="2" t="s">
        <v>977</v>
      </c>
      <c r="N2685" s="2" t="s">
        <v>974</v>
      </c>
      <c r="Q2685" s="2" t="s">
        <v>540</v>
      </c>
    </row>
    <row r="2686" spans="1:18" ht="30" x14ac:dyDescent="0.25">
      <c r="F2686" s="10">
        <v>14</v>
      </c>
      <c r="H2686" s="2" t="s">
        <v>2612</v>
      </c>
      <c r="I2686" s="2" t="s">
        <v>30</v>
      </c>
      <c r="J2686" s="3" t="s">
        <v>33</v>
      </c>
      <c r="K2686" s="7" t="s">
        <v>33</v>
      </c>
      <c r="L2686" s="4"/>
      <c r="M2686" s="7" t="s">
        <v>980</v>
      </c>
      <c r="N2686" s="2" t="s">
        <v>974</v>
      </c>
      <c r="Q2686" s="2" t="s">
        <v>540</v>
      </c>
    </row>
    <row r="2687" spans="1:18" ht="135" x14ac:dyDescent="0.25">
      <c r="F2687" s="10">
        <v>26</v>
      </c>
      <c r="H2687" s="2" t="s">
        <v>2528</v>
      </c>
      <c r="I2687" s="2" t="s">
        <v>33</v>
      </c>
      <c r="J2687" s="2" t="s">
        <v>33</v>
      </c>
      <c r="K2687" s="2" t="s">
        <v>33</v>
      </c>
      <c r="L2687" s="4"/>
      <c r="M2687" s="2" t="s">
        <v>977</v>
      </c>
      <c r="N2687" s="2" t="s">
        <v>974</v>
      </c>
      <c r="O2687" s="2" t="s">
        <v>2533</v>
      </c>
      <c r="Q2687" s="2" t="s">
        <v>540</v>
      </c>
      <c r="R2687" s="2" t="s">
        <v>2872</v>
      </c>
    </row>
    <row r="2688" spans="1:18" ht="60" x14ac:dyDescent="0.25">
      <c r="F2688" s="10">
        <v>28</v>
      </c>
      <c r="H2688" s="2" t="s">
        <v>3839</v>
      </c>
      <c r="I2688" s="2" t="s">
        <v>33</v>
      </c>
      <c r="J2688" s="2" t="s">
        <v>33</v>
      </c>
      <c r="K2688" s="2" t="s">
        <v>33</v>
      </c>
      <c r="L2688" s="4"/>
      <c r="M2688" s="7" t="s">
        <v>1889</v>
      </c>
      <c r="N2688" s="2" t="s">
        <v>974</v>
      </c>
      <c r="Q2688" s="2" t="s">
        <v>540</v>
      </c>
    </row>
    <row r="2689" spans="1:18" ht="45" x14ac:dyDescent="0.25">
      <c r="F2689" s="10">
        <v>30</v>
      </c>
      <c r="H2689" s="2" t="s">
        <v>3732</v>
      </c>
      <c r="I2689" s="2" t="s">
        <v>33</v>
      </c>
      <c r="J2689" s="2" t="s">
        <v>33</v>
      </c>
      <c r="K2689" s="2" t="s">
        <v>33</v>
      </c>
      <c r="L2689" s="4"/>
      <c r="M2689" s="2" t="s">
        <v>977</v>
      </c>
      <c r="N2689" s="2" t="s">
        <v>974</v>
      </c>
      <c r="Q2689" s="2" t="s">
        <v>540</v>
      </c>
    </row>
    <row r="2690" spans="1:18" ht="45" x14ac:dyDescent="0.25">
      <c r="F2690" s="10">
        <v>32</v>
      </c>
      <c r="H2690" s="2" t="s">
        <v>3432</v>
      </c>
      <c r="K2690" s="2"/>
      <c r="L2690" s="4"/>
      <c r="M2690" s="7" t="s">
        <v>982</v>
      </c>
      <c r="N2690" s="2" t="s">
        <v>974</v>
      </c>
      <c r="O2690" s="2" t="s">
        <v>2852</v>
      </c>
      <c r="Q2690" s="2" t="s">
        <v>540</v>
      </c>
    </row>
    <row r="2691" spans="1:18" ht="60" x14ac:dyDescent="0.25">
      <c r="F2691" s="10">
        <v>37</v>
      </c>
      <c r="H2691" s="2" t="s">
        <v>3815</v>
      </c>
      <c r="I2691" s="2" t="s">
        <v>33</v>
      </c>
      <c r="J2691" s="2" t="s">
        <v>33</v>
      </c>
      <c r="K2691" s="2" t="s">
        <v>33</v>
      </c>
      <c r="L2691" s="4"/>
      <c r="M2691" s="7" t="s">
        <v>980</v>
      </c>
      <c r="N2691" s="2" t="s">
        <v>974</v>
      </c>
      <c r="Q2691" s="2" t="s">
        <v>540</v>
      </c>
    </row>
    <row r="2692" spans="1:18" ht="30" x14ac:dyDescent="0.25">
      <c r="F2692" s="10">
        <v>38</v>
      </c>
      <c r="H2692" s="2" t="s">
        <v>3816</v>
      </c>
      <c r="I2692" s="2" t="s">
        <v>33</v>
      </c>
      <c r="J2692" s="2" t="s">
        <v>33</v>
      </c>
      <c r="K2692" s="2" t="s">
        <v>33</v>
      </c>
      <c r="L2692" s="4"/>
      <c r="M2692" s="7" t="s">
        <v>980</v>
      </c>
      <c r="N2692" s="2" t="s">
        <v>974</v>
      </c>
      <c r="Q2692" s="2" t="s">
        <v>540</v>
      </c>
    </row>
    <row r="2693" spans="1:18" ht="75" x14ac:dyDescent="0.25">
      <c r="F2693" s="10">
        <v>39</v>
      </c>
      <c r="H2693" s="2" t="s">
        <v>2870</v>
      </c>
      <c r="I2693" s="2" t="s">
        <v>33</v>
      </c>
      <c r="J2693" s="2" t="s">
        <v>33</v>
      </c>
      <c r="K2693" s="2" t="s">
        <v>33</v>
      </c>
      <c r="L2693" s="4"/>
      <c r="M2693" s="2" t="s">
        <v>977</v>
      </c>
      <c r="N2693" s="2" t="s">
        <v>974</v>
      </c>
      <c r="Q2693" s="2" t="s">
        <v>540</v>
      </c>
    </row>
    <row r="2694" spans="1:18" ht="90" x14ac:dyDescent="0.25">
      <c r="F2694" s="10">
        <v>43</v>
      </c>
      <c r="H2694" s="2" t="s">
        <v>3433</v>
      </c>
      <c r="I2694" s="2" t="s">
        <v>33</v>
      </c>
      <c r="J2694" s="2" t="s">
        <v>33</v>
      </c>
      <c r="K2694" s="2" t="s">
        <v>33</v>
      </c>
      <c r="L2694" s="4" t="s">
        <v>474</v>
      </c>
      <c r="M2694" s="7" t="s">
        <v>980</v>
      </c>
      <c r="N2694" s="2" t="s">
        <v>974</v>
      </c>
      <c r="Q2694" s="2" t="s">
        <v>540</v>
      </c>
    </row>
    <row r="2695" spans="1:18" ht="150" x14ac:dyDescent="0.25">
      <c r="F2695" s="10">
        <v>44</v>
      </c>
      <c r="H2695" s="2" t="s">
        <v>2919</v>
      </c>
      <c r="I2695" s="2" t="s">
        <v>33</v>
      </c>
      <c r="J2695" s="2" t="s">
        <v>33</v>
      </c>
      <c r="K2695" s="2" t="s">
        <v>33</v>
      </c>
      <c r="L2695" s="4"/>
      <c r="M2695" s="7" t="s">
        <v>980</v>
      </c>
      <c r="N2695" s="2" t="s">
        <v>974</v>
      </c>
      <c r="Q2695" s="2" t="s">
        <v>540</v>
      </c>
    </row>
    <row r="2696" spans="1:18" ht="30" x14ac:dyDescent="0.25">
      <c r="F2696" s="10">
        <v>47</v>
      </c>
      <c r="H2696" s="2" t="s">
        <v>3434</v>
      </c>
      <c r="I2696" s="2" t="s">
        <v>33</v>
      </c>
      <c r="J2696" s="2" t="s">
        <v>33</v>
      </c>
      <c r="K2696" s="2" t="s">
        <v>33</v>
      </c>
      <c r="L2696" s="4"/>
      <c r="M2696" s="2" t="s">
        <v>977</v>
      </c>
      <c r="N2696" s="2" t="s">
        <v>974</v>
      </c>
      <c r="Q2696" s="2" t="s">
        <v>540</v>
      </c>
    </row>
    <row r="2697" spans="1:18" ht="45" x14ac:dyDescent="0.25">
      <c r="F2697" s="10">
        <v>48</v>
      </c>
      <c r="H2697" s="2" t="s">
        <v>3847</v>
      </c>
      <c r="I2697" s="2" t="s">
        <v>33</v>
      </c>
      <c r="J2697" s="2" t="s">
        <v>33</v>
      </c>
      <c r="K2697" s="2" t="s">
        <v>33</v>
      </c>
      <c r="L2697" s="4"/>
      <c r="M2697" s="7" t="s">
        <v>982</v>
      </c>
      <c r="N2697" s="2" t="s">
        <v>974</v>
      </c>
      <c r="Q2697" s="2" t="s">
        <v>540</v>
      </c>
      <c r="R2697" s="2" t="s">
        <v>2962</v>
      </c>
    </row>
    <row r="2698" spans="1:18" ht="120" x14ac:dyDescent="0.25">
      <c r="F2698" s="10">
        <v>50</v>
      </c>
      <c r="H2698" s="2" t="s">
        <v>2971</v>
      </c>
      <c r="K2698" s="2"/>
      <c r="L2698" s="4" t="s">
        <v>474</v>
      </c>
      <c r="N2698" s="2" t="s">
        <v>974</v>
      </c>
      <c r="Q2698" s="2" t="s">
        <v>540</v>
      </c>
    </row>
    <row r="2699" spans="1:18" ht="30" x14ac:dyDescent="0.25">
      <c r="F2699" s="10">
        <v>51</v>
      </c>
      <c r="H2699" s="2" t="s">
        <v>3389</v>
      </c>
      <c r="I2699" s="2" t="s">
        <v>33</v>
      </c>
      <c r="J2699" s="5">
        <v>40361</v>
      </c>
      <c r="K2699" s="2" t="s">
        <v>33</v>
      </c>
      <c r="L2699" s="4"/>
      <c r="M2699" s="7" t="s">
        <v>982</v>
      </c>
      <c r="N2699" s="2" t="s">
        <v>974</v>
      </c>
      <c r="O2699" s="2" t="s">
        <v>2804</v>
      </c>
      <c r="Q2699" s="2" t="s">
        <v>540</v>
      </c>
    </row>
    <row r="2700" spans="1:18" ht="105" x14ac:dyDescent="0.25">
      <c r="F2700" s="10">
        <v>52</v>
      </c>
      <c r="H2700" s="2" t="s">
        <v>2851</v>
      </c>
      <c r="I2700" s="2" t="s">
        <v>33</v>
      </c>
      <c r="J2700" s="2" t="s">
        <v>33</v>
      </c>
      <c r="K2700" s="2" t="s">
        <v>33</v>
      </c>
      <c r="L2700" s="4"/>
      <c r="M2700" s="48" t="s">
        <v>980</v>
      </c>
      <c r="N2700" s="2" t="s">
        <v>974</v>
      </c>
      <c r="O2700" s="2" t="s">
        <v>2927</v>
      </c>
      <c r="Q2700" s="2" t="s">
        <v>986</v>
      </c>
      <c r="R2700" s="2" t="s">
        <v>2979</v>
      </c>
    </row>
    <row r="2701" spans="1:18" ht="60" x14ac:dyDescent="0.25">
      <c r="F2701" s="10">
        <v>53</v>
      </c>
      <c r="H2701" s="2" t="s">
        <v>2918</v>
      </c>
      <c r="I2701" s="2" t="s">
        <v>33</v>
      </c>
      <c r="J2701" s="2" t="s">
        <v>33</v>
      </c>
      <c r="K2701" s="2" t="s">
        <v>33</v>
      </c>
      <c r="L2701" s="4"/>
      <c r="M2701" s="7" t="s">
        <v>977</v>
      </c>
      <c r="N2701" s="2" t="s">
        <v>974</v>
      </c>
      <c r="O2701" s="2" t="s">
        <v>2976</v>
      </c>
      <c r="Q2701" s="2" t="s">
        <v>540</v>
      </c>
    </row>
    <row r="2703" spans="1:18" ht="30" x14ac:dyDescent="0.25">
      <c r="A2703" s="19" t="s">
        <v>2679</v>
      </c>
      <c r="B2703" s="19" t="s">
        <v>2978</v>
      </c>
      <c r="C2703" s="19" t="s">
        <v>1321</v>
      </c>
      <c r="D2703" s="19" t="s">
        <v>2415</v>
      </c>
      <c r="E2703" s="10" t="s">
        <v>121</v>
      </c>
      <c r="F2703" s="10">
        <v>1</v>
      </c>
      <c r="H2703" s="2" t="s">
        <v>2827</v>
      </c>
      <c r="I2703" s="2" t="s">
        <v>30</v>
      </c>
      <c r="J2703" s="3" t="s">
        <v>33</v>
      </c>
      <c r="K2703" s="7" t="s">
        <v>33</v>
      </c>
      <c r="L2703" s="4"/>
      <c r="M2703" s="48" t="s">
        <v>980</v>
      </c>
      <c r="N2703" s="2" t="s">
        <v>973</v>
      </c>
      <c r="Q2703" s="2" t="s">
        <v>1394</v>
      </c>
    </row>
    <row r="2704" spans="1:18" ht="150" x14ac:dyDescent="0.25">
      <c r="F2704" s="10">
        <v>2</v>
      </c>
      <c r="H2704" s="2" t="s">
        <v>2427</v>
      </c>
      <c r="I2704" s="2" t="s">
        <v>33</v>
      </c>
      <c r="J2704" s="7" t="s">
        <v>33</v>
      </c>
      <c r="K2704" s="7" t="s">
        <v>33</v>
      </c>
      <c r="L2704" s="4"/>
      <c r="M2704" s="2" t="s">
        <v>977</v>
      </c>
      <c r="N2704" s="2" t="s">
        <v>973</v>
      </c>
      <c r="Q2704" s="2" t="s">
        <v>1394</v>
      </c>
      <c r="R2704" s="2" t="s">
        <v>3081</v>
      </c>
    </row>
    <row r="2705" spans="6:18" ht="135" x14ac:dyDescent="0.25">
      <c r="F2705" s="10">
        <v>3</v>
      </c>
      <c r="H2705" s="2" t="s">
        <v>2725</v>
      </c>
      <c r="I2705" s="2" t="s">
        <v>33</v>
      </c>
      <c r="J2705" s="7" t="s">
        <v>33</v>
      </c>
      <c r="K2705" s="7" t="s">
        <v>33</v>
      </c>
      <c r="L2705" s="4"/>
      <c r="M2705" s="2" t="s">
        <v>2726</v>
      </c>
      <c r="N2705" s="2" t="s">
        <v>973</v>
      </c>
      <c r="Q2705" s="2" t="s">
        <v>1394</v>
      </c>
    </row>
    <row r="2706" spans="6:18" ht="45" x14ac:dyDescent="0.25">
      <c r="F2706" s="10">
        <v>4</v>
      </c>
      <c r="H2706" s="2" t="s">
        <v>3699</v>
      </c>
      <c r="I2706" s="2" t="s">
        <v>33</v>
      </c>
      <c r="J2706" s="7" t="s">
        <v>33</v>
      </c>
      <c r="K2706" s="7" t="s">
        <v>33</v>
      </c>
      <c r="L2706" s="4" t="s">
        <v>474</v>
      </c>
      <c r="M2706" s="2" t="s">
        <v>977</v>
      </c>
      <c r="N2706" s="2" t="s">
        <v>983</v>
      </c>
      <c r="Q2706" s="2" t="s">
        <v>1394</v>
      </c>
    </row>
    <row r="2707" spans="6:18" ht="60" x14ac:dyDescent="0.25">
      <c r="F2707" s="10">
        <v>5</v>
      </c>
      <c r="H2707" s="2" t="s">
        <v>3896</v>
      </c>
      <c r="I2707" s="2" t="s">
        <v>33</v>
      </c>
      <c r="J2707" s="2" t="s">
        <v>33</v>
      </c>
      <c r="K2707" s="2" t="s">
        <v>33</v>
      </c>
      <c r="L2707" s="4"/>
      <c r="M2707" s="2" t="s">
        <v>977</v>
      </c>
      <c r="N2707" s="2" t="s">
        <v>973</v>
      </c>
      <c r="Q2707" s="2" t="s">
        <v>1394</v>
      </c>
    </row>
    <row r="2708" spans="6:18" ht="45" x14ac:dyDescent="0.25">
      <c r="F2708" s="10">
        <v>6</v>
      </c>
      <c r="H2708" s="2" t="s">
        <v>3089</v>
      </c>
      <c r="I2708" s="2" t="s">
        <v>33</v>
      </c>
      <c r="J2708" s="2" t="s">
        <v>33</v>
      </c>
      <c r="K2708" s="2" t="s">
        <v>33</v>
      </c>
      <c r="L2708" s="4" t="s">
        <v>474</v>
      </c>
      <c r="M2708" s="2" t="s">
        <v>977</v>
      </c>
      <c r="N2708" s="2" t="s">
        <v>983</v>
      </c>
      <c r="Q2708" s="2" t="s">
        <v>1394</v>
      </c>
      <c r="R2708" s="2" t="s">
        <v>3435</v>
      </c>
    </row>
    <row r="2709" spans="6:18" ht="45" x14ac:dyDescent="0.25">
      <c r="F2709" s="10">
        <v>7</v>
      </c>
      <c r="H2709" s="2" t="s">
        <v>2458</v>
      </c>
      <c r="I2709" s="2" t="s">
        <v>33</v>
      </c>
      <c r="J2709" s="2" t="s">
        <v>33</v>
      </c>
      <c r="K2709" s="2" t="s">
        <v>33</v>
      </c>
      <c r="L2709" s="4" t="s">
        <v>474</v>
      </c>
      <c r="M2709" s="2" t="s">
        <v>977</v>
      </c>
      <c r="N2709" s="2" t="s">
        <v>974</v>
      </c>
      <c r="Q2709" s="2" t="s">
        <v>540</v>
      </c>
      <c r="R2709" s="2" t="s">
        <v>2485</v>
      </c>
    </row>
    <row r="2710" spans="6:18" ht="105" x14ac:dyDescent="0.25">
      <c r="F2710" s="10">
        <v>8</v>
      </c>
      <c r="H2710" s="2" t="s">
        <v>2460</v>
      </c>
      <c r="I2710" s="2" t="s">
        <v>33</v>
      </c>
      <c r="J2710" s="2" t="s">
        <v>33</v>
      </c>
      <c r="K2710" s="2" t="s">
        <v>33</v>
      </c>
      <c r="L2710" s="4" t="s">
        <v>474</v>
      </c>
      <c r="M2710" s="2" t="s">
        <v>977</v>
      </c>
      <c r="N2710" s="2" t="s">
        <v>974</v>
      </c>
      <c r="Q2710" s="2" t="s">
        <v>540</v>
      </c>
      <c r="R2710" s="2" t="s">
        <v>1457</v>
      </c>
    </row>
    <row r="2711" spans="6:18" ht="60" x14ac:dyDescent="0.25">
      <c r="F2711" s="10">
        <v>9</v>
      </c>
      <c r="H2711" s="2" t="s">
        <v>2616</v>
      </c>
      <c r="I2711" s="2" t="s">
        <v>33</v>
      </c>
      <c r="J2711" s="2" t="s">
        <v>33</v>
      </c>
      <c r="K2711" s="2" t="s">
        <v>33</v>
      </c>
      <c r="L2711" s="4" t="s">
        <v>474</v>
      </c>
      <c r="M2711" s="2" t="s">
        <v>980</v>
      </c>
      <c r="N2711" s="2" t="s">
        <v>974</v>
      </c>
      <c r="Q2711" s="2" t="s">
        <v>540</v>
      </c>
      <c r="R2711" s="2" t="s">
        <v>2510</v>
      </c>
    </row>
    <row r="2712" spans="6:18" ht="45" x14ac:dyDescent="0.25">
      <c r="F2712" s="10">
        <v>10</v>
      </c>
      <c r="H2712" s="2" t="s">
        <v>2615</v>
      </c>
      <c r="I2712" s="2" t="s">
        <v>30</v>
      </c>
      <c r="J2712" s="3" t="s">
        <v>33</v>
      </c>
      <c r="K2712" s="7" t="s">
        <v>33</v>
      </c>
      <c r="L2712" s="4" t="s">
        <v>474</v>
      </c>
      <c r="M2712" s="2" t="s">
        <v>982</v>
      </c>
      <c r="N2712" s="2" t="s">
        <v>974</v>
      </c>
      <c r="Q2712" s="2" t="s">
        <v>540</v>
      </c>
    </row>
    <row r="2713" spans="6:18" ht="75" x14ac:dyDescent="0.25">
      <c r="F2713" s="10">
        <v>11</v>
      </c>
      <c r="H2713" s="2" t="s">
        <v>2525</v>
      </c>
      <c r="I2713" s="2" t="s">
        <v>33</v>
      </c>
      <c r="J2713" s="2" t="s">
        <v>33</v>
      </c>
      <c r="K2713" s="2" t="s">
        <v>33</v>
      </c>
      <c r="L2713" s="4"/>
      <c r="M2713" s="2" t="s">
        <v>977</v>
      </c>
      <c r="N2713" s="2" t="s">
        <v>973</v>
      </c>
      <c r="O2713" s="2" t="s">
        <v>2526</v>
      </c>
      <c r="Q2713" s="2" t="s">
        <v>1394</v>
      </c>
    </row>
    <row r="2714" spans="6:18" ht="60" x14ac:dyDescent="0.25">
      <c r="F2714" s="10">
        <v>12</v>
      </c>
      <c r="H2714" s="2" t="s">
        <v>2527</v>
      </c>
      <c r="I2714" s="2" t="s">
        <v>33</v>
      </c>
      <c r="J2714" s="2" t="s">
        <v>33</v>
      </c>
      <c r="K2714" s="2" t="s">
        <v>33</v>
      </c>
      <c r="L2714" s="4"/>
      <c r="M2714" s="2" t="s">
        <v>977</v>
      </c>
      <c r="N2714" s="2" t="s">
        <v>973</v>
      </c>
      <c r="Q2714" s="2" t="s">
        <v>2172</v>
      </c>
      <c r="R2714" s="2" t="s">
        <v>2537</v>
      </c>
    </row>
    <row r="2715" spans="6:18" ht="60" x14ac:dyDescent="0.25">
      <c r="F2715" s="10">
        <v>13</v>
      </c>
      <c r="H2715" s="2" t="s">
        <v>3436</v>
      </c>
      <c r="I2715" s="2" t="s">
        <v>33</v>
      </c>
      <c r="J2715" s="2" t="s">
        <v>33</v>
      </c>
      <c r="K2715" s="2" t="s">
        <v>33</v>
      </c>
      <c r="L2715" s="4"/>
      <c r="M2715" s="2" t="s">
        <v>977</v>
      </c>
      <c r="N2715" s="2" t="s">
        <v>973</v>
      </c>
      <c r="Q2715" s="2" t="s">
        <v>1394</v>
      </c>
    </row>
    <row r="2716" spans="6:18" ht="75" x14ac:dyDescent="0.25">
      <c r="F2716" s="10">
        <v>14</v>
      </c>
      <c r="H2716" s="2" t="s">
        <v>3437</v>
      </c>
      <c r="I2716" s="2" t="s">
        <v>33</v>
      </c>
      <c r="J2716" s="2" t="s">
        <v>33</v>
      </c>
      <c r="K2716" s="2" t="s">
        <v>33</v>
      </c>
      <c r="L2716" s="4"/>
      <c r="M2716" s="48" t="s">
        <v>980</v>
      </c>
      <c r="N2716" s="2" t="s">
        <v>973</v>
      </c>
      <c r="Q2716" s="2" t="s">
        <v>1394</v>
      </c>
    </row>
    <row r="2717" spans="6:18" ht="75" x14ac:dyDescent="0.25">
      <c r="F2717" s="10">
        <v>15</v>
      </c>
      <c r="H2717" s="2" t="s">
        <v>3897</v>
      </c>
      <c r="I2717" s="2" t="s">
        <v>33</v>
      </c>
      <c r="J2717" s="2" t="s">
        <v>33</v>
      </c>
      <c r="K2717" s="2" t="s">
        <v>33</v>
      </c>
      <c r="L2717" s="4"/>
      <c r="M2717" s="48" t="s">
        <v>980</v>
      </c>
      <c r="N2717" s="2" t="s">
        <v>973</v>
      </c>
      <c r="Q2717" s="2" t="s">
        <v>1394</v>
      </c>
    </row>
    <row r="2718" spans="6:18" ht="75" x14ac:dyDescent="0.25">
      <c r="F2718" s="10">
        <v>16</v>
      </c>
      <c r="H2718" s="2" t="s">
        <v>3438</v>
      </c>
      <c r="I2718" s="2" t="s">
        <v>33</v>
      </c>
      <c r="J2718" s="2" t="s">
        <v>33</v>
      </c>
      <c r="K2718" s="2" t="s">
        <v>33</v>
      </c>
      <c r="L2718" s="4"/>
      <c r="M2718" s="2" t="s">
        <v>977</v>
      </c>
      <c r="N2718" s="2" t="s">
        <v>973</v>
      </c>
      <c r="Q2718" s="2" t="s">
        <v>1394</v>
      </c>
    </row>
    <row r="2719" spans="6:18" ht="30" x14ac:dyDescent="0.25">
      <c r="F2719" s="10">
        <v>17</v>
      </c>
      <c r="H2719" s="2" t="s">
        <v>2857</v>
      </c>
      <c r="I2719" s="2" t="s">
        <v>33</v>
      </c>
      <c r="J2719" s="2" t="s">
        <v>33</v>
      </c>
      <c r="K2719" s="2" t="s">
        <v>33</v>
      </c>
      <c r="L2719" s="4"/>
      <c r="M2719" s="2" t="s">
        <v>977</v>
      </c>
      <c r="N2719" s="2" t="s">
        <v>973</v>
      </c>
      <c r="Q2719" s="2" t="s">
        <v>1394</v>
      </c>
    </row>
    <row r="2720" spans="6:18" ht="45" x14ac:dyDescent="0.25">
      <c r="F2720" s="10">
        <v>18</v>
      </c>
      <c r="H2720" s="2" t="s">
        <v>3840</v>
      </c>
      <c r="I2720" s="2" t="s">
        <v>33</v>
      </c>
      <c r="J2720" s="2" t="s">
        <v>33</v>
      </c>
      <c r="K2720" s="2" t="s">
        <v>33</v>
      </c>
      <c r="L2720" s="4" t="s">
        <v>474</v>
      </c>
      <c r="M2720" s="2" t="s">
        <v>977</v>
      </c>
      <c r="N2720" s="2" t="s">
        <v>983</v>
      </c>
      <c r="Q2720" s="2" t="s">
        <v>1394</v>
      </c>
    </row>
    <row r="2721" spans="1:18" ht="45" x14ac:dyDescent="0.25">
      <c r="F2721" s="10">
        <v>19</v>
      </c>
      <c r="H2721" s="2" t="s">
        <v>2915</v>
      </c>
      <c r="I2721" s="2" t="s">
        <v>33</v>
      </c>
      <c r="J2721" s="2" t="s">
        <v>33</v>
      </c>
      <c r="K2721" s="2" t="s">
        <v>33</v>
      </c>
      <c r="L2721" s="4" t="s">
        <v>474</v>
      </c>
      <c r="M2721" s="2" t="s">
        <v>977</v>
      </c>
      <c r="N2721" s="2" t="s">
        <v>33</v>
      </c>
      <c r="Q2721" s="2" t="s">
        <v>986</v>
      </c>
      <c r="R2721" s="2" t="s">
        <v>2996</v>
      </c>
    </row>
    <row r="2722" spans="1:18" ht="30" x14ac:dyDescent="0.25">
      <c r="F2722" s="10">
        <v>20</v>
      </c>
      <c r="H2722" s="2" t="s">
        <v>2938</v>
      </c>
      <c r="I2722" s="2" t="s">
        <v>33</v>
      </c>
      <c r="J2722" s="2" t="s">
        <v>33</v>
      </c>
      <c r="K2722" s="2" t="s">
        <v>33</v>
      </c>
      <c r="L2722" s="4" t="s">
        <v>474</v>
      </c>
      <c r="M2722" s="2" t="s">
        <v>977</v>
      </c>
      <c r="N2722" s="2" t="s">
        <v>33</v>
      </c>
      <c r="Q2722" s="2" t="s">
        <v>986</v>
      </c>
      <c r="R2722" s="2" t="s">
        <v>2992</v>
      </c>
    </row>
    <row r="2723" spans="1:18" ht="30" x14ac:dyDescent="0.25">
      <c r="F2723" s="10">
        <v>21</v>
      </c>
      <c r="H2723" s="2" t="s">
        <v>2939</v>
      </c>
      <c r="I2723" s="2" t="s">
        <v>33</v>
      </c>
      <c r="J2723" s="2" t="s">
        <v>33</v>
      </c>
      <c r="K2723" s="2" t="s">
        <v>33</v>
      </c>
      <c r="L2723" s="4" t="s">
        <v>474</v>
      </c>
      <c r="M2723" s="2" t="s">
        <v>977</v>
      </c>
      <c r="N2723" s="2" t="s">
        <v>983</v>
      </c>
      <c r="Q2723" s="2" t="s">
        <v>1394</v>
      </c>
    </row>
    <row r="2724" spans="1:18" ht="300" x14ac:dyDescent="0.25">
      <c r="F2724" s="10">
        <v>22</v>
      </c>
      <c r="H2724" s="2" t="s">
        <v>2968</v>
      </c>
      <c r="I2724" s="2" t="s">
        <v>33</v>
      </c>
      <c r="J2724" s="2" t="s">
        <v>33</v>
      </c>
      <c r="K2724" s="2" t="s">
        <v>33</v>
      </c>
      <c r="L2724" s="4"/>
      <c r="M2724" s="2" t="s">
        <v>977</v>
      </c>
      <c r="N2724" s="2" t="s">
        <v>973</v>
      </c>
      <c r="Q2724" s="2" t="s">
        <v>1394</v>
      </c>
    </row>
    <row r="2725" spans="1:18" ht="76.5" customHeight="1" x14ac:dyDescent="0.25">
      <c r="F2725" s="10">
        <v>23</v>
      </c>
      <c r="H2725" s="2" t="s">
        <v>2990</v>
      </c>
      <c r="I2725" s="2" t="s">
        <v>33</v>
      </c>
      <c r="J2725" s="2" t="s">
        <v>33</v>
      </c>
      <c r="K2725" s="2" t="s">
        <v>33</v>
      </c>
      <c r="L2725" s="4"/>
      <c r="M2725" s="2" t="s">
        <v>977</v>
      </c>
      <c r="N2725" s="2" t="s">
        <v>973</v>
      </c>
      <c r="Q2725" s="2" t="s">
        <v>1394</v>
      </c>
    </row>
    <row r="2726" spans="1:18" ht="76.5" customHeight="1" x14ac:dyDescent="0.25">
      <c r="F2726" s="10">
        <v>24</v>
      </c>
      <c r="H2726" s="2" t="s">
        <v>3439</v>
      </c>
      <c r="I2726" s="2" t="s">
        <v>33</v>
      </c>
      <c r="J2726" s="2" t="s">
        <v>33</v>
      </c>
      <c r="K2726" s="2" t="s">
        <v>33</v>
      </c>
      <c r="L2726" s="4"/>
      <c r="M2726" s="2" t="s">
        <v>980</v>
      </c>
      <c r="N2726" s="2" t="s">
        <v>974</v>
      </c>
      <c r="Q2726" s="2" t="s">
        <v>540</v>
      </c>
    </row>
    <row r="2727" spans="1:18" ht="76.5" customHeight="1" x14ac:dyDescent="0.25">
      <c r="F2727" s="10">
        <v>25</v>
      </c>
      <c r="H2727" s="2" t="s">
        <v>3440</v>
      </c>
      <c r="I2727" s="2" t="s">
        <v>33</v>
      </c>
      <c r="J2727" s="2" t="s">
        <v>33</v>
      </c>
      <c r="K2727" s="2" t="s">
        <v>33</v>
      </c>
      <c r="L2727" s="4" t="s">
        <v>474</v>
      </c>
      <c r="M2727" s="2" t="s">
        <v>980</v>
      </c>
      <c r="N2727" s="2" t="s">
        <v>983</v>
      </c>
      <c r="Q2727" s="2" t="s">
        <v>1394</v>
      </c>
    </row>
    <row r="2728" spans="1:18" ht="76.5" customHeight="1" x14ac:dyDescent="0.25">
      <c r="F2728" s="10">
        <v>26</v>
      </c>
      <c r="H2728" s="2" t="s">
        <v>3441</v>
      </c>
      <c r="I2728" s="2" t="s">
        <v>33</v>
      </c>
      <c r="J2728" s="2" t="s">
        <v>33</v>
      </c>
      <c r="K2728" s="2" t="s">
        <v>33</v>
      </c>
      <c r="L2728" s="4" t="s">
        <v>474</v>
      </c>
      <c r="M2728" s="2" t="s">
        <v>980</v>
      </c>
      <c r="N2728" s="2" t="s">
        <v>983</v>
      </c>
      <c r="Q2728" s="2" t="s">
        <v>1394</v>
      </c>
    </row>
    <row r="2729" spans="1:18" ht="76.5" customHeight="1" x14ac:dyDescent="0.25">
      <c r="F2729" s="10">
        <v>27</v>
      </c>
      <c r="H2729" s="2" t="s">
        <v>2997</v>
      </c>
      <c r="I2729" s="2" t="s">
        <v>33</v>
      </c>
      <c r="J2729" s="2" t="s">
        <v>33</v>
      </c>
      <c r="K2729" s="2" t="s">
        <v>33</v>
      </c>
      <c r="L2729" s="4" t="s">
        <v>474</v>
      </c>
      <c r="M2729" s="2" t="s">
        <v>980</v>
      </c>
      <c r="N2729" s="2" t="s">
        <v>974</v>
      </c>
      <c r="Q2729" s="2" t="s">
        <v>540</v>
      </c>
    </row>
    <row r="2731" spans="1:18" ht="90" x14ac:dyDescent="0.25">
      <c r="A2731" s="19" t="s">
        <v>2676</v>
      </c>
      <c r="B2731" s="19" t="s">
        <v>2551</v>
      </c>
      <c r="C2731" s="19" t="s">
        <v>39</v>
      </c>
      <c r="D2731" s="19" t="s">
        <v>3898</v>
      </c>
      <c r="E2731" s="10" t="s">
        <v>121</v>
      </c>
      <c r="F2731" s="10">
        <v>1</v>
      </c>
      <c r="G2731" s="2" t="s">
        <v>2558</v>
      </c>
      <c r="O2731" s="2" t="s">
        <v>2603</v>
      </c>
    </row>
    <row r="2732" spans="1:18" ht="45" x14ac:dyDescent="0.25">
      <c r="F2732" s="10">
        <v>2</v>
      </c>
      <c r="H2732" s="2" t="s">
        <v>2559</v>
      </c>
      <c r="I2732" s="2" t="s">
        <v>29</v>
      </c>
      <c r="J2732" s="3" t="s">
        <v>33</v>
      </c>
      <c r="K2732" s="7" t="s">
        <v>33</v>
      </c>
      <c r="L2732" s="3">
        <v>40359</v>
      </c>
      <c r="M2732" s="2" t="s">
        <v>1682</v>
      </c>
      <c r="N2732" s="2" t="s">
        <v>974</v>
      </c>
      <c r="O2732" s="2" t="s">
        <v>2821</v>
      </c>
      <c r="P2732" s="2" t="s">
        <v>980</v>
      </c>
      <c r="Q2732" s="2" t="s">
        <v>540</v>
      </c>
    </row>
    <row r="2733" spans="1:18" ht="45" x14ac:dyDescent="0.25">
      <c r="F2733" s="10">
        <v>3</v>
      </c>
      <c r="H2733" s="2" t="s">
        <v>3700</v>
      </c>
      <c r="I2733" s="2" t="s">
        <v>29</v>
      </c>
      <c r="J2733" s="3" t="s">
        <v>33</v>
      </c>
      <c r="K2733" s="7" t="s">
        <v>33</v>
      </c>
      <c r="L2733" s="3">
        <v>40359</v>
      </c>
      <c r="M2733" s="2" t="s">
        <v>1682</v>
      </c>
      <c r="N2733" s="2" t="s">
        <v>974</v>
      </c>
      <c r="O2733" s="2" t="s">
        <v>2820</v>
      </c>
      <c r="P2733" s="2" t="s">
        <v>980</v>
      </c>
      <c r="Q2733" s="2" t="s">
        <v>540</v>
      </c>
    </row>
    <row r="2734" spans="1:18" ht="45" x14ac:dyDescent="0.25">
      <c r="F2734" s="10">
        <v>4</v>
      </c>
      <c r="H2734" s="2" t="s">
        <v>2560</v>
      </c>
      <c r="I2734" s="2" t="s">
        <v>29</v>
      </c>
      <c r="J2734" s="3" t="s">
        <v>33</v>
      </c>
      <c r="K2734" s="7" t="s">
        <v>33</v>
      </c>
      <c r="L2734" s="3">
        <v>40359</v>
      </c>
      <c r="M2734" s="2" t="s">
        <v>1682</v>
      </c>
      <c r="N2734" s="2" t="s">
        <v>974</v>
      </c>
    </row>
    <row r="2735" spans="1:18" ht="180" x14ac:dyDescent="0.25">
      <c r="F2735" s="10">
        <v>5</v>
      </c>
      <c r="H2735" s="2" t="s">
        <v>2561</v>
      </c>
      <c r="I2735" s="2" t="s">
        <v>30</v>
      </c>
      <c r="J2735" s="3" t="s">
        <v>33</v>
      </c>
      <c r="K2735" s="7" t="s">
        <v>33</v>
      </c>
      <c r="L2735" s="3">
        <v>40359</v>
      </c>
      <c r="M2735" s="2" t="s">
        <v>1682</v>
      </c>
      <c r="N2735" s="2" t="s">
        <v>974</v>
      </c>
      <c r="O2735" s="2" t="s">
        <v>2822</v>
      </c>
      <c r="P2735" s="2" t="s">
        <v>980</v>
      </c>
      <c r="Q2735" s="2" t="s">
        <v>540</v>
      </c>
    </row>
    <row r="2736" spans="1:18" ht="90" x14ac:dyDescent="0.25">
      <c r="J2736" s="3"/>
      <c r="L2736" s="3"/>
      <c r="N2736" s="2" t="s">
        <v>974</v>
      </c>
      <c r="O2736" s="2" t="s">
        <v>2823</v>
      </c>
      <c r="P2736" s="2" t="s">
        <v>980</v>
      </c>
      <c r="Q2736" s="2" t="s">
        <v>540</v>
      </c>
      <c r="R2736" s="2" t="s">
        <v>2871</v>
      </c>
    </row>
    <row r="2737" spans="1:17" ht="105" x14ac:dyDescent="0.25">
      <c r="J2737" s="3"/>
      <c r="L2737" s="3"/>
      <c r="N2737" s="2" t="s">
        <v>974</v>
      </c>
      <c r="O2737" s="2" t="s">
        <v>3899</v>
      </c>
      <c r="P2737" s="2" t="s">
        <v>982</v>
      </c>
      <c r="Q2737" s="2" t="s">
        <v>540</v>
      </c>
    </row>
    <row r="2739" spans="1:17" ht="30" x14ac:dyDescent="0.25">
      <c r="A2739" s="19" t="s">
        <v>1898</v>
      </c>
      <c r="B2739" s="19" t="s">
        <v>3743</v>
      </c>
      <c r="C2739" s="19" t="s">
        <v>3848</v>
      </c>
      <c r="D2739" s="19" t="s">
        <v>3744</v>
      </c>
      <c r="E2739" s="10" t="s">
        <v>121</v>
      </c>
      <c r="F2739" s="10">
        <v>1</v>
      </c>
      <c r="G2739" s="2" t="s">
        <v>2562</v>
      </c>
    </row>
    <row r="2740" spans="1:17" ht="30" x14ac:dyDescent="0.25">
      <c r="F2740" s="10">
        <v>2</v>
      </c>
      <c r="H2740" s="2" t="s">
        <v>3755</v>
      </c>
      <c r="I2740" s="2" t="s">
        <v>30</v>
      </c>
      <c r="J2740" s="3">
        <v>40359</v>
      </c>
      <c r="K2740" s="7" t="s">
        <v>33</v>
      </c>
      <c r="L2740" s="4"/>
    </row>
    <row r="2741" spans="1:17" ht="45" x14ac:dyDescent="0.25">
      <c r="F2741" s="10">
        <v>3</v>
      </c>
      <c r="G2741" s="2" t="s">
        <v>3756</v>
      </c>
    </row>
    <row r="2742" spans="1:17" ht="30" x14ac:dyDescent="0.25">
      <c r="F2742" s="10">
        <v>4</v>
      </c>
      <c r="G2742" s="2" t="s">
        <v>2563</v>
      </c>
    </row>
    <row r="2743" spans="1:17" ht="45" x14ac:dyDescent="0.25">
      <c r="F2743" s="10">
        <v>5</v>
      </c>
      <c r="H2743" s="2" t="s">
        <v>2565</v>
      </c>
      <c r="I2743" s="2" t="s">
        <v>30</v>
      </c>
      <c r="J2743" s="3">
        <v>40359</v>
      </c>
      <c r="K2743" s="7" t="s">
        <v>33</v>
      </c>
      <c r="L2743" s="4"/>
    </row>
    <row r="2744" spans="1:17" x14ac:dyDescent="0.25">
      <c r="F2744" s="10">
        <v>6</v>
      </c>
      <c r="G2744" s="2" t="s">
        <v>2564</v>
      </c>
    </row>
    <row r="2745" spans="1:17" x14ac:dyDescent="0.25">
      <c r="F2745" s="10">
        <v>7</v>
      </c>
      <c r="H2745" s="2" t="s">
        <v>2566</v>
      </c>
      <c r="I2745" s="2" t="s">
        <v>30</v>
      </c>
      <c r="J2745" s="3">
        <v>40359</v>
      </c>
      <c r="K2745" s="7" t="s">
        <v>33</v>
      </c>
      <c r="L2745" s="4"/>
    </row>
    <row r="2746" spans="1:17" ht="30" x14ac:dyDescent="0.25">
      <c r="H2746" s="2" t="s">
        <v>2567</v>
      </c>
      <c r="I2746" s="2" t="s">
        <v>30</v>
      </c>
      <c r="J2746" s="3">
        <v>40359</v>
      </c>
      <c r="K2746" s="7" t="s">
        <v>33</v>
      </c>
      <c r="L2746" s="4"/>
    </row>
    <row r="2747" spans="1:17" x14ac:dyDescent="0.25">
      <c r="F2747" s="10">
        <v>8</v>
      </c>
      <c r="G2747" s="2" t="s">
        <v>1993</v>
      </c>
      <c r="K2747" s="2"/>
      <c r="L2747" s="2"/>
    </row>
    <row r="2748" spans="1:17" ht="30" x14ac:dyDescent="0.25">
      <c r="F2748" s="10">
        <v>9</v>
      </c>
      <c r="H2748" s="2" t="s">
        <v>2570</v>
      </c>
      <c r="J2748" s="3">
        <v>40359</v>
      </c>
      <c r="L2748" s="4"/>
    </row>
    <row r="2750" spans="1:17" ht="60" x14ac:dyDescent="0.25">
      <c r="A2750" s="19" t="s">
        <v>1899</v>
      </c>
      <c r="B2750" s="19" t="s">
        <v>3745</v>
      </c>
      <c r="C2750" s="19" t="s">
        <v>46</v>
      </c>
      <c r="D2750" s="19" t="s">
        <v>2196</v>
      </c>
      <c r="E2750" s="10" t="s">
        <v>121</v>
      </c>
      <c r="F2750" s="10">
        <v>1</v>
      </c>
      <c r="G2750" s="2" t="s">
        <v>2568</v>
      </c>
    </row>
    <row r="2751" spans="1:17" ht="60" x14ac:dyDescent="0.25">
      <c r="F2751" s="10">
        <v>2</v>
      </c>
      <c r="H2751" s="2" t="s">
        <v>3763</v>
      </c>
      <c r="I2751" s="2" t="s">
        <v>30</v>
      </c>
      <c r="J2751" s="3">
        <v>40359</v>
      </c>
      <c r="K2751" s="7" t="s">
        <v>33</v>
      </c>
      <c r="L2751" s="4"/>
    </row>
    <row r="2753" spans="1:18" ht="75" x14ac:dyDescent="0.25">
      <c r="A2753" s="19" t="s">
        <v>1900</v>
      </c>
      <c r="B2753" s="19" t="s">
        <v>3746</v>
      </c>
      <c r="C2753" s="19" t="s">
        <v>460</v>
      </c>
      <c r="D2753" s="19" t="s">
        <v>3747</v>
      </c>
      <c r="E2753" s="10" t="s">
        <v>121</v>
      </c>
      <c r="F2753" s="10">
        <v>1</v>
      </c>
      <c r="G2753" s="2" t="s">
        <v>3764</v>
      </c>
    </row>
    <row r="2754" spans="1:18" x14ac:dyDescent="0.25">
      <c r="F2754" s="10">
        <v>2</v>
      </c>
      <c r="G2754" s="2" t="s">
        <v>1993</v>
      </c>
    </row>
    <row r="2755" spans="1:18" ht="30" x14ac:dyDescent="0.25">
      <c r="F2755" s="10">
        <v>3</v>
      </c>
      <c r="H2755" s="2" t="s">
        <v>3757</v>
      </c>
      <c r="I2755" s="2" t="s">
        <v>30</v>
      </c>
      <c r="J2755" s="3">
        <v>40359</v>
      </c>
      <c r="K2755" s="7" t="s">
        <v>33</v>
      </c>
      <c r="L2755" s="4"/>
    </row>
    <row r="2756" spans="1:18" x14ac:dyDescent="0.25">
      <c r="F2756" s="10">
        <v>4</v>
      </c>
      <c r="G2756" s="2" t="s">
        <v>2569</v>
      </c>
    </row>
    <row r="2757" spans="1:18" ht="60" x14ac:dyDescent="0.25">
      <c r="F2757" s="10">
        <v>5</v>
      </c>
      <c r="H2757" s="2" t="s">
        <v>3733</v>
      </c>
      <c r="I2757" s="2" t="s">
        <v>30</v>
      </c>
      <c r="J2757" s="3">
        <v>40359</v>
      </c>
      <c r="K2757" s="7" t="s">
        <v>33</v>
      </c>
      <c r="L2757" s="4"/>
    </row>
    <row r="2758" spans="1:18" x14ac:dyDescent="0.25">
      <c r="F2758" s="10">
        <v>6</v>
      </c>
      <c r="G2758" s="2" t="s">
        <v>2571</v>
      </c>
    </row>
    <row r="2759" spans="1:18" x14ac:dyDescent="0.25">
      <c r="F2759" s="10">
        <v>7</v>
      </c>
      <c r="G2759" s="2" t="s">
        <v>1993</v>
      </c>
    </row>
    <row r="2760" spans="1:18" ht="60" x14ac:dyDescent="0.25">
      <c r="F2760" s="10">
        <v>8</v>
      </c>
      <c r="H2760" s="2" t="s">
        <v>3758</v>
      </c>
      <c r="I2760" s="2" t="s">
        <v>30</v>
      </c>
      <c r="J2760" s="3">
        <v>40359</v>
      </c>
      <c r="K2760" s="7" t="s">
        <v>33</v>
      </c>
      <c r="L2760" s="4"/>
    </row>
    <row r="2762" spans="1:18" ht="60" x14ac:dyDescent="0.25">
      <c r="A2762" s="19" t="s">
        <v>2317</v>
      </c>
      <c r="B2762" s="19" t="s">
        <v>2656</v>
      </c>
      <c r="C2762" s="19" t="s">
        <v>1059</v>
      </c>
      <c r="D2762" s="19" t="s">
        <v>2657</v>
      </c>
      <c r="E2762" s="10" t="s">
        <v>121</v>
      </c>
      <c r="F2762" s="10">
        <v>1</v>
      </c>
      <c r="G2762" s="2" t="s">
        <v>2576</v>
      </c>
    </row>
    <row r="2763" spans="1:18" ht="30" x14ac:dyDescent="0.25">
      <c r="A2763" s="19"/>
      <c r="B2763" s="19"/>
      <c r="C2763" s="19"/>
      <c r="D2763" s="19"/>
      <c r="F2763" s="10">
        <v>2</v>
      </c>
      <c r="H2763" s="2" t="s">
        <v>2581</v>
      </c>
      <c r="I2763" s="2" t="s">
        <v>30</v>
      </c>
      <c r="J2763" s="3">
        <v>40359</v>
      </c>
      <c r="K2763" s="7" t="s">
        <v>33</v>
      </c>
      <c r="L2763" s="4" t="s">
        <v>474</v>
      </c>
      <c r="M2763" s="2" t="s">
        <v>2984</v>
      </c>
    </row>
    <row r="2764" spans="1:18" ht="180" x14ac:dyDescent="0.25">
      <c r="F2764" s="10">
        <v>3</v>
      </c>
      <c r="H2764" s="2" t="s">
        <v>2577</v>
      </c>
      <c r="I2764" s="2" t="s">
        <v>30</v>
      </c>
      <c r="J2764" s="3">
        <v>40359</v>
      </c>
      <c r="K2764" s="7" t="s">
        <v>33</v>
      </c>
      <c r="L2764" s="4" t="s">
        <v>474</v>
      </c>
      <c r="M2764" s="19"/>
      <c r="N2764" s="2" t="s">
        <v>983</v>
      </c>
      <c r="O2764" s="19" t="s">
        <v>2989</v>
      </c>
      <c r="P2764" s="2" t="s">
        <v>977</v>
      </c>
      <c r="Q2764" s="2" t="s">
        <v>1394</v>
      </c>
      <c r="R2764" s="2" t="s">
        <v>2991</v>
      </c>
    </row>
    <row r="2765" spans="1:18" x14ac:dyDescent="0.25">
      <c r="F2765" s="10">
        <v>4</v>
      </c>
      <c r="G2765" s="2" t="s">
        <v>2578</v>
      </c>
      <c r="N2765" s="2" t="s">
        <v>974</v>
      </c>
    </row>
    <row r="2766" spans="1:18" x14ac:dyDescent="0.25">
      <c r="F2766" s="10">
        <v>5</v>
      </c>
      <c r="G2766" s="2" t="s">
        <v>2579</v>
      </c>
      <c r="N2766" s="2" t="s">
        <v>974</v>
      </c>
    </row>
    <row r="2767" spans="1:18" ht="45" x14ac:dyDescent="0.25">
      <c r="F2767" s="10">
        <v>6</v>
      </c>
      <c r="H2767" s="2" t="s">
        <v>2580</v>
      </c>
      <c r="I2767" s="2" t="s">
        <v>30</v>
      </c>
      <c r="J2767" s="3">
        <v>40359</v>
      </c>
      <c r="K2767" s="7" t="s">
        <v>33</v>
      </c>
      <c r="L2767" s="4" t="s">
        <v>474</v>
      </c>
      <c r="M2767" s="2" t="s">
        <v>2985</v>
      </c>
      <c r="N2767" s="2" t="s">
        <v>974</v>
      </c>
    </row>
    <row r="2768" spans="1:18" x14ac:dyDescent="0.25">
      <c r="E2768" s="10" t="s">
        <v>164</v>
      </c>
      <c r="F2768" s="10">
        <v>1</v>
      </c>
      <c r="G2768" s="2" t="s">
        <v>2582</v>
      </c>
    </row>
    <row r="2769" spans="1:18" ht="30" x14ac:dyDescent="0.25">
      <c r="F2769" s="10">
        <v>2</v>
      </c>
      <c r="H2769" s="2" t="s">
        <v>2583</v>
      </c>
      <c r="I2769" s="2" t="s">
        <v>30</v>
      </c>
      <c r="J2769" s="3">
        <v>40359</v>
      </c>
      <c r="K2769" s="7" t="s">
        <v>33</v>
      </c>
      <c r="L2769" s="4" t="s">
        <v>474</v>
      </c>
    </row>
    <row r="2770" spans="1:18" x14ac:dyDescent="0.25">
      <c r="F2770" s="10">
        <v>3</v>
      </c>
      <c r="G2770" s="2" t="s">
        <v>2579</v>
      </c>
    </row>
    <row r="2771" spans="1:18" ht="30" x14ac:dyDescent="0.25">
      <c r="F2771" s="10">
        <v>4</v>
      </c>
      <c r="H2771" s="2" t="s">
        <v>2584</v>
      </c>
      <c r="I2771" s="2" t="s">
        <v>30</v>
      </c>
      <c r="J2771" s="3">
        <v>40359</v>
      </c>
      <c r="K2771" s="7" t="s">
        <v>33</v>
      </c>
      <c r="L2771" s="4" t="s">
        <v>474</v>
      </c>
    </row>
    <row r="2772" spans="1:18" ht="30" x14ac:dyDescent="0.25">
      <c r="E2772" s="10" t="s">
        <v>123</v>
      </c>
      <c r="F2772" s="10">
        <v>1</v>
      </c>
      <c r="G2772" s="2" t="s">
        <v>3900</v>
      </c>
    </row>
    <row r="2773" spans="1:18" ht="45" x14ac:dyDescent="0.25">
      <c r="F2773" s="10">
        <v>2</v>
      </c>
      <c r="H2773" s="2" t="s">
        <v>2585</v>
      </c>
      <c r="I2773" s="2" t="s">
        <v>30</v>
      </c>
      <c r="J2773" s="3">
        <v>40359</v>
      </c>
      <c r="K2773" s="7" t="s">
        <v>33</v>
      </c>
      <c r="L2773" s="4" t="s">
        <v>474</v>
      </c>
      <c r="N2773" s="2" t="s">
        <v>974</v>
      </c>
    </row>
    <row r="2775" spans="1:18" ht="60" x14ac:dyDescent="0.25">
      <c r="A2775" s="19" t="s">
        <v>2318</v>
      </c>
      <c r="B2775" s="19" t="s">
        <v>2660</v>
      </c>
      <c r="C2775" s="19" t="s">
        <v>2658</v>
      </c>
      <c r="D2775" s="19" t="s">
        <v>2662</v>
      </c>
      <c r="E2775" s="10" t="s">
        <v>121</v>
      </c>
      <c r="F2775" s="10">
        <v>1</v>
      </c>
      <c r="G2775" s="2" t="s">
        <v>1993</v>
      </c>
    </row>
    <row r="2776" spans="1:18" ht="60" x14ac:dyDescent="0.25">
      <c r="F2776" s="10">
        <v>2</v>
      </c>
      <c r="H2776" s="2" t="s">
        <v>3734</v>
      </c>
      <c r="I2776" s="2" t="s">
        <v>30</v>
      </c>
      <c r="J2776" s="3">
        <v>40359</v>
      </c>
      <c r="K2776" s="7" t="s">
        <v>33</v>
      </c>
      <c r="L2776" s="4" t="s">
        <v>474</v>
      </c>
      <c r="M2776" s="2" t="s">
        <v>2982</v>
      </c>
      <c r="N2776" s="2" t="s">
        <v>974</v>
      </c>
      <c r="O2776" s="2" t="s">
        <v>2986</v>
      </c>
      <c r="P2776" s="2" t="s">
        <v>982</v>
      </c>
      <c r="Q2776" s="2" t="s">
        <v>986</v>
      </c>
      <c r="R2776" s="2" t="s">
        <v>2988</v>
      </c>
    </row>
    <row r="2777" spans="1:18" x14ac:dyDescent="0.25">
      <c r="F2777" s="10">
        <v>3</v>
      </c>
      <c r="G2777" s="2" t="s">
        <v>3817</v>
      </c>
    </row>
    <row r="2778" spans="1:18" ht="30" x14ac:dyDescent="0.25">
      <c r="F2778" s="10">
        <v>4</v>
      </c>
      <c r="H2778" s="2" t="s">
        <v>3442</v>
      </c>
      <c r="I2778" s="2" t="s">
        <v>30</v>
      </c>
      <c r="J2778" s="3">
        <v>40359</v>
      </c>
      <c r="K2778" s="7" t="s">
        <v>33</v>
      </c>
      <c r="L2778" s="4" t="s">
        <v>474</v>
      </c>
      <c r="N2778" s="2" t="s">
        <v>974</v>
      </c>
    </row>
    <row r="2779" spans="1:18" ht="45" x14ac:dyDescent="0.25">
      <c r="F2779" s="10">
        <v>5</v>
      </c>
      <c r="G2779" s="2" t="s">
        <v>3818</v>
      </c>
      <c r="M2779" s="2" t="s">
        <v>3443</v>
      </c>
    </row>
    <row r="2780" spans="1:18" x14ac:dyDescent="0.25">
      <c r="F2780" s="10">
        <v>6</v>
      </c>
      <c r="H2780" s="2" t="s">
        <v>3444</v>
      </c>
      <c r="I2780" s="2" t="s">
        <v>30</v>
      </c>
      <c r="J2780" s="3">
        <v>40359</v>
      </c>
      <c r="K2780" s="7" t="s">
        <v>33</v>
      </c>
      <c r="L2780" s="4" t="s">
        <v>474</v>
      </c>
      <c r="N2780" s="2" t="s">
        <v>974</v>
      </c>
    </row>
    <row r="2781" spans="1:18" ht="45" x14ac:dyDescent="0.25">
      <c r="E2781" s="10" t="s">
        <v>123</v>
      </c>
      <c r="F2781" s="10">
        <v>1</v>
      </c>
      <c r="G2781" s="2" t="s">
        <v>2586</v>
      </c>
    </row>
    <row r="2782" spans="1:18" x14ac:dyDescent="0.25">
      <c r="F2782" s="10">
        <v>2</v>
      </c>
      <c r="G2782" s="2" t="s">
        <v>1993</v>
      </c>
    </row>
    <row r="2783" spans="1:18" ht="60" x14ac:dyDescent="0.25">
      <c r="F2783" s="10">
        <v>3</v>
      </c>
      <c r="H2783" s="2" t="s">
        <v>3734</v>
      </c>
      <c r="I2783" s="2" t="s">
        <v>30</v>
      </c>
      <c r="J2783" s="3">
        <v>40359</v>
      </c>
      <c r="K2783" s="7" t="s">
        <v>33</v>
      </c>
      <c r="L2783" s="4" t="s">
        <v>474</v>
      </c>
      <c r="N2783" s="2" t="s">
        <v>974</v>
      </c>
      <c r="O2783" s="2" t="s">
        <v>2986</v>
      </c>
      <c r="P2783" s="2" t="s">
        <v>982</v>
      </c>
      <c r="Q2783" s="2" t="s">
        <v>986</v>
      </c>
      <c r="R2783" s="2" t="s">
        <v>2988</v>
      </c>
    </row>
    <row r="2785" spans="1:14" ht="30" x14ac:dyDescent="0.25">
      <c r="A2785" s="19" t="s">
        <v>2319</v>
      </c>
      <c r="B2785" s="19" t="s">
        <v>2661</v>
      </c>
      <c r="C2785" s="19" t="s">
        <v>2658</v>
      </c>
      <c r="D2785" s="19" t="s">
        <v>2663</v>
      </c>
      <c r="E2785" s="10" t="s">
        <v>121</v>
      </c>
      <c r="F2785" s="10">
        <v>1</v>
      </c>
      <c r="G2785" s="2" t="s">
        <v>2587</v>
      </c>
    </row>
    <row r="2786" spans="1:14" ht="60" x14ac:dyDescent="0.25">
      <c r="F2786" s="10">
        <v>2</v>
      </c>
      <c r="H2786" s="2" t="s">
        <v>2601</v>
      </c>
      <c r="I2786" s="2" t="s">
        <v>29</v>
      </c>
      <c r="J2786" s="3">
        <v>40364</v>
      </c>
      <c r="K2786" s="4"/>
      <c r="L2786" s="4" t="s">
        <v>474</v>
      </c>
      <c r="N2786" s="2" t="s">
        <v>974</v>
      </c>
    </row>
    <row r="2787" spans="1:14" x14ac:dyDescent="0.25">
      <c r="F2787" s="10">
        <v>3</v>
      </c>
      <c r="H2787" s="2" t="s">
        <v>2588</v>
      </c>
      <c r="I2787" s="2" t="s">
        <v>29</v>
      </c>
      <c r="J2787" s="3">
        <v>40364</v>
      </c>
      <c r="K2787" s="4"/>
      <c r="L2787" s="4" t="s">
        <v>474</v>
      </c>
      <c r="N2787" s="2" t="s">
        <v>974</v>
      </c>
    </row>
    <row r="2788" spans="1:14" x14ac:dyDescent="0.25">
      <c r="F2788" s="10">
        <v>4</v>
      </c>
      <c r="G2788" s="2" t="s">
        <v>2589</v>
      </c>
    </row>
    <row r="2789" spans="1:14" x14ac:dyDescent="0.25">
      <c r="F2789" s="10">
        <v>5</v>
      </c>
      <c r="H2789" s="2" t="s">
        <v>2617</v>
      </c>
      <c r="I2789" s="2" t="s">
        <v>29</v>
      </c>
      <c r="J2789" s="3">
        <v>40364</v>
      </c>
      <c r="K2789" s="4"/>
      <c r="L2789" s="4" t="s">
        <v>474</v>
      </c>
      <c r="N2789" s="2" t="s">
        <v>974</v>
      </c>
    </row>
    <row r="2790" spans="1:14" ht="30" x14ac:dyDescent="0.25">
      <c r="F2790" s="10">
        <v>6</v>
      </c>
      <c r="H2790" s="2" t="s">
        <v>2590</v>
      </c>
      <c r="I2790" s="2" t="s">
        <v>29</v>
      </c>
      <c r="J2790" s="3">
        <v>40364</v>
      </c>
      <c r="K2790" s="4"/>
      <c r="L2790" s="4" t="s">
        <v>474</v>
      </c>
      <c r="N2790" s="2" t="s">
        <v>974</v>
      </c>
    </row>
    <row r="2791" spans="1:14" x14ac:dyDescent="0.25">
      <c r="F2791" s="10">
        <v>7</v>
      </c>
      <c r="H2791" s="6" t="s">
        <v>2591</v>
      </c>
      <c r="I2791" s="2" t="s">
        <v>29</v>
      </c>
      <c r="J2791" s="3">
        <v>40364</v>
      </c>
      <c r="K2791" s="4"/>
      <c r="L2791" s="4" t="s">
        <v>474</v>
      </c>
      <c r="N2791" s="2" t="s">
        <v>974</v>
      </c>
    </row>
    <row r="2792" spans="1:14" x14ac:dyDescent="0.25">
      <c r="F2792" s="10">
        <v>8</v>
      </c>
      <c r="H2792" s="6" t="s">
        <v>2592</v>
      </c>
      <c r="I2792" s="2" t="s">
        <v>29</v>
      </c>
      <c r="J2792" s="3">
        <v>40364</v>
      </c>
      <c r="K2792" s="4"/>
      <c r="L2792" s="4" t="s">
        <v>474</v>
      </c>
      <c r="N2792" s="2" t="s">
        <v>974</v>
      </c>
    </row>
    <row r="2793" spans="1:14" x14ac:dyDescent="0.25">
      <c r="F2793" s="10">
        <v>9</v>
      </c>
      <c r="H2793" s="6" t="s">
        <v>2593</v>
      </c>
      <c r="I2793" s="2" t="s">
        <v>29</v>
      </c>
      <c r="J2793" s="3">
        <v>40364</v>
      </c>
      <c r="K2793" s="4"/>
      <c r="L2793" s="4" t="s">
        <v>474</v>
      </c>
      <c r="N2793" s="2" t="s">
        <v>974</v>
      </c>
    </row>
    <row r="2794" spans="1:14" x14ac:dyDescent="0.25">
      <c r="F2794" s="10">
        <v>10</v>
      </c>
      <c r="H2794" s="6" t="s">
        <v>2594</v>
      </c>
      <c r="I2794" s="2" t="s">
        <v>29</v>
      </c>
      <c r="J2794" s="3">
        <v>40364</v>
      </c>
      <c r="K2794" s="4"/>
      <c r="L2794" s="4" t="s">
        <v>474</v>
      </c>
      <c r="N2794" s="2" t="s">
        <v>974</v>
      </c>
    </row>
    <row r="2795" spans="1:14" x14ac:dyDescent="0.25">
      <c r="F2795" s="10">
        <v>11</v>
      </c>
      <c r="H2795" s="6" t="s">
        <v>2595</v>
      </c>
      <c r="I2795" s="2" t="s">
        <v>29</v>
      </c>
      <c r="J2795" s="3">
        <v>40364</v>
      </c>
      <c r="K2795" s="4"/>
      <c r="L2795" s="4" t="s">
        <v>474</v>
      </c>
      <c r="N2795" s="2" t="s">
        <v>974</v>
      </c>
    </row>
    <row r="2796" spans="1:14" x14ac:dyDescent="0.25">
      <c r="F2796" s="10">
        <v>12</v>
      </c>
      <c r="H2796" s="6" t="s">
        <v>2596</v>
      </c>
      <c r="I2796" s="2" t="s">
        <v>29</v>
      </c>
      <c r="J2796" s="3">
        <v>40364</v>
      </c>
      <c r="K2796" s="4"/>
      <c r="L2796" s="4" t="s">
        <v>474</v>
      </c>
      <c r="N2796" s="2" t="s">
        <v>974</v>
      </c>
    </row>
    <row r="2797" spans="1:14" x14ac:dyDescent="0.25">
      <c r="F2797" s="10">
        <v>13</v>
      </c>
      <c r="H2797" s="6" t="s">
        <v>2597</v>
      </c>
      <c r="I2797" s="2" t="s">
        <v>29</v>
      </c>
      <c r="J2797" s="3">
        <v>40364</v>
      </c>
      <c r="K2797" s="4"/>
      <c r="L2797" s="4" t="s">
        <v>474</v>
      </c>
      <c r="N2797" s="2" t="s">
        <v>974</v>
      </c>
    </row>
    <row r="2798" spans="1:14" x14ac:dyDescent="0.25">
      <c r="F2798" s="10">
        <v>14</v>
      </c>
      <c r="H2798" s="6" t="s">
        <v>2598</v>
      </c>
      <c r="I2798" s="2" t="s">
        <v>29</v>
      </c>
      <c r="J2798" s="3">
        <v>40364</v>
      </c>
      <c r="K2798" s="4"/>
      <c r="L2798" s="4" t="s">
        <v>474</v>
      </c>
      <c r="N2798" s="2" t="s">
        <v>974</v>
      </c>
    </row>
    <row r="2799" spans="1:14" ht="30" x14ac:dyDescent="0.25">
      <c r="F2799" s="10">
        <v>15</v>
      </c>
      <c r="G2799" s="2" t="s">
        <v>2599</v>
      </c>
    </row>
    <row r="2800" spans="1:14" x14ac:dyDescent="0.25">
      <c r="F2800" s="10">
        <v>16</v>
      </c>
      <c r="G2800" s="2" t="s">
        <v>2600</v>
      </c>
    </row>
    <row r="2801" spans="5:14" x14ac:dyDescent="0.25">
      <c r="F2801" s="10">
        <v>17</v>
      </c>
      <c r="H2801" s="2" t="s">
        <v>307</v>
      </c>
      <c r="I2801" s="2" t="s">
        <v>29</v>
      </c>
      <c r="J2801" s="3">
        <v>40364</v>
      </c>
      <c r="K2801" s="4"/>
      <c r="L2801" s="4" t="s">
        <v>474</v>
      </c>
      <c r="N2801" s="2" t="s">
        <v>974</v>
      </c>
    </row>
    <row r="2802" spans="5:14" ht="30" x14ac:dyDescent="0.25">
      <c r="F2802" s="10">
        <v>18</v>
      </c>
      <c r="H2802" s="2" t="s">
        <v>2618</v>
      </c>
      <c r="I2802" s="2" t="s">
        <v>29</v>
      </c>
      <c r="J2802" s="3">
        <v>40364</v>
      </c>
      <c r="K2802" s="4"/>
      <c r="L2802" s="4" t="s">
        <v>474</v>
      </c>
      <c r="N2802" s="2" t="s">
        <v>974</v>
      </c>
    </row>
    <row r="2803" spans="5:14" ht="30" x14ac:dyDescent="0.25">
      <c r="F2803" s="10">
        <v>19</v>
      </c>
      <c r="H2803" s="2" t="s">
        <v>2619</v>
      </c>
      <c r="I2803" s="2" t="s">
        <v>29</v>
      </c>
      <c r="J2803" s="3">
        <v>40364</v>
      </c>
      <c r="K2803" s="4"/>
      <c r="L2803" s="4" t="s">
        <v>474</v>
      </c>
      <c r="N2803" s="2" t="s">
        <v>974</v>
      </c>
    </row>
    <row r="2804" spans="5:14" ht="30" x14ac:dyDescent="0.25">
      <c r="E2804" s="10" t="s">
        <v>692</v>
      </c>
      <c r="F2804" s="10">
        <v>1</v>
      </c>
      <c r="G2804" s="2" t="s">
        <v>2607</v>
      </c>
      <c r="M2804" s="2" t="s">
        <v>2987</v>
      </c>
    </row>
    <row r="2805" spans="5:14" x14ac:dyDescent="0.25">
      <c r="F2805" s="10">
        <v>2</v>
      </c>
      <c r="H2805" s="2" t="s">
        <v>2608</v>
      </c>
      <c r="I2805" s="2" t="s">
        <v>29</v>
      </c>
      <c r="J2805" s="3">
        <v>40364</v>
      </c>
      <c r="K2805" s="4"/>
      <c r="L2805" s="4" t="s">
        <v>474</v>
      </c>
      <c r="N2805" s="2" t="s">
        <v>974</v>
      </c>
    </row>
    <row r="2806" spans="5:14" ht="30" x14ac:dyDescent="0.25">
      <c r="F2806" s="10">
        <v>3</v>
      </c>
      <c r="H2806" s="2" t="s">
        <v>2618</v>
      </c>
      <c r="I2806" s="2" t="s">
        <v>29</v>
      </c>
      <c r="J2806" s="3">
        <v>40364</v>
      </c>
      <c r="K2806" s="4"/>
      <c r="L2806" s="4" t="s">
        <v>474</v>
      </c>
      <c r="N2806" s="2" t="s">
        <v>974</v>
      </c>
    </row>
    <row r="2807" spans="5:14" ht="45" x14ac:dyDescent="0.25">
      <c r="E2807" s="10" t="s">
        <v>123</v>
      </c>
      <c r="F2807" s="10">
        <v>1</v>
      </c>
      <c r="G2807" s="2" t="s">
        <v>2602</v>
      </c>
    </row>
    <row r="2808" spans="5:14" ht="60" x14ac:dyDescent="0.25">
      <c r="F2808" s="10">
        <v>2</v>
      </c>
      <c r="H2808" s="2" t="s">
        <v>2601</v>
      </c>
      <c r="I2808" s="2" t="s">
        <v>29</v>
      </c>
      <c r="J2808" s="3">
        <v>40364</v>
      </c>
      <c r="K2808" s="4"/>
      <c r="L2808" s="4" t="s">
        <v>474</v>
      </c>
      <c r="N2808" s="2" t="s">
        <v>974</v>
      </c>
    </row>
    <row r="2809" spans="5:14" ht="30" x14ac:dyDescent="0.25">
      <c r="F2809" s="10">
        <v>3</v>
      </c>
      <c r="H2809" s="2" t="s">
        <v>2604</v>
      </c>
      <c r="I2809" s="2" t="s">
        <v>29</v>
      </c>
      <c r="J2809" s="3">
        <v>40364</v>
      </c>
      <c r="K2809" s="4"/>
      <c r="L2809" s="4" t="s">
        <v>474</v>
      </c>
      <c r="N2809" s="2" t="s">
        <v>974</v>
      </c>
    </row>
    <row r="2810" spans="5:14" x14ac:dyDescent="0.25">
      <c r="F2810" s="10">
        <v>4</v>
      </c>
      <c r="G2810" s="2" t="s">
        <v>2605</v>
      </c>
    </row>
    <row r="2811" spans="5:14" x14ac:dyDescent="0.25">
      <c r="F2811" s="10">
        <v>5</v>
      </c>
      <c r="H2811" s="2" t="s">
        <v>2617</v>
      </c>
      <c r="I2811" s="2" t="s">
        <v>29</v>
      </c>
      <c r="J2811" s="3">
        <v>40364</v>
      </c>
      <c r="K2811" s="4"/>
      <c r="L2811" s="4" t="s">
        <v>474</v>
      </c>
      <c r="N2811" s="2" t="s">
        <v>974</v>
      </c>
    </row>
    <row r="2812" spans="5:14" ht="30" x14ac:dyDescent="0.25">
      <c r="F2812" s="10">
        <v>6</v>
      </c>
      <c r="H2812" s="2" t="s">
        <v>3387</v>
      </c>
      <c r="I2812" s="2" t="s">
        <v>29</v>
      </c>
      <c r="J2812" s="3">
        <v>40364</v>
      </c>
      <c r="K2812" s="4"/>
      <c r="L2812" s="4" t="s">
        <v>474</v>
      </c>
      <c r="N2812" s="2" t="s">
        <v>974</v>
      </c>
    </row>
    <row r="2813" spans="5:14" x14ac:dyDescent="0.25">
      <c r="F2813" s="10">
        <v>7</v>
      </c>
      <c r="G2813" s="2" t="s">
        <v>2609</v>
      </c>
    </row>
    <row r="2814" spans="5:14" ht="30" x14ac:dyDescent="0.25">
      <c r="F2814" s="10">
        <v>8</v>
      </c>
      <c r="H2814" s="2" t="s">
        <v>2618</v>
      </c>
      <c r="I2814" s="2" t="s">
        <v>29</v>
      </c>
      <c r="J2814" s="3">
        <v>40364</v>
      </c>
      <c r="K2814" s="4"/>
      <c r="L2814" s="4" t="s">
        <v>474</v>
      </c>
      <c r="N2814" s="2" t="s">
        <v>974</v>
      </c>
    </row>
    <row r="2815" spans="5:14" x14ac:dyDescent="0.25">
      <c r="E2815" s="10" t="s">
        <v>308</v>
      </c>
      <c r="F2815" s="10">
        <v>1</v>
      </c>
      <c r="G2815" s="2" t="s">
        <v>2610</v>
      </c>
      <c r="J2815" s="3"/>
    </row>
    <row r="2816" spans="5:14" ht="30" x14ac:dyDescent="0.25">
      <c r="F2816" s="10">
        <v>2</v>
      </c>
      <c r="H2816" s="2" t="s">
        <v>2611</v>
      </c>
      <c r="I2816" s="2" t="s">
        <v>29</v>
      </c>
      <c r="J2816" s="3">
        <v>40364</v>
      </c>
      <c r="K2816" s="4"/>
      <c r="L2816" s="4" t="s">
        <v>474</v>
      </c>
      <c r="N2816" s="2" t="s">
        <v>974</v>
      </c>
    </row>
    <row r="2818" spans="1:17" ht="75" x14ac:dyDescent="0.25">
      <c r="A2818" s="19" t="s">
        <v>2668</v>
      </c>
      <c r="B2818" s="19" t="s">
        <v>3819</v>
      </c>
      <c r="C2818" s="19" t="s">
        <v>460</v>
      </c>
      <c r="D2818" s="19" t="s">
        <v>2742</v>
      </c>
      <c r="E2818" s="10" t="s">
        <v>121</v>
      </c>
      <c r="F2818" s="10">
        <v>1</v>
      </c>
      <c r="G2818" s="4" t="s">
        <v>2613</v>
      </c>
      <c r="N2818" s="2" t="s">
        <v>974</v>
      </c>
      <c r="O2818" s="2" t="s">
        <v>2614</v>
      </c>
      <c r="P2818" s="2" t="s">
        <v>980</v>
      </c>
      <c r="Q2818" s="2" t="s">
        <v>540</v>
      </c>
    </row>
    <row r="2819" spans="1:17" ht="240" x14ac:dyDescent="0.25">
      <c r="A2819" s="19"/>
      <c r="B2819" s="19"/>
      <c r="C2819" s="19"/>
      <c r="D2819" s="19"/>
      <c r="G2819" s="10"/>
      <c r="N2819" s="2" t="s">
        <v>973</v>
      </c>
      <c r="O2819" s="2" t="s">
        <v>3445</v>
      </c>
      <c r="P2819" s="2" t="s">
        <v>977</v>
      </c>
      <c r="Q2819" s="2" t="s">
        <v>1394</v>
      </c>
    </row>
    <row r="2821" spans="1:17" ht="75" x14ac:dyDescent="0.25">
      <c r="A2821" s="19" t="s">
        <v>2677</v>
      </c>
      <c r="B2821" s="19" t="s">
        <v>3390</v>
      </c>
      <c r="C2821" s="19" t="s">
        <v>39</v>
      </c>
      <c r="D2821" s="19" t="s">
        <v>3391</v>
      </c>
      <c r="E2821" s="10" t="s">
        <v>121</v>
      </c>
      <c r="F2821" s="10">
        <v>1</v>
      </c>
      <c r="G2821" s="2" t="s">
        <v>3392</v>
      </c>
    </row>
    <row r="2822" spans="1:17" ht="30" x14ac:dyDescent="0.25">
      <c r="F2822" s="10">
        <v>2</v>
      </c>
      <c r="H2822" s="2" t="s">
        <v>1774</v>
      </c>
      <c r="I2822" s="2" t="s">
        <v>29</v>
      </c>
      <c r="J2822" s="3">
        <v>40364</v>
      </c>
      <c r="K2822" s="4"/>
      <c r="L2822" s="4" t="s">
        <v>474</v>
      </c>
      <c r="N2822" s="2" t="s">
        <v>983</v>
      </c>
    </row>
    <row r="2823" spans="1:17" x14ac:dyDescent="0.25">
      <c r="F2823" s="10">
        <v>3</v>
      </c>
      <c r="H2823" s="2" t="s">
        <v>3393</v>
      </c>
      <c r="I2823" s="2" t="s">
        <v>29</v>
      </c>
      <c r="J2823" s="3">
        <v>40364</v>
      </c>
      <c r="K2823" s="4"/>
      <c r="L2823" s="4" t="s">
        <v>474</v>
      </c>
      <c r="N2823" s="2" t="s">
        <v>983</v>
      </c>
    </row>
    <row r="2824" spans="1:17" ht="30" x14ac:dyDescent="0.25">
      <c r="F2824" s="10">
        <v>4</v>
      </c>
      <c r="H2824" s="2" t="s">
        <v>3394</v>
      </c>
      <c r="I2824" s="2" t="s">
        <v>29</v>
      </c>
      <c r="J2824" s="3">
        <v>40364</v>
      </c>
      <c r="K2824" s="4"/>
      <c r="L2824" s="4" t="s">
        <v>474</v>
      </c>
      <c r="N2824" s="2" t="s">
        <v>983</v>
      </c>
    </row>
    <row r="2825" spans="1:17" ht="60" x14ac:dyDescent="0.25">
      <c r="F2825" s="10">
        <v>5</v>
      </c>
      <c r="H2825" s="2" t="s">
        <v>3395</v>
      </c>
      <c r="I2825" s="2" t="s">
        <v>29</v>
      </c>
      <c r="J2825" s="3">
        <v>40364</v>
      </c>
      <c r="K2825" s="4"/>
      <c r="L2825" s="4" t="s">
        <v>474</v>
      </c>
      <c r="N2825" s="2" t="s">
        <v>983</v>
      </c>
    </row>
    <row r="2826" spans="1:17" ht="30" x14ac:dyDescent="0.25">
      <c r="F2826" s="10">
        <v>6</v>
      </c>
      <c r="G2826" s="2" t="s">
        <v>3396</v>
      </c>
    </row>
    <row r="2827" spans="1:17" ht="30" x14ac:dyDescent="0.25">
      <c r="F2827" s="10">
        <v>7</v>
      </c>
      <c r="H2827" s="2" t="s">
        <v>3402</v>
      </c>
      <c r="I2827" s="2" t="s">
        <v>29</v>
      </c>
      <c r="J2827" s="3">
        <v>40364</v>
      </c>
      <c r="K2827" s="4"/>
      <c r="L2827" s="4"/>
    </row>
    <row r="2828" spans="1:17" ht="30" x14ac:dyDescent="0.25">
      <c r="F2828" s="10">
        <v>8</v>
      </c>
      <c r="H2828" s="2" t="s">
        <v>3397</v>
      </c>
      <c r="I2828" s="2" t="s">
        <v>29</v>
      </c>
      <c r="J2828" s="3">
        <v>40364</v>
      </c>
      <c r="K2828" s="4"/>
      <c r="L2828" s="4"/>
    </row>
    <row r="2829" spans="1:17" ht="30" x14ac:dyDescent="0.25">
      <c r="F2829" s="10">
        <v>9</v>
      </c>
      <c r="H2829" s="2" t="s">
        <v>3403</v>
      </c>
    </row>
    <row r="2830" spans="1:17" x14ac:dyDescent="0.25">
      <c r="F2830" s="10">
        <v>10</v>
      </c>
      <c r="H2830" s="2" t="s">
        <v>3398</v>
      </c>
      <c r="I2830" s="2" t="s">
        <v>29</v>
      </c>
      <c r="J2830" s="3">
        <v>40364</v>
      </c>
      <c r="K2830" s="4"/>
      <c r="L2830" s="4"/>
    </row>
    <row r="2831" spans="1:17" x14ac:dyDescent="0.25">
      <c r="F2831" s="10">
        <v>11</v>
      </c>
      <c r="H2831" s="2" t="s">
        <v>3399</v>
      </c>
      <c r="I2831" s="2" t="s">
        <v>29</v>
      </c>
      <c r="J2831" s="3">
        <v>40364</v>
      </c>
      <c r="K2831" s="4"/>
      <c r="L2831" s="4"/>
    </row>
    <row r="2832" spans="1:17" x14ac:dyDescent="0.25">
      <c r="F2832" s="10">
        <v>12</v>
      </c>
      <c r="H2832" s="2" t="s">
        <v>3400</v>
      </c>
      <c r="I2832" s="2" t="s">
        <v>29</v>
      </c>
      <c r="J2832" s="3">
        <v>40364</v>
      </c>
      <c r="K2832" s="4"/>
      <c r="L2832" s="4"/>
    </row>
    <row r="2833" spans="5:12" x14ac:dyDescent="0.25">
      <c r="F2833" s="10">
        <v>13</v>
      </c>
      <c r="H2833" s="2" t="s">
        <v>3401</v>
      </c>
      <c r="I2833" s="2" t="s">
        <v>29</v>
      </c>
      <c r="J2833" s="3">
        <v>40364</v>
      </c>
      <c r="K2833" s="4"/>
      <c r="L2833" s="4"/>
    </row>
    <row r="2834" spans="5:12" ht="30" x14ac:dyDescent="0.25">
      <c r="F2834" s="10">
        <v>14</v>
      </c>
      <c r="H2834" s="2" t="s">
        <v>3404</v>
      </c>
      <c r="I2834" s="2" t="s">
        <v>29</v>
      </c>
      <c r="J2834" s="3">
        <v>40364</v>
      </c>
      <c r="K2834" s="4"/>
      <c r="L2834" s="4"/>
    </row>
    <row r="2835" spans="5:12" ht="30" x14ac:dyDescent="0.25">
      <c r="F2835" s="10">
        <v>15</v>
      </c>
      <c r="H2835" s="2" t="s">
        <v>2803</v>
      </c>
      <c r="I2835" s="2" t="s">
        <v>33</v>
      </c>
      <c r="J2835" s="3">
        <v>40364</v>
      </c>
      <c r="K2835" s="4"/>
      <c r="L2835" s="4"/>
    </row>
    <row r="2836" spans="5:12" ht="30" x14ac:dyDescent="0.25">
      <c r="F2836" s="10">
        <v>16</v>
      </c>
      <c r="H2836" s="2" t="s">
        <v>3418</v>
      </c>
      <c r="I2836" s="2" t="s">
        <v>29</v>
      </c>
      <c r="J2836" s="3">
        <v>40364</v>
      </c>
      <c r="K2836" s="4"/>
      <c r="L2836" s="4"/>
    </row>
    <row r="2837" spans="5:12" ht="30" x14ac:dyDescent="0.25">
      <c r="F2837" s="10">
        <v>17</v>
      </c>
      <c r="G2837" s="2" t="s">
        <v>3417</v>
      </c>
    </row>
    <row r="2838" spans="5:12" ht="30" x14ac:dyDescent="0.25">
      <c r="F2838" s="10">
        <v>18</v>
      </c>
      <c r="H2838" s="2" t="s">
        <v>3405</v>
      </c>
      <c r="I2838" s="2" t="s">
        <v>29</v>
      </c>
      <c r="J2838" s="3">
        <v>40364</v>
      </c>
      <c r="K2838" s="4"/>
      <c r="L2838" s="4"/>
    </row>
    <row r="2839" spans="5:12" ht="30" x14ac:dyDescent="0.25">
      <c r="F2839" s="10">
        <v>19</v>
      </c>
      <c r="H2839" s="2" t="s">
        <v>3419</v>
      </c>
      <c r="I2839" s="2" t="s">
        <v>29</v>
      </c>
      <c r="J2839" s="3">
        <v>40364</v>
      </c>
      <c r="K2839" s="4"/>
      <c r="L2839" s="4"/>
    </row>
    <row r="2840" spans="5:12" ht="30" x14ac:dyDescent="0.25">
      <c r="F2840" s="10">
        <v>20</v>
      </c>
      <c r="H2840" s="2" t="s">
        <v>3406</v>
      </c>
      <c r="I2840" s="2" t="s">
        <v>29</v>
      </c>
      <c r="J2840" s="3">
        <v>40364</v>
      </c>
      <c r="K2840" s="4"/>
      <c r="L2840" s="4"/>
    </row>
    <row r="2841" spans="5:12" ht="30" x14ac:dyDescent="0.25">
      <c r="F2841" s="10">
        <v>21</v>
      </c>
      <c r="H2841" s="2" t="s">
        <v>3407</v>
      </c>
      <c r="I2841" s="2" t="s">
        <v>29</v>
      </c>
      <c r="J2841" s="3">
        <v>40364</v>
      </c>
      <c r="K2841" s="4"/>
      <c r="L2841" s="4"/>
    </row>
    <row r="2842" spans="5:12" ht="30" x14ac:dyDescent="0.25">
      <c r="F2842" s="10">
        <v>22</v>
      </c>
      <c r="H2842" s="2" t="s">
        <v>3409</v>
      </c>
      <c r="I2842" s="2" t="s">
        <v>29</v>
      </c>
      <c r="J2842" s="3">
        <v>40364</v>
      </c>
      <c r="K2842" s="4"/>
      <c r="L2842" s="4"/>
    </row>
    <row r="2843" spans="5:12" ht="30" x14ac:dyDescent="0.25">
      <c r="F2843" s="10">
        <v>23</v>
      </c>
      <c r="G2843" s="2" t="s">
        <v>3408</v>
      </c>
    </row>
    <row r="2844" spans="5:12" ht="30" x14ac:dyDescent="0.25">
      <c r="F2844" s="10">
        <v>24</v>
      </c>
      <c r="H2844" s="2" t="s">
        <v>3410</v>
      </c>
      <c r="I2844" s="2" t="s">
        <v>33</v>
      </c>
      <c r="J2844" s="3">
        <v>40364</v>
      </c>
      <c r="K2844" s="4"/>
      <c r="L2844" s="4"/>
    </row>
    <row r="2845" spans="5:12" ht="30" x14ac:dyDescent="0.25">
      <c r="F2845" s="10">
        <v>25</v>
      </c>
      <c r="H2845" s="2" t="s">
        <v>3411</v>
      </c>
      <c r="I2845" s="2" t="s">
        <v>33</v>
      </c>
      <c r="J2845" s="3">
        <v>40364</v>
      </c>
      <c r="K2845" s="4"/>
      <c r="L2845" s="4"/>
    </row>
    <row r="2846" spans="5:12" ht="30" x14ac:dyDescent="0.25">
      <c r="F2846" s="10">
        <v>26</v>
      </c>
      <c r="H2846" s="2" t="s">
        <v>3412</v>
      </c>
      <c r="I2846" s="2" t="s">
        <v>29</v>
      </c>
      <c r="J2846" s="3">
        <v>40364</v>
      </c>
      <c r="K2846" s="4"/>
      <c r="L2846" s="4"/>
    </row>
    <row r="2847" spans="5:12" x14ac:dyDescent="0.25">
      <c r="E2847" s="10" t="s">
        <v>3420</v>
      </c>
      <c r="F2847" s="10">
        <v>1</v>
      </c>
      <c r="G2847" s="2" t="s">
        <v>3421</v>
      </c>
    </row>
    <row r="2848" spans="5:12" ht="45" x14ac:dyDescent="0.25">
      <c r="F2848" s="10">
        <v>2</v>
      </c>
      <c r="H2848" s="2" t="s">
        <v>3422</v>
      </c>
      <c r="I2848" s="2" t="s">
        <v>29</v>
      </c>
      <c r="J2848" s="4"/>
      <c r="K2848" s="4"/>
      <c r="L2848" s="4"/>
    </row>
    <row r="2849" spans="5:12" ht="30" x14ac:dyDescent="0.25">
      <c r="F2849" s="10">
        <v>3</v>
      </c>
      <c r="H2849" s="2" t="s">
        <v>3423</v>
      </c>
      <c r="I2849" s="2" t="s">
        <v>29</v>
      </c>
      <c r="J2849" s="4"/>
      <c r="K2849" s="4"/>
      <c r="L2849" s="4"/>
    </row>
    <row r="2850" spans="5:12" x14ac:dyDescent="0.25">
      <c r="E2850" s="10" t="s">
        <v>590</v>
      </c>
      <c r="F2850" s="10">
        <v>1</v>
      </c>
      <c r="G2850" s="2" t="s">
        <v>3413</v>
      </c>
    </row>
    <row r="2851" spans="5:12" x14ac:dyDescent="0.25">
      <c r="F2851" s="10">
        <v>2</v>
      </c>
      <c r="H2851" s="2" t="s">
        <v>3415</v>
      </c>
      <c r="I2851" s="2" t="s">
        <v>33</v>
      </c>
      <c r="J2851" s="3">
        <v>40364</v>
      </c>
      <c r="K2851" s="4"/>
      <c r="L2851" s="4"/>
    </row>
    <row r="2852" spans="5:12" ht="30" x14ac:dyDescent="0.25">
      <c r="F2852" s="10">
        <v>3</v>
      </c>
      <c r="H2852" s="2" t="s">
        <v>3416</v>
      </c>
      <c r="I2852" s="2" t="s">
        <v>29</v>
      </c>
      <c r="J2852" s="3">
        <v>40364</v>
      </c>
      <c r="K2852" s="4"/>
      <c r="L2852" s="4"/>
    </row>
    <row r="2853" spans="5:12" ht="30" x14ac:dyDescent="0.25">
      <c r="E2853" s="10" t="s">
        <v>1103</v>
      </c>
      <c r="F2853" s="10">
        <v>1</v>
      </c>
      <c r="G2853" s="2" t="s">
        <v>3414</v>
      </c>
    </row>
    <row r="2854" spans="5:12" ht="30" x14ac:dyDescent="0.25">
      <c r="F2854" s="10">
        <v>2</v>
      </c>
      <c r="H2854" s="2" t="s">
        <v>3397</v>
      </c>
      <c r="I2854" s="2" t="s">
        <v>29</v>
      </c>
      <c r="J2854" s="3">
        <v>40364</v>
      </c>
      <c r="K2854" s="4"/>
      <c r="L2854" s="4"/>
    </row>
    <row r="2855" spans="5:12" ht="30" x14ac:dyDescent="0.25">
      <c r="F2855" s="10">
        <v>3</v>
      </c>
      <c r="H2855" s="2" t="s">
        <v>2998</v>
      </c>
      <c r="I2855" s="2" t="s">
        <v>29</v>
      </c>
      <c r="J2855" s="3">
        <v>40364</v>
      </c>
      <c r="K2855" s="4"/>
      <c r="L2855" s="4"/>
    </row>
    <row r="2856" spans="5:12" ht="30" x14ac:dyDescent="0.25">
      <c r="F2856" s="10">
        <v>4</v>
      </c>
      <c r="H2856" s="2" t="s">
        <v>2999</v>
      </c>
      <c r="I2856" s="2" t="s">
        <v>29</v>
      </c>
      <c r="J2856" s="3">
        <v>40364</v>
      </c>
      <c r="K2856" s="4"/>
      <c r="L2856" s="4"/>
    </row>
    <row r="2857" spans="5:12" ht="30" x14ac:dyDescent="0.25">
      <c r="F2857" s="10">
        <v>5</v>
      </c>
      <c r="H2857" s="2" t="s">
        <v>3000</v>
      </c>
      <c r="I2857" s="2" t="s">
        <v>29</v>
      </c>
      <c r="J2857" s="3">
        <v>40364</v>
      </c>
      <c r="K2857" s="4"/>
      <c r="L2857" s="4"/>
    </row>
    <row r="2858" spans="5:12" ht="30" x14ac:dyDescent="0.25">
      <c r="F2858" s="10">
        <v>6</v>
      </c>
      <c r="H2858" s="2" t="s">
        <v>3001</v>
      </c>
      <c r="I2858" s="2" t="s">
        <v>29</v>
      </c>
      <c r="J2858" s="3">
        <v>40364</v>
      </c>
      <c r="K2858" s="4"/>
      <c r="L2858" s="4"/>
    </row>
    <row r="2859" spans="5:12" ht="30" x14ac:dyDescent="0.25">
      <c r="F2859" s="10">
        <v>7</v>
      </c>
      <c r="H2859" s="2" t="s">
        <v>3002</v>
      </c>
      <c r="I2859" s="2" t="s">
        <v>29</v>
      </c>
      <c r="J2859" s="3">
        <v>40364</v>
      </c>
      <c r="K2859" s="4"/>
      <c r="L2859" s="4"/>
    </row>
    <row r="2860" spans="5:12" ht="30" x14ac:dyDescent="0.25">
      <c r="F2860" s="10">
        <v>8</v>
      </c>
      <c r="G2860" s="2" t="s">
        <v>3424</v>
      </c>
    </row>
    <row r="2861" spans="5:12" ht="30" x14ac:dyDescent="0.25">
      <c r="F2861" s="10">
        <v>9</v>
      </c>
      <c r="H2861" s="2" t="s">
        <v>3405</v>
      </c>
      <c r="I2861" s="2" t="s">
        <v>29</v>
      </c>
      <c r="J2861" s="3">
        <v>40364</v>
      </c>
      <c r="K2861" s="4"/>
      <c r="L2861" s="4"/>
    </row>
    <row r="2862" spans="5:12" ht="30" x14ac:dyDescent="0.25">
      <c r="F2862" s="10">
        <v>10</v>
      </c>
      <c r="H2862" s="2" t="s">
        <v>3419</v>
      </c>
      <c r="I2862" s="2" t="s">
        <v>29</v>
      </c>
      <c r="J2862" s="3">
        <v>40364</v>
      </c>
      <c r="K2862" s="4"/>
      <c r="L2862" s="4"/>
    </row>
    <row r="2863" spans="5:12" ht="30" x14ac:dyDescent="0.25">
      <c r="F2863" s="10">
        <v>11</v>
      </c>
      <c r="H2863" s="2" t="s">
        <v>2801</v>
      </c>
      <c r="I2863" s="2" t="s">
        <v>29</v>
      </c>
      <c r="J2863" s="3">
        <v>40364</v>
      </c>
      <c r="K2863" s="4"/>
      <c r="L2863" s="4"/>
    </row>
    <row r="2864" spans="5:12" ht="30" x14ac:dyDescent="0.25">
      <c r="F2864" s="10">
        <v>12</v>
      </c>
      <c r="H2864" s="2" t="s">
        <v>3407</v>
      </c>
      <c r="I2864" s="2" t="s">
        <v>29</v>
      </c>
      <c r="J2864" s="3">
        <v>40364</v>
      </c>
      <c r="K2864" s="4"/>
      <c r="L2864" s="4"/>
    </row>
    <row r="2865" spans="1:12" ht="30" x14ac:dyDescent="0.25">
      <c r="F2865" s="10">
        <v>13</v>
      </c>
      <c r="H2865" s="2" t="s">
        <v>3409</v>
      </c>
      <c r="I2865" s="2" t="s">
        <v>29</v>
      </c>
      <c r="J2865" s="3">
        <v>40364</v>
      </c>
      <c r="K2865" s="4"/>
      <c r="L2865" s="4"/>
    </row>
    <row r="2866" spans="1:12" ht="30" x14ac:dyDescent="0.25">
      <c r="F2866" s="10">
        <v>14</v>
      </c>
      <c r="G2866" s="2" t="s">
        <v>3408</v>
      </c>
    </row>
    <row r="2867" spans="1:12" ht="30" x14ac:dyDescent="0.25">
      <c r="F2867" s="10">
        <v>15</v>
      </c>
      <c r="H2867" s="2" t="s">
        <v>3410</v>
      </c>
      <c r="I2867" s="2" t="s">
        <v>33</v>
      </c>
      <c r="J2867" s="3">
        <v>40364</v>
      </c>
      <c r="K2867" s="4"/>
      <c r="L2867" s="4"/>
    </row>
    <row r="2868" spans="1:12" ht="30" x14ac:dyDescent="0.25">
      <c r="F2868" s="10">
        <v>16</v>
      </c>
      <c r="H2868" s="2" t="s">
        <v>2802</v>
      </c>
      <c r="I2868" s="2" t="s">
        <v>33</v>
      </c>
      <c r="J2868" s="3">
        <v>40364</v>
      </c>
      <c r="K2868" s="4"/>
      <c r="L2868" s="4"/>
    </row>
    <row r="2869" spans="1:12" ht="30" x14ac:dyDescent="0.25">
      <c r="F2869" s="10">
        <v>17</v>
      </c>
      <c r="H2869" s="2" t="s">
        <v>3412</v>
      </c>
      <c r="I2869" s="2" t="s">
        <v>29</v>
      </c>
      <c r="J2869" s="3">
        <v>40364</v>
      </c>
      <c r="K2869" s="4"/>
      <c r="L2869" s="4"/>
    </row>
    <row r="2871" spans="1:12" ht="105" x14ac:dyDescent="0.25">
      <c r="A2871" s="19" t="s">
        <v>2312</v>
      </c>
      <c r="B2871" s="19" t="s">
        <v>2647</v>
      </c>
      <c r="C2871" s="19" t="s">
        <v>39</v>
      </c>
      <c r="D2871" s="19" t="s">
        <v>2805</v>
      </c>
      <c r="E2871" s="10" t="s">
        <v>121</v>
      </c>
      <c r="F2871" s="10">
        <v>1</v>
      </c>
      <c r="G2871" s="2" t="s">
        <v>2874</v>
      </c>
    </row>
    <row r="2872" spans="1:12" ht="30" x14ac:dyDescent="0.25">
      <c r="F2872" s="10">
        <v>2</v>
      </c>
      <c r="H2872" s="2" t="s">
        <v>2875</v>
      </c>
      <c r="I2872" s="2" t="s">
        <v>29</v>
      </c>
      <c r="J2872" s="2" t="s">
        <v>33</v>
      </c>
      <c r="K2872" s="2" t="s">
        <v>33</v>
      </c>
      <c r="L2872" s="2" t="s">
        <v>33</v>
      </c>
    </row>
    <row r="2873" spans="1:12" ht="30" x14ac:dyDescent="0.25">
      <c r="F2873" s="10">
        <v>3</v>
      </c>
      <c r="H2873" s="2" t="s">
        <v>2876</v>
      </c>
      <c r="I2873" s="2" t="s">
        <v>29</v>
      </c>
      <c r="J2873" s="2" t="s">
        <v>33</v>
      </c>
      <c r="K2873" s="2" t="s">
        <v>33</v>
      </c>
      <c r="L2873" s="2" t="s">
        <v>33</v>
      </c>
    </row>
    <row r="2874" spans="1:12" ht="60" x14ac:dyDescent="0.25">
      <c r="F2874" s="10">
        <v>4</v>
      </c>
      <c r="H2874" s="2" t="s">
        <v>2877</v>
      </c>
      <c r="I2874" s="2" t="s">
        <v>29</v>
      </c>
      <c r="J2874" s="5">
        <v>40359</v>
      </c>
      <c r="K2874" s="4"/>
      <c r="L2874" s="4"/>
    </row>
    <row r="2875" spans="1:12" ht="30" x14ac:dyDescent="0.25">
      <c r="A2875" s="2"/>
      <c r="B2875" s="2"/>
      <c r="C2875" s="2"/>
      <c r="D2875" s="2"/>
      <c r="E2875" s="2"/>
      <c r="F2875" s="10">
        <v>5</v>
      </c>
      <c r="G2875" s="2" t="s">
        <v>3722</v>
      </c>
    </row>
    <row r="2876" spans="1:12" ht="30" x14ac:dyDescent="0.25">
      <c r="F2876" s="10">
        <v>6</v>
      </c>
      <c r="H2876" s="2" t="s">
        <v>2807</v>
      </c>
      <c r="I2876" s="2" t="s">
        <v>29</v>
      </c>
      <c r="J2876" s="5">
        <v>40359</v>
      </c>
      <c r="K2876" s="4"/>
      <c r="L2876" s="4"/>
    </row>
    <row r="2877" spans="1:12" ht="30" x14ac:dyDescent="0.25">
      <c r="F2877" s="10">
        <v>7</v>
      </c>
      <c r="H2877" s="2" t="s">
        <v>2810</v>
      </c>
      <c r="I2877" s="2" t="s">
        <v>29</v>
      </c>
      <c r="J2877" s="5">
        <v>40359</v>
      </c>
      <c r="K2877" s="4"/>
      <c r="L2877" s="4"/>
    </row>
    <row r="2878" spans="1:12" ht="30" x14ac:dyDescent="0.25">
      <c r="F2878" s="10">
        <v>8</v>
      </c>
      <c r="H2878" s="2" t="s">
        <v>2808</v>
      </c>
      <c r="I2878" s="2" t="s">
        <v>29</v>
      </c>
      <c r="J2878" s="5">
        <v>40359</v>
      </c>
      <c r="K2878" s="4"/>
      <c r="L2878" s="4"/>
    </row>
    <row r="2879" spans="1:12" x14ac:dyDescent="0.25">
      <c r="F2879" s="10">
        <v>9</v>
      </c>
      <c r="H2879" s="2" t="s">
        <v>2809</v>
      </c>
      <c r="I2879" s="2" t="s">
        <v>33</v>
      </c>
      <c r="J2879" s="5">
        <v>40359</v>
      </c>
      <c r="K2879" s="4"/>
      <c r="L2879" s="4"/>
    </row>
    <row r="2880" spans="1:12" ht="30" x14ac:dyDescent="0.25">
      <c r="F2880" s="10">
        <v>10</v>
      </c>
      <c r="H2880" s="2" t="s">
        <v>2806</v>
      </c>
      <c r="I2880" s="2" t="s">
        <v>29</v>
      </c>
      <c r="J2880" s="5">
        <v>40359</v>
      </c>
      <c r="K2880" s="4"/>
      <c r="L2880" s="4"/>
    </row>
    <row r="2881" spans="1:17" x14ac:dyDescent="0.25">
      <c r="F2881" s="10">
        <v>11</v>
      </c>
      <c r="G2881" s="2" t="s">
        <v>2811</v>
      </c>
    </row>
    <row r="2882" spans="1:17" ht="30" x14ac:dyDescent="0.25">
      <c r="F2882" s="10">
        <v>12</v>
      </c>
      <c r="H2882" s="2" t="s">
        <v>3419</v>
      </c>
      <c r="I2882" s="2" t="s">
        <v>33</v>
      </c>
      <c r="J2882" s="5">
        <v>40359</v>
      </c>
      <c r="K2882" s="4"/>
      <c r="L2882" s="4"/>
    </row>
    <row r="2883" spans="1:17" ht="45" x14ac:dyDescent="0.25">
      <c r="F2883" s="10">
        <v>13</v>
      </c>
      <c r="H2883" s="2" t="s">
        <v>2812</v>
      </c>
      <c r="I2883" s="2" t="s">
        <v>30</v>
      </c>
      <c r="J2883" s="5">
        <v>40359</v>
      </c>
      <c r="K2883" s="4"/>
      <c r="L2883" s="4"/>
    </row>
    <row r="2884" spans="1:17" ht="45" x14ac:dyDescent="0.25">
      <c r="F2884" s="10">
        <v>14</v>
      </c>
      <c r="H2884" s="2" t="s">
        <v>2818</v>
      </c>
      <c r="I2884" s="2" t="s">
        <v>30</v>
      </c>
      <c r="J2884" s="5">
        <v>40359</v>
      </c>
      <c r="K2884" s="4"/>
      <c r="L2884" s="4"/>
    </row>
    <row r="2885" spans="1:17" ht="30" x14ac:dyDescent="0.25">
      <c r="E2885" s="10" t="s">
        <v>949</v>
      </c>
      <c r="F2885" s="10">
        <v>1</v>
      </c>
      <c r="G2885" s="2" t="s">
        <v>2813</v>
      </c>
    </row>
    <row r="2886" spans="1:17" ht="45" x14ac:dyDescent="0.25">
      <c r="F2886" s="10">
        <v>2</v>
      </c>
      <c r="H2886" s="2" t="s">
        <v>2814</v>
      </c>
      <c r="I2886" s="2" t="s">
        <v>29</v>
      </c>
      <c r="J2886" s="5">
        <v>40359</v>
      </c>
      <c r="K2886" s="4"/>
      <c r="L2886" s="4"/>
    </row>
    <row r="2887" spans="1:17" x14ac:dyDescent="0.25">
      <c r="F2887" s="10">
        <v>3</v>
      </c>
      <c r="H2887" s="2" t="s">
        <v>2815</v>
      </c>
      <c r="I2887" s="2" t="s">
        <v>29</v>
      </c>
      <c r="J2887" s="5">
        <v>40359</v>
      </c>
      <c r="K2887" s="4"/>
      <c r="L2887" s="4"/>
    </row>
    <row r="2888" spans="1:17" x14ac:dyDescent="0.25">
      <c r="F2888" s="10">
        <v>4</v>
      </c>
      <c r="G2888" s="2" t="s">
        <v>2816</v>
      </c>
    </row>
    <row r="2889" spans="1:17" x14ac:dyDescent="0.25">
      <c r="F2889" s="10">
        <v>5</v>
      </c>
      <c r="H2889" s="2" t="s">
        <v>2817</v>
      </c>
      <c r="I2889" s="2" t="s">
        <v>29</v>
      </c>
      <c r="J2889" s="5">
        <v>40359</v>
      </c>
      <c r="K2889" s="4"/>
      <c r="L2889" s="4"/>
    </row>
    <row r="2891" spans="1:17" ht="60" x14ac:dyDescent="0.25">
      <c r="A2891" s="19" t="s">
        <v>2323</v>
      </c>
      <c r="B2891" s="19" t="s">
        <v>2704</v>
      </c>
      <c r="C2891" s="19" t="s">
        <v>46</v>
      </c>
      <c r="D2891" s="19" t="s">
        <v>3446</v>
      </c>
      <c r="E2891" s="10" t="s">
        <v>121</v>
      </c>
      <c r="F2891" s="10">
        <v>1</v>
      </c>
      <c r="G2891" s="2" t="s">
        <v>3447</v>
      </c>
    </row>
    <row r="2892" spans="1:17" ht="30" x14ac:dyDescent="0.25">
      <c r="F2892" s="10">
        <v>2</v>
      </c>
      <c r="H2892" s="2" t="s">
        <v>2837</v>
      </c>
      <c r="I2892" s="2" t="s">
        <v>30</v>
      </c>
      <c r="J2892" s="2" t="s">
        <v>33</v>
      </c>
      <c r="K2892" s="2" t="s">
        <v>33</v>
      </c>
      <c r="L2892" s="4"/>
      <c r="N2892" s="2" t="s">
        <v>974</v>
      </c>
    </row>
    <row r="2893" spans="1:17" ht="45" x14ac:dyDescent="0.25">
      <c r="F2893" s="10">
        <v>3</v>
      </c>
      <c r="H2893" s="2" t="s">
        <v>3448</v>
      </c>
      <c r="I2893" s="2" t="s">
        <v>30</v>
      </c>
      <c r="J2893" s="2" t="s">
        <v>33</v>
      </c>
      <c r="K2893" s="2" t="s">
        <v>33</v>
      </c>
      <c r="L2893" s="4"/>
      <c r="N2893" s="2" t="s">
        <v>974</v>
      </c>
    </row>
    <row r="2894" spans="1:17" ht="60" x14ac:dyDescent="0.25">
      <c r="F2894" s="10">
        <v>4</v>
      </c>
      <c r="H2894" s="2" t="s">
        <v>3449</v>
      </c>
      <c r="I2894" s="2" t="s">
        <v>30</v>
      </c>
      <c r="J2894" s="2" t="s">
        <v>33</v>
      </c>
      <c r="K2894" s="2" t="s">
        <v>33</v>
      </c>
      <c r="L2894" s="4"/>
      <c r="N2894" s="2" t="s">
        <v>974</v>
      </c>
      <c r="O2894" s="2" t="s">
        <v>2935</v>
      </c>
      <c r="P2894" s="2" t="s">
        <v>980</v>
      </c>
      <c r="Q2894" s="2" t="s">
        <v>540</v>
      </c>
    </row>
    <row r="2895" spans="1:17" ht="45" x14ac:dyDescent="0.25">
      <c r="F2895" s="10">
        <v>5</v>
      </c>
      <c r="H2895" s="2" t="s">
        <v>2839</v>
      </c>
      <c r="I2895" s="2" t="s">
        <v>30</v>
      </c>
      <c r="J2895" s="2" t="s">
        <v>33</v>
      </c>
      <c r="K2895" s="2" t="s">
        <v>33</v>
      </c>
      <c r="L2895" s="4"/>
      <c r="N2895" s="2" t="s">
        <v>974</v>
      </c>
    </row>
    <row r="2896" spans="1:17" x14ac:dyDescent="0.25">
      <c r="F2896" s="10">
        <v>6</v>
      </c>
      <c r="H2896" s="2" t="s">
        <v>2838</v>
      </c>
      <c r="I2896" s="2" t="s">
        <v>30</v>
      </c>
      <c r="J2896" s="2" t="s">
        <v>33</v>
      </c>
      <c r="K2896" s="2" t="s">
        <v>33</v>
      </c>
      <c r="L2896" s="4"/>
      <c r="N2896" s="2" t="s">
        <v>974</v>
      </c>
    </row>
    <row r="2897" spans="1:18" ht="30" x14ac:dyDescent="0.25">
      <c r="E2897" s="10" t="s">
        <v>123</v>
      </c>
      <c r="F2897" s="10">
        <v>1</v>
      </c>
      <c r="G2897" s="2" t="s">
        <v>2840</v>
      </c>
    </row>
    <row r="2898" spans="1:18" ht="30" x14ac:dyDescent="0.25">
      <c r="F2898" s="10">
        <v>2</v>
      </c>
      <c r="H2898" s="2" t="s">
        <v>2841</v>
      </c>
      <c r="I2898" s="2" t="s">
        <v>30</v>
      </c>
      <c r="J2898" s="2" t="s">
        <v>33</v>
      </c>
      <c r="K2898" s="2" t="s">
        <v>33</v>
      </c>
      <c r="L2898" s="4"/>
      <c r="N2898" s="2" t="s">
        <v>974</v>
      </c>
      <c r="O2898" s="2" t="s">
        <v>2963</v>
      </c>
      <c r="P2898" s="2" t="s">
        <v>982</v>
      </c>
      <c r="Q2898" s="2" t="s">
        <v>540</v>
      </c>
    </row>
    <row r="2899" spans="1:18" ht="60" x14ac:dyDescent="0.25">
      <c r="F2899" s="10">
        <v>3</v>
      </c>
      <c r="H2899" s="2" t="s">
        <v>3450</v>
      </c>
      <c r="I2899" s="2" t="s">
        <v>30</v>
      </c>
      <c r="J2899" s="2" t="s">
        <v>33</v>
      </c>
      <c r="K2899" s="2" t="s">
        <v>33</v>
      </c>
      <c r="L2899" s="4"/>
      <c r="N2899" s="2" t="s">
        <v>974</v>
      </c>
    </row>
    <row r="2900" spans="1:18" x14ac:dyDescent="0.25">
      <c r="E2900" s="10" t="s">
        <v>126</v>
      </c>
      <c r="F2900" s="10">
        <v>1</v>
      </c>
      <c r="G2900" s="2" t="s">
        <v>3451</v>
      </c>
    </row>
    <row r="2901" spans="1:18" ht="105" x14ac:dyDescent="0.25">
      <c r="F2901" s="10">
        <v>2</v>
      </c>
      <c r="H2901" s="2" t="s">
        <v>3452</v>
      </c>
      <c r="I2901" s="2" t="s">
        <v>30</v>
      </c>
      <c r="J2901" s="2" t="s">
        <v>33</v>
      </c>
      <c r="K2901" s="2" t="s">
        <v>33</v>
      </c>
      <c r="L2901" s="4"/>
      <c r="N2901" s="2" t="s">
        <v>974</v>
      </c>
      <c r="O2901" s="2" t="s">
        <v>2932</v>
      </c>
      <c r="P2901" s="2" t="s">
        <v>982</v>
      </c>
      <c r="Q2901" s="2" t="s">
        <v>540</v>
      </c>
      <c r="R2901" s="2" t="s">
        <v>2936</v>
      </c>
    </row>
    <row r="2902" spans="1:18" ht="45" x14ac:dyDescent="0.25">
      <c r="F2902" s="10">
        <v>3</v>
      </c>
      <c r="H2902" s="2" t="s">
        <v>2842</v>
      </c>
      <c r="I2902" s="2" t="s">
        <v>30</v>
      </c>
      <c r="J2902" s="2" t="s">
        <v>33</v>
      </c>
      <c r="K2902" s="2" t="s">
        <v>33</v>
      </c>
      <c r="L2902" s="4"/>
      <c r="N2902" s="2" t="s">
        <v>974</v>
      </c>
    </row>
    <row r="2903" spans="1:18" ht="30" x14ac:dyDescent="0.25">
      <c r="E2903" s="10" t="s">
        <v>127</v>
      </c>
      <c r="F2903" s="10">
        <v>1</v>
      </c>
      <c r="G2903" s="2" t="s">
        <v>3453</v>
      </c>
    </row>
    <row r="2904" spans="1:18" ht="60" x14ac:dyDescent="0.25">
      <c r="F2904" s="10">
        <v>2</v>
      </c>
      <c r="H2904" s="2" t="s">
        <v>3454</v>
      </c>
      <c r="I2904" s="2" t="s">
        <v>30</v>
      </c>
      <c r="J2904" s="2" t="s">
        <v>33</v>
      </c>
      <c r="K2904" s="2" t="s">
        <v>33</v>
      </c>
      <c r="L2904" s="4"/>
      <c r="N2904" s="2" t="s">
        <v>974</v>
      </c>
      <c r="O2904" s="2" t="s">
        <v>2921</v>
      </c>
      <c r="P2904" s="2" t="s">
        <v>980</v>
      </c>
      <c r="Q2904" s="2" t="s">
        <v>540</v>
      </c>
      <c r="R2904" s="2" t="s">
        <v>2953</v>
      </c>
    </row>
    <row r="2905" spans="1:18" ht="90" x14ac:dyDescent="0.25">
      <c r="K2905" s="2"/>
      <c r="L2905" s="4"/>
      <c r="N2905" s="2" t="s">
        <v>974</v>
      </c>
      <c r="O2905" s="2" t="s">
        <v>2930</v>
      </c>
      <c r="P2905" s="2" t="s">
        <v>982</v>
      </c>
      <c r="Q2905" s="2" t="s">
        <v>540</v>
      </c>
    </row>
    <row r="2906" spans="1:18" ht="45" x14ac:dyDescent="0.25">
      <c r="F2906" s="10">
        <v>3</v>
      </c>
      <c r="H2906" s="2" t="s">
        <v>2843</v>
      </c>
      <c r="I2906" s="2" t="s">
        <v>30</v>
      </c>
      <c r="J2906" s="2" t="s">
        <v>33</v>
      </c>
      <c r="K2906" s="2" t="s">
        <v>33</v>
      </c>
      <c r="L2906" s="4"/>
      <c r="N2906" s="2" t="s">
        <v>974</v>
      </c>
    </row>
    <row r="2907" spans="1:18" ht="75" x14ac:dyDescent="0.25">
      <c r="K2907" s="2"/>
      <c r="L2907" s="2"/>
      <c r="N2907" s="2" t="s">
        <v>974</v>
      </c>
      <c r="O2907" s="2" t="s">
        <v>2937</v>
      </c>
      <c r="P2907" s="2" t="s">
        <v>982</v>
      </c>
      <c r="Q2907" s="2" t="s">
        <v>540</v>
      </c>
    </row>
    <row r="2909" spans="1:18" ht="45" x14ac:dyDescent="0.25">
      <c r="A2909" s="19" t="s">
        <v>2675</v>
      </c>
      <c r="B2909" s="19" t="s">
        <v>2549</v>
      </c>
      <c r="C2909" s="19" t="s">
        <v>39</v>
      </c>
      <c r="D2909" s="19" t="s">
        <v>2550</v>
      </c>
      <c r="E2909" s="10" t="s">
        <v>121</v>
      </c>
      <c r="F2909" s="10">
        <v>1</v>
      </c>
      <c r="G2909" s="2" t="s">
        <v>2878</v>
      </c>
    </row>
    <row r="2910" spans="1:18" x14ac:dyDescent="0.25">
      <c r="F2910" s="10">
        <v>2</v>
      </c>
      <c r="H2910" s="2" t="s">
        <v>2883</v>
      </c>
      <c r="I2910" s="2" t="s">
        <v>29</v>
      </c>
      <c r="J2910" s="3">
        <v>40381</v>
      </c>
      <c r="K2910" s="4"/>
      <c r="L2910" s="4"/>
    </row>
    <row r="2911" spans="1:18" x14ac:dyDescent="0.25">
      <c r="F2911" s="10">
        <v>3</v>
      </c>
      <c r="H2911" s="2" t="s">
        <v>2879</v>
      </c>
      <c r="I2911" s="2" t="s">
        <v>29</v>
      </c>
      <c r="J2911" s="3">
        <v>40381</v>
      </c>
      <c r="K2911" s="4"/>
      <c r="L2911" s="4"/>
    </row>
    <row r="2912" spans="1:18" x14ac:dyDescent="0.25">
      <c r="F2912" s="10">
        <v>4</v>
      </c>
      <c r="H2912" s="2" t="s">
        <v>2880</v>
      </c>
      <c r="I2912" s="2" t="s">
        <v>29</v>
      </c>
      <c r="J2912" s="3">
        <v>40381</v>
      </c>
      <c r="K2912" s="4"/>
      <c r="L2912" s="4"/>
    </row>
    <row r="2913" spans="1:12" x14ac:dyDescent="0.25">
      <c r="F2913" s="10">
        <v>5</v>
      </c>
      <c r="H2913" s="2" t="s">
        <v>2881</v>
      </c>
      <c r="I2913" s="2" t="s">
        <v>29</v>
      </c>
      <c r="J2913" s="3">
        <v>40381</v>
      </c>
      <c r="K2913" s="4"/>
      <c r="L2913" s="4"/>
    </row>
    <row r="2914" spans="1:12" x14ac:dyDescent="0.25">
      <c r="F2914" s="10">
        <v>6</v>
      </c>
      <c r="G2914" s="2" t="s">
        <v>2882</v>
      </c>
      <c r="K2914" s="2"/>
      <c r="L2914" s="2"/>
    </row>
    <row r="2915" spans="1:12" ht="30" x14ac:dyDescent="0.25">
      <c r="F2915" s="10">
        <v>7</v>
      </c>
      <c r="H2915" s="2" t="s">
        <v>2884</v>
      </c>
      <c r="I2915" s="2" t="s">
        <v>29</v>
      </c>
      <c r="J2915" s="3">
        <v>40381</v>
      </c>
      <c r="K2915" s="4"/>
      <c r="L2915" s="4"/>
    </row>
    <row r="2916" spans="1:12" ht="30" x14ac:dyDescent="0.25">
      <c r="F2916" s="10">
        <v>8</v>
      </c>
      <c r="H2916" s="2" t="s">
        <v>3701</v>
      </c>
      <c r="I2916" s="2" t="s">
        <v>29</v>
      </c>
      <c r="J2916" s="3">
        <v>40381</v>
      </c>
      <c r="K2916" s="4"/>
      <c r="L2916" s="4"/>
    </row>
    <row r="2917" spans="1:12" ht="45" x14ac:dyDescent="0.25">
      <c r="F2917" s="10">
        <v>9</v>
      </c>
      <c r="H2917" s="2" t="s">
        <v>2885</v>
      </c>
      <c r="I2917" s="2" t="s">
        <v>29</v>
      </c>
      <c r="J2917" s="3">
        <v>40381</v>
      </c>
      <c r="K2917" s="4"/>
      <c r="L2917" s="4"/>
    </row>
    <row r="2918" spans="1:12" x14ac:dyDescent="0.25">
      <c r="F2918" s="10">
        <v>10</v>
      </c>
      <c r="H2918" s="2" t="s">
        <v>2886</v>
      </c>
      <c r="I2918" s="2" t="s">
        <v>29</v>
      </c>
      <c r="J2918" s="3">
        <v>40381</v>
      </c>
      <c r="K2918" s="4"/>
      <c r="L2918" s="4"/>
    </row>
    <row r="2919" spans="1:12" ht="45" x14ac:dyDescent="0.25">
      <c r="F2919" s="10">
        <v>11</v>
      </c>
      <c r="G2919" s="2" t="s">
        <v>2887</v>
      </c>
      <c r="K2919" s="2"/>
      <c r="L2919" s="2"/>
    </row>
    <row r="2920" spans="1:12" x14ac:dyDescent="0.25">
      <c r="F2920" s="10">
        <v>12</v>
      </c>
      <c r="H2920" s="2" t="s">
        <v>2888</v>
      </c>
      <c r="I2920" s="2" t="s">
        <v>29</v>
      </c>
      <c r="J2920" s="3">
        <v>40381</v>
      </c>
      <c r="K2920" s="4"/>
      <c r="L2920" s="4"/>
    </row>
    <row r="2921" spans="1:12" x14ac:dyDescent="0.25">
      <c r="F2921" s="10">
        <v>13</v>
      </c>
      <c r="H2921" s="2" t="s">
        <v>2889</v>
      </c>
      <c r="I2921" s="2" t="s">
        <v>29</v>
      </c>
      <c r="J2921" s="3">
        <v>40381</v>
      </c>
      <c r="K2921" s="4"/>
      <c r="L2921" s="4"/>
    </row>
    <row r="2922" spans="1:12" ht="45" x14ac:dyDescent="0.25">
      <c r="F2922" s="10">
        <v>14</v>
      </c>
      <c r="H2922" s="2" t="s">
        <v>2890</v>
      </c>
      <c r="I2922" s="2" t="s">
        <v>29</v>
      </c>
      <c r="J2922" s="3">
        <v>40381</v>
      </c>
      <c r="K2922" s="4"/>
      <c r="L2922" s="4"/>
    </row>
    <row r="2924" spans="1:12" ht="45" x14ac:dyDescent="0.25">
      <c r="A2924" s="19" t="s">
        <v>2316</v>
      </c>
      <c r="B2924" s="19" t="s">
        <v>2654</v>
      </c>
      <c r="C2924" s="2" t="s">
        <v>3848</v>
      </c>
      <c r="D2924" s="19" t="s">
        <v>2655</v>
      </c>
      <c r="E2924" s="10" t="s">
        <v>121</v>
      </c>
      <c r="F2924" s="10">
        <v>1</v>
      </c>
      <c r="G2924" s="2" t="s">
        <v>2891</v>
      </c>
    </row>
    <row r="2925" spans="1:12" ht="60" x14ac:dyDescent="0.25">
      <c r="F2925" s="10">
        <v>2</v>
      </c>
      <c r="H2925" s="2" t="s">
        <v>2892</v>
      </c>
      <c r="I2925" s="2" t="s">
        <v>29</v>
      </c>
      <c r="J2925" s="3">
        <v>40381</v>
      </c>
      <c r="K2925" s="4"/>
      <c r="L2925" s="4"/>
    </row>
    <row r="2926" spans="1:12" ht="45" x14ac:dyDescent="0.25">
      <c r="F2926" s="10">
        <v>3</v>
      </c>
      <c r="H2926" s="2" t="s">
        <v>2893</v>
      </c>
      <c r="I2926" s="2" t="s">
        <v>29</v>
      </c>
      <c r="J2926" s="3">
        <v>40381</v>
      </c>
      <c r="K2926" s="4"/>
      <c r="L2926" s="4"/>
    </row>
    <row r="2927" spans="1:12" ht="60" x14ac:dyDescent="0.25">
      <c r="F2927" s="10">
        <v>4</v>
      </c>
      <c r="H2927" s="2" t="s">
        <v>2894</v>
      </c>
      <c r="I2927" s="2" t="s">
        <v>29</v>
      </c>
      <c r="J2927" s="3">
        <v>40381</v>
      </c>
      <c r="K2927" s="4"/>
      <c r="L2927" s="4"/>
    </row>
    <row r="2929" spans="1:12" ht="30" x14ac:dyDescent="0.25">
      <c r="A2929" s="19" t="s">
        <v>2315</v>
      </c>
      <c r="B2929" s="19" t="s">
        <v>2652</v>
      </c>
      <c r="C2929" s="2" t="s">
        <v>3848</v>
      </c>
      <c r="D2929" s="19" t="s">
        <v>2653</v>
      </c>
      <c r="E2929" s="10" t="s">
        <v>121</v>
      </c>
      <c r="F2929" s="10">
        <v>1</v>
      </c>
      <c r="G2929" s="2" t="s">
        <v>2906</v>
      </c>
    </row>
    <row r="2930" spans="1:12" ht="45" x14ac:dyDescent="0.25">
      <c r="F2930" s="10">
        <v>2</v>
      </c>
      <c r="H2930" s="2" t="s">
        <v>2907</v>
      </c>
      <c r="I2930" s="2" t="s">
        <v>29</v>
      </c>
      <c r="J2930" s="3">
        <v>40381</v>
      </c>
      <c r="K2930" s="4"/>
      <c r="L2930" s="4"/>
    </row>
    <row r="2931" spans="1:12" x14ac:dyDescent="0.25">
      <c r="A2931" s="2"/>
      <c r="B2931" s="2"/>
      <c r="C2931" s="2"/>
      <c r="D2931" s="2"/>
      <c r="E2931" s="2"/>
      <c r="F2931" s="10">
        <v>3</v>
      </c>
      <c r="G2931" s="2" t="s">
        <v>2908</v>
      </c>
    </row>
    <row r="2932" spans="1:12" ht="45" x14ac:dyDescent="0.25">
      <c r="F2932" s="10">
        <v>4</v>
      </c>
      <c r="H2932" s="2" t="s">
        <v>2895</v>
      </c>
      <c r="I2932" s="2" t="s">
        <v>29</v>
      </c>
      <c r="J2932" s="3">
        <v>40381</v>
      </c>
      <c r="K2932" s="4"/>
      <c r="L2932" s="4"/>
    </row>
    <row r="2933" spans="1:12" x14ac:dyDescent="0.25">
      <c r="F2933" s="10">
        <v>5</v>
      </c>
      <c r="H2933" s="2" t="s">
        <v>2896</v>
      </c>
      <c r="I2933" s="2" t="s">
        <v>29</v>
      </c>
      <c r="J2933" s="3">
        <v>40381</v>
      </c>
      <c r="K2933" s="4"/>
      <c r="L2933" s="4"/>
    </row>
    <row r="2934" spans="1:12" x14ac:dyDescent="0.25">
      <c r="F2934" s="10">
        <v>6</v>
      </c>
      <c r="G2934" s="2" t="s">
        <v>2913</v>
      </c>
      <c r="K2934" s="4"/>
      <c r="L2934" s="4"/>
    </row>
    <row r="2935" spans="1:12" x14ac:dyDescent="0.25">
      <c r="F2935" s="10">
        <v>7</v>
      </c>
      <c r="G2935" s="2" t="s">
        <v>2897</v>
      </c>
    </row>
    <row r="2936" spans="1:12" x14ac:dyDescent="0.25">
      <c r="F2936" s="10">
        <v>8</v>
      </c>
      <c r="H2936" s="2" t="s">
        <v>2914</v>
      </c>
      <c r="I2936" s="2" t="s">
        <v>33</v>
      </c>
      <c r="J2936" s="3">
        <v>40381</v>
      </c>
      <c r="K2936" s="4"/>
      <c r="L2936" s="4"/>
    </row>
    <row r="2937" spans="1:12" x14ac:dyDescent="0.25">
      <c r="F2937" s="10">
        <v>9</v>
      </c>
      <c r="H2937" s="2" t="s">
        <v>2898</v>
      </c>
      <c r="I2937" s="2" t="s">
        <v>29</v>
      </c>
      <c r="J2937" s="3">
        <v>40381</v>
      </c>
      <c r="K2937" s="4"/>
      <c r="L2937" s="4"/>
    </row>
    <row r="2938" spans="1:12" x14ac:dyDescent="0.25">
      <c r="F2938" s="10">
        <v>10</v>
      </c>
      <c r="H2938" s="2" t="s">
        <v>2899</v>
      </c>
      <c r="I2938" s="2" t="s">
        <v>29</v>
      </c>
      <c r="J2938" s="3">
        <v>40381</v>
      </c>
      <c r="K2938" s="4"/>
      <c r="L2938" s="4"/>
    </row>
    <row r="2939" spans="1:12" x14ac:dyDescent="0.25">
      <c r="F2939" s="10">
        <v>11</v>
      </c>
      <c r="H2939" s="2" t="s">
        <v>2900</v>
      </c>
      <c r="I2939" s="2" t="s">
        <v>29</v>
      </c>
      <c r="J2939" s="3">
        <v>40381</v>
      </c>
      <c r="K2939" s="4"/>
      <c r="L2939" s="4"/>
    </row>
    <row r="2940" spans="1:12" ht="45" x14ac:dyDescent="0.25">
      <c r="F2940" s="10">
        <v>12</v>
      </c>
      <c r="H2940" s="2" t="s">
        <v>2912</v>
      </c>
      <c r="I2940" s="2" t="s">
        <v>29</v>
      </c>
      <c r="J2940" s="3">
        <v>40381</v>
      </c>
      <c r="K2940" s="4"/>
      <c r="L2940" s="4"/>
    </row>
    <row r="2941" spans="1:12" x14ac:dyDescent="0.25">
      <c r="F2941" s="10">
        <v>13</v>
      </c>
      <c r="G2941" s="2" t="s">
        <v>2902</v>
      </c>
    </row>
    <row r="2942" spans="1:12" x14ac:dyDescent="0.25">
      <c r="F2942" s="10">
        <v>14</v>
      </c>
      <c r="H2942" s="2" t="s">
        <v>2904</v>
      </c>
      <c r="I2942" s="2" t="s">
        <v>29</v>
      </c>
      <c r="J2942" s="3">
        <v>40381</v>
      </c>
      <c r="K2942" s="4"/>
      <c r="L2942" s="4"/>
    </row>
    <row r="2943" spans="1:12" x14ac:dyDescent="0.25">
      <c r="F2943" s="10">
        <v>15</v>
      </c>
      <c r="H2943" s="2" t="s">
        <v>2903</v>
      </c>
      <c r="I2943" s="2" t="s">
        <v>29</v>
      </c>
      <c r="J2943" s="3">
        <v>40381</v>
      </c>
      <c r="K2943" s="4"/>
      <c r="L2943" s="4"/>
    </row>
    <row r="2944" spans="1:12" x14ac:dyDescent="0.25">
      <c r="F2944" s="10">
        <v>16</v>
      </c>
      <c r="G2944" s="2" t="s">
        <v>2568</v>
      </c>
    </row>
    <row r="2945" spans="5:12" ht="30" x14ac:dyDescent="0.25">
      <c r="F2945" s="10">
        <v>17</v>
      </c>
      <c r="H2945" s="2" t="s">
        <v>2901</v>
      </c>
      <c r="I2945" s="2" t="s">
        <v>29</v>
      </c>
      <c r="J2945" s="3">
        <v>40381</v>
      </c>
      <c r="K2945" s="4"/>
      <c r="L2945" s="4"/>
    </row>
    <row r="2946" spans="5:12" x14ac:dyDescent="0.25">
      <c r="F2946" s="10">
        <v>18</v>
      </c>
      <c r="H2946" s="2" t="s">
        <v>2909</v>
      </c>
      <c r="I2946" s="2" t="s">
        <v>29</v>
      </c>
      <c r="J2946" s="3">
        <v>40381</v>
      </c>
      <c r="K2946" s="4"/>
      <c r="L2946" s="4"/>
    </row>
    <row r="2947" spans="5:12" x14ac:dyDescent="0.25">
      <c r="E2947" s="10" t="s">
        <v>692</v>
      </c>
      <c r="F2947" s="10">
        <v>1</v>
      </c>
      <c r="G2947" s="2" t="s">
        <v>2905</v>
      </c>
    </row>
    <row r="2948" spans="5:12" ht="30" x14ac:dyDescent="0.25">
      <c r="F2948" s="10">
        <v>2</v>
      </c>
      <c r="H2948" s="2" t="s">
        <v>2910</v>
      </c>
      <c r="I2948" s="2" t="s">
        <v>29</v>
      </c>
      <c r="J2948" s="3">
        <v>40381</v>
      </c>
      <c r="K2948" s="4"/>
      <c r="L2948" s="4"/>
    </row>
    <row r="2949" spans="5:12" x14ac:dyDescent="0.25">
      <c r="F2949" s="10">
        <v>3</v>
      </c>
      <c r="H2949" s="2" t="s">
        <v>2899</v>
      </c>
      <c r="I2949" s="2" t="s">
        <v>29</v>
      </c>
      <c r="J2949" s="3">
        <v>40381</v>
      </c>
      <c r="K2949" s="4"/>
      <c r="L2949" s="4"/>
    </row>
    <row r="2950" spans="5:12" x14ac:dyDescent="0.25">
      <c r="F2950" s="10">
        <v>4</v>
      </c>
      <c r="H2950" s="2" t="s">
        <v>2911</v>
      </c>
      <c r="I2950" s="2" t="s">
        <v>29</v>
      </c>
      <c r="J2950" s="3">
        <v>40381</v>
      </c>
      <c r="K2950" s="4"/>
      <c r="L2950" s="4"/>
    </row>
  </sheetData>
  <phoneticPr fontId="7" type="noConversion"/>
  <conditionalFormatting sqref="M2360 M2364:N2367 H1605:L1605 M1603:M1605 M1573 Q1273 Q1276 Q1265:Q1271 K990 K986:K988 Q1033 N1166:N1837 N1839:N1841 N1843:N65536 Q14:Q15 N1:N1164">
    <cfRule type="cellIs" dxfId="12" priority="204" operator="equal">
      <formula>"Pending"</formula>
    </cfRule>
    <cfRule type="cellIs" dxfId="11" priority="209" operator="equal">
      <formula>"Fail"</formula>
    </cfRule>
    <cfRule type="cellIs" dxfId="10" priority="210" operator="equal">
      <formula>"Pass"</formula>
    </cfRule>
  </conditionalFormatting>
  <conditionalFormatting sqref="N2714 P2505 P2366:Q2367 P2361:P2367 P1795:P1802 N1543:N1544 Q1140:Q1141 P815 P670:P671 P679:P680 Q1143:Q2108 Q2110:Q65536 N524 Q1:Q1138">
    <cfRule type="cellIs" dxfId="9" priority="186" operator="equal">
      <formula>"Failed"</formula>
    </cfRule>
    <cfRule type="cellIs" dxfId="8" priority="203" operator="equal">
      <formula>"Issue"</formula>
    </cfRule>
    <cfRule type="cellIs" dxfId="7" priority="211" operator="equal">
      <formula>"Raised"</formula>
    </cfRule>
    <cfRule type="cellIs" dxfId="3" priority="212" operator="equal">
      <formula>"Fixed"</formula>
    </cfRule>
    <cfRule type="cellIs" dxfId="2" priority="213" operator="equal">
      <formula>"Closed"</formula>
    </cfRule>
    <cfRule type="cellIs" dxfId="1" priority="214" operator="equal">
      <formula>"Withdrawn"</formula>
    </cfRule>
  </conditionalFormatting>
  <conditionalFormatting sqref="Q641:Q645 Q576:Q604 Q647 Q608 Q612:Q613">
    <cfRule type="cellIs" dxfId="6" priority="199" operator="equal">
      <formula>"Raised"</formula>
    </cfRule>
    <cfRule type="cellIs" dxfId="5" priority="200" operator="equal">
      <formula>"Fixed"</formula>
    </cfRule>
    <cfRule type="cellIs" dxfId="4" priority="201" operator="equal">
      <formula>"Closed"</formula>
    </cfRule>
    <cfRule type="cellIs" dxfId="0" priority="202" operator="equal">
      <formula>"Withdrawn"</formula>
    </cfRule>
  </conditionalFormatting>
  <pageMargins left="0.3" right="0.3" top="0.41" bottom="0.39" header="0.31496062992125984" footer="0.31496062992125984"/>
  <pageSetup paperSize="9" scale="86" fitToHeight="0"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5" x14ac:dyDescent="0.25"/>
  <cols>
    <col min="1" max="1" width="19.140625" style="19" customWidth="1"/>
    <col min="2" max="2" width="51.42578125" style="19" customWidth="1"/>
    <col min="3" max="16384" width="9.140625" style="19"/>
  </cols>
  <sheetData>
    <row r="1" spans="1:2" s="18" customFormat="1" x14ac:dyDescent="0.25">
      <c r="A1" s="18" t="s">
        <v>456</v>
      </c>
      <c r="B1" s="18" t="s">
        <v>457</v>
      </c>
    </row>
    <row r="2" spans="1:2" x14ac:dyDescent="0.25">
      <c r="A2" s="19" t="s">
        <v>39</v>
      </c>
      <c r="B2" s="19" t="s">
        <v>459</v>
      </c>
    </row>
    <row r="3" spans="1:2" x14ac:dyDescent="0.25">
      <c r="A3" s="19" t="s">
        <v>458</v>
      </c>
      <c r="B3" s="19" t="s">
        <v>463</v>
      </c>
    </row>
    <row r="4" spans="1:2" x14ac:dyDescent="0.25">
      <c r="A4" s="19" t="s">
        <v>258</v>
      </c>
      <c r="B4" s="19" t="s">
        <v>464</v>
      </c>
    </row>
    <row r="5" spans="1:2" ht="30" x14ac:dyDescent="0.25">
      <c r="A5" s="19" t="s">
        <v>460</v>
      </c>
      <c r="B5" s="19" t="s">
        <v>3769</v>
      </c>
    </row>
    <row r="6" spans="1:2" ht="30" x14ac:dyDescent="0.25">
      <c r="A6" s="19" t="s">
        <v>854</v>
      </c>
      <c r="B6" s="19" t="s">
        <v>3768</v>
      </c>
    </row>
    <row r="7" spans="1:2" ht="30" x14ac:dyDescent="0.25">
      <c r="A7" s="19" t="s">
        <v>461</v>
      </c>
      <c r="B7" s="19" t="s">
        <v>462</v>
      </c>
    </row>
    <row r="8" spans="1:2" ht="30" x14ac:dyDescent="0.25">
      <c r="A8" s="19" t="s">
        <v>2658</v>
      </c>
      <c r="B8" s="19" t="s">
        <v>2659</v>
      </c>
    </row>
    <row r="9" spans="1:2" ht="30" x14ac:dyDescent="0.25">
      <c r="A9" s="19" t="s">
        <v>3848</v>
      </c>
      <c r="B9" s="19" t="s">
        <v>3767</v>
      </c>
    </row>
    <row r="10" spans="1:2" x14ac:dyDescent="0.25">
      <c r="A10" s="19" t="s">
        <v>46</v>
      </c>
      <c r="B10" s="19" t="s">
        <v>465</v>
      </c>
    </row>
  </sheetData>
  <phoneticPr fontId="7"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heetViews>
  <sheetFormatPr defaultRowHeight="15" x14ac:dyDescent="0.25"/>
  <cols>
    <col min="1" max="1" width="10.140625" bestFit="1" customWidth="1"/>
    <col min="2" max="2" width="11.5703125" bestFit="1" customWidth="1"/>
    <col min="3" max="3" width="9.42578125" bestFit="1" customWidth="1"/>
  </cols>
  <sheetData>
    <row r="1" spans="1:4" x14ac:dyDescent="0.25">
      <c r="A1" s="46" t="s">
        <v>2543</v>
      </c>
    </row>
    <row r="3" spans="1:4" s="46" customFormat="1" x14ac:dyDescent="0.25">
      <c r="A3" s="46" t="s">
        <v>2539</v>
      </c>
      <c r="B3" s="46" t="s">
        <v>592</v>
      </c>
      <c r="C3" s="46" t="s">
        <v>2540</v>
      </c>
      <c r="D3" s="46" t="s">
        <v>2541</v>
      </c>
    </row>
    <row r="5" spans="1:4" x14ac:dyDescent="0.25">
      <c r="A5" t="str">
        <f>'Stats (i1)'!$A$2</f>
        <v>v8.0 (i1)</v>
      </c>
      <c r="B5" s="45">
        <f>'Stats (i1)'!$E$2</f>
        <v>30.75</v>
      </c>
      <c r="C5">
        <f>'Stats (i1)'!$C$2</f>
        <v>29</v>
      </c>
      <c r="D5" s="45">
        <f>B5/C5</f>
        <v>1.0603448275862069</v>
      </c>
    </row>
    <row r="6" spans="1:4" x14ac:dyDescent="0.25">
      <c r="A6" t="str">
        <f>'Stats (i2)'!$A$2</f>
        <v>v8.0 (i2)</v>
      </c>
      <c r="B6" s="45">
        <f>'Stats (i2)'!$E$2</f>
        <v>47</v>
      </c>
      <c r="C6">
        <f>'Stats (i2)'!$C$2</f>
        <v>60</v>
      </c>
      <c r="D6" s="45">
        <f t="shared" ref="D6:D11" si="0">B6/C6</f>
        <v>0.78333333333333333</v>
      </c>
    </row>
    <row r="7" spans="1:4" x14ac:dyDescent="0.25">
      <c r="A7" t="str">
        <f>'Stats (i3)'!$A$2</f>
        <v>v8.0 (i3)</v>
      </c>
      <c r="B7" s="45">
        <f>'Stats (i3)'!$E$2</f>
        <v>58</v>
      </c>
      <c r="C7">
        <f>'Stats (i3)'!$C$2</f>
        <v>59</v>
      </c>
      <c r="D7" s="45">
        <f t="shared" si="0"/>
        <v>0.98305084745762716</v>
      </c>
    </row>
    <row r="8" spans="1:4" x14ac:dyDescent="0.25">
      <c r="A8" t="str">
        <f>'Stats (i4)'!$A$2</f>
        <v>v8.0 (i4)</v>
      </c>
      <c r="B8" s="45">
        <f>'Stats (i4)'!$E$2</f>
        <v>48</v>
      </c>
      <c r="C8">
        <f>'Stats (i4)'!$C$2</f>
        <v>70</v>
      </c>
      <c r="D8" s="45">
        <f t="shared" si="0"/>
        <v>0.68571428571428572</v>
      </c>
    </row>
    <row r="9" spans="1:4" x14ac:dyDescent="0.25">
      <c r="A9" t="str">
        <f>'Stats (i5)'!$A$2</f>
        <v>v8.0 (i5)</v>
      </c>
      <c r="B9" s="45">
        <f>'Stats (i5)'!$E$2</f>
        <v>50.5</v>
      </c>
      <c r="C9">
        <f>'Stats (i5)'!$C$2</f>
        <v>59.5</v>
      </c>
      <c r="D9" s="45">
        <f t="shared" si="0"/>
        <v>0.84873949579831931</v>
      </c>
    </row>
    <row r="10" spans="1:4" x14ac:dyDescent="0.25">
      <c r="A10" t="str">
        <f>'Stats (i6)'!$A$2</f>
        <v>v8.0 (i6)</v>
      </c>
      <c r="B10" s="45">
        <f>'Stats (i6)'!$E$2</f>
        <v>37</v>
      </c>
      <c r="C10">
        <f>'Stats (i6)'!$C$2</f>
        <v>37</v>
      </c>
      <c r="D10" s="45">
        <f t="shared" si="0"/>
        <v>1</v>
      </c>
    </row>
    <row r="11" spans="1:4" x14ac:dyDescent="0.25">
      <c r="A11" t="str">
        <f>'Stats (i7)'!$A$2</f>
        <v>v8.0 (i7)</v>
      </c>
      <c r="B11" s="45">
        <f>'Stats (i7)'!$E$2</f>
        <v>22.5</v>
      </c>
      <c r="C11">
        <f>'Stats (i7)'!$C$2</f>
        <v>69.5</v>
      </c>
      <c r="D11" s="45">
        <f t="shared" si="0"/>
        <v>0.32374100719424459</v>
      </c>
    </row>
    <row r="12" spans="1:4" x14ac:dyDescent="0.25">
      <c r="A12" t="str">
        <f>'Stats (i8)'!$A$2</f>
        <v>v8.0 (i8)</v>
      </c>
      <c r="B12" s="45">
        <f>'Stats (i8)'!$E$2</f>
        <v>13</v>
      </c>
      <c r="C12">
        <f>'Stats (i8)'!$C$2</f>
        <v>37</v>
      </c>
      <c r="D12" s="45">
        <f>B12/C12</f>
        <v>0.35135135135135137</v>
      </c>
    </row>
    <row r="14" spans="1:4" s="46" customFormat="1" x14ac:dyDescent="0.25">
      <c r="A14" s="46" t="s">
        <v>2542</v>
      </c>
      <c r="B14" s="47">
        <f>SUM(B5:B13)</f>
        <v>306.75</v>
      </c>
      <c r="C14" s="46">
        <f>SUM(C5:C13)</f>
        <v>421</v>
      </c>
      <c r="D14" s="47">
        <f>B14/C14</f>
        <v>0.72862232779097391</v>
      </c>
    </row>
  </sheetData>
  <phoneticPr fontId="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1"/>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16"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row>
    <row r="2" spans="1:16" x14ac:dyDescent="0.25">
      <c r="A2" s="7" t="s">
        <v>344</v>
      </c>
      <c r="B2" s="19">
        <f t="array" ref="B2">SUM(Summary!H3:H204*IF(Summary!I3:I204=A2,1,0))</f>
        <v>30.75</v>
      </c>
      <c r="C2" s="19">
        <f>SUM(J2:J16)</f>
        <v>29</v>
      </c>
      <c r="D2" s="25">
        <f>B2/C2</f>
        <v>1.0603448275862069</v>
      </c>
      <c r="E2" s="25">
        <f>N16</f>
        <v>30.75</v>
      </c>
      <c r="F2" s="25">
        <f>E2/C2</f>
        <v>1.0603448275862069</v>
      </c>
      <c r="H2" s="18" t="s">
        <v>594</v>
      </c>
      <c r="I2" s="20">
        <v>40203</v>
      </c>
      <c r="J2" s="19">
        <v>1</v>
      </c>
      <c r="K2" s="19">
        <f>J2</f>
        <v>1</v>
      </c>
      <c r="L2" s="25">
        <f t="shared" ref="L2:L16" si="0">K2*$D$2</f>
        <v>1.0603448275862069</v>
      </c>
      <c r="M2" s="19">
        <f t="array" ref="M2">SUM(Summary!$H$3:$H$204*IF(Summary!I$3:I$204=A$2,1,0)*IF(Summary!K$3:K$204=I2,1,0))</f>
        <v>0</v>
      </c>
      <c r="N2" s="19">
        <f>M2</f>
        <v>0</v>
      </c>
      <c r="P2" s="19">
        <f>IF(Summary!I3='Stats (i1)'!$A$2,Summary!H3,0)</f>
        <v>0</v>
      </c>
    </row>
    <row r="3" spans="1:16" x14ac:dyDescent="0.25">
      <c r="H3" s="18"/>
      <c r="I3" s="20">
        <f>I2+1</f>
        <v>40204</v>
      </c>
      <c r="J3" s="19">
        <v>1</v>
      </c>
      <c r="K3" s="19">
        <f t="shared" ref="K3:K16" si="1">J3+K2</f>
        <v>2</v>
      </c>
      <c r="L3" s="25">
        <f t="shared" si="0"/>
        <v>2.1206896551724137</v>
      </c>
      <c r="M3" s="19">
        <f t="array" ref="M3">SUM(Summary!$H$3:$H$204*IF(Summary!I$3:I$204=A$2,1,0)*IF(Summary!K$3:K$204=I3,1,0))</f>
        <v>2</v>
      </c>
      <c r="N3" s="19">
        <f t="shared" ref="N3:N16" si="2">N2+M3</f>
        <v>2</v>
      </c>
      <c r="P3" s="19">
        <f>IF(Summary!I4='Stats (i1)'!$A$2,Summary!H4,0)</f>
        <v>0</v>
      </c>
    </row>
    <row r="4" spans="1:16" x14ac:dyDescent="0.25">
      <c r="H4" s="18"/>
      <c r="I4" s="20">
        <f>I3+1</f>
        <v>40205</v>
      </c>
      <c r="J4" s="19">
        <v>1</v>
      </c>
      <c r="K4" s="19">
        <f t="shared" si="1"/>
        <v>3</v>
      </c>
      <c r="L4" s="25">
        <f t="shared" si="0"/>
        <v>3.1810344827586206</v>
      </c>
      <c r="M4" s="19">
        <f t="array" ref="M4">SUM(Summary!$H$3:$H$204*IF(Summary!I$3:I$204=A$2,1,0)*IF(Summary!K$3:K$204=I4,1,0))</f>
        <v>3.75</v>
      </c>
      <c r="N4" s="19">
        <f t="shared" si="2"/>
        <v>5.75</v>
      </c>
      <c r="P4" s="19">
        <f>IF(Summary!I5='Stats (i1)'!$A$2,Summary!H5,0)</f>
        <v>0</v>
      </c>
    </row>
    <row r="5" spans="1:16" x14ac:dyDescent="0.25">
      <c r="H5" s="18"/>
      <c r="I5" s="20">
        <f>I4+1</f>
        <v>40206</v>
      </c>
      <c r="J5" s="19">
        <v>1</v>
      </c>
      <c r="K5" s="19">
        <f t="shared" si="1"/>
        <v>4</v>
      </c>
      <c r="L5" s="25">
        <f t="shared" si="0"/>
        <v>4.2413793103448274</v>
      </c>
      <c r="M5" s="19">
        <f t="array" ref="M5">SUM(Summary!$H$3:$H$204*IF(Summary!I$3:I$204=A$2,1,0)*IF(Summary!K$3:K$204=I5,1,0))</f>
        <v>0.5</v>
      </c>
      <c r="N5" s="19">
        <f t="shared" si="2"/>
        <v>6.25</v>
      </c>
      <c r="P5" s="19">
        <f>IF(Summary!I6='Stats (i1)'!$A$2,Summary!H6,0)</f>
        <v>0</v>
      </c>
    </row>
    <row r="6" spans="1:16" x14ac:dyDescent="0.25">
      <c r="H6" s="18"/>
      <c r="I6" s="20">
        <f>I5+1</f>
        <v>40207</v>
      </c>
      <c r="J6" s="19">
        <v>1</v>
      </c>
      <c r="K6" s="19">
        <f t="shared" si="1"/>
        <v>5</v>
      </c>
      <c r="L6" s="25">
        <f t="shared" si="0"/>
        <v>5.3017241379310338</v>
      </c>
      <c r="M6" s="19">
        <f t="array" ref="M6">SUM(Summary!$H$3:$H$204*IF(Summary!I$3:I$204=A$2,1,0)*IF(Summary!K$3:K$204=I6,1,0))</f>
        <v>2</v>
      </c>
      <c r="N6" s="19">
        <f t="shared" si="2"/>
        <v>8.25</v>
      </c>
      <c r="P6" s="19">
        <f>IF(Summary!I7='Stats (i1)'!$A$2,Summary!H7,0)</f>
        <v>0</v>
      </c>
    </row>
    <row r="7" spans="1:16" x14ac:dyDescent="0.25">
      <c r="H7" s="18" t="s">
        <v>595</v>
      </c>
      <c r="I7" s="20">
        <f>I6+3</f>
        <v>40210</v>
      </c>
      <c r="J7" s="19">
        <v>0</v>
      </c>
      <c r="K7" s="19">
        <f t="shared" si="1"/>
        <v>5</v>
      </c>
      <c r="L7" s="25">
        <f t="shared" si="0"/>
        <v>5.3017241379310338</v>
      </c>
      <c r="M7" s="19">
        <f t="array" ref="M7">SUM(Summary!$H$3:$H$204*IF(Summary!I$3:I$204=A$2,1,0)*IF(Summary!K$3:K$204=I7,1,0))</f>
        <v>0</v>
      </c>
      <c r="N7" s="19">
        <f t="shared" si="2"/>
        <v>8.25</v>
      </c>
      <c r="P7" s="19">
        <f>IF(Summary!I8='Stats (i1)'!$A$2,Summary!H8,0)</f>
        <v>0</v>
      </c>
    </row>
    <row r="8" spans="1:16" x14ac:dyDescent="0.25">
      <c r="H8" s="18"/>
      <c r="I8" s="20">
        <f>I7+1</f>
        <v>40211</v>
      </c>
      <c r="J8" s="19">
        <v>0</v>
      </c>
      <c r="K8" s="19">
        <f t="shared" si="1"/>
        <v>5</v>
      </c>
      <c r="L8" s="25">
        <f t="shared" si="0"/>
        <v>5.3017241379310338</v>
      </c>
      <c r="M8" s="19">
        <f t="array" ref="M8">SUM(Summary!$H$3:$H$204*IF(Summary!I$3:I$204=A$2,1,0)*IF(Summary!K$3:K$204=I8,1,0))</f>
        <v>0</v>
      </c>
      <c r="N8" s="19">
        <f t="shared" si="2"/>
        <v>8.25</v>
      </c>
      <c r="P8" s="19">
        <f>IF(Summary!I9='Stats (i1)'!$A$2,Summary!H9,0)</f>
        <v>0</v>
      </c>
    </row>
    <row r="9" spans="1:16" x14ac:dyDescent="0.25">
      <c r="H9" s="18"/>
      <c r="I9" s="20">
        <f>I8+1</f>
        <v>40212</v>
      </c>
      <c r="J9" s="19">
        <v>3</v>
      </c>
      <c r="K9" s="19">
        <f t="shared" si="1"/>
        <v>8</v>
      </c>
      <c r="L9" s="25">
        <f t="shared" si="0"/>
        <v>8.4827586206896548</v>
      </c>
      <c r="M9" s="19">
        <f t="array" ref="M9">SUM(Summary!$H$3:$H$204*IF(Summary!I$3:I$204=A$2,1,0)*IF(Summary!K$3:K$204=I9,1,0))</f>
        <v>0</v>
      </c>
      <c r="N9" s="19">
        <f t="shared" si="2"/>
        <v>8.25</v>
      </c>
      <c r="P9" s="19">
        <f>IF(Summary!I10='Stats (i1)'!$A$2,Summary!H10,0)</f>
        <v>0</v>
      </c>
    </row>
    <row r="10" spans="1:16" x14ac:dyDescent="0.25">
      <c r="H10" s="18"/>
      <c r="I10" s="20">
        <f>I9+1</f>
        <v>40213</v>
      </c>
      <c r="J10" s="19">
        <v>3</v>
      </c>
      <c r="K10" s="19">
        <f t="shared" si="1"/>
        <v>11</v>
      </c>
      <c r="L10" s="25">
        <f t="shared" si="0"/>
        <v>11.663793103448276</v>
      </c>
      <c r="M10" s="19">
        <f t="array" ref="M10">SUM(Summary!$H$3:$H$204*IF(Summary!I$3:I$204=A$2,1,0)*IF(Summary!K$3:K$204=I10,1,0))</f>
        <v>5</v>
      </c>
      <c r="N10" s="19">
        <f t="shared" si="2"/>
        <v>13.25</v>
      </c>
      <c r="P10" s="19">
        <f>IF(Summary!I11='Stats (i1)'!$A$2,Summary!H11,0)</f>
        <v>0</v>
      </c>
    </row>
    <row r="11" spans="1:16" x14ac:dyDescent="0.25">
      <c r="H11" s="18"/>
      <c r="I11" s="20">
        <f>I10+1</f>
        <v>40214</v>
      </c>
      <c r="J11" s="19">
        <v>3</v>
      </c>
      <c r="K11" s="19">
        <f t="shared" si="1"/>
        <v>14</v>
      </c>
      <c r="L11" s="25">
        <f t="shared" si="0"/>
        <v>14.844827586206897</v>
      </c>
      <c r="M11" s="19">
        <f t="array" ref="M11">SUM(Summary!$H$3:$H$204*IF(Summary!I$3:I$204=A$2,1,0)*IF(Summary!K$3:K$204=I11,1,0))</f>
        <v>0</v>
      </c>
      <c r="N11" s="19">
        <f t="shared" si="2"/>
        <v>13.25</v>
      </c>
      <c r="P11" s="19">
        <f>IF(Summary!I12='Stats (i1)'!$A$2,Summary!H12,0)</f>
        <v>0</v>
      </c>
    </row>
    <row r="12" spans="1:16" x14ac:dyDescent="0.25">
      <c r="H12" s="18" t="s">
        <v>596</v>
      </c>
      <c r="I12" s="20">
        <f>I11+3</f>
        <v>40217</v>
      </c>
      <c r="J12" s="19">
        <v>3</v>
      </c>
      <c r="K12" s="19">
        <f t="shared" si="1"/>
        <v>17</v>
      </c>
      <c r="L12" s="25">
        <f t="shared" si="0"/>
        <v>18.025862068965516</v>
      </c>
      <c r="M12" s="19">
        <f t="array" ref="M12">SUM(Summary!$H$3:$H$204*IF(Summary!I$3:I$204=A$2,1,0)*IF(Summary!K$3:K$204=I12,1,0))</f>
        <v>2</v>
      </c>
      <c r="N12" s="19">
        <f t="shared" si="2"/>
        <v>15.25</v>
      </c>
      <c r="P12" s="19">
        <f>IF(Summary!I13='Stats (i1)'!$A$2,Summary!H13,0)</f>
        <v>2</v>
      </c>
    </row>
    <row r="13" spans="1:16" x14ac:dyDescent="0.25">
      <c r="H13" s="18"/>
      <c r="I13" s="20">
        <f>I12+1</f>
        <v>40218</v>
      </c>
      <c r="J13" s="19">
        <v>3</v>
      </c>
      <c r="K13" s="19">
        <f t="shared" si="1"/>
        <v>20</v>
      </c>
      <c r="L13" s="25">
        <f t="shared" si="0"/>
        <v>21.206896551724135</v>
      </c>
      <c r="M13" s="19">
        <f t="array" ref="M13">SUM(Summary!$H$3:$H$204*IF(Summary!I$3:I$204=A$2,1,0)*IF(Summary!K$3:K$204=I13,1,0))</f>
        <v>0</v>
      </c>
      <c r="N13" s="19">
        <f t="shared" si="2"/>
        <v>15.25</v>
      </c>
      <c r="P13" s="19">
        <f>IF(Summary!I14='Stats (i1)'!$A$2,Summary!H14,0)</f>
        <v>2</v>
      </c>
    </row>
    <row r="14" spans="1:16" x14ac:dyDescent="0.25">
      <c r="H14" s="18"/>
      <c r="I14" s="20">
        <f>I13+1</f>
        <v>40219</v>
      </c>
      <c r="J14" s="19">
        <v>3</v>
      </c>
      <c r="K14" s="19">
        <f t="shared" si="1"/>
        <v>23</v>
      </c>
      <c r="L14" s="25">
        <f t="shared" si="0"/>
        <v>24.387931034482758</v>
      </c>
      <c r="M14" s="19">
        <f t="array" ref="M14">SUM(Summary!$H$3:$H$204*IF(Summary!I$3:I$204=A$2,1,0)*IF(Summary!K$3:K$204=I14,1,0))</f>
        <v>5</v>
      </c>
      <c r="N14" s="19">
        <f t="shared" si="2"/>
        <v>20.25</v>
      </c>
      <c r="P14" s="19">
        <f>IF(Summary!I15='Stats (i1)'!$A$2,Summary!H15,0)</f>
        <v>0.5</v>
      </c>
    </row>
    <row r="15" spans="1:16" x14ac:dyDescent="0.25">
      <c r="H15" s="18"/>
      <c r="I15" s="20">
        <f>I14+1</f>
        <v>40220</v>
      </c>
      <c r="J15" s="19">
        <v>3</v>
      </c>
      <c r="K15" s="19">
        <f t="shared" si="1"/>
        <v>26</v>
      </c>
      <c r="L15" s="25">
        <f t="shared" si="0"/>
        <v>27.568965517241377</v>
      </c>
      <c r="M15" s="19">
        <f t="array" ref="M15">SUM(Summary!$H$3:$H$204*IF(Summary!I$3:I$204=A$2,1,0)*IF(Summary!K$3:K$204=I15,1,0))</f>
        <v>2.5</v>
      </c>
      <c r="N15" s="19">
        <f t="shared" si="2"/>
        <v>22.75</v>
      </c>
      <c r="P15" s="19">
        <f>IF(Summary!I16='Stats (i1)'!$A$2,Summary!H16,0)</f>
        <v>0.25</v>
      </c>
    </row>
    <row r="16" spans="1:16" x14ac:dyDescent="0.25">
      <c r="H16" s="18"/>
      <c r="I16" s="20">
        <f>I15+1</f>
        <v>40221</v>
      </c>
      <c r="J16" s="19">
        <v>3</v>
      </c>
      <c r="K16" s="19">
        <f t="shared" si="1"/>
        <v>29</v>
      </c>
      <c r="L16" s="25">
        <f t="shared" si="0"/>
        <v>30.75</v>
      </c>
      <c r="M16" s="19">
        <f t="array" ref="M16">SUM(Summary!$H$3:$H$204*IF(Summary!I$3:I$204=A$2,1,0)*IF(Summary!K$3:K$204=I16,1,0))</f>
        <v>8</v>
      </c>
      <c r="N16" s="19">
        <f t="shared" si="2"/>
        <v>30.75</v>
      </c>
      <c r="P16" s="19">
        <f>IF(Summary!I17='Stats (i1)'!$A$2,Summary!H17,0)</f>
        <v>2</v>
      </c>
    </row>
    <row r="17" spans="16:16" x14ac:dyDescent="0.25">
      <c r="P17" s="19">
        <f>IF(Summary!I18='Stats (i1)'!$A$2,Summary!H18,0)</f>
        <v>0.5</v>
      </c>
    </row>
    <row r="18" spans="16:16" x14ac:dyDescent="0.25">
      <c r="P18" s="19">
        <f>IF(Summary!I19='Stats (i1)'!$A$2,Summary!H19,0)</f>
        <v>0.5</v>
      </c>
    </row>
    <row r="19" spans="16:16" x14ac:dyDescent="0.25">
      <c r="P19" s="19">
        <f>IF(Summary!I20='Stats (i1)'!$A$2,Summary!H20,0)</f>
        <v>0.25</v>
      </c>
    </row>
    <row r="20" spans="16:16" x14ac:dyDescent="0.25">
      <c r="P20" s="19">
        <f>IF(Summary!I21='Stats (i1)'!$A$2,Summary!H21,0)</f>
        <v>0.25</v>
      </c>
    </row>
    <row r="21" spans="16:16" x14ac:dyDescent="0.25">
      <c r="P21" s="19">
        <f>IF(Summary!I22='Stats (i1)'!$A$2,Summary!H22,0)</f>
        <v>0</v>
      </c>
    </row>
  </sheetData>
  <phoneticPr fontId="7" type="noConversion"/>
  <pageMargins left="0.7" right="0.7" top="0.75" bottom="0.75" header="0.3" footer="0.3"/>
  <pageSetup paperSize="9" scale="95"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7"/>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14"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row>
    <row r="2" spans="1:14" x14ac:dyDescent="0.25">
      <c r="A2" s="7" t="s">
        <v>925</v>
      </c>
      <c r="B2" s="19">
        <f t="array" ref="B2">SUM(Summary!H3:H204*IF(Summary!I3:I204=A2,1,0))</f>
        <v>47</v>
      </c>
      <c r="C2" s="19">
        <f>SUM(J2:J17)</f>
        <v>60</v>
      </c>
      <c r="D2" s="25">
        <f>B2/C2</f>
        <v>0.78333333333333333</v>
      </c>
      <c r="E2" s="28">
        <f>N17</f>
        <v>47</v>
      </c>
      <c r="F2" s="25">
        <f>E2/C2</f>
        <v>0.78333333333333333</v>
      </c>
      <c r="H2" s="18" t="s">
        <v>594</v>
      </c>
      <c r="I2" s="20">
        <v>40224</v>
      </c>
      <c r="J2" s="19">
        <v>0</v>
      </c>
      <c r="K2" s="19">
        <f>J2</f>
        <v>0</v>
      </c>
      <c r="L2" s="25">
        <f t="shared" ref="L2:L15" si="0">K2*$D$2</f>
        <v>0</v>
      </c>
      <c r="M2" s="19">
        <f t="array" ref="M2">SUM(Summary!$H$3:$H$204*IF(Summary!I$3:I$204=A$2,1,0)*IF(Summary!K$3:K$204=I2,1,0))</f>
        <v>0</v>
      </c>
      <c r="N2" s="19">
        <f>M2</f>
        <v>0</v>
      </c>
    </row>
    <row r="3" spans="1:14" x14ac:dyDescent="0.25">
      <c r="H3" s="18"/>
      <c r="I3" s="20">
        <f>I2+1</f>
        <v>40225</v>
      </c>
      <c r="J3" s="19">
        <v>2</v>
      </c>
      <c r="K3" s="19">
        <f t="shared" ref="K3:K15" si="1">J3+K2</f>
        <v>2</v>
      </c>
      <c r="L3" s="25">
        <f t="shared" si="0"/>
        <v>1.5666666666666667</v>
      </c>
      <c r="M3" s="19">
        <f t="array" ref="M3">SUM(Summary!$H$3:$H$204*IF(Summary!I$3:I$204=A$2,1,0)*IF(Summary!K$3:K$204=I3,1,0))</f>
        <v>0</v>
      </c>
      <c r="N3" s="19">
        <f t="shared" ref="N3:N15" si="2">N2+M3</f>
        <v>0</v>
      </c>
    </row>
    <row r="4" spans="1:14" x14ac:dyDescent="0.25">
      <c r="H4" s="18"/>
      <c r="I4" s="20">
        <f>I3+1</f>
        <v>40226</v>
      </c>
      <c r="J4" s="19">
        <v>4</v>
      </c>
      <c r="K4" s="19">
        <f t="shared" si="1"/>
        <v>6</v>
      </c>
      <c r="L4" s="25">
        <f t="shared" si="0"/>
        <v>4.7</v>
      </c>
      <c r="M4" s="19">
        <f t="array" ref="M4">SUM(Summary!$H$3:$H$204*IF(Summary!I$3:I$204=A$2,1,0)*IF(Summary!K$3:K$204=I4,1,0))</f>
        <v>0.5</v>
      </c>
      <c r="N4" s="19">
        <f t="shared" si="2"/>
        <v>0.5</v>
      </c>
    </row>
    <row r="5" spans="1:14" x14ac:dyDescent="0.25">
      <c r="H5" s="18"/>
      <c r="I5" s="20">
        <f>I4+1</f>
        <v>40227</v>
      </c>
      <c r="J5" s="19">
        <v>4</v>
      </c>
      <c r="K5" s="19">
        <f t="shared" si="1"/>
        <v>10</v>
      </c>
      <c r="L5" s="25">
        <f t="shared" si="0"/>
        <v>7.833333333333333</v>
      </c>
      <c r="M5" s="19">
        <f t="array" ref="M5">SUM(Summary!$H$3:$H$204*IF(Summary!I$3:I$204=A$2,1,0)*IF(Summary!K$3:K$204=I5,1,0))</f>
        <v>2</v>
      </c>
      <c r="N5" s="19">
        <f t="shared" si="2"/>
        <v>2.5</v>
      </c>
    </row>
    <row r="6" spans="1:14" x14ac:dyDescent="0.25">
      <c r="H6" s="18"/>
      <c r="I6" s="20">
        <f>I5+1</f>
        <v>40228</v>
      </c>
      <c r="J6" s="19">
        <v>4</v>
      </c>
      <c r="K6" s="19">
        <f t="shared" si="1"/>
        <v>14</v>
      </c>
      <c r="L6" s="25">
        <f t="shared" si="0"/>
        <v>10.966666666666667</v>
      </c>
      <c r="M6" s="19">
        <f t="array" ref="M6">SUM(Summary!$H$3:$H$204*IF(Summary!I$3:I$204=A$2,1,0)*IF(Summary!K$3:K$204=I6,1,0))</f>
        <v>0</v>
      </c>
      <c r="N6" s="19">
        <f t="shared" si="2"/>
        <v>2.5</v>
      </c>
    </row>
    <row r="7" spans="1:14" x14ac:dyDescent="0.25">
      <c r="H7" s="18" t="s">
        <v>595</v>
      </c>
      <c r="I7" s="20">
        <f>I6+3</f>
        <v>40231</v>
      </c>
      <c r="J7" s="19">
        <v>5</v>
      </c>
      <c r="K7" s="19">
        <f t="shared" si="1"/>
        <v>19</v>
      </c>
      <c r="L7" s="25">
        <f t="shared" si="0"/>
        <v>14.883333333333333</v>
      </c>
      <c r="M7" s="19">
        <f t="array" ref="M7">SUM(Summary!$H$3:$H$204*IF(Summary!I$3:I$204=A$2,1,0)*IF(Summary!K$3:K$204=I7,1,0))</f>
        <v>0.5</v>
      </c>
      <c r="N7" s="19">
        <f t="shared" si="2"/>
        <v>3</v>
      </c>
    </row>
    <row r="8" spans="1:14" x14ac:dyDescent="0.25">
      <c r="H8" s="18"/>
      <c r="I8" s="20">
        <f>I7+1</f>
        <v>40232</v>
      </c>
      <c r="J8" s="19">
        <v>5</v>
      </c>
      <c r="K8" s="19">
        <f t="shared" si="1"/>
        <v>24</v>
      </c>
      <c r="L8" s="25">
        <f t="shared" si="0"/>
        <v>18.8</v>
      </c>
      <c r="M8" s="19">
        <f t="array" ref="M8">SUM(Summary!$H$3:$H$204*IF(Summary!I$3:I$204=A$2,1,0)*IF(Summary!K$3:K$204=I8,1,0))</f>
        <v>7</v>
      </c>
      <c r="N8" s="19">
        <f t="shared" si="2"/>
        <v>10</v>
      </c>
    </row>
    <row r="9" spans="1:14" x14ac:dyDescent="0.25">
      <c r="H9" s="18"/>
      <c r="I9" s="20">
        <f>I8+1</f>
        <v>40233</v>
      </c>
      <c r="J9" s="19">
        <v>5</v>
      </c>
      <c r="K9" s="19">
        <f t="shared" si="1"/>
        <v>29</v>
      </c>
      <c r="L9" s="25">
        <f t="shared" si="0"/>
        <v>22.716666666666665</v>
      </c>
      <c r="M9" s="19">
        <f t="array" ref="M9">SUM(Summary!$H$3:$H$204*IF(Summary!I$3:I$204=A$2,1,0)*IF(Summary!K$3:K$204=I9,1,0))</f>
        <v>6</v>
      </c>
      <c r="N9" s="19">
        <f t="shared" si="2"/>
        <v>16</v>
      </c>
    </row>
    <row r="10" spans="1:14" x14ac:dyDescent="0.25">
      <c r="H10" s="18"/>
      <c r="I10" s="20">
        <f>I9+1</f>
        <v>40234</v>
      </c>
      <c r="J10" s="19">
        <v>5</v>
      </c>
      <c r="K10" s="19">
        <f t="shared" si="1"/>
        <v>34</v>
      </c>
      <c r="L10" s="25">
        <f t="shared" si="0"/>
        <v>26.633333333333333</v>
      </c>
      <c r="M10" s="19">
        <f t="array" ref="M10">SUM(Summary!$H$3:$H$204*IF(Summary!I$3:I$204=A$2,1,0)*IF(Summary!K$3:K$204=I10,1,0))</f>
        <v>9</v>
      </c>
      <c r="N10" s="19">
        <f t="shared" si="2"/>
        <v>25</v>
      </c>
    </row>
    <row r="11" spans="1:14" x14ac:dyDescent="0.25">
      <c r="H11" s="18"/>
      <c r="I11" s="20">
        <f>I10+1</f>
        <v>40235</v>
      </c>
      <c r="J11" s="19">
        <v>5</v>
      </c>
      <c r="K11" s="19">
        <f t="shared" si="1"/>
        <v>39</v>
      </c>
      <c r="L11" s="25">
        <f t="shared" si="0"/>
        <v>30.55</v>
      </c>
      <c r="M11" s="19">
        <f t="array" ref="M11">SUM(Summary!$H$3:$H$204*IF(Summary!I$3:I$204=A$2,1,0)*IF(Summary!K$3:K$204=I11,1,0))</f>
        <v>0</v>
      </c>
      <c r="N11" s="19">
        <f t="shared" si="2"/>
        <v>25</v>
      </c>
    </row>
    <row r="12" spans="1:14" x14ac:dyDescent="0.25">
      <c r="H12" s="18" t="s">
        <v>596</v>
      </c>
      <c r="I12" s="20">
        <f>I11+3</f>
        <v>40238</v>
      </c>
      <c r="J12" s="19">
        <v>4</v>
      </c>
      <c r="K12" s="19">
        <f t="shared" si="1"/>
        <v>43</v>
      </c>
      <c r="L12" s="25">
        <f t="shared" si="0"/>
        <v>33.68333333333333</v>
      </c>
      <c r="M12" s="19">
        <f t="array" ref="M12">SUM(Summary!$H$3:$H$204*IF(Summary!I$3:I$204=A$2,1,0)*IF(Summary!K$3:K$204=I12,1,0))</f>
        <v>2</v>
      </c>
      <c r="N12" s="19">
        <f t="shared" si="2"/>
        <v>27</v>
      </c>
    </row>
    <row r="13" spans="1:14" x14ac:dyDescent="0.25">
      <c r="H13" s="18"/>
      <c r="I13" s="20">
        <f>I12+1</f>
        <v>40239</v>
      </c>
      <c r="J13" s="19">
        <v>4</v>
      </c>
      <c r="K13" s="19">
        <f t="shared" si="1"/>
        <v>47</v>
      </c>
      <c r="L13" s="25">
        <f t="shared" si="0"/>
        <v>36.816666666666663</v>
      </c>
      <c r="M13" s="19">
        <f t="array" ref="M13">SUM(Summary!$H$3:$H$204*IF(Summary!I$3:I$204=A$2,1,0)*IF(Summary!K$3:K$204=I13,1,0))</f>
        <v>2</v>
      </c>
      <c r="N13" s="19">
        <f t="shared" si="2"/>
        <v>29</v>
      </c>
    </row>
    <row r="14" spans="1:14" x14ac:dyDescent="0.25">
      <c r="H14" s="18"/>
      <c r="I14" s="20">
        <f>I13+1</f>
        <v>40240</v>
      </c>
      <c r="J14" s="19">
        <v>4</v>
      </c>
      <c r="K14" s="19">
        <f t="shared" si="1"/>
        <v>51</v>
      </c>
      <c r="L14" s="25">
        <f t="shared" si="0"/>
        <v>39.950000000000003</v>
      </c>
      <c r="M14" s="19">
        <f t="array" ref="M14">SUM(Summary!$H$3:$H$204*IF(Summary!I$3:I$204=A$2,1,0)*IF(Summary!K$3:K$204=I14,1,0))</f>
        <v>0</v>
      </c>
      <c r="N14" s="19">
        <f t="shared" si="2"/>
        <v>29</v>
      </c>
    </row>
    <row r="15" spans="1:14" x14ac:dyDescent="0.25">
      <c r="H15" s="18"/>
      <c r="I15" s="20">
        <f>I14+1</f>
        <v>40241</v>
      </c>
      <c r="J15" s="19">
        <v>4</v>
      </c>
      <c r="K15" s="19">
        <f t="shared" si="1"/>
        <v>55</v>
      </c>
      <c r="L15" s="25">
        <f t="shared" si="0"/>
        <v>43.083333333333336</v>
      </c>
      <c r="M15" s="19">
        <f t="array" ref="M15">SUM(Summary!$H$3:$H$204*IF(Summary!I$3:I$204=A$2,1,0)*IF(Summary!K$3:K$204=I15,1,0))</f>
        <v>8</v>
      </c>
      <c r="N15" s="19">
        <f t="shared" si="2"/>
        <v>37</v>
      </c>
    </row>
    <row r="16" spans="1:14" x14ac:dyDescent="0.25">
      <c r="H16" s="18"/>
      <c r="I16" s="20">
        <f>I15+1</f>
        <v>40242</v>
      </c>
      <c r="J16" s="19">
        <v>4</v>
      </c>
      <c r="K16" s="19">
        <f>J16+K15</f>
        <v>59</v>
      </c>
      <c r="L16" s="25">
        <f>K16*$D$2</f>
        <v>46.216666666666669</v>
      </c>
      <c r="M16" s="19">
        <f t="array" ref="M16">SUM(Summary!$H$3:$H$204*IF(Summary!I$3:I$204=A$2,1,0)*IF(Summary!K$3:K$204=I16,1,0))</f>
        <v>6</v>
      </c>
      <c r="N16" s="19">
        <f>N15+M16</f>
        <v>43</v>
      </c>
    </row>
    <row r="17" spans="8:14" x14ac:dyDescent="0.25">
      <c r="H17" s="41" t="s">
        <v>1666</v>
      </c>
      <c r="I17" s="40">
        <f>I16+3</f>
        <v>40245</v>
      </c>
      <c r="J17" s="19">
        <v>1</v>
      </c>
      <c r="K17" s="19">
        <f>J17+K16</f>
        <v>60</v>
      </c>
      <c r="L17" s="25">
        <f>K17*$D$2</f>
        <v>47</v>
      </c>
      <c r="M17" s="19">
        <f t="array" ref="M17">SUM(Summary!$H$3:$H$204*IF(Summary!I$3:I$204=A$2,1,0)*IF(Summary!K$3:K$204=I17,1,0))</f>
        <v>4</v>
      </c>
      <c r="N17" s="19">
        <f>N16+M17</f>
        <v>47</v>
      </c>
    </row>
  </sheetData>
  <phoneticPr fontId="7" type="noConversion"/>
  <pageMargins left="0.7" right="0.7" top="0.75" bottom="0.75" header="0.3" footer="0.3"/>
  <pageSetup paperSize="9" scale="95"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20"/>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20"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c r="P1" s="18" t="s">
        <v>1164</v>
      </c>
      <c r="Q1" s="18" t="s">
        <v>1165</v>
      </c>
      <c r="R1" s="18" t="s">
        <v>1166</v>
      </c>
      <c r="S1" s="18" t="s">
        <v>581</v>
      </c>
      <c r="T1" s="18" t="s">
        <v>1167</v>
      </c>
    </row>
    <row r="2" spans="1:20" x14ac:dyDescent="0.25">
      <c r="A2" s="7" t="s">
        <v>1399</v>
      </c>
      <c r="B2" s="19">
        <f t="array" ref="B2">SUM(Summary!H3:H204*IF(Summary!I3:I204=A2,1,0))</f>
        <v>58</v>
      </c>
      <c r="C2" s="19">
        <f>SUM(J2:J18)</f>
        <v>59</v>
      </c>
      <c r="D2" s="25">
        <f>B2/C2</f>
        <v>0.98305084745762716</v>
      </c>
      <c r="E2" s="28">
        <f>N18</f>
        <v>58</v>
      </c>
      <c r="F2" s="25">
        <f>E2/C2</f>
        <v>0.98305084745762716</v>
      </c>
      <c r="H2" s="18" t="s">
        <v>594</v>
      </c>
      <c r="I2" s="20">
        <v>40245</v>
      </c>
      <c r="J2" s="19">
        <f>SUM(P2:T2)</f>
        <v>4</v>
      </c>
      <c r="K2" s="19">
        <f>J2</f>
        <v>4</v>
      </c>
      <c r="L2" s="25">
        <f t="shared" ref="L2:L15" si="0">K2*$D$2</f>
        <v>3.9322033898305087</v>
      </c>
      <c r="M2" s="19">
        <f t="array" ref="M2">SUM(Summary!$H$3:$H$204*IF(Summary!I$3:I$204=A$2,1,0)*IF(Summary!K$3:K$204=I2,1,0))</f>
        <v>0</v>
      </c>
      <c r="N2" s="19">
        <f>M2</f>
        <v>0</v>
      </c>
      <c r="P2" s="19">
        <v>1</v>
      </c>
      <c r="Q2" s="19">
        <v>0</v>
      </c>
      <c r="R2" s="19">
        <v>1</v>
      </c>
      <c r="S2" s="19">
        <v>2</v>
      </c>
    </row>
    <row r="3" spans="1:20" x14ac:dyDescent="0.25">
      <c r="C3" s="19" t="s">
        <v>1396</v>
      </c>
      <c r="D3" s="19">
        <v>0.8</v>
      </c>
      <c r="H3" s="18"/>
      <c r="I3" s="20">
        <f>I2+1</f>
        <v>40246</v>
      </c>
      <c r="J3" s="19">
        <f t="shared" ref="J3:J15" si="1">SUM(P3:T3)</f>
        <v>3</v>
      </c>
      <c r="K3" s="19">
        <f t="shared" ref="K3:K15" si="2">J3+K2</f>
        <v>7</v>
      </c>
      <c r="L3" s="25">
        <f t="shared" si="0"/>
        <v>6.8813559322033901</v>
      </c>
      <c r="M3" s="19">
        <f t="array" ref="M3">SUM(Summary!$H$3:$H$204*IF(Summary!I$3:I$204=A$2,1,0)*IF(Summary!K$3:K$204=I3,1,0))</f>
        <v>0</v>
      </c>
      <c r="N3" s="19">
        <f t="shared" ref="N3:N15" si="3">N2+M3</f>
        <v>0</v>
      </c>
      <c r="Q3" s="19">
        <v>1</v>
      </c>
      <c r="R3" s="19">
        <v>1</v>
      </c>
      <c r="S3" s="19">
        <v>1</v>
      </c>
    </row>
    <row r="4" spans="1:20" x14ac:dyDescent="0.25">
      <c r="D4" s="19">
        <f>C2*D3</f>
        <v>47.2</v>
      </c>
      <c r="H4" s="18"/>
      <c r="I4" s="20">
        <f>I3+1</f>
        <v>40247</v>
      </c>
      <c r="J4" s="19">
        <f t="shared" si="1"/>
        <v>3</v>
      </c>
      <c r="K4" s="19">
        <f t="shared" si="2"/>
        <v>10</v>
      </c>
      <c r="L4" s="25">
        <f t="shared" si="0"/>
        <v>9.8305084745762716</v>
      </c>
      <c r="M4" s="19">
        <f t="array" ref="M4">SUM(Summary!$H$3:$H$204*IF(Summary!I$3:I$204=A$2,1,0)*IF(Summary!K$3:K$204=I4,1,0))</f>
        <v>0</v>
      </c>
      <c r="N4" s="19">
        <f t="shared" si="3"/>
        <v>0</v>
      </c>
      <c r="Q4" s="19">
        <v>1</v>
      </c>
      <c r="R4" s="19">
        <v>1</v>
      </c>
      <c r="S4" s="19">
        <v>1</v>
      </c>
    </row>
    <row r="5" spans="1:20" x14ac:dyDescent="0.25">
      <c r="H5" s="18"/>
      <c r="I5" s="20">
        <f>I4+1</f>
        <v>40248</v>
      </c>
      <c r="J5" s="19">
        <f t="shared" si="1"/>
        <v>3</v>
      </c>
      <c r="K5" s="19">
        <f t="shared" si="2"/>
        <v>13</v>
      </c>
      <c r="L5" s="25">
        <f t="shared" si="0"/>
        <v>12.779661016949152</v>
      </c>
      <c r="M5" s="19">
        <f t="array" ref="M5">SUM(Summary!$H$3:$H$204*IF(Summary!I$3:I$204=A$2,1,0)*IF(Summary!K$3:K$204=I5,1,0))</f>
        <v>0</v>
      </c>
      <c r="N5" s="19">
        <f t="shared" si="3"/>
        <v>0</v>
      </c>
      <c r="Q5" s="19">
        <v>1</v>
      </c>
      <c r="R5" s="19">
        <v>1</v>
      </c>
      <c r="S5" s="19">
        <v>1</v>
      </c>
    </row>
    <row r="6" spans="1:20" x14ac:dyDescent="0.25">
      <c r="H6" s="18"/>
      <c r="I6" s="20">
        <f>I5+1</f>
        <v>40249</v>
      </c>
      <c r="J6" s="19">
        <f t="shared" si="1"/>
        <v>3</v>
      </c>
      <c r="K6" s="19">
        <f t="shared" si="2"/>
        <v>16</v>
      </c>
      <c r="L6" s="25">
        <f t="shared" si="0"/>
        <v>15.728813559322035</v>
      </c>
      <c r="M6" s="19">
        <f t="array" ref="M6">SUM(Summary!$H$3:$H$204*IF(Summary!I$3:I$204=A$2,1,0)*IF(Summary!K$3:K$204=I6,1,0))</f>
        <v>0</v>
      </c>
      <c r="N6" s="19">
        <f t="shared" si="3"/>
        <v>0</v>
      </c>
      <c r="Q6" s="19">
        <v>1</v>
      </c>
      <c r="R6" s="19">
        <v>1</v>
      </c>
      <c r="S6" s="19">
        <v>1</v>
      </c>
    </row>
    <row r="7" spans="1:20" x14ac:dyDescent="0.25">
      <c r="H7" s="18" t="s">
        <v>595</v>
      </c>
      <c r="I7" s="20">
        <f>I6+3</f>
        <v>40252</v>
      </c>
      <c r="J7" s="19">
        <f t="shared" si="1"/>
        <v>6</v>
      </c>
      <c r="K7" s="19">
        <f t="shared" si="2"/>
        <v>22</v>
      </c>
      <c r="L7" s="25">
        <f t="shared" si="0"/>
        <v>21.627118644067799</v>
      </c>
      <c r="M7" s="19">
        <f t="array" ref="M7">SUM(Summary!$H$3:$H$204*IF(Summary!I$3:I$204=A$2,1,0)*IF(Summary!K$3:K$204=I7,1,0))</f>
        <v>0</v>
      </c>
      <c r="N7" s="19">
        <f t="shared" si="3"/>
        <v>0</v>
      </c>
      <c r="P7" s="19">
        <v>1</v>
      </c>
      <c r="Q7" s="19">
        <v>1</v>
      </c>
      <c r="R7" s="19">
        <v>1</v>
      </c>
      <c r="S7" s="19">
        <v>2</v>
      </c>
      <c r="T7" s="19">
        <v>1</v>
      </c>
    </row>
    <row r="8" spans="1:20" x14ac:dyDescent="0.25">
      <c r="H8" s="18"/>
      <c r="I8" s="20">
        <f>I7+1</f>
        <v>40253</v>
      </c>
      <c r="J8" s="19">
        <f t="shared" si="1"/>
        <v>5</v>
      </c>
      <c r="K8" s="19">
        <f t="shared" si="2"/>
        <v>27</v>
      </c>
      <c r="L8" s="25">
        <f t="shared" si="0"/>
        <v>26.542372881355934</v>
      </c>
      <c r="M8" s="19">
        <f t="array" ref="M8">SUM(Summary!$H$3:$H$204*IF(Summary!I$3:I$204=A$2,1,0)*IF(Summary!K$3:K$204=I8,1,0))</f>
        <v>5.5</v>
      </c>
      <c r="N8" s="19">
        <f t="shared" si="3"/>
        <v>5.5</v>
      </c>
      <c r="P8" s="19">
        <v>1</v>
      </c>
      <c r="Q8" s="19">
        <v>1</v>
      </c>
      <c r="R8" s="19">
        <v>1</v>
      </c>
      <c r="S8" s="19">
        <v>1</v>
      </c>
      <c r="T8" s="19">
        <v>1</v>
      </c>
    </row>
    <row r="9" spans="1:20" x14ac:dyDescent="0.25">
      <c r="H9" s="18"/>
      <c r="I9" s="20">
        <f>I8+1</f>
        <v>40254</v>
      </c>
      <c r="J9" s="19">
        <f t="shared" si="1"/>
        <v>5</v>
      </c>
      <c r="K9" s="19">
        <f t="shared" si="2"/>
        <v>32</v>
      </c>
      <c r="L9" s="25">
        <f t="shared" si="0"/>
        <v>31.457627118644069</v>
      </c>
      <c r="M9" s="19">
        <f t="array" ref="M9">SUM(Summary!$H$3:$H$204*IF(Summary!I$3:I$204=A$2,1,0)*IF(Summary!K$3:K$204=I9,1,0))</f>
        <v>6</v>
      </c>
      <c r="N9" s="19">
        <f t="shared" si="3"/>
        <v>11.5</v>
      </c>
      <c r="P9" s="19">
        <v>1</v>
      </c>
      <c r="Q9" s="19">
        <v>1</v>
      </c>
      <c r="R9" s="19">
        <v>1</v>
      </c>
      <c r="S9" s="19">
        <v>1</v>
      </c>
      <c r="T9" s="19">
        <v>1</v>
      </c>
    </row>
    <row r="10" spans="1:20" x14ac:dyDescent="0.25">
      <c r="H10" s="18"/>
      <c r="I10" s="20">
        <f>I9+1</f>
        <v>40255</v>
      </c>
      <c r="J10" s="19">
        <f t="shared" si="1"/>
        <v>5</v>
      </c>
      <c r="K10" s="19">
        <f t="shared" si="2"/>
        <v>37</v>
      </c>
      <c r="L10" s="25">
        <f t="shared" si="0"/>
        <v>36.372881355932208</v>
      </c>
      <c r="M10" s="19">
        <f t="array" ref="M10">SUM(Summary!$H$3:$H$204*IF(Summary!I$3:I$204=A$2,1,0)*IF(Summary!K$3:K$204=I10,1,0))</f>
        <v>3</v>
      </c>
      <c r="N10" s="19">
        <f t="shared" si="3"/>
        <v>14.5</v>
      </c>
      <c r="P10" s="19">
        <v>1</v>
      </c>
      <c r="Q10" s="19">
        <v>1</v>
      </c>
      <c r="R10" s="19">
        <v>1</v>
      </c>
      <c r="S10" s="19">
        <v>1</v>
      </c>
      <c r="T10" s="19">
        <v>1</v>
      </c>
    </row>
    <row r="11" spans="1:20" x14ac:dyDescent="0.25">
      <c r="H11" s="18"/>
      <c r="I11" s="20">
        <f>I10+1</f>
        <v>40256</v>
      </c>
      <c r="J11" s="19">
        <f t="shared" si="1"/>
        <v>4</v>
      </c>
      <c r="K11" s="19">
        <f t="shared" si="2"/>
        <v>41</v>
      </c>
      <c r="L11" s="25">
        <f t="shared" si="0"/>
        <v>40.305084745762713</v>
      </c>
      <c r="M11" s="19">
        <f t="array" ref="M11">SUM(Summary!$H$3:$H$204*IF(Summary!I$3:I$204=A$2,1,0)*IF(Summary!K$3:K$204=I11,1,0))</f>
        <v>8</v>
      </c>
      <c r="N11" s="19">
        <f t="shared" si="3"/>
        <v>22.5</v>
      </c>
      <c r="P11" s="19">
        <v>1</v>
      </c>
      <c r="Q11" s="19">
        <v>1</v>
      </c>
      <c r="R11" s="19">
        <v>1</v>
      </c>
      <c r="S11" s="19">
        <v>1</v>
      </c>
    </row>
    <row r="12" spans="1:20" x14ac:dyDescent="0.25">
      <c r="H12" s="18" t="s">
        <v>596</v>
      </c>
      <c r="I12" s="20">
        <f>I11+3</f>
        <v>40259</v>
      </c>
      <c r="J12" s="19">
        <f t="shared" si="1"/>
        <v>4</v>
      </c>
      <c r="K12" s="19">
        <f t="shared" si="2"/>
        <v>45</v>
      </c>
      <c r="L12" s="25">
        <f t="shared" si="0"/>
        <v>44.237288135593225</v>
      </c>
      <c r="M12" s="19">
        <f t="array" ref="M12">SUM(Summary!$H$3:$H$204*IF(Summary!I$3:I$204=A$2,1,0)*IF(Summary!K$3:K$204=I12,1,0))</f>
        <v>0</v>
      </c>
      <c r="N12" s="19">
        <f t="shared" si="3"/>
        <v>22.5</v>
      </c>
      <c r="P12" s="19">
        <v>1</v>
      </c>
      <c r="Q12" s="19">
        <v>1</v>
      </c>
      <c r="R12" s="19">
        <v>1</v>
      </c>
      <c r="S12" s="19">
        <v>1</v>
      </c>
    </row>
    <row r="13" spans="1:20" x14ac:dyDescent="0.25">
      <c r="H13" s="18"/>
      <c r="I13" s="20">
        <f>I12+1</f>
        <v>40260</v>
      </c>
      <c r="J13" s="19">
        <f t="shared" si="1"/>
        <v>5</v>
      </c>
      <c r="K13" s="19">
        <f t="shared" si="2"/>
        <v>50</v>
      </c>
      <c r="L13" s="25">
        <f t="shared" si="0"/>
        <v>49.152542372881356</v>
      </c>
      <c r="M13" s="19">
        <f t="array" ref="M13">SUM(Summary!$H$3:$H$204*IF(Summary!I$3:I$204=A$2,1,0)*IF(Summary!K$3:K$204=I13,1,0))</f>
        <v>17.5</v>
      </c>
      <c r="N13" s="19">
        <f t="shared" si="3"/>
        <v>40</v>
      </c>
      <c r="P13" s="19">
        <v>1</v>
      </c>
      <c r="Q13" s="19">
        <v>1</v>
      </c>
      <c r="R13" s="19">
        <v>1</v>
      </c>
      <c r="S13" s="19">
        <v>1</v>
      </c>
      <c r="T13" s="19">
        <v>1</v>
      </c>
    </row>
    <row r="14" spans="1:20" x14ac:dyDescent="0.25">
      <c r="H14" s="18"/>
      <c r="I14" s="20">
        <f>I13+1</f>
        <v>40261</v>
      </c>
      <c r="J14" s="19">
        <f t="shared" si="1"/>
        <v>4</v>
      </c>
      <c r="K14" s="19">
        <f t="shared" si="2"/>
        <v>54</v>
      </c>
      <c r="L14" s="25">
        <f t="shared" si="0"/>
        <v>53.084745762711869</v>
      </c>
      <c r="M14" s="19">
        <f t="array" ref="M14">SUM(Summary!$H$3:$H$204*IF(Summary!I$3:I$204=A$2,1,0)*IF(Summary!K$3:K$204=I14,1,0))</f>
        <v>2</v>
      </c>
      <c r="N14" s="19">
        <f t="shared" si="3"/>
        <v>42</v>
      </c>
      <c r="P14" s="19">
        <v>1</v>
      </c>
      <c r="Q14" s="19">
        <v>1</v>
      </c>
      <c r="R14" s="19">
        <v>1</v>
      </c>
      <c r="T14" s="19">
        <v>1</v>
      </c>
    </row>
    <row r="15" spans="1:20" x14ac:dyDescent="0.25">
      <c r="H15" s="18"/>
      <c r="I15" s="20">
        <f>I14+1</f>
        <v>40262</v>
      </c>
      <c r="J15" s="19">
        <f t="shared" si="1"/>
        <v>4</v>
      </c>
      <c r="K15" s="19">
        <f t="shared" si="2"/>
        <v>58</v>
      </c>
      <c r="L15" s="25">
        <f t="shared" si="0"/>
        <v>57.016949152542374</v>
      </c>
      <c r="M15" s="19">
        <f t="array" ref="M15">SUM(Summary!$H$3:$H$204*IF(Summary!I$3:I$204=A$2,1,0)*IF(Summary!K$3:K$204=I15,1,0))</f>
        <v>1</v>
      </c>
      <c r="N15" s="19">
        <f t="shared" si="3"/>
        <v>43</v>
      </c>
      <c r="P15" s="19">
        <v>1</v>
      </c>
      <c r="Q15" s="19">
        <v>1</v>
      </c>
      <c r="R15" s="19">
        <v>1</v>
      </c>
      <c r="T15" s="19">
        <v>1</v>
      </c>
    </row>
    <row r="16" spans="1:20" x14ac:dyDescent="0.25">
      <c r="H16" s="18"/>
      <c r="I16" s="20">
        <f>I15+1</f>
        <v>40263</v>
      </c>
      <c r="J16" s="19">
        <f>SUM(P16:T16)</f>
        <v>0</v>
      </c>
      <c r="K16" s="19">
        <f>J16+K15</f>
        <v>58</v>
      </c>
      <c r="L16" s="25">
        <f>K16*$D$2</f>
        <v>57.016949152542374</v>
      </c>
      <c r="M16" s="19">
        <f t="array" ref="M16">SUM(Summary!$H$3:$H$204*IF(Summary!I$3:I$204=A$2,1,0)*IF(Summary!K$3:K$204=I16,1,0))</f>
        <v>3</v>
      </c>
      <c r="N16" s="19">
        <f>N15+M16</f>
        <v>46</v>
      </c>
    </row>
    <row r="17" spans="8:18" x14ac:dyDescent="0.25">
      <c r="H17" s="41" t="s">
        <v>1666</v>
      </c>
      <c r="I17" s="40">
        <f>I16+3</f>
        <v>40266</v>
      </c>
      <c r="J17" s="19">
        <f>SUM(P17:T17)</f>
        <v>0</v>
      </c>
      <c r="K17" s="19">
        <f>J17+K16</f>
        <v>58</v>
      </c>
      <c r="L17" s="25">
        <f>K17*$D$2</f>
        <v>57.016949152542374</v>
      </c>
      <c r="M17" s="19">
        <f t="array" ref="M17">SUM(Summary!$H$3:$H$204*IF(Summary!I$3:I$204=A$2,1,0)*IF(Summary!K$3:K$204=I17,1,0))</f>
        <v>0</v>
      </c>
      <c r="N17" s="19">
        <f>N16+M17</f>
        <v>46</v>
      </c>
    </row>
    <row r="18" spans="8:18" x14ac:dyDescent="0.25">
      <c r="H18" s="18"/>
      <c r="I18" s="40">
        <f>I17+1</f>
        <v>40267</v>
      </c>
      <c r="J18" s="19">
        <f>SUM(P18:T18)</f>
        <v>1</v>
      </c>
      <c r="K18" s="19">
        <f>J18+K17</f>
        <v>59</v>
      </c>
      <c r="L18" s="25">
        <f>K18*$D$2</f>
        <v>58</v>
      </c>
      <c r="M18" s="19">
        <f t="array" ref="M18">SUM(Summary!$H$3:$H$204*IF(Summary!I$3:I$204=A$2,1,0)*IF(Summary!K$3:K$204=I18,1,0))</f>
        <v>12</v>
      </c>
      <c r="N18" s="19">
        <f>N17+M18</f>
        <v>58</v>
      </c>
      <c r="R18" s="19">
        <v>1</v>
      </c>
    </row>
    <row r="19" spans="8:18" x14ac:dyDescent="0.25">
      <c r="H19" s="18"/>
      <c r="I19" s="20"/>
    </row>
    <row r="20" spans="8:18" x14ac:dyDescent="0.25">
      <c r="H20" s="18"/>
      <c r="I20" s="20"/>
    </row>
  </sheetData>
  <phoneticPr fontId="7" type="noConversion"/>
  <pageMargins left="0.7" right="0.7" top="0.75" bottom="0.75" header="0.3" footer="0.3"/>
  <pageSetup paperSize="9" scale="95"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20"/>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20"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c r="P1" s="18" t="s">
        <v>1164</v>
      </c>
      <c r="Q1" s="18" t="s">
        <v>1165</v>
      </c>
      <c r="R1" s="18" t="s">
        <v>1166</v>
      </c>
      <c r="S1" s="18" t="s">
        <v>581</v>
      </c>
      <c r="T1" s="18" t="s">
        <v>1167</v>
      </c>
    </row>
    <row r="2" spans="1:20" x14ac:dyDescent="0.25">
      <c r="A2" s="7" t="s">
        <v>1497</v>
      </c>
      <c r="B2" s="19">
        <f t="array" ref="B2">SUM(Summary!H3:H204*IF(Summary!I3:I204=A2,1,0))</f>
        <v>48</v>
      </c>
      <c r="C2" s="19">
        <f>SUM(J2:J20)</f>
        <v>70</v>
      </c>
      <c r="D2" s="25">
        <f>B2/C2</f>
        <v>0.68571428571428572</v>
      </c>
      <c r="E2" s="28">
        <f>N20</f>
        <v>48</v>
      </c>
      <c r="F2" s="25">
        <f>E2/C2</f>
        <v>0.68571428571428572</v>
      </c>
      <c r="H2" s="18" t="s">
        <v>594</v>
      </c>
      <c r="I2" s="20">
        <v>40266</v>
      </c>
      <c r="J2" s="19">
        <f>SUM(P2:T2)</f>
        <v>0</v>
      </c>
      <c r="K2" s="19">
        <f>J2</f>
        <v>0</v>
      </c>
      <c r="L2" s="25">
        <f t="shared" ref="L2:L16" si="0">K2*$D$2</f>
        <v>0</v>
      </c>
      <c r="M2" s="19">
        <f t="array" ref="M2">SUM(Summary!$H$3:$H$204*IF(Summary!I$3:I$204=A$2,1,0)*IF(Summary!K$3:K$204=I2,1,0))</f>
        <v>0</v>
      </c>
      <c r="N2" s="19">
        <f>M2</f>
        <v>0</v>
      </c>
      <c r="P2" s="19">
        <v>0</v>
      </c>
      <c r="Q2" s="19">
        <v>0</v>
      </c>
      <c r="R2" s="19">
        <v>0</v>
      </c>
      <c r="S2" s="19">
        <v>0</v>
      </c>
      <c r="T2" s="19">
        <v>0</v>
      </c>
    </row>
    <row r="3" spans="1:20" x14ac:dyDescent="0.25">
      <c r="C3" s="19" t="s">
        <v>1396</v>
      </c>
      <c r="D3" s="19">
        <v>0.75</v>
      </c>
      <c r="H3" s="18"/>
      <c r="I3" s="20">
        <f>I2+1</f>
        <v>40267</v>
      </c>
      <c r="J3" s="19">
        <f t="shared" ref="J3:J16" si="1">SUM(P3:T3)</f>
        <v>3</v>
      </c>
      <c r="K3" s="19">
        <f t="shared" ref="K3:K16" si="2">J3+K2</f>
        <v>3</v>
      </c>
      <c r="L3" s="25">
        <f t="shared" si="0"/>
        <v>2.0571428571428569</v>
      </c>
      <c r="M3" s="19">
        <f t="array" ref="M3">SUM(Summary!$H$3:$H$204*IF(Summary!I$3:I$204=A$2,1,0)*IF(Summary!K$3:K$204=I3,1,0))</f>
        <v>0.5</v>
      </c>
      <c r="N3" s="19">
        <f t="shared" ref="N3:N16" si="3">N2+M3</f>
        <v>0.5</v>
      </c>
      <c r="P3" s="19">
        <v>1</v>
      </c>
      <c r="Q3" s="19">
        <v>1</v>
      </c>
      <c r="R3" s="19">
        <v>0</v>
      </c>
      <c r="S3" s="19">
        <v>1</v>
      </c>
      <c r="T3" s="19">
        <v>0</v>
      </c>
    </row>
    <row r="4" spans="1:20" x14ac:dyDescent="0.25">
      <c r="D4" s="19">
        <f>C2*D3</f>
        <v>52.5</v>
      </c>
      <c r="H4" s="18"/>
      <c r="I4" s="20">
        <f>I3+1</f>
        <v>40268</v>
      </c>
      <c r="J4" s="19">
        <f t="shared" si="1"/>
        <v>4</v>
      </c>
      <c r="K4" s="19">
        <f t="shared" si="2"/>
        <v>7</v>
      </c>
      <c r="L4" s="25">
        <f t="shared" si="0"/>
        <v>4.8</v>
      </c>
      <c r="M4" s="19">
        <f t="array" ref="M4">SUM(Summary!$H$3:$H$204*IF(Summary!I$3:I$204=A$2,1,0)*IF(Summary!K$3:K$204=I4,1,0))</f>
        <v>1</v>
      </c>
      <c r="N4" s="19">
        <f t="shared" si="3"/>
        <v>1.5</v>
      </c>
      <c r="P4" s="19">
        <v>1</v>
      </c>
      <c r="Q4" s="19">
        <v>1</v>
      </c>
      <c r="R4" s="19">
        <v>1</v>
      </c>
      <c r="S4" s="19">
        <v>1</v>
      </c>
      <c r="T4" s="19">
        <v>0</v>
      </c>
    </row>
    <row r="5" spans="1:20" x14ac:dyDescent="0.25">
      <c r="H5" s="18"/>
      <c r="I5" s="20">
        <f>I4+1</f>
        <v>40269</v>
      </c>
      <c r="J5" s="19">
        <f t="shared" si="1"/>
        <v>4</v>
      </c>
      <c r="K5" s="19">
        <f t="shared" si="2"/>
        <v>11</v>
      </c>
      <c r="L5" s="25">
        <f t="shared" si="0"/>
        <v>7.5428571428571427</v>
      </c>
      <c r="M5" s="19">
        <f t="array" ref="M5">SUM(Summary!$H$3:$H$204*IF(Summary!I$3:I$204=A$2,1,0)*IF(Summary!K$3:K$204=I5,1,0))</f>
        <v>3</v>
      </c>
      <c r="N5" s="19">
        <f t="shared" si="3"/>
        <v>4.5</v>
      </c>
      <c r="P5" s="19">
        <v>1</v>
      </c>
      <c r="Q5" s="19">
        <v>1</v>
      </c>
      <c r="R5" s="19">
        <v>1</v>
      </c>
      <c r="S5" s="19">
        <v>1</v>
      </c>
      <c r="T5" s="19">
        <v>0</v>
      </c>
    </row>
    <row r="6" spans="1:20" x14ac:dyDescent="0.25">
      <c r="H6" s="18"/>
      <c r="I6" s="20">
        <f>I5+1</f>
        <v>40270</v>
      </c>
      <c r="J6" s="19">
        <f t="shared" si="1"/>
        <v>0</v>
      </c>
      <c r="K6" s="19">
        <f t="shared" si="2"/>
        <v>11</v>
      </c>
      <c r="L6" s="25">
        <f t="shared" si="0"/>
        <v>7.5428571428571427</v>
      </c>
      <c r="M6" s="19">
        <f t="array" ref="M6">SUM(Summary!$H$3:$H$204*IF(Summary!I$3:I$204=A$2,1,0)*IF(Summary!K$3:K$204=I6,1,0))</f>
        <v>0</v>
      </c>
      <c r="N6" s="19">
        <f t="shared" si="3"/>
        <v>4.5</v>
      </c>
      <c r="P6" s="19">
        <v>0</v>
      </c>
      <c r="Q6" s="19">
        <v>0</v>
      </c>
      <c r="R6" s="19">
        <v>0</v>
      </c>
      <c r="S6" s="19">
        <v>0</v>
      </c>
      <c r="T6" s="19">
        <v>0</v>
      </c>
    </row>
    <row r="7" spans="1:20" x14ac:dyDescent="0.25">
      <c r="H7" s="18" t="s">
        <v>595</v>
      </c>
      <c r="I7" s="20">
        <f>I6+3</f>
        <v>40273</v>
      </c>
      <c r="J7" s="19">
        <f t="shared" si="1"/>
        <v>0</v>
      </c>
      <c r="K7" s="19">
        <f t="shared" si="2"/>
        <v>11</v>
      </c>
      <c r="L7" s="25">
        <f t="shared" si="0"/>
        <v>7.5428571428571427</v>
      </c>
      <c r="M7" s="19">
        <f t="array" ref="M7">SUM(Summary!$H$3:$H$204*IF(Summary!I$3:I$204=A$2,1,0)*IF(Summary!K$3:K$204=I7,1,0))</f>
        <v>0</v>
      </c>
      <c r="N7" s="19">
        <f t="shared" si="3"/>
        <v>4.5</v>
      </c>
      <c r="P7" s="19">
        <v>0</v>
      </c>
      <c r="Q7" s="19">
        <v>0</v>
      </c>
      <c r="R7" s="19">
        <v>0</v>
      </c>
      <c r="S7" s="19">
        <v>0</v>
      </c>
      <c r="T7" s="19">
        <v>0</v>
      </c>
    </row>
    <row r="8" spans="1:20" x14ac:dyDescent="0.25">
      <c r="H8" s="18"/>
      <c r="I8" s="20">
        <f>I7+1</f>
        <v>40274</v>
      </c>
      <c r="J8" s="19">
        <f t="shared" si="1"/>
        <v>5</v>
      </c>
      <c r="K8" s="19">
        <f t="shared" si="2"/>
        <v>16</v>
      </c>
      <c r="L8" s="25">
        <f t="shared" si="0"/>
        <v>10.971428571428572</v>
      </c>
      <c r="M8" s="19">
        <f t="array" ref="M8">SUM(Summary!$H$3:$H$204*IF(Summary!I$3:I$204=A$2,1,0)*IF(Summary!K$3:K$204=I8,1,0))</f>
        <v>0</v>
      </c>
      <c r="N8" s="19">
        <f t="shared" si="3"/>
        <v>4.5</v>
      </c>
      <c r="P8" s="19">
        <v>1</v>
      </c>
      <c r="Q8" s="19">
        <v>1</v>
      </c>
      <c r="R8" s="19">
        <v>1</v>
      </c>
      <c r="S8" s="19">
        <v>1</v>
      </c>
      <c r="T8" s="19">
        <v>1</v>
      </c>
    </row>
    <row r="9" spans="1:20" x14ac:dyDescent="0.25">
      <c r="H9" s="18"/>
      <c r="I9" s="20">
        <f>I8+1</f>
        <v>40275</v>
      </c>
      <c r="J9" s="19">
        <f t="shared" si="1"/>
        <v>5</v>
      </c>
      <c r="K9" s="19">
        <f t="shared" si="2"/>
        <v>21</v>
      </c>
      <c r="L9" s="25">
        <f t="shared" si="0"/>
        <v>14.4</v>
      </c>
      <c r="M9" s="19">
        <f t="array" ref="M9">SUM(Summary!$H$3:$H$204*IF(Summary!I$3:I$204=A$2,1,0)*IF(Summary!K$3:K$204=I9,1,0))</f>
        <v>2</v>
      </c>
      <c r="N9" s="19">
        <f t="shared" si="3"/>
        <v>6.5</v>
      </c>
      <c r="P9" s="19">
        <v>1</v>
      </c>
      <c r="Q9" s="19">
        <v>1</v>
      </c>
      <c r="R9" s="19">
        <v>1</v>
      </c>
      <c r="S9" s="19">
        <v>1</v>
      </c>
      <c r="T9" s="19">
        <v>1</v>
      </c>
    </row>
    <row r="10" spans="1:20" x14ac:dyDescent="0.25">
      <c r="H10" s="18"/>
      <c r="I10" s="20">
        <f>I9+1</f>
        <v>40276</v>
      </c>
      <c r="J10" s="19">
        <f t="shared" si="1"/>
        <v>5</v>
      </c>
      <c r="K10" s="19">
        <f t="shared" si="2"/>
        <v>26</v>
      </c>
      <c r="L10" s="25">
        <f t="shared" si="0"/>
        <v>17.828571428571429</v>
      </c>
      <c r="M10" s="19">
        <f t="array" ref="M10">SUM(Summary!$H$3:$H$204*IF(Summary!I$3:I$204=A$2,1,0)*IF(Summary!K$3:K$204=I10,1,0))</f>
        <v>0</v>
      </c>
      <c r="N10" s="19">
        <f t="shared" si="3"/>
        <v>6.5</v>
      </c>
      <c r="P10" s="19">
        <v>1</v>
      </c>
      <c r="Q10" s="19">
        <v>1</v>
      </c>
      <c r="R10" s="19">
        <v>1</v>
      </c>
      <c r="S10" s="19">
        <v>1</v>
      </c>
      <c r="T10" s="19">
        <v>1</v>
      </c>
    </row>
    <row r="11" spans="1:20" x14ac:dyDescent="0.25">
      <c r="H11" s="18"/>
      <c r="I11" s="20">
        <f>I10+1</f>
        <v>40277</v>
      </c>
      <c r="J11" s="19">
        <f t="shared" si="1"/>
        <v>7</v>
      </c>
      <c r="K11" s="19">
        <f t="shared" si="2"/>
        <v>33</v>
      </c>
      <c r="L11" s="25">
        <f t="shared" si="0"/>
        <v>22.62857142857143</v>
      </c>
      <c r="M11" s="19">
        <f t="array" ref="M11">SUM(Summary!$H$3:$H$204*IF(Summary!I$3:I$204=A$2,1,0)*IF(Summary!K$3:K$204=I11,1,0))</f>
        <v>1.5</v>
      </c>
      <c r="N11" s="19">
        <f t="shared" si="3"/>
        <v>8</v>
      </c>
      <c r="P11" s="19">
        <v>1</v>
      </c>
      <c r="Q11" s="19">
        <v>2</v>
      </c>
      <c r="R11" s="19">
        <v>1</v>
      </c>
      <c r="S11" s="19">
        <v>2</v>
      </c>
      <c r="T11" s="19">
        <v>1</v>
      </c>
    </row>
    <row r="12" spans="1:20" x14ac:dyDescent="0.25">
      <c r="H12" s="18" t="s">
        <v>596</v>
      </c>
      <c r="I12" s="20">
        <f>I11+3</f>
        <v>40280</v>
      </c>
      <c r="J12" s="19">
        <f t="shared" si="1"/>
        <v>5</v>
      </c>
      <c r="K12" s="19">
        <f t="shared" si="2"/>
        <v>38</v>
      </c>
      <c r="L12" s="25">
        <f t="shared" si="0"/>
        <v>26.057142857142857</v>
      </c>
      <c r="M12" s="19">
        <f t="array" ref="M12">SUM(Summary!$H$3:$H$204*IF(Summary!I$3:I$204=A$2,1,0)*IF(Summary!K$3:K$204=I12,1,0))</f>
        <v>0</v>
      </c>
      <c r="N12" s="19">
        <f t="shared" si="3"/>
        <v>8</v>
      </c>
      <c r="P12" s="19">
        <v>1</v>
      </c>
      <c r="Q12" s="19">
        <v>1</v>
      </c>
      <c r="R12" s="19">
        <v>1</v>
      </c>
      <c r="S12" s="19">
        <v>1</v>
      </c>
      <c r="T12" s="19">
        <v>1</v>
      </c>
    </row>
    <row r="13" spans="1:20" x14ac:dyDescent="0.25">
      <c r="H13" s="18"/>
      <c r="I13" s="20">
        <f>I12+1</f>
        <v>40281</v>
      </c>
      <c r="J13" s="19">
        <f t="shared" si="1"/>
        <v>5</v>
      </c>
      <c r="K13" s="19">
        <f t="shared" si="2"/>
        <v>43</v>
      </c>
      <c r="L13" s="25">
        <f t="shared" si="0"/>
        <v>29.485714285714288</v>
      </c>
      <c r="M13" s="19">
        <f t="array" ref="M13">SUM(Summary!$H$3:$H$204*IF(Summary!I$3:I$204=A$2,1,0)*IF(Summary!K$3:K$204=I13,1,0))</f>
        <v>5</v>
      </c>
      <c r="N13" s="19">
        <f t="shared" si="3"/>
        <v>13</v>
      </c>
      <c r="P13" s="19">
        <v>1</v>
      </c>
      <c r="Q13" s="19">
        <v>1</v>
      </c>
      <c r="R13" s="19">
        <v>1</v>
      </c>
      <c r="S13" s="19">
        <v>1</v>
      </c>
      <c r="T13" s="19">
        <v>1</v>
      </c>
    </row>
    <row r="14" spans="1:20" x14ac:dyDescent="0.25">
      <c r="H14" s="18"/>
      <c r="I14" s="20">
        <f>I13+1</f>
        <v>40282</v>
      </c>
      <c r="J14" s="19">
        <f t="shared" si="1"/>
        <v>5</v>
      </c>
      <c r="K14" s="19">
        <f t="shared" si="2"/>
        <v>48</v>
      </c>
      <c r="L14" s="25">
        <f t="shared" si="0"/>
        <v>32.914285714285711</v>
      </c>
      <c r="M14" s="19">
        <f t="array" ref="M14">SUM(Summary!$H$3:$H$204*IF(Summary!I$3:I$204=A$2,1,0)*IF(Summary!K$3:K$204=I14,1,0))</f>
        <v>3</v>
      </c>
      <c r="N14" s="19">
        <f t="shared" si="3"/>
        <v>16</v>
      </c>
      <c r="P14" s="19">
        <v>1</v>
      </c>
      <c r="Q14" s="19">
        <v>1</v>
      </c>
      <c r="R14" s="19">
        <v>1</v>
      </c>
      <c r="S14" s="19">
        <v>1</v>
      </c>
      <c r="T14" s="19">
        <v>1</v>
      </c>
    </row>
    <row r="15" spans="1:20" x14ac:dyDescent="0.25">
      <c r="H15" s="18"/>
      <c r="I15" s="20">
        <f>I14+1</f>
        <v>40283</v>
      </c>
      <c r="J15" s="19">
        <f t="shared" si="1"/>
        <v>5</v>
      </c>
      <c r="K15" s="19">
        <f t="shared" si="2"/>
        <v>53</v>
      </c>
      <c r="L15" s="25">
        <f t="shared" si="0"/>
        <v>36.342857142857142</v>
      </c>
      <c r="M15" s="19">
        <f t="array" ref="M15">SUM(Summary!$H$3:$H$204*IF(Summary!I$3:I$204=A$2,1,0)*IF(Summary!K$3:K$204=I15,1,0))</f>
        <v>2</v>
      </c>
      <c r="N15" s="19">
        <f t="shared" si="3"/>
        <v>18</v>
      </c>
      <c r="P15" s="19">
        <v>1</v>
      </c>
      <c r="Q15" s="19">
        <v>1</v>
      </c>
      <c r="R15" s="19">
        <v>1</v>
      </c>
      <c r="S15" s="19">
        <v>1</v>
      </c>
      <c r="T15" s="19">
        <v>1</v>
      </c>
    </row>
    <row r="16" spans="1:20" x14ac:dyDescent="0.25">
      <c r="H16" s="18"/>
      <c r="I16" s="20">
        <f>I15+1</f>
        <v>40284</v>
      </c>
      <c r="J16" s="19">
        <f t="shared" si="1"/>
        <v>7</v>
      </c>
      <c r="K16" s="19">
        <f t="shared" si="2"/>
        <v>60</v>
      </c>
      <c r="L16" s="25">
        <f t="shared" si="0"/>
        <v>41.142857142857146</v>
      </c>
      <c r="M16" s="19">
        <f t="array" ref="M16">SUM(Summary!$H$3:$H$204*IF(Summary!I$3:I$204=A$2,1,0)*IF(Summary!K$3:K$204=I16,1,0))</f>
        <v>12</v>
      </c>
      <c r="N16" s="19">
        <f t="shared" si="3"/>
        <v>30</v>
      </c>
      <c r="P16" s="19">
        <v>1</v>
      </c>
      <c r="Q16" s="19">
        <v>2</v>
      </c>
      <c r="R16" s="19">
        <v>1</v>
      </c>
      <c r="S16" s="19">
        <v>2</v>
      </c>
      <c r="T16" s="19">
        <v>1</v>
      </c>
    </row>
    <row r="17" spans="8:20" x14ac:dyDescent="0.25">
      <c r="H17" s="41" t="s">
        <v>1666</v>
      </c>
      <c r="I17" s="40">
        <f>I16+3</f>
        <v>40287</v>
      </c>
      <c r="J17" s="19">
        <f>SUM(P17:T17)</f>
        <v>5</v>
      </c>
      <c r="K17" s="19">
        <f>J17+K16</f>
        <v>65</v>
      </c>
      <c r="L17" s="25">
        <f>K17*$D$2</f>
        <v>44.571428571428569</v>
      </c>
      <c r="M17" s="19">
        <f t="array" ref="M17">SUM(Summary!$H$3:$H$204*IF(Summary!I$3:I$204=A$2,1,0)*IF(Summary!K$3:K$204=I17,1,0))</f>
        <v>3</v>
      </c>
      <c r="N17" s="19">
        <f>N16+M17</f>
        <v>33</v>
      </c>
      <c r="P17" s="19">
        <v>1</v>
      </c>
      <c r="Q17" s="19">
        <v>1</v>
      </c>
      <c r="R17" s="19">
        <v>1</v>
      </c>
      <c r="S17" s="19">
        <v>1</v>
      </c>
      <c r="T17" s="19">
        <v>1</v>
      </c>
    </row>
    <row r="18" spans="8:20" x14ac:dyDescent="0.25">
      <c r="H18" s="18"/>
      <c r="I18" s="40">
        <f>I17+1</f>
        <v>40288</v>
      </c>
      <c r="J18" s="19">
        <f>SUM(P18:T18)</f>
        <v>3</v>
      </c>
      <c r="K18" s="19">
        <f>J18+K17</f>
        <v>68</v>
      </c>
      <c r="L18" s="25">
        <f>K18*$D$2</f>
        <v>46.628571428571426</v>
      </c>
      <c r="M18" s="19">
        <f t="array" ref="M18">SUM(Summary!$H$3:$H$204*IF(Summary!I$3:I$204=A$2,1,0)*IF(Summary!K$3:K$204=I18,1,0))</f>
        <v>6</v>
      </c>
      <c r="N18" s="19">
        <f>N17+M18</f>
        <v>39</v>
      </c>
      <c r="P18" s="19">
        <v>0</v>
      </c>
      <c r="Q18" s="19">
        <v>0</v>
      </c>
      <c r="R18" s="19">
        <v>1</v>
      </c>
      <c r="S18" s="19">
        <v>1</v>
      </c>
      <c r="T18" s="19">
        <v>1</v>
      </c>
    </row>
    <row r="19" spans="8:20" x14ac:dyDescent="0.25">
      <c r="H19" s="18"/>
      <c r="I19" s="40">
        <f>I18+1</f>
        <v>40289</v>
      </c>
      <c r="J19" s="19">
        <f>SUM(P19:T19)</f>
        <v>1.5</v>
      </c>
      <c r="K19" s="19">
        <f>J19+K18</f>
        <v>69.5</v>
      </c>
      <c r="L19" s="25">
        <f>K19*$D$2</f>
        <v>47.657142857142858</v>
      </c>
      <c r="M19" s="19">
        <f t="array" ref="M19">SUM(Summary!$H$3:$H$204*IF(Summary!I$3:I$204=A$2,1,0)*IF(Summary!K$3:K$204=I19,1,0))</f>
        <v>6</v>
      </c>
      <c r="N19" s="19">
        <f>N18+M19</f>
        <v>45</v>
      </c>
      <c r="P19" s="19">
        <v>0</v>
      </c>
      <c r="Q19" s="19">
        <v>0</v>
      </c>
      <c r="R19" s="19">
        <v>1</v>
      </c>
      <c r="S19" s="19">
        <v>0</v>
      </c>
      <c r="T19" s="19">
        <v>0.5</v>
      </c>
    </row>
    <row r="20" spans="8:20" x14ac:dyDescent="0.25">
      <c r="H20" s="18"/>
      <c r="I20" s="40">
        <f>I19+1</f>
        <v>40290</v>
      </c>
      <c r="J20" s="19">
        <f>SUM(P20:T20)</f>
        <v>0.5</v>
      </c>
      <c r="K20" s="19">
        <f>J20+K19</f>
        <v>70</v>
      </c>
      <c r="L20" s="25">
        <f>K20*$D$2</f>
        <v>48</v>
      </c>
      <c r="M20" s="19">
        <f t="array" ref="M20">SUM(Summary!$H$3:$H$204*IF(Summary!I$3:I$204=A$2,1,0)*IF(Summary!K$3:K$204=I20,1,0))</f>
        <v>3</v>
      </c>
      <c r="N20" s="19">
        <f>N19+M20</f>
        <v>48</v>
      </c>
      <c r="P20" s="19">
        <v>0</v>
      </c>
      <c r="Q20" s="19">
        <v>0</v>
      </c>
      <c r="R20" s="19">
        <v>0.5</v>
      </c>
      <c r="S20" s="19">
        <v>0</v>
      </c>
      <c r="T20" s="19">
        <v>0</v>
      </c>
    </row>
  </sheetData>
  <phoneticPr fontId="7" type="noConversion"/>
  <pageMargins left="0.7" right="0.7" top="0.75" bottom="0.75" header="0.3" footer="0.3"/>
  <pageSetup paperSize="9" scale="95"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23"/>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20"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c r="P1" s="18" t="s">
        <v>1164</v>
      </c>
      <c r="Q1" s="18" t="s">
        <v>1165</v>
      </c>
      <c r="R1" s="18" t="s">
        <v>1166</v>
      </c>
      <c r="S1" s="18" t="s">
        <v>581</v>
      </c>
      <c r="T1" s="18" t="s">
        <v>1167</v>
      </c>
    </row>
    <row r="2" spans="1:20" x14ac:dyDescent="0.25">
      <c r="A2" s="7" t="s">
        <v>2007</v>
      </c>
      <c r="B2" s="19">
        <f t="array" ref="B2">SUM(Summary!H3:H204*IF(Summary!I3:I204=A2,1,0))</f>
        <v>50.5</v>
      </c>
      <c r="C2" s="19">
        <f>SUM(J2:J23)</f>
        <v>59.5</v>
      </c>
      <c r="D2" s="25">
        <f>B2/C2</f>
        <v>0.84873949579831931</v>
      </c>
      <c r="E2" s="28">
        <f>N23</f>
        <v>50.5</v>
      </c>
      <c r="F2" s="25">
        <f>E2/C2</f>
        <v>0.84873949579831931</v>
      </c>
      <c r="H2" s="18" t="s">
        <v>594</v>
      </c>
      <c r="I2" s="20">
        <v>40287</v>
      </c>
      <c r="J2" s="19">
        <f>SUM(P2:T2)</f>
        <v>0</v>
      </c>
      <c r="K2" s="19">
        <f>J2</f>
        <v>0</v>
      </c>
      <c r="L2" s="25">
        <f t="shared" ref="L2:L16" si="0">K2*$D$2</f>
        <v>0</v>
      </c>
      <c r="M2" s="19">
        <f t="array" ref="M2">SUM(Summary!$H$3:$H$204*IF(Summary!I$3:I$204=A$2,1,0)*IF(Summary!K$3:K$204=I2,1,0))</f>
        <v>0</v>
      </c>
      <c r="N2" s="19">
        <f>M2</f>
        <v>0</v>
      </c>
      <c r="P2" s="19">
        <v>0</v>
      </c>
      <c r="Q2" s="19">
        <v>0</v>
      </c>
      <c r="R2" s="19">
        <v>0</v>
      </c>
      <c r="S2" s="19">
        <v>0</v>
      </c>
      <c r="T2" s="19">
        <v>0</v>
      </c>
    </row>
    <row r="3" spans="1:20" x14ac:dyDescent="0.25">
      <c r="C3" s="19" t="s">
        <v>1396</v>
      </c>
      <c r="D3" s="19">
        <v>0.75</v>
      </c>
      <c r="H3" s="18"/>
      <c r="I3" s="20">
        <f>I2+1</f>
        <v>40288</v>
      </c>
      <c r="J3" s="19">
        <f t="shared" ref="J3:J16" si="1">SUM(P3:T3)</f>
        <v>2</v>
      </c>
      <c r="K3" s="19">
        <f t="shared" ref="K3:K16" si="2">J3+K2</f>
        <v>2</v>
      </c>
      <c r="L3" s="25">
        <f t="shared" si="0"/>
        <v>1.6974789915966386</v>
      </c>
      <c r="M3" s="19">
        <f t="array" ref="M3">SUM(Summary!$H$3:$H$204*IF(Summary!I$3:I$204=A$2,1,0)*IF(Summary!K$3:K$204=I3,1,0))</f>
        <v>0</v>
      </c>
      <c r="N3" s="19">
        <f t="shared" ref="N3:N16" si="3">N2+M3</f>
        <v>0</v>
      </c>
      <c r="P3" s="19">
        <v>1</v>
      </c>
      <c r="Q3" s="19">
        <v>1</v>
      </c>
      <c r="R3" s="19">
        <v>0</v>
      </c>
      <c r="S3" s="19">
        <v>0</v>
      </c>
      <c r="T3" s="19">
        <v>0</v>
      </c>
    </row>
    <row r="4" spans="1:20" x14ac:dyDescent="0.25">
      <c r="D4" s="19">
        <f>C2*D3</f>
        <v>44.625</v>
      </c>
      <c r="H4" s="18"/>
      <c r="I4" s="20">
        <f>I3+1</f>
        <v>40289</v>
      </c>
      <c r="J4" s="19">
        <f t="shared" si="1"/>
        <v>3.5</v>
      </c>
      <c r="K4" s="19">
        <f t="shared" si="2"/>
        <v>5.5</v>
      </c>
      <c r="L4" s="25">
        <f t="shared" si="0"/>
        <v>4.6680672268907566</v>
      </c>
      <c r="M4" s="19">
        <f t="array" ref="M4">SUM(Summary!$H$3:$H$204*IF(Summary!I$3:I$204=A$2,1,0)*IF(Summary!K$3:K$204=I4,1,0))</f>
        <v>0</v>
      </c>
      <c r="N4" s="19">
        <f t="shared" si="3"/>
        <v>0</v>
      </c>
      <c r="P4" s="19">
        <v>1</v>
      </c>
      <c r="Q4" s="19">
        <v>1</v>
      </c>
      <c r="R4" s="19">
        <v>0</v>
      </c>
      <c r="S4" s="19">
        <v>1</v>
      </c>
      <c r="T4" s="19">
        <v>0.5</v>
      </c>
    </row>
    <row r="5" spans="1:20" x14ac:dyDescent="0.25">
      <c r="H5" s="18"/>
      <c r="I5" s="20">
        <f>I4+1</f>
        <v>40290</v>
      </c>
      <c r="J5" s="19">
        <f t="shared" si="1"/>
        <v>4.5</v>
      </c>
      <c r="K5" s="19">
        <f t="shared" si="2"/>
        <v>10</v>
      </c>
      <c r="L5" s="25">
        <f t="shared" si="0"/>
        <v>8.4873949579831933</v>
      </c>
      <c r="M5" s="19">
        <f t="array" ref="M5">SUM(Summary!$H$3:$H$204*IF(Summary!I$3:I$204=A$2,1,0)*IF(Summary!K$3:K$204=I5,1,0))</f>
        <v>1</v>
      </c>
      <c r="N5" s="19">
        <f t="shared" si="3"/>
        <v>1</v>
      </c>
      <c r="P5" s="19">
        <v>1</v>
      </c>
      <c r="Q5" s="19">
        <v>1</v>
      </c>
      <c r="R5" s="19">
        <v>0.5</v>
      </c>
      <c r="S5" s="19">
        <v>1</v>
      </c>
      <c r="T5" s="19">
        <v>1</v>
      </c>
    </row>
    <row r="6" spans="1:20" x14ac:dyDescent="0.25">
      <c r="H6" s="18"/>
      <c r="I6" s="20">
        <f>I5+1</f>
        <v>40291</v>
      </c>
      <c r="J6" s="19">
        <f t="shared" si="1"/>
        <v>4.5</v>
      </c>
      <c r="K6" s="19">
        <f t="shared" si="2"/>
        <v>14.5</v>
      </c>
      <c r="L6" s="25">
        <f t="shared" si="0"/>
        <v>12.306722689075629</v>
      </c>
      <c r="M6" s="19">
        <f t="array" ref="M6">SUM(Summary!$H$3:$H$204*IF(Summary!I$3:I$204=A$2,1,0)*IF(Summary!K$3:K$204=I6,1,0))</f>
        <v>4</v>
      </c>
      <c r="N6" s="19">
        <f t="shared" si="3"/>
        <v>5</v>
      </c>
      <c r="P6" s="19">
        <v>0.5</v>
      </c>
      <c r="Q6" s="19">
        <v>1.5</v>
      </c>
      <c r="R6" s="19">
        <v>0.5</v>
      </c>
      <c r="S6" s="19">
        <v>1.5</v>
      </c>
      <c r="T6" s="19">
        <v>0.5</v>
      </c>
    </row>
    <row r="7" spans="1:20" x14ac:dyDescent="0.25">
      <c r="H7" s="18" t="s">
        <v>595</v>
      </c>
      <c r="I7" s="20">
        <f>I6+3</f>
        <v>40294</v>
      </c>
      <c r="J7" s="19">
        <f t="shared" si="1"/>
        <v>3</v>
      </c>
      <c r="K7" s="19">
        <f t="shared" si="2"/>
        <v>17.5</v>
      </c>
      <c r="L7" s="25">
        <f t="shared" si="0"/>
        <v>14.852941176470589</v>
      </c>
      <c r="M7" s="19">
        <f t="array" ref="M7">SUM(Summary!$H$3:$H$204*IF(Summary!I$3:I$204=A$2,1,0)*IF(Summary!K$3:K$204=I7,1,0))</f>
        <v>1</v>
      </c>
      <c r="N7" s="19">
        <f t="shared" si="3"/>
        <v>6</v>
      </c>
      <c r="P7" s="19">
        <v>1</v>
      </c>
      <c r="Q7" s="19">
        <v>1</v>
      </c>
      <c r="R7" s="19">
        <v>1</v>
      </c>
      <c r="S7" s="19">
        <v>0</v>
      </c>
      <c r="T7" s="19">
        <v>0</v>
      </c>
    </row>
    <row r="8" spans="1:20" x14ac:dyDescent="0.25">
      <c r="H8" s="18"/>
      <c r="I8" s="20">
        <f>I7+1</f>
        <v>40295</v>
      </c>
      <c r="J8" s="19">
        <f t="shared" si="1"/>
        <v>2.5</v>
      </c>
      <c r="K8" s="19">
        <f t="shared" si="2"/>
        <v>20</v>
      </c>
      <c r="L8" s="25">
        <f t="shared" si="0"/>
        <v>16.974789915966387</v>
      </c>
      <c r="M8" s="19">
        <f t="array" ref="M8">SUM(Summary!$H$3:$H$204*IF(Summary!I$3:I$204=A$2,1,0)*IF(Summary!K$3:K$204=I8,1,0))</f>
        <v>5.5</v>
      </c>
      <c r="N8" s="19">
        <f t="shared" si="3"/>
        <v>11.5</v>
      </c>
      <c r="P8" s="19">
        <v>0.5</v>
      </c>
      <c r="Q8" s="19">
        <v>1</v>
      </c>
      <c r="R8" s="19">
        <v>1</v>
      </c>
      <c r="S8" s="19">
        <v>0</v>
      </c>
      <c r="T8" s="19">
        <v>0</v>
      </c>
    </row>
    <row r="9" spans="1:20" x14ac:dyDescent="0.25">
      <c r="H9" s="18"/>
      <c r="I9" s="20">
        <f>I8+1</f>
        <v>40296</v>
      </c>
      <c r="J9" s="19">
        <f t="shared" si="1"/>
        <v>3.5</v>
      </c>
      <c r="K9" s="19">
        <f t="shared" si="2"/>
        <v>23.5</v>
      </c>
      <c r="L9" s="25">
        <f t="shared" si="0"/>
        <v>19.945378151260503</v>
      </c>
      <c r="M9" s="19">
        <f t="array" ref="M9">SUM(Summary!$H$3:$H$204*IF(Summary!I$3:I$204=A$2,1,0)*IF(Summary!K$3:K$204=I9,1,0))</f>
        <v>1</v>
      </c>
      <c r="N9" s="19">
        <f t="shared" si="3"/>
        <v>12.5</v>
      </c>
      <c r="P9" s="19">
        <v>1</v>
      </c>
      <c r="Q9" s="19">
        <v>1</v>
      </c>
      <c r="R9" s="19">
        <v>1</v>
      </c>
      <c r="S9" s="19">
        <v>0</v>
      </c>
      <c r="T9" s="19">
        <v>0.5</v>
      </c>
    </row>
    <row r="10" spans="1:20" x14ac:dyDescent="0.25">
      <c r="H10" s="18"/>
      <c r="I10" s="20">
        <f>I9+1</f>
        <v>40297</v>
      </c>
      <c r="J10" s="19">
        <f t="shared" si="1"/>
        <v>4</v>
      </c>
      <c r="K10" s="19">
        <f t="shared" si="2"/>
        <v>27.5</v>
      </c>
      <c r="L10" s="25">
        <f t="shared" si="0"/>
        <v>23.340336134453782</v>
      </c>
      <c r="M10" s="19">
        <f t="array" ref="M10">SUM(Summary!$H$3:$H$204*IF(Summary!I$3:I$204=A$2,1,0)*IF(Summary!K$3:K$204=I10,1,0))</f>
        <v>4</v>
      </c>
      <c r="N10" s="19">
        <f t="shared" si="3"/>
        <v>16.5</v>
      </c>
      <c r="P10" s="19">
        <v>1</v>
      </c>
      <c r="Q10" s="19">
        <v>1</v>
      </c>
      <c r="R10" s="19">
        <v>1</v>
      </c>
      <c r="S10" s="19">
        <v>0</v>
      </c>
      <c r="T10" s="19">
        <v>1</v>
      </c>
    </row>
    <row r="11" spans="1:20" x14ac:dyDescent="0.25">
      <c r="H11" s="18"/>
      <c r="I11" s="20">
        <f>I10+1</f>
        <v>40298</v>
      </c>
      <c r="J11" s="19">
        <f t="shared" si="1"/>
        <v>5</v>
      </c>
      <c r="K11" s="19">
        <f t="shared" si="2"/>
        <v>32.5</v>
      </c>
      <c r="L11" s="25">
        <f t="shared" si="0"/>
        <v>27.584033613445378</v>
      </c>
      <c r="M11" s="19">
        <f t="array" ref="M11">SUM(Summary!$H$3:$H$204*IF(Summary!I$3:I$204=A$2,1,0)*IF(Summary!K$3:K$204=I11,1,0))</f>
        <v>4.5</v>
      </c>
      <c r="N11" s="19">
        <f t="shared" si="3"/>
        <v>21</v>
      </c>
      <c r="P11" s="19">
        <v>1</v>
      </c>
      <c r="Q11" s="19">
        <v>2</v>
      </c>
      <c r="R11" s="19">
        <v>1</v>
      </c>
      <c r="S11" s="19">
        <v>0</v>
      </c>
      <c r="T11" s="19">
        <v>1</v>
      </c>
    </row>
    <row r="12" spans="1:20" x14ac:dyDescent="0.25">
      <c r="H12" s="18" t="s">
        <v>596</v>
      </c>
      <c r="I12" s="20">
        <f>I11+3</f>
        <v>40301</v>
      </c>
      <c r="J12" s="19">
        <f t="shared" si="1"/>
        <v>0</v>
      </c>
      <c r="K12" s="19">
        <f t="shared" si="2"/>
        <v>32.5</v>
      </c>
      <c r="L12" s="25">
        <f t="shared" si="0"/>
        <v>27.584033613445378</v>
      </c>
      <c r="M12" s="19">
        <f t="array" ref="M12">SUM(Summary!$H$3:$H$204*IF(Summary!I$3:I$204=A$2,1,0)*IF(Summary!K$3:K$204=I12,1,0))</f>
        <v>0</v>
      </c>
      <c r="N12" s="19">
        <f t="shared" si="3"/>
        <v>21</v>
      </c>
      <c r="P12" s="19">
        <v>0</v>
      </c>
      <c r="Q12" s="19">
        <v>0</v>
      </c>
      <c r="R12" s="19">
        <v>0</v>
      </c>
      <c r="S12" s="19">
        <v>0</v>
      </c>
      <c r="T12" s="19">
        <v>0</v>
      </c>
    </row>
    <row r="13" spans="1:20" x14ac:dyDescent="0.25">
      <c r="H13" s="18"/>
      <c r="I13" s="20">
        <f>I12+1</f>
        <v>40302</v>
      </c>
      <c r="J13" s="19">
        <f t="shared" si="1"/>
        <v>2</v>
      </c>
      <c r="K13" s="19">
        <f t="shared" si="2"/>
        <v>34.5</v>
      </c>
      <c r="L13" s="25">
        <f t="shared" si="0"/>
        <v>29.281512605042018</v>
      </c>
      <c r="M13" s="19">
        <f t="array" ref="M13">SUM(Summary!$H$3:$H$204*IF(Summary!I$3:I$204=A$2,1,0)*IF(Summary!K$3:K$204=I13,1,0))</f>
        <v>0</v>
      </c>
      <c r="N13" s="19">
        <f t="shared" si="3"/>
        <v>21</v>
      </c>
      <c r="P13" s="19">
        <v>0</v>
      </c>
      <c r="Q13" s="19">
        <v>0</v>
      </c>
      <c r="R13" s="19">
        <v>1</v>
      </c>
      <c r="S13" s="19">
        <v>1</v>
      </c>
      <c r="T13" s="19">
        <v>0</v>
      </c>
    </row>
    <row r="14" spans="1:20" x14ac:dyDescent="0.25">
      <c r="H14" s="18"/>
      <c r="I14" s="20">
        <f>I13+1</f>
        <v>40303</v>
      </c>
      <c r="J14" s="19">
        <f t="shared" si="1"/>
        <v>2.5</v>
      </c>
      <c r="K14" s="19">
        <f t="shared" si="2"/>
        <v>37</v>
      </c>
      <c r="L14" s="25">
        <f t="shared" si="0"/>
        <v>31.403361344537814</v>
      </c>
      <c r="M14" s="19">
        <f t="array" ref="M14">SUM(Summary!$H$3:$H$204*IF(Summary!I$3:I$204=A$2,1,0)*IF(Summary!K$3:K$204=I14,1,0))</f>
        <v>4.5</v>
      </c>
      <c r="N14" s="19">
        <f t="shared" si="3"/>
        <v>25.5</v>
      </c>
      <c r="P14" s="19">
        <v>0</v>
      </c>
      <c r="Q14" s="19">
        <v>0</v>
      </c>
      <c r="R14" s="19">
        <v>1</v>
      </c>
      <c r="S14" s="19">
        <v>1</v>
      </c>
      <c r="T14" s="19">
        <v>0.5</v>
      </c>
    </row>
    <row r="15" spans="1:20" x14ac:dyDescent="0.25">
      <c r="H15" s="18"/>
      <c r="I15" s="20">
        <f>I14+1</f>
        <v>40304</v>
      </c>
      <c r="J15" s="19">
        <f t="shared" si="1"/>
        <v>3</v>
      </c>
      <c r="K15" s="19">
        <f t="shared" si="2"/>
        <v>40</v>
      </c>
      <c r="L15" s="25">
        <f t="shared" si="0"/>
        <v>33.949579831932773</v>
      </c>
      <c r="M15" s="19">
        <f t="array" ref="M15">SUM(Summary!$H$3:$H$204*IF(Summary!I$3:I$204=A$2,1,0)*IF(Summary!K$3:K$204=I15,1,0))</f>
        <v>0</v>
      </c>
      <c r="N15" s="19">
        <f t="shared" si="3"/>
        <v>25.5</v>
      </c>
      <c r="P15" s="19">
        <v>0</v>
      </c>
      <c r="Q15" s="19">
        <v>0</v>
      </c>
      <c r="R15" s="19">
        <v>1</v>
      </c>
      <c r="S15" s="19">
        <v>1</v>
      </c>
      <c r="T15" s="19">
        <v>1</v>
      </c>
    </row>
    <row r="16" spans="1:20" x14ac:dyDescent="0.25">
      <c r="H16" s="18"/>
      <c r="I16" s="20">
        <f>I15+1</f>
        <v>40305</v>
      </c>
      <c r="J16" s="19">
        <f t="shared" si="1"/>
        <v>4</v>
      </c>
      <c r="K16" s="19">
        <f t="shared" si="2"/>
        <v>44</v>
      </c>
      <c r="L16" s="25">
        <f t="shared" si="0"/>
        <v>37.344537815126053</v>
      </c>
      <c r="M16" s="19">
        <f t="array" ref="M16">SUM(Summary!$H$3:$H$204*IF(Summary!I$3:I$204=A$2,1,0)*IF(Summary!K$3:K$204=I16,1,0))</f>
        <v>2</v>
      </c>
      <c r="N16" s="19">
        <f t="shared" si="3"/>
        <v>27.5</v>
      </c>
      <c r="P16" s="19">
        <v>0</v>
      </c>
      <c r="Q16" s="19">
        <v>0</v>
      </c>
      <c r="R16" s="19">
        <v>1</v>
      </c>
      <c r="S16" s="19">
        <v>2</v>
      </c>
      <c r="T16" s="19">
        <v>1</v>
      </c>
    </row>
    <row r="17" spans="8:20" x14ac:dyDescent="0.25">
      <c r="H17" s="18" t="s">
        <v>1666</v>
      </c>
      <c r="I17" s="20">
        <f>I16+3</f>
        <v>40308</v>
      </c>
      <c r="J17" s="19">
        <f t="shared" ref="J17:J23" si="4">SUM(P17:T17)</f>
        <v>3</v>
      </c>
      <c r="K17" s="19">
        <f t="shared" ref="K17:K23" si="5">J17+K16</f>
        <v>47</v>
      </c>
      <c r="L17" s="25">
        <f t="shared" ref="L17:L23" si="6">K17*$D$2</f>
        <v>39.890756302521005</v>
      </c>
      <c r="M17" s="19">
        <f t="array" ref="M17">SUM(Summary!$H$3:$H$204*IF(Summary!I$3:I$204=A$2,1,0)*IF(Summary!K$3:K$204=I17,1,0))</f>
        <v>5</v>
      </c>
      <c r="N17" s="19">
        <f t="shared" ref="N17:N23" si="7">N16+M17</f>
        <v>32.5</v>
      </c>
      <c r="P17" s="19">
        <v>1</v>
      </c>
      <c r="Q17" s="19">
        <v>0</v>
      </c>
      <c r="R17" s="19">
        <v>0</v>
      </c>
      <c r="S17" s="19">
        <v>1</v>
      </c>
      <c r="T17" s="19">
        <v>1</v>
      </c>
    </row>
    <row r="18" spans="8:20" x14ac:dyDescent="0.25">
      <c r="H18" s="18"/>
      <c r="I18" s="20">
        <f>I17+1</f>
        <v>40309</v>
      </c>
      <c r="J18" s="19">
        <f t="shared" si="4"/>
        <v>3</v>
      </c>
      <c r="K18" s="19">
        <f t="shared" si="5"/>
        <v>50</v>
      </c>
      <c r="L18" s="25">
        <f t="shared" si="6"/>
        <v>42.436974789915965</v>
      </c>
      <c r="M18" s="19">
        <f t="array" ref="M18">SUM(Summary!$H$3:$H$204*IF(Summary!I$3:I$204=A$2,1,0)*IF(Summary!K$3:K$204=I18,1,0))</f>
        <v>0</v>
      </c>
      <c r="N18" s="19">
        <f t="shared" si="7"/>
        <v>32.5</v>
      </c>
      <c r="P18" s="19">
        <v>1</v>
      </c>
      <c r="Q18" s="19">
        <v>0</v>
      </c>
      <c r="R18" s="19">
        <v>0</v>
      </c>
      <c r="S18" s="19">
        <v>1</v>
      </c>
      <c r="T18" s="19">
        <v>1</v>
      </c>
    </row>
    <row r="19" spans="8:20" x14ac:dyDescent="0.25">
      <c r="H19" s="18"/>
      <c r="I19" s="20">
        <f>I18+1</f>
        <v>40310</v>
      </c>
      <c r="J19" s="19">
        <f t="shared" si="4"/>
        <v>3</v>
      </c>
      <c r="K19" s="19">
        <f t="shared" si="5"/>
        <v>53</v>
      </c>
      <c r="L19" s="25">
        <f t="shared" si="6"/>
        <v>44.983193277310924</v>
      </c>
      <c r="M19" s="19">
        <f t="array" ref="M19">SUM(Summary!$H$3:$H$204*IF(Summary!I$3:I$204=A$2,1,0)*IF(Summary!K$3:K$204=I19,1,0))</f>
        <v>3</v>
      </c>
      <c r="N19" s="19">
        <f t="shared" si="7"/>
        <v>35.5</v>
      </c>
      <c r="P19" s="19">
        <v>1</v>
      </c>
      <c r="Q19" s="19">
        <v>0</v>
      </c>
      <c r="R19" s="19">
        <v>0</v>
      </c>
      <c r="S19" s="19">
        <v>1</v>
      </c>
      <c r="T19" s="19">
        <v>1</v>
      </c>
    </row>
    <row r="20" spans="8:20" x14ac:dyDescent="0.25">
      <c r="H20" s="18"/>
      <c r="I20" s="20">
        <f>I19+1</f>
        <v>40311</v>
      </c>
      <c r="J20" s="19">
        <f t="shared" si="4"/>
        <v>3</v>
      </c>
      <c r="K20" s="19">
        <f t="shared" si="5"/>
        <v>56</v>
      </c>
      <c r="L20" s="25">
        <f t="shared" si="6"/>
        <v>47.529411764705884</v>
      </c>
      <c r="M20" s="19">
        <f t="array" ref="M20">SUM(Summary!$H$3:$H$204*IF(Summary!I$3:I$204=A$2,1,0)*IF(Summary!K$3:K$204=I20,1,0))</f>
        <v>5</v>
      </c>
      <c r="N20" s="19">
        <f t="shared" si="7"/>
        <v>40.5</v>
      </c>
      <c r="P20" s="19">
        <v>1</v>
      </c>
      <c r="Q20" s="19">
        <v>0</v>
      </c>
      <c r="R20" s="19">
        <v>0</v>
      </c>
      <c r="S20" s="19">
        <v>1</v>
      </c>
      <c r="T20" s="19">
        <v>1</v>
      </c>
    </row>
    <row r="21" spans="8:20" x14ac:dyDescent="0.25">
      <c r="H21" s="18"/>
      <c r="I21" s="20">
        <f>I20+1</f>
        <v>40312</v>
      </c>
      <c r="J21" s="19">
        <f t="shared" si="4"/>
        <v>2.5</v>
      </c>
      <c r="K21" s="19">
        <f t="shared" si="5"/>
        <v>58.5</v>
      </c>
      <c r="L21" s="25">
        <f t="shared" si="6"/>
        <v>49.65126050420168</v>
      </c>
      <c r="M21" s="19">
        <f t="array" ref="M21">SUM(Summary!$H$3:$H$204*IF(Summary!I$3:I$204=A$2,1,0)*IF(Summary!K$3:K$204=I21,1,0))</f>
        <v>8.5</v>
      </c>
      <c r="N21" s="19">
        <f t="shared" si="7"/>
        <v>49</v>
      </c>
      <c r="P21" s="19">
        <v>1</v>
      </c>
      <c r="Q21" s="19">
        <v>0</v>
      </c>
      <c r="R21" s="19">
        <v>0</v>
      </c>
      <c r="S21" s="19">
        <v>1</v>
      </c>
      <c r="T21" s="19">
        <v>0.5</v>
      </c>
    </row>
    <row r="22" spans="8:20" x14ac:dyDescent="0.25">
      <c r="H22" s="41" t="s">
        <v>1834</v>
      </c>
      <c r="I22" s="40">
        <f>I21+3</f>
        <v>40315</v>
      </c>
      <c r="J22" s="19">
        <f t="shared" si="4"/>
        <v>0</v>
      </c>
      <c r="K22" s="19">
        <f t="shared" si="5"/>
        <v>58.5</v>
      </c>
      <c r="L22" s="25">
        <f t="shared" si="6"/>
        <v>49.65126050420168</v>
      </c>
      <c r="M22" s="19">
        <f t="array" ref="M22">SUM(Summary!$H$3:$H$204*IF(Summary!I$3:I$204=A$2,1,0)*IF(Summary!K$3:K$204=I22,1,0))</f>
        <v>0</v>
      </c>
      <c r="N22" s="19">
        <f t="shared" si="7"/>
        <v>49</v>
      </c>
      <c r="P22" s="19">
        <v>0</v>
      </c>
      <c r="Q22" s="19">
        <v>0</v>
      </c>
      <c r="R22" s="19">
        <v>0</v>
      </c>
      <c r="S22" s="19">
        <v>0</v>
      </c>
      <c r="T22" s="19">
        <v>0</v>
      </c>
    </row>
    <row r="23" spans="8:20" x14ac:dyDescent="0.25">
      <c r="I23" s="40">
        <f>I22+1</f>
        <v>40316</v>
      </c>
      <c r="J23" s="19">
        <f t="shared" si="4"/>
        <v>1</v>
      </c>
      <c r="K23" s="19">
        <f t="shared" si="5"/>
        <v>59.5</v>
      </c>
      <c r="L23" s="25">
        <f t="shared" si="6"/>
        <v>50.5</v>
      </c>
      <c r="M23" s="19">
        <f t="array" ref="M23">SUM(Summary!$H$3:$H$204*IF(Summary!I$3:I$204=A$2,1,0)*IF(Summary!K$3:K$204=I23,1,0))</f>
        <v>1.5</v>
      </c>
      <c r="N23" s="19">
        <f t="shared" si="7"/>
        <v>50.5</v>
      </c>
      <c r="P23" s="19">
        <v>1</v>
      </c>
      <c r="Q23" s="19">
        <v>0</v>
      </c>
      <c r="R23" s="19">
        <v>0</v>
      </c>
      <c r="S23" s="19">
        <v>0</v>
      </c>
      <c r="T23" s="19">
        <v>0</v>
      </c>
    </row>
  </sheetData>
  <phoneticPr fontId="7" type="noConversion"/>
  <pageMargins left="0.7" right="0.7" top="0.75" bottom="0.75" header="0.3" footer="0.3"/>
  <pageSetup paperSize="9" scale="95"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6"/>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20"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c r="P1" s="18" t="s">
        <v>1164</v>
      </c>
      <c r="Q1" s="18" t="s">
        <v>1165</v>
      </c>
      <c r="R1" s="18" t="s">
        <v>1166</v>
      </c>
      <c r="S1" s="18" t="s">
        <v>581</v>
      </c>
      <c r="T1" s="18" t="s">
        <v>1167</v>
      </c>
    </row>
    <row r="2" spans="1:20" x14ac:dyDescent="0.25">
      <c r="A2" s="7" t="s">
        <v>2221</v>
      </c>
      <c r="B2" s="19">
        <f t="array" ref="B2">SUM(Summary!H3:H204*IF(Summary!I3:I204=A2,1,0))</f>
        <v>37</v>
      </c>
      <c r="C2" s="19">
        <f>SUM(J2:J16)</f>
        <v>37</v>
      </c>
      <c r="D2" s="25">
        <f>B2/C2</f>
        <v>1</v>
      </c>
      <c r="E2" s="28">
        <f>N16</f>
        <v>37</v>
      </c>
      <c r="F2" s="25">
        <f>E2/C2</f>
        <v>1</v>
      </c>
      <c r="H2" s="18" t="s">
        <v>594</v>
      </c>
      <c r="I2" s="20">
        <v>40315</v>
      </c>
      <c r="J2" s="19">
        <f>SUM(P2:T2)</f>
        <v>0</v>
      </c>
      <c r="K2" s="19">
        <f>J2</f>
        <v>0</v>
      </c>
      <c r="L2" s="25">
        <f t="shared" ref="L2:L16" si="0">K2*$D$2</f>
        <v>0</v>
      </c>
      <c r="M2" s="19">
        <f t="array" ref="M2">SUM(Summary!$H$3:$H$204*IF(Summary!I$3:I$204=A$2,1,0)*IF(Summary!K$3:K$204=I2,1,0))</f>
        <v>0</v>
      </c>
      <c r="N2" s="19">
        <f>M2</f>
        <v>0</v>
      </c>
      <c r="P2" s="19">
        <v>0</v>
      </c>
      <c r="Q2" s="19">
        <v>0</v>
      </c>
      <c r="R2" s="19">
        <v>0</v>
      </c>
      <c r="S2" s="19">
        <v>0</v>
      </c>
      <c r="T2" s="19">
        <v>0</v>
      </c>
    </row>
    <row r="3" spans="1:20" x14ac:dyDescent="0.25">
      <c r="C3" s="19" t="s">
        <v>1396</v>
      </c>
      <c r="D3" s="19">
        <v>0.75</v>
      </c>
      <c r="H3" s="18"/>
      <c r="I3" s="20">
        <f>I2+1</f>
        <v>40316</v>
      </c>
      <c r="J3" s="19">
        <f t="shared" ref="J3:J16" si="1">SUM(P3:T3)</f>
        <v>2</v>
      </c>
      <c r="K3" s="19">
        <f t="shared" ref="K3:K16" si="2">J3+K2</f>
        <v>2</v>
      </c>
      <c r="L3" s="25">
        <f t="shared" si="0"/>
        <v>2</v>
      </c>
      <c r="M3" s="19">
        <f t="array" ref="M3">SUM(Summary!$H$3:$H$204*IF(Summary!I$3:I$204=A$2,1,0)*IF(Summary!K$3:K$204=I3,1,0))</f>
        <v>0.5</v>
      </c>
      <c r="N3" s="19">
        <f t="shared" ref="N3:N16" si="3">N2+M3</f>
        <v>0.5</v>
      </c>
      <c r="P3" s="19">
        <v>0</v>
      </c>
      <c r="Q3" s="19">
        <v>1</v>
      </c>
      <c r="R3" s="19">
        <v>0</v>
      </c>
      <c r="S3" s="19">
        <v>1</v>
      </c>
      <c r="T3" s="19">
        <v>0</v>
      </c>
    </row>
    <row r="4" spans="1:20" x14ac:dyDescent="0.25">
      <c r="D4" s="19">
        <f>C2*D3</f>
        <v>27.75</v>
      </c>
      <c r="H4" s="18"/>
      <c r="I4" s="20">
        <f>I3+1</f>
        <v>40317</v>
      </c>
      <c r="J4" s="19">
        <f t="shared" si="1"/>
        <v>3</v>
      </c>
      <c r="K4" s="19">
        <f t="shared" si="2"/>
        <v>5</v>
      </c>
      <c r="L4" s="25">
        <f t="shared" si="0"/>
        <v>5</v>
      </c>
      <c r="M4" s="19">
        <f t="array" ref="M4">SUM(Summary!$H$3:$H$204*IF(Summary!I$3:I$204=A$2,1,0)*IF(Summary!K$3:K$204=I4,1,0))</f>
        <v>1</v>
      </c>
      <c r="N4" s="19">
        <f t="shared" si="3"/>
        <v>1.5</v>
      </c>
      <c r="P4" s="19">
        <v>1</v>
      </c>
      <c r="Q4" s="19">
        <v>1</v>
      </c>
      <c r="R4" s="19">
        <v>0</v>
      </c>
      <c r="S4" s="19">
        <v>1</v>
      </c>
      <c r="T4" s="19">
        <v>0</v>
      </c>
    </row>
    <row r="5" spans="1:20" x14ac:dyDescent="0.25">
      <c r="H5" s="18"/>
      <c r="I5" s="20">
        <f>I4+1</f>
        <v>40318</v>
      </c>
      <c r="J5" s="19">
        <f t="shared" si="1"/>
        <v>3</v>
      </c>
      <c r="K5" s="19">
        <f t="shared" si="2"/>
        <v>8</v>
      </c>
      <c r="L5" s="25">
        <f t="shared" si="0"/>
        <v>8</v>
      </c>
      <c r="M5" s="19">
        <f t="array" ref="M5">SUM(Summary!$H$3:$H$204*IF(Summary!I$3:I$204=A$2,1,0)*IF(Summary!K$3:K$204=I5,1,0))</f>
        <v>0</v>
      </c>
      <c r="N5" s="19">
        <f t="shared" si="3"/>
        <v>1.5</v>
      </c>
      <c r="P5" s="19">
        <v>1</v>
      </c>
      <c r="Q5" s="19">
        <v>1</v>
      </c>
      <c r="R5" s="19">
        <v>0</v>
      </c>
      <c r="S5" s="19">
        <v>1</v>
      </c>
      <c r="T5" s="19">
        <v>0</v>
      </c>
    </row>
    <row r="6" spans="1:20" x14ac:dyDescent="0.25">
      <c r="H6" s="18"/>
      <c r="I6" s="20">
        <f>I5+1</f>
        <v>40319</v>
      </c>
      <c r="J6" s="19">
        <f t="shared" si="1"/>
        <v>2</v>
      </c>
      <c r="K6" s="19">
        <f t="shared" si="2"/>
        <v>10</v>
      </c>
      <c r="L6" s="25">
        <f t="shared" si="0"/>
        <v>10</v>
      </c>
      <c r="M6" s="19">
        <f t="array" ref="M6">SUM(Summary!$H$3:$H$204*IF(Summary!I$3:I$204=A$2,1,0)*IF(Summary!K$3:K$204=I6,1,0))</f>
        <v>2</v>
      </c>
      <c r="N6" s="19">
        <f t="shared" si="3"/>
        <v>3.5</v>
      </c>
      <c r="P6" s="19">
        <v>0</v>
      </c>
      <c r="Q6" s="19">
        <v>1</v>
      </c>
      <c r="R6" s="19">
        <v>0</v>
      </c>
      <c r="S6" s="19">
        <v>1</v>
      </c>
      <c r="T6" s="19">
        <v>0</v>
      </c>
    </row>
    <row r="7" spans="1:20" x14ac:dyDescent="0.25">
      <c r="H7" s="18" t="s">
        <v>595</v>
      </c>
      <c r="I7" s="20">
        <f>I6+3</f>
        <v>40322</v>
      </c>
      <c r="J7" s="19">
        <f t="shared" si="1"/>
        <v>2</v>
      </c>
      <c r="K7" s="19">
        <f t="shared" si="2"/>
        <v>12</v>
      </c>
      <c r="L7" s="25">
        <f t="shared" si="0"/>
        <v>12</v>
      </c>
      <c r="M7" s="19">
        <f t="array" ref="M7">SUM(Summary!$H$3:$H$204*IF(Summary!I$3:I$204=A$2,1,0)*IF(Summary!K$3:K$204=I7,1,0))</f>
        <v>0</v>
      </c>
      <c r="N7" s="19">
        <f t="shared" si="3"/>
        <v>3.5</v>
      </c>
      <c r="P7" s="19">
        <v>0</v>
      </c>
      <c r="Q7" s="19">
        <v>1</v>
      </c>
      <c r="R7" s="19">
        <v>0</v>
      </c>
      <c r="S7" s="19">
        <v>1</v>
      </c>
      <c r="T7" s="19">
        <v>0</v>
      </c>
    </row>
    <row r="8" spans="1:20" x14ac:dyDescent="0.25">
      <c r="H8" s="18"/>
      <c r="I8" s="20">
        <f>I7+1</f>
        <v>40323</v>
      </c>
      <c r="J8" s="19">
        <f t="shared" si="1"/>
        <v>3</v>
      </c>
      <c r="K8" s="19">
        <f t="shared" si="2"/>
        <v>15</v>
      </c>
      <c r="L8" s="25">
        <f t="shared" si="0"/>
        <v>15</v>
      </c>
      <c r="M8" s="19">
        <f t="array" ref="M8">SUM(Summary!$H$3:$H$204*IF(Summary!I$3:I$204=A$2,1,0)*IF(Summary!K$3:K$204=I8,1,0))</f>
        <v>2</v>
      </c>
      <c r="N8" s="19">
        <f t="shared" si="3"/>
        <v>5.5</v>
      </c>
      <c r="P8" s="19">
        <v>1</v>
      </c>
      <c r="Q8" s="19">
        <v>1</v>
      </c>
      <c r="R8" s="19">
        <v>0</v>
      </c>
      <c r="S8" s="19">
        <v>1</v>
      </c>
      <c r="T8" s="19">
        <v>0</v>
      </c>
    </row>
    <row r="9" spans="1:20" x14ac:dyDescent="0.25">
      <c r="H9" s="18"/>
      <c r="I9" s="20">
        <f>I8+1</f>
        <v>40324</v>
      </c>
      <c r="J9" s="19">
        <f t="shared" si="1"/>
        <v>3</v>
      </c>
      <c r="K9" s="19">
        <f t="shared" si="2"/>
        <v>18</v>
      </c>
      <c r="L9" s="25">
        <f t="shared" si="0"/>
        <v>18</v>
      </c>
      <c r="M9" s="19">
        <f t="array" ref="M9">SUM(Summary!$H$3:$H$204*IF(Summary!I$3:I$204=A$2,1,0)*IF(Summary!K$3:K$204=I9,1,0))</f>
        <v>2</v>
      </c>
      <c r="N9" s="19">
        <f t="shared" si="3"/>
        <v>7.5</v>
      </c>
      <c r="P9" s="19">
        <v>1</v>
      </c>
      <c r="Q9" s="19">
        <v>1</v>
      </c>
      <c r="R9" s="19">
        <v>0</v>
      </c>
      <c r="S9" s="19">
        <v>1</v>
      </c>
      <c r="T9" s="19">
        <v>0</v>
      </c>
    </row>
    <row r="10" spans="1:20" x14ac:dyDescent="0.25">
      <c r="H10" s="18"/>
      <c r="I10" s="20">
        <f>I9+1</f>
        <v>40325</v>
      </c>
      <c r="J10" s="19">
        <f t="shared" si="1"/>
        <v>3</v>
      </c>
      <c r="K10" s="19">
        <f t="shared" si="2"/>
        <v>21</v>
      </c>
      <c r="L10" s="25">
        <f t="shared" si="0"/>
        <v>21</v>
      </c>
      <c r="M10" s="19">
        <f t="array" ref="M10">SUM(Summary!$H$3:$H$204*IF(Summary!I$3:I$204=A$2,1,0)*IF(Summary!K$3:K$204=I10,1,0))</f>
        <v>7</v>
      </c>
      <c r="N10" s="19">
        <f t="shared" si="3"/>
        <v>14.5</v>
      </c>
      <c r="P10" s="19">
        <v>1</v>
      </c>
      <c r="Q10" s="19">
        <v>1</v>
      </c>
      <c r="R10" s="19">
        <v>0</v>
      </c>
      <c r="S10" s="19">
        <v>1</v>
      </c>
      <c r="T10" s="19">
        <v>0</v>
      </c>
    </row>
    <row r="11" spans="1:20" x14ac:dyDescent="0.25">
      <c r="H11" s="18"/>
      <c r="I11" s="20">
        <f>I10+1</f>
        <v>40326</v>
      </c>
      <c r="J11" s="19">
        <f t="shared" si="1"/>
        <v>4</v>
      </c>
      <c r="K11" s="19">
        <f t="shared" si="2"/>
        <v>25</v>
      </c>
      <c r="L11" s="25">
        <f t="shared" si="0"/>
        <v>25</v>
      </c>
      <c r="M11" s="19">
        <f t="array" ref="M11">SUM(Summary!$H$3:$H$204*IF(Summary!I$3:I$204=A$2,1,0)*IF(Summary!K$3:K$204=I11,1,0))</f>
        <v>5</v>
      </c>
      <c r="N11" s="19">
        <f t="shared" si="3"/>
        <v>19.5</v>
      </c>
      <c r="P11" s="19">
        <v>1</v>
      </c>
      <c r="Q11" s="19">
        <v>1</v>
      </c>
      <c r="R11" s="19">
        <v>0</v>
      </c>
      <c r="S11" s="19">
        <v>2</v>
      </c>
      <c r="T11" s="19">
        <v>0</v>
      </c>
    </row>
    <row r="12" spans="1:20" x14ac:dyDescent="0.25">
      <c r="H12" s="18" t="s">
        <v>596</v>
      </c>
      <c r="I12" s="20">
        <f>I11+3</f>
        <v>40329</v>
      </c>
      <c r="J12" s="19">
        <f t="shared" si="1"/>
        <v>0</v>
      </c>
      <c r="K12" s="19">
        <f t="shared" si="2"/>
        <v>25</v>
      </c>
      <c r="L12" s="25">
        <f t="shared" si="0"/>
        <v>25</v>
      </c>
      <c r="M12" s="19">
        <f t="array" ref="M12">SUM(Summary!$H$3:$H$204*IF(Summary!I$3:I$204=A$2,1,0)*IF(Summary!K$3:K$204=I12,1,0))</f>
        <v>0</v>
      </c>
      <c r="N12" s="19">
        <f t="shared" si="3"/>
        <v>19.5</v>
      </c>
      <c r="P12" s="19">
        <v>0</v>
      </c>
      <c r="Q12" s="19">
        <v>0</v>
      </c>
      <c r="R12" s="19">
        <v>0</v>
      </c>
      <c r="S12" s="19">
        <v>0</v>
      </c>
      <c r="T12" s="19">
        <v>0</v>
      </c>
    </row>
    <row r="13" spans="1:20" x14ac:dyDescent="0.25">
      <c r="H13" s="18"/>
      <c r="I13" s="20">
        <f>I12+1</f>
        <v>40330</v>
      </c>
      <c r="J13" s="19">
        <f t="shared" si="1"/>
        <v>2</v>
      </c>
      <c r="K13" s="19">
        <f t="shared" si="2"/>
        <v>27</v>
      </c>
      <c r="L13" s="25">
        <f t="shared" si="0"/>
        <v>27</v>
      </c>
      <c r="M13" s="19">
        <f t="array" ref="M13">SUM(Summary!$H$3:$H$204*IF(Summary!I$3:I$204=A$2,1,0)*IF(Summary!K$3:K$204=I13,1,0))</f>
        <v>5</v>
      </c>
      <c r="N13" s="19">
        <f t="shared" si="3"/>
        <v>24.5</v>
      </c>
      <c r="P13" s="19">
        <v>1</v>
      </c>
      <c r="Q13" s="19">
        <v>1</v>
      </c>
      <c r="R13" s="19">
        <v>0</v>
      </c>
      <c r="S13" s="19">
        <v>0</v>
      </c>
      <c r="T13" s="19">
        <v>0</v>
      </c>
    </row>
    <row r="14" spans="1:20" x14ac:dyDescent="0.25">
      <c r="H14" s="18"/>
      <c r="I14" s="20">
        <f>I13+1</f>
        <v>40331</v>
      </c>
      <c r="J14" s="19">
        <f t="shared" si="1"/>
        <v>4</v>
      </c>
      <c r="K14" s="19">
        <f t="shared" si="2"/>
        <v>31</v>
      </c>
      <c r="L14" s="25">
        <f t="shared" si="0"/>
        <v>31</v>
      </c>
      <c r="M14" s="19">
        <f t="array" ref="M14">SUM(Summary!$H$3:$H$204*IF(Summary!I$3:I$204=A$2,1,0)*IF(Summary!K$3:K$204=I14,1,0))</f>
        <v>5</v>
      </c>
      <c r="N14" s="19">
        <f t="shared" si="3"/>
        <v>29.5</v>
      </c>
      <c r="P14" s="19">
        <v>1</v>
      </c>
      <c r="Q14" s="19">
        <v>1</v>
      </c>
      <c r="R14" s="19">
        <v>1</v>
      </c>
      <c r="S14" s="19">
        <v>1</v>
      </c>
      <c r="T14" s="19">
        <v>0</v>
      </c>
    </row>
    <row r="15" spans="1:20" x14ac:dyDescent="0.25">
      <c r="H15" s="18"/>
      <c r="I15" s="20">
        <f>I14+1</f>
        <v>40332</v>
      </c>
      <c r="J15" s="19">
        <f t="shared" si="1"/>
        <v>3</v>
      </c>
      <c r="K15" s="19">
        <f t="shared" si="2"/>
        <v>34</v>
      </c>
      <c r="L15" s="25">
        <f t="shared" si="0"/>
        <v>34</v>
      </c>
      <c r="M15" s="19">
        <f t="array" ref="M15">SUM(Summary!$H$3:$H$204*IF(Summary!I$3:I$204=A$2,1,0)*IF(Summary!K$3:K$204=I15,1,0))</f>
        <v>0</v>
      </c>
      <c r="N15" s="19">
        <f t="shared" si="3"/>
        <v>29.5</v>
      </c>
      <c r="P15" s="19">
        <v>1</v>
      </c>
      <c r="Q15" s="19">
        <v>1</v>
      </c>
      <c r="R15" s="19">
        <v>0</v>
      </c>
      <c r="S15" s="19">
        <v>1</v>
      </c>
      <c r="T15" s="19">
        <v>0</v>
      </c>
    </row>
    <row r="16" spans="1:20" x14ac:dyDescent="0.25">
      <c r="H16" s="18"/>
      <c r="I16" s="20">
        <f>I15+1</f>
        <v>40333</v>
      </c>
      <c r="J16" s="19">
        <f t="shared" si="1"/>
        <v>3</v>
      </c>
      <c r="K16" s="19">
        <f t="shared" si="2"/>
        <v>37</v>
      </c>
      <c r="L16" s="25">
        <f t="shared" si="0"/>
        <v>37</v>
      </c>
      <c r="M16" s="19">
        <f t="array" ref="M16">SUM(Summary!$H$3:$H$204*IF(Summary!I$3:I$204=A$2,1,0)*IF(Summary!K$3:K$204=I16,1,0))</f>
        <v>7.5</v>
      </c>
      <c r="N16" s="19">
        <f t="shared" si="3"/>
        <v>37</v>
      </c>
      <c r="P16" s="19">
        <v>1</v>
      </c>
      <c r="Q16" s="19">
        <v>1</v>
      </c>
      <c r="R16" s="19">
        <v>0</v>
      </c>
      <c r="S16" s="19">
        <v>1</v>
      </c>
      <c r="T16" s="19">
        <v>0</v>
      </c>
    </row>
  </sheetData>
  <phoneticPr fontId="7" type="noConversion"/>
  <pageMargins left="0.7" right="0.7" top="0.75" bottom="0.75" header="0.3" footer="0.3"/>
  <pageSetup paperSize="9" scale="95"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6"/>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20"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c r="P1" s="18" t="s">
        <v>1164</v>
      </c>
      <c r="Q1" s="18" t="s">
        <v>1165</v>
      </c>
      <c r="R1" s="18" t="s">
        <v>1166</v>
      </c>
      <c r="S1" s="18" t="s">
        <v>581</v>
      </c>
      <c r="T1" s="18" t="s">
        <v>1167</v>
      </c>
    </row>
    <row r="2" spans="1:20" x14ac:dyDescent="0.25">
      <c r="A2" s="7" t="s">
        <v>2706</v>
      </c>
      <c r="B2" s="19">
        <f t="array" ref="B2">SUM(Summary!H3:H204*IF(Summary!I3:I204=A2,1,0))</f>
        <v>22.5</v>
      </c>
      <c r="C2" s="19">
        <f>SUM(J2:J16)</f>
        <v>69.5</v>
      </c>
      <c r="D2" s="25">
        <f>B2/C2</f>
        <v>0.32374100719424459</v>
      </c>
      <c r="E2" s="28">
        <f>N16</f>
        <v>22.5</v>
      </c>
      <c r="F2" s="25">
        <f>E2/C2</f>
        <v>0.32374100719424459</v>
      </c>
      <c r="H2" s="18" t="s">
        <v>594</v>
      </c>
      <c r="I2" s="20">
        <v>40336</v>
      </c>
      <c r="J2" s="19">
        <f>SUM(P2:T2)</f>
        <v>2</v>
      </c>
      <c r="K2" s="19">
        <f>J2</f>
        <v>2</v>
      </c>
      <c r="L2" s="25">
        <f t="shared" ref="L2:L16" si="0">K2*$D$2</f>
        <v>0.64748201438848918</v>
      </c>
      <c r="M2" s="19">
        <f t="array" ref="M2">SUM(Summary!$H$3:$H$204*IF(Summary!I$3:I$204=A$2,1,0)*IF(Summary!K$3:K$204=I2,1,0))</f>
        <v>0</v>
      </c>
      <c r="N2" s="19">
        <f>M2</f>
        <v>0</v>
      </c>
      <c r="P2" s="19">
        <v>0</v>
      </c>
      <c r="Q2" s="19">
        <v>0</v>
      </c>
      <c r="R2" s="19">
        <v>1</v>
      </c>
      <c r="S2" s="19">
        <v>1</v>
      </c>
      <c r="T2" s="19">
        <v>0</v>
      </c>
    </row>
    <row r="3" spans="1:20" x14ac:dyDescent="0.25">
      <c r="C3" s="19" t="s">
        <v>1396</v>
      </c>
      <c r="D3" s="19">
        <v>0.75</v>
      </c>
      <c r="H3" s="18"/>
      <c r="I3" s="20">
        <f>I2+1</f>
        <v>40337</v>
      </c>
      <c r="J3" s="19">
        <f t="shared" ref="J3:J16" si="1">SUM(P3:T3)</f>
        <v>2.5</v>
      </c>
      <c r="K3" s="19">
        <f t="shared" ref="K3:K16" si="2">J3+K2</f>
        <v>4.5</v>
      </c>
      <c r="L3" s="25">
        <f t="shared" si="0"/>
        <v>1.4568345323741005</v>
      </c>
      <c r="M3" s="19">
        <f t="array" ref="M3">SUM(Summary!$H$3:$H$204*IF(Summary!I$3:I$204=A$2,1,0)*IF(Summary!K$3:K$204=I3,1,0))</f>
        <v>0</v>
      </c>
      <c r="N3" s="19">
        <f t="shared" ref="N3:N16" si="3">N2+M3</f>
        <v>0</v>
      </c>
      <c r="P3" s="19">
        <v>0.5</v>
      </c>
      <c r="Q3" s="19">
        <v>0.5</v>
      </c>
      <c r="R3" s="19">
        <v>0.5</v>
      </c>
      <c r="S3" s="19">
        <v>0.5</v>
      </c>
      <c r="T3" s="19">
        <v>0.5</v>
      </c>
    </row>
    <row r="4" spans="1:20" x14ac:dyDescent="0.25">
      <c r="D4" s="19">
        <f>C2*D3</f>
        <v>52.125</v>
      </c>
      <c r="H4" s="18"/>
      <c r="I4" s="20">
        <f>I3+1</f>
        <v>40338</v>
      </c>
      <c r="J4" s="19">
        <f t="shared" si="1"/>
        <v>5</v>
      </c>
      <c r="K4" s="19">
        <f t="shared" si="2"/>
        <v>9.5</v>
      </c>
      <c r="L4" s="25">
        <f t="shared" si="0"/>
        <v>3.0755395683453237</v>
      </c>
      <c r="M4" s="19">
        <f t="array" ref="M4">SUM(Summary!$H$3:$H$204*IF(Summary!I$3:I$204=A$2,1,0)*IF(Summary!K$3:K$204=I4,1,0))</f>
        <v>0</v>
      </c>
      <c r="N4" s="19">
        <f t="shared" si="3"/>
        <v>0</v>
      </c>
      <c r="P4" s="19">
        <v>1</v>
      </c>
      <c r="Q4" s="19">
        <v>1</v>
      </c>
      <c r="R4" s="19">
        <v>1</v>
      </c>
      <c r="S4" s="19">
        <v>1</v>
      </c>
      <c r="T4" s="19">
        <v>1</v>
      </c>
    </row>
    <row r="5" spans="1:20" x14ac:dyDescent="0.25">
      <c r="H5" s="18"/>
      <c r="I5" s="20">
        <f>I4+1</f>
        <v>40339</v>
      </c>
      <c r="J5" s="19">
        <f t="shared" si="1"/>
        <v>5</v>
      </c>
      <c r="K5" s="19">
        <f t="shared" si="2"/>
        <v>14.5</v>
      </c>
      <c r="L5" s="25">
        <f t="shared" si="0"/>
        <v>4.6942446043165464</v>
      </c>
      <c r="M5" s="19">
        <f t="array" ref="M5">SUM(Summary!$H$3:$H$204*IF(Summary!I$3:I$204=A$2,1,0)*IF(Summary!K$3:K$204=I5,1,0))</f>
        <v>2</v>
      </c>
      <c r="N5" s="19">
        <f t="shared" si="3"/>
        <v>2</v>
      </c>
      <c r="P5" s="19">
        <v>1</v>
      </c>
      <c r="Q5" s="19">
        <v>1</v>
      </c>
      <c r="R5" s="19">
        <v>1</v>
      </c>
      <c r="S5" s="19">
        <v>1</v>
      </c>
      <c r="T5" s="19">
        <v>1</v>
      </c>
    </row>
    <row r="6" spans="1:20" x14ac:dyDescent="0.25">
      <c r="H6" s="18"/>
      <c r="I6" s="20">
        <f>I5+1</f>
        <v>40340</v>
      </c>
      <c r="J6" s="19">
        <f t="shared" si="1"/>
        <v>5</v>
      </c>
      <c r="K6" s="19">
        <f t="shared" si="2"/>
        <v>19.5</v>
      </c>
      <c r="L6" s="25">
        <f t="shared" si="0"/>
        <v>6.3129496402877692</v>
      </c>
      <c r="M6" s="19">
        <f t="array" ref="M6">SUM(Summary!$H$3:$H$204*IF(Summary!I$3:I$204=A$2,1,0)*IF(Summary!K$3:K$204=I6,1,0))</f>
        <v>1</v>
      </c>
      <c r="N6" s="19">
        <f t="shared" si="3"/>
        <v>3</v>
      </c>
      <c r="P6" s="19">
        <v>1</v>
      </c>
      <c r="Q6" s="19">
        <v>1</v>
      </c>
      <c r="R6" s="19">
        <v>1</v>
      </c>
      <c r="S6" s="19">
        <v>1</v>
      </c>
      <c r="T6" s="19">
        <v>1</v>
      </c>
    </row>
    <row r="7" spans="1:20" x14ac:dyDescent="0.25">
      <c r="H7" s="18" t="s">
        <v>595</v>
      </c>
      <c r="I7" s="20">
        <f>I6+3</f>
        <v>40343</v>
      </c>
      <c r="J7" s="19">
        <f t="shared" si="1"/>
        <v>5</v>
      </c>
      <c r="K7" s="19">
        <f t="shared" si="2"/>
        <v>24.5</v>
      </c>
      <c r="L7" s="25">
        <f t="shared" si="0"/>
        <v>7.9316546762589928</v>
      </c>
      <c r="M7" s="19">
        <f t="array" ref="M7">SUM(Summary!$H$3:$H$204*IF(Summary!I$3:I$204=A$2,1,0)*IF(Summary!K$3:K$204=I7,1,0))</f>
        <v>0</v>
      </c>
      <c r="N7" s="19">
        <f t="shared" si="3"/>
        <v>3</v>
      </c>
      <c r="P7" s="19">
        <v>1</v>
      </c>
      <c r="Q7" s="19">
        <v>1</v>
      </c>
      <c r="R7" s="19">
        <v>1</v>
      </c>
      <c r="S7" s="19">
        <v>1</v>
      </c>
      <c r="T7" s="19">
        <v>1</v>
      </c>
    </row>
    <row r="8" spans="1:20" x14ac:dyDescent="0.25">
      <c r="H8" s="18"/>
      <c r="I8" s="20">
        <f>I7+1</f>
        <v>40344</v>
      </c>
      <c r="J8" s="19">
        <f t="shared" si="1"/>
        <v>5</v>
      </c>
      <c r="K8" s="19">
        <f t="shared" si="2"/>
        <v>29.5</v>
      </c>
      <c r="L8" s="25">
        <f t="shared" si="0"/>
        <v>9.5503597122302146</v>
      </c>
      <c r="M8" s="19">
        <f t="array" ref="M8">SUM(Summary!$H$3:$H$204*IF(Summary!I$3:I$204=A$2,1,0)*IF(Summary!K$3:K$204=I8,1,0))</f>
        <v>1.5</v>
      </c>
      <c r="N8" s="19">
        <f t="shared" si="3"/>
        <v>4.5</v>
      </c>
      <c r="P8" s="19">
        <v>1</v>
      </c>
      <c r="Q8" s="19">
        <v>1</v>
      </c>
      <c r="R8" s="19">
        <v>1</v>
      </c>
      <c r="S8" s="19">
        <v>1</v>
      </c>
      <c r="T8" s="19">
        <v>1</v>
      </c>
    </row>
    <row r="9" spans="1:20" x14ac:dyDescent="0.25">
      <c r="H9" s="18"/>
      <c r="I9" s="20">
        <f>I8+1</f>
        <v>40345</v>
      </c>
      <c r="J9" s="19">
        <f t="shared" si="1"/>
        <v>5</v>
      </c>
      <c r="K9" s="19">
        <f t="shared" si="2"/>
        <v>34.5</v>
      </c>
      <c r="L9" s="25">
        <f t="shared" si="0"/>
        <v>11.169064748201439</v>
      </c>
      <c r="M9" s="19">
        <f t="array" ref="M9">SUM(Summary!$H$3:$H$204*IF(Summary!I$3:I$204=A$2,1,0)*IF(Summary!K$3:K$204=I9,1,0))</f>
        <v>0</v>
      </c>
      <c r="N9" s="19">
        <f t="shared" si="3"/>
        <v>4.5</v>
      </c>
      <c r="P9" s="19">
        <v>1</v>
      </c>
      <c r="Q9" s="19">
        <v>1</v>
      </c>
      <c r="R9" s="19">
        <v>1</v>
      </c>
      <c r="S9" s="19">
        <v>1</v>
      </c>
      <c r="T9" s="19">
        <v>1</v>
      </c>
    </row>
    <row r="10" spans="1:20" x14ac:dyDescent="0.25">
      <c r="H10" s="18"/>
      <c r="I10" s="20">
        <f>I9+1</f>
        <v>40346</v>
      </c>
      <c r="J10" s="19">
        <f t="shared" si="1"/>
        <v>5</v>
      </c>
      <c r="K10" s="19">
        <f t="shared" si="2"/>
        <v>39.5</v>
      </c>
      <c r="L10" s="25">
        <f t="shared" si="0"/>
        <v>12.787769784172662</v>
      </c>
      <c r="M10" s="19">
        <f t="array" ref="M10">SUM(Summary!$H$3:$H$204*IF(Summary!I$3:I$204=A$2,1,0)*IF(Summary!K$3:K$204=I10,1,0))</f>
        <v>2</v>
      </c>
      <c r="N10" s="19">
        <f t="shared" si="3"/>
        <v>6.5</v>
      </c>
      <c r="P10" s="19">
        <v>1</v>
      </c>
      <c r="Q10" s="19">
        <v>1</v>
      </c>
      <c r="R10" s="19">
        <v>1</v>
      </c>
      <c r="S10" s="19">
        <v>1</v>
      </c>
      <c r="T10" s="19">
        <v>1</v>
      </c>
    </row>
    <row r="11" spans="1:20" x14ac:dyDescent="0.25">
      <c r="H11" s="18"/>
      <c r="I11" s="20">
        <f>I10+1</f>
        <v>40347</v>
      </c>
      <c r="J11" s="19">
        <f t="shared" si="1"/>
        <v>5</v>
      </c>
      <c r="K11" s="19">
        <f t="shared" si="2"/>
        <v>44.5</v>
      </c>
      <c r="L11" s="25">
        <f t="shared" si="0"/>
        <v>14.406474820143885</v>
      </c>
      <c r="M11" s="19">
        <f t="array" ref="M11">SUM(Summary!$H$3:$H$204*IF(Summary!I$3:I$204=A$2,1,0)*IF(Summary!K$3:K$204=I11,1,0))</f>
        <v>1.5</v>
      </c>
      <c r="N11" s="19">
        <f t="shared" si="3"/>
        <v>8</v>
      </c>
      <c r="P11" s="19">
        <v>0</v>
      </c>
      <c r="Q11" s="19">
        <v>2</v>
      </c>
      <c r="R11" s="19">
        <v>1</v>
      </c>
      <c r="S11" s="19">
        <v>1</v>
      </c>
      <c r="T11" s="19">
        <v>1</v>
      </c>
    </row>
    <row r="12" spans="1:20" x14ac:dyDescent="0.25">
      <c r="H12" s="18" t="s">
        <v>596</v>
      </c>
      <c r="I12" s="20">
        <f>I11+3</f>
        <v>40350</v>
      </c>
      <c r="J12" s="19">
        <f t="shared" si="1"/>
        <v>5</v>
      </c>
      <c r="K12" s="19">
        <f t="shared" si="2"/>
        <v>49.5</v>
      </c>
      <c r="L12" s="25">
        <f t="shared" si="0"/>
        <v>16.025179856115106</v>
      </c>
      <c r="M12" s="19">
        <f t="array" ref="M12">SUM(Summary!$H$3:$H$204*IF(Summary!I$3:I$204=A$2,1,0)*IF(Summary!K$3:K$204=I12,1,0))</f>
        <v>0</v>
      </c>
      <c r="N12" s="19">
        <f t="shared" si="3"/>
        <v>8</v>
      </c>
      <c r="P12" s="19">
        <v>1</v>
      </c>
      <c r="Q12" s="19">
        <v>1</v>
      </c>
      <c r="R12" s="19">
        <v>1</v>
      </c>
      <c r="S12" s="19">
        <v>1</v>
      </c>
      <c r="T12" s="19">
        <v>1</v>
      </c>
    </row>
    <row r="13" spans="1:20" x14ac:dyDescent="0.25">
      <c r="H13" s="18"/>
      <c r="I13" s="20">
        <f>I12+1</f>
        <v>40351</v>
      </c>
      <c r="J13" s="19">
        <f t="shared" si="1"/>
        <v>5</v>
      </c>
      <c r="K13" s="19">
        <f t="shared" si="2"/>
        <v>54.5</v>
      </c>
      <c r="L13" s="25">
        <f t="shared" si="0"/>
        <v>17.64388489208633</v>
      </c>
      <c r="M13" s="19">
        <f t="array" ref="M13">SUM(Summary!$H$3:$H$204*IF(Summary!I$3:I$204=A$2,1,0)*IF(Summary!K$3:K$204=I13,1,0))</f>
        <v>1</v>
      </c>
      <c r="N13" s="19">
        <f t="shared" si="3"/>
        <v>9</v>
      </c>
      <c r="P13" s="19">
        <v>1</v>
      </c>
      <c r="Q13" s="19">
        <v>1</v>
      </c>
      <c r="R13" s="19">
        <v>1</v>
      </c>
      <c r="S13" s="19">
        <v>1</v>
      </c>
      <c r="T13" s="19">
        <v>1</v>
      </c>
    </row>
    <row r="14" spans="1:20" x14ac:dyDescent="0.25">
      <c r="H14" s="18"/>
      <c r="I14" s="20">
        <f>I13+1</f>
        <v>40352</v>
      </c>
      <c r="J14" s="19">
        <f t="shared" si="1"/>
        <v>5</v>
      </c>
      <c r="K14" s="19">
        <f t="shared" si="2"/>
        <v>59.5</v>
      </c>
      <c r="L14" s="25">
        <f t="shared" si="0"/>
        <v>19.262589928057555</v>
      </c>
      <c r="M14" s="19">
        <f t="array" ref="M14">SUM(Summary!$H$3:$H$204*IF(Summary!I$3:I$204=A$2,1,0)*IF(Summary!K$3:K$204=I14,1,0))</f>
        <v>8</v>
      </c>
      <c r="N14" s="19">
        <f t="shared" si="3"/>
        <v>17</v>
      </c>
      <c r="P14" s="19">
        <v>1</v>
      </c>
      <c r="Q14" s="19">
        <v>1</v>
      </c>
      <c r="R14" s="19">
        <v>1</v>
      </c>
      <c r="S14" s="19">
        <v>1</v>
      </c>
      <c r="T14" s="19">
        <v>1</v>
      </c>
    </row>
    <row r="15" spans="1:20" x14ac:dyDescent="0.25">
      <c r="H15" s="18"/>
      <c r="I15" s="20">
        <f>I14+1</f>
        <v>40353</v>
      </c>
      <c r="J15" s="19">
        <f t="shared" si="1"/>
        <v>5</v>
      </c>
      <c r="K15" s="19">
        <f t="shared" si="2"/>
        <v>64.5</v>
      </c>
      <c r="L15" s="25">
        <f t="shared" si="0"/>
        <v>20.881294964028775</v>
      </c>
      <c r="M15" s="19">
        <f t="array" ref="M15">SUM(Summary!$H$3:$H$204*IF(Summary!I$3:I$204=A$2,1,0)*IF(Summary!K$3:K$204=I15,1,0))</f>
        <v>0.5</v>
      </c>
      <c r="N15" s="19">
        <f t="shared" si="3"/>
        <v>17.5</v>
      </c>
      <c r="P15" s="19">
        <v>1</v>
      </c>
      <c r="Q15" s="19">
        <v>1</v>
      </c>
      <c r="R15" s="19">
        <v>1</v>
      </c>
      <c r="S15" s="19">
        <v>1</v>
      </c>
      <c r="T15" s="19">
        <v>1</v>
      </c>
    </row>
    <row r="16" spans="1:20" x14ac:dyDescent="0.25">
      <c r="H16" s="18"/>
      <c r="I16" s="20">
        <f>I15+1</f>
        <v>40354</v>
      </c>
      <c r="J16" s="19">
        <f t="shared" si="1"/>
        <v>5</v>
      </c>
      <c r="K16" s="19">
        <f t="shared" si="2"/>
        <v>69.5</v>
      </c>
      <c r="L16" s="25">
        <f t="shared" si="0"/>
        <v>22.5</v>
      </c>
      <c r="M16" s="19">
        <f t="array" ref="M16">SUM(Summary!$H$3:$H$204*IF(Summary!I$3:I$204=A$2,1,0)*IF(Summary!K$3:K$204=I16,1,0))</f>
        <v>5</v>
      </c>
      <c r="N16" s="19">
        <f t="shared" si="3"/>
        <v>22.5</v>
      </c>
      <c r="P16" s="19">
        <v>1</v>
      </c>
      <c r="Q16" s="19">
        <v>1</v>
      </c>
      <c r="R16" s="19">
        <v>1</v>
      </c>
      <c r="S16" s="19">
        <v>1</v>
      </c>
      <c r="T16" s="19">
        <v>1</v>
      </c>
    </row>
  </sheetData>
  <phoneticPr fontId="7" type="noConversion"/>
  <pageMargins left="0.7" right="0.7" top="0.75" bottom="0.75" header="0.3" footer="0.3"/>
  <pageSetup paperSize="9" scale="95"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19"/>
  <sheetViews>
    <sheetView workbookViewId="0"/>
  </sheetViews>
  <sheetFormatPr defaultRowHeight="15" x14ac:dyDescent="0.25"/>
  <cols>
    <col min="1" max="1" width="10.140625" style="19" bestFit="1" customWidth="1"/>
    <col min="2" max="2" width="10.85546875" style="19" customWidth="1"/>
    <col min="3" max="3" width="10.140625" style="19" customWidth="1"/>
    <col min="4" max="5" width="10" style="19" customWidth="1"/>
    <col min="6" max="6" width="8.28515625" style="19" bestFit="1" customWidth="1"/>
    <col min="7" max="8" width="9.140625" style="19"/>
    <col min="9" max="9" width="10.7109375" style="19" bestFit="1" customWidth="1"/>
    <col min="10" max="10" width="9.5703125" style="19" bestFit="1" customWidth="1"/>
    <col min="11" max="11" width="12.5703125" style="19" bestFit="1" customWidth="1"/>
    <col min="12" max="12" width="12.42578125" style="25" customWidth="1"/>
    <col min="13" max="13" width="13.85546875" style="19" bestFit="1" customWidth="1"/>
    <col min="14" max="14" width="13.140625" style="19" customWidth="1"/>
    <col min="15" max="16384" width="9.140625" style="19"/>
  </cols>
  <sheetData>
    <row r="1" spans="1:20" s="18" customFormat="1" ht="60" x14ac:dyDescent="0.25">
      <c r="A1" s="18" t="s">
        <v>602</v>
      </c>
      <c r="B1" s="18" t="s">
        <v>755</v>
      </c>
      <c r="C1" s="18" t="s">
        <v>601</v>
      </c>
      <c r="D1" s="18" t="s">
        <v>760</v>
      </c>
      <c r="E1" s="18" t="s">
        <v>756</v>
      </c>
      <c r="F1" s="18" t="s">
        <v>757</v>
      </c>
      <c r="I1" s="18" t="s">
        <v>597</v>
      </c>
      <c r="J1" s="18" t="s">
        <v>759</v>
      </c>
      <c r="K1" s="18" t="s">
        <v>758</v>
      </c>
      <c r="L1" s="24" t="s">
        <v>598</v>
      </c>
      <c r="M1" s="18" t="s">
        <v>599</v>
      </c>
      <c r="N1" s="18" t="s">
        <v>600</v>
      </c>
      <c r="P1" s="18" t="s">
        <v>1164</v>
      </c>
      <c r="Q1" s="18" t="s">
        <v>1165</v>
      </c>
      <c r="R1" s="18" t="s">
        <v>1166</v>
      </c>
      <c r="S1" s="18" t="s">
        <v>581</v>
      </c>
      <c r="T1" s="18" t="s">
        <v>1167</v>
      </c>
    </row>
    <row r="2" spans="1:20" x14ac:dyDescent="0.25">
      <c r="A2" s="7" t="s">
        <v>2556</v>
      </c>
      <c r="B2" s="19">
        <f t="array" ref="B2">SUM(Summary!H3:H204*IF(Summary!I3:I204=A2,1,0))</f>
        <v>15</v>
      </c>
      <c r="C2" s="19">
        <f>SUM(J2:J19)</f>
        <v>37</v>
      </c>
      <c r="D2" s="25">
        <f>B2/C2</f>
        <v>0.40540540540540543</v>
      </c>
      <c r="E2" s="28">
        <f>N19</f>
        <v>13</v>
      </c>
      <c r="F2" s="25">
        <f>E2/C2</f>
        <v>0.35135135135135137</v>
      </c>
      <c r="H2" s="18" t="s">
        <v>594</v>
      </c>
      <c r="I2" s="20">
        <v>40357</v>
      </c>
      <c r="J2" s="19">
        <f>SUM(P2:T2)</f>
        <v>1</v>
      </c>
      <c r="K2" s="19">
        <f>J2</f>
        <v>1</v>
      </c>
      <c r="L2" s="25">
        <f t="shared" ref="L2:L19" si="0">K2*$D$2</f>
        <v>0.40540540540540543</v>
      </c>
      <c r="M2" s="19">
        <f t="array" ref="M2">SUM(Summary!$H$3:$H$204*IF(Summary!I$3:I$204=A$2,1,0)*IF(Summary!K$3:K$204=I2,1,0))</f>
        <v>0</v>
      </c>
      <c r="N2" s="19">
        <f>M2</f>
        <v>0</v>
      </c>
      <c r="P2" s="19">
        <v>0</v>
      </c>
      <c r="Q2" s="19">
        <v>0</v>
      </c>
      <c r="R2" s="19">
        <v>0</v>
      </c>
      <c r="S2" s="19">
        <v>1</v>
      </c>
      <c r="T2" s="19">
        <v>0</v>
      </c>
    </row>
    <row r="3" spans="1:20" x14ac:dyDescent="0.25">
      <c r="C3" s="19" t="s">
        <v>1396</v>
      </c>
      <c r="D3" s="19">
        <v>0.75</v>
      </c>
      <c r="H3" s="18"/>
      <c r="I3" s="20">
        <f>I2+1</f>
        <v>40358</v>
      </c>
      <c r="J3" s="19">
        <f t="shared" ref="J3:J19" si="1">SUM(P3:T3)</f>
        <v>4</v>
      </c>
      <c r="K3" s="19">
        <f t="shared" ref="K3:K19" si="2">J3+K2</f>
        <v>5</v>
      </c>
      <c r="L3" s="25">
        <f t="shared" si="0"/>
        <v>2.0270270270270272</v>
      </c>
      <c r="M3" s="19">
        <f t="array" ref="M3">SUM(Summary!$H$3:$H$204*IF(Summary!I$3:I$204=A$2,1,0)*IF(Summary!K$3:K$204=I3,1,0))</f>
        <v>0</v>
      </c>
      <c r="N3" s="19">
        <f t="shared" ref="N3:N19" si="3">N2+M3</f>
        <v>0</v>
      </c>
      <c r="P3" s="19">
        <v>1</v>
      </c>
      <c r="Q3" s="19">
        <v>1</v>
      </c>
      <c r="R3" s="19">
        <v>1</v>
      </c>
      <c r="S3" s="19">
        <v>1</v>
      </c>
      <c r="T3" s="19">
        <v>0</v>
      </c>
    </row>
    <row r="4" spans="1:20" x14ac:dyDescent="0.25">
      <c r="D4" s="19">
        <f>C2*D3</f>
        <v>27.75</v>
      </c>
      <c r="H4" s="18"/>
      <c r="I4" s="20">
        <f>I3+1</f>
        <v>40359</v>
      </c>
      <c r="J4" s="19">
        <f t="shared" si="1"/>
        <v>4</v>
      </c>
      <c r="K4" s="19">
        <f t="shared" si="2"/>
        <v>9</v>
      </c>
      <c r="L4" s="25">
        <f t="shared" si="0"/>
        <v>3.6486486486486487</v>
      </c>
      <c r="M4" s="19">
        <f t="array" ref="M4">SUM(Summary!$H$3:$H$204*IF(Summary!I$3:I$204=A$2,1,0)*IF(Summary!K$3:K$204=I4,1,0))</f>
        <v>1</v>
      </c>
      <c r="N4" s="19">
        <f t="shared" si="3"/>
        <v>1</v>
      </c>
      <c r="P4" s="19">
        <v>1</v>
      </c>
      <c r="Q4" s="19">
        <v>1</v>
      </c>
      <c r="R4" s="19">
        <v>1</v>
      </c>
      <c r="S4" s="19">
        <v>1</v>
      </c>
      <c r="T4" s="19">
        <v>0</v>
      </c>
    </row>
    <row r="5" spans="1:20" x14ac:dyDescent="0.25">
      <c r="H5" s="18"/>
      <c r="I5" s="20">
        <f>I4+1</f>
        <v>40360</v>
      </c>
      <c r="J5" s="19">
        <f t="shared" si="1"/>
        <v>3</v>
      </c>
      <c r="K5" s="19">
        <f t="shared" si="2"/>
        <v>12</v>
      </c>
      <c r="L5" s="25">
        <f t="shared" si="0"/>
        <v>4.8648648648648649</v>
      </c>
      <c r="M5" s="19">
        <f t="array" ref="M5">SUM(Summary!$H$3:$H$204*IF(Summary!I$3:I$204=A$2,1,0)*IF(Summary!K$3:K$204=I5,1,0))</f>
        <v>1</v>
      </c>
      <c r="N5" s="19">
        <f t="shared" si="3"/>
        <v>2</v>
      </c>
      <c r="P5" s="19">
        <v>1</v>
      </c>
      <c r="Q5" s="19">
        <v>1</v>
      </c>
      <c r="R5" s="19">
        <v>1</v>
      </c>
      <c r="S5" s="19">
        <v>0</v>
      </c>
      <c r="T5" s="19">
        <v>0</v>
      </c>
    </row>
    <row r="6" spans="1:20" x14ac:dyDescent="0.25">
      <c r="H6" s="18"/>
      <c r="I6" s="20">
        <f>I5+1</f>
        <v>40361</v>
      </c>
      <c r="J6" s="19">
        <f t="shared" si="1"/>
        <v>2</v>
      </c>
      <c r="K6" s="19">
        <f t="shared" si="2"/>
        <v>14</v>
      </c>
      <c r="L6" s="25">
        <f t="shared" si="0"/>
        <v>5.6756756756756763</v>
      </c>
      <c r="M6" s="19">
        <f t="array" ref="M6">SUM(Summary!$H$3:$H$204*IF(Summary!I$3:I$204=A$2,1,0)*IF(Summary!K$3:K$204=I6,1,0))</f>
        <v>0</v>
      </c>
      <c r="N6" s="19">
        <f t="shared" si="3"/>
        <v>2</v>
      </c>
      <c r="P6" s="19">
        <v>1</v>
      </c>
      <c r="Q6" s="19">
        <v>0</v>
      </c>
      <c r="R6" s="19">
        <v>1</v>
      </c>
      <c r="S6" s="19">
        <v>0</v>
      </c>
      <c r="T6" s="19">
        <v>0</v>
      </c>
    </row>
    <row r="7" spans="1:20" x14ac:dyDescent="0.25">
      <c r="H7" s="18" t="s">
        <v>595</v>
      </c>
      <c r="I7" s="20">
        <f>I6+3</f>
        <v>40364</v>
      </c>
      <c r="J7" s="19">
        <f t="shared" si="1"/>
        <v>2</v>
      </c>
      <c r="K7" s="19">
        <f t="shared" si="2"/>
        <v>16</v>
      </c>
      <c r="L7" s="25">
        <f t="shared" si="0"/>
        <v>6.4864864864864868</v>
      </c>
      <c r="M7" s="19">
        <f t="array" ref="M7">SUM(Summary!$H$3:$H$204*IF(Summary!I$3:I$204=A$2,1,0)*IF(Summary!K$3:K$204=I7,1,0))</f>
        <v>5</v>
      </c>
      <c r="N7" s="19">
        <f t="shared" si="3"/>
        <v>7</v>
      </c>
      <c r="P7" s="19">
        <v>1</v>
      </c>
      <c r="Q7" s="19">
        <v>0</v>
      </c>
      <c r="R7" s="19">
        <v>1</v>
      </c>
      <c r="S7" s="19">
        <v>0</v>
      </c>
      <c r="T7" s="19">
        <v>0</v>
      </c>
    </row>
    <row r="8" spans="1:20" x14ac:dyDescent="0.25">
      <c r="H8" s="18"/>
      <c r="I8" s="20">
        <f>I7+1</f>
        <v>40365</v>
      </c>
      <c r="J8" s="19">
        <f t="shared" si="1"/>
        <v>2</v>
      </c>
      <c r="K8" s="19">
        <f t="shared" si="2"/>
        <v>18</v>
      </c>
      <c r="L8" s="25">
        <f t="shared" si="0"/>
        <v>7.2972972972972974</v>
      </c>
      <c r="M8" s="19">
        <f t="array" ref="M8">SUM(Summary!$H$3:$H$204*IF(Summary!I$3:I$204=A$2,1,0)*IF(Summary!K$3:K$204=I8,1,0))</f>
        <v>0</v>
      </c>
      <c r="N8" s="19">
        <f t="shared" si="3"/>
        <v>7</v>
      </c>
      <c r="P8" s="19">
        <v>1</v>
      </c>
      <c r="Q8" s="19">
        <v>0</v>
      </c>
      <c r="R8" s="19">
        <v>1</v>
      </c>
      <c r="S8" s="19">
        <v>0</v>
      </c>
      <c r="T8" s="19">
        <v>0</v>
      </c>
    </row>
    <row r="9" spans="1:20" x14ac:dyDescent="0.25">
      <c r="H9" s="18"/>
      <c r="I9" s="20">
        <f>I8+1</f>
        <v>40366</v>
      </c>
      <c r="J9" s="19">
        <f t="shared" si="1"/>
        <v>2</v>
      </c>
      <c r="K9" s="19">
        <f t="shared" si="2"/>
        <v>20</v>
      </c>
      <c r="L9" s="25">
        <f t="shared" si="0"/>
        <v>8.1081081081081088</v>
      </c>
      <c r="M9" s="19">
        <f t="array" ref="M9">SUM(Summary!$H$3:$H$204*IF(Summary!I$3:I$204=A$2,1,0)*IF(Summary!K$3:K$204=I9,1,0))</f>
        <v>0</v>
      </c>
      <c r="N9" s="19">
        <f t="shared" si="3"/>
        <v>7</v>
      </c>
      <c r="P9" s="19">
        <v>1</v>
      </c>
      <c r="Q9" s="19">
        <v>0</v>
      </c>
      <c r="R9" s="19">
        <v>1</v>
      </c>
      <c r="S9" s="19">
        <v>0</v>
      </c>
      <c r="T9" s="19">
        <v>0</v>
      </c>
    </row>
    <row r="10" spans="1:20" x14ac:dyDescent="0.25">
      <c r="H10" s="18"/>
      <c r="I10" s="20">
        <f>I9+1</f>
        <v>40367</v>
      </c>
      <c r="J10" s="19">
        <f t="shared" si="1"/>
        <v>2</v>
      </c>
      <c r="K10" s="19">
        <f t="shared" si="2"/>
        <v>22</v>
      </c>
      <c r="L10" s="25">
        <f t="shared" si="0"/>
        <v>8.9189189189189193</v>
      </c>
      <c r="M10" s="19">
        <f t="array" ref="M10">SUM(Summary!$H$3:$H$204*IF(Summary!I$3:I$204=A$2,1,0)*IF(Summary!K$3:K$204=I10,1,0))</f>
        <v>0</v>
      </c>
      <c r="N10" s="19">
        <f t="shared" si="3"/>
        <v>7</v>
      </c>
      <c r="P10" s="19">
        <v>1</v>
      </c>
      <c r="Q10" s="19">
        <v>0</v>
      </c>
      <c r="R10" s="19">
        <v>1</v>
      </c>
      <c r="S10" s="19">
        <v>0</v>
      </c>
      <c r="T10" s="19">
        <v>0</v>
      </c>
    </row>
    <row r="11" spans="1:20" x14ac:dyDescent="0.25">
      <c r="H11" s="18"/>
      <c r="I11" s="20">
        <f>I10+1</f>
        <v>40368</v>
      </c>
      <c r="J11" s="19">
        <f t="shared" si="1"/>
        <v>0</v>
      </c>
      <c r="K11" s="19">
        <f t="shared" si="2"/>
        <v>22</v>
      </c>
      <c r="L11" s="25">
        <f t="shared" si="0"/>
        <v>8.9189189189189193</v>
      </c>
      <c r="M11" s="19">
        <f t="array" ref="M11">SUM(Summary!$H$3:$H$204*IF(Summary!I$3:I$204=A$2,1,0)*IF(Summary!K$3:K$204=I11,1,0))</f>
        <v>0</v>
      </c>
      <c r="N11" s="19">
        <f t="shared" si="3"/>
        <v>7</v>
      </c>
      <c r="P11" s="19">
        <v>0</v>
      </c>
      <c r="Q11" s="19">
        <v>0</v>
      </c>
      <c r="R11" s="19">
        <v>0</v>
      </c>
      <c r="S11" s="19">
        <v>0</v>
      </c>
      <c r="T11" s="19">
        <v>0</v>
      </c>
    </row>
    <row r="12" spans="1:20" x14ac:dyDescent="0.25">
      <c r="H12" s="18" t="s">
        <v>596</v>
      </c>
      <c r="I12" s="20">
        <f>I11+3</f>
        <v>40371</v>
      </c>
      <c r="J12" s="19">
        <f t="shared" si="1"/>
        <v>2</v>
      </c>
      <c r="K12" s="19">
        <f t="shared" si="2"/>
        <v>24</v>
      </c>
      <c r="L12" s="25">
        <f t="shared" si="0"/>
        <v>9.7297297297297298</v>
      </c>
      <c r="M12" s="19">
        <f t="array" ref="M12">SUM(Summary!$H$3:$H$204*IF(Summary!I$3:I$204=A$2,1,0)*IF(Summary!K$3:K$204=I12,1,0))</f>
        <v>0</v>
      </c>
      <c r="N12" s="19">
        <f t="shared" si="3"/>
        <v>7</v>
      </c>
      <c r="P12" s="19">
        <v>1</v>
      </c>
      <c r="Q12" s="19">
        <v>0</v>
      </c>
      <c r="R12" s="19">
        <v>1</v>
      </c>
      <c r="S12" s="19">
        <v>0</v>
      </c>
      <c r="T12" s="19">
        <v>0</v>
      </c>
    </row>
    <row r="13" spans="1:20" x14ac:dyDescent="0.25">
      <c r="H13" s="18"/>
      <c r="I13" s="20">
        <f>I12+1</f>
        <v>40372</v>
      </c>
      <c r="J13" s="19">
        <f t="shared" si="1"/>
        <v>2</v>
      </c>
      <c r="K13" s="19">
        <f t="shared" si="2"/>
        <v>26</v>
      </c>
      <c r="L13" s="25">
        <f t="shared" si="0"/>
        <v>10.54054054054054</v>
      </c>
      <c r="M13" s="19">
        <f t="array" ref="M13">SUM(Summary!$H$3:$H$204*IF(Summary!I$3:I$204=A$2,1,0)*IF(Summary!K$3:K$204=I13,1,0))</f>
        <v>0</v>
      </c>
      <c r="N13" s="19">
        <f t="shared" si="3"/>
        <v>7</v>
      </c>
      <c r="P13" s="19">
        <v>1</v>
      </c>
      <c r="Q13" s="19">
        <v>0</v>
      </c>
      <c r="R13" s="19">
        <v>1</v>
      </c>
      <c r="S13" s="19">
        <v>0</v>
      </c>
      <c r="T13" s="19">
        <v>0</v>
      </c>
    </row>
    <row r="14" spans="1:20" x14ac:dyDescent="0.25">
      <c r="H14" s="18"/>
      <c r="I14" s="20">
        <f>I13+1</f>
        <v>40373</v>
      </c>
      <c r="J14" s="19">
        <f t="shared" si="1"/>
        <v>2</v>
      </c>
      <c r="K14" s="19">
        <f t="shared" si="2"/>
        <v>28</v>
      </c>
      <c r="L14" s="25">
        <f t="shared" si="0"/>
        <v>11.351351351351353</v>
      </c>
      <c r="M14" s="19">
        <f t="array" ref="M14">SUM(Summary!$H$3:$H$204*IF(Summary!I$3:I$204=A$2,1,0)*IF(Summary!K$3:K$204=I14,1,0))</f>
        <v>0</v>
      </c>
      <c r="N14" s="19">
        <f t="shared" si="3"/>
        <v>7</v>
      </c>
      <c r="P14" s="19">
        <v>1</v>
      </c>
      <c r="Q14" s="19">
        <v>0</v>
      </c>
      <c r="R14" s="19">
        <v>1</v>
      </c>
      <c r="S14" s="19">
        <v>0</v>
      </c>
      <c r="T14" s="19">
        <v>0</v>
      </c>
    </row>
    <row r="15" spans="1:20" x14ac:dyDescent="0.25">
      <c r="H15" s="18"/>
      <c r="I15" s="20">
        <f>I14+1</f>
        <v>40374</v>
      </c>
      <c r="J15" s="19">
        <f t="shared" si="1"/>
        <v>2</v>
      </c>
      <c r="K15" s="19">
        <f t="shared" si="2"/>
        <v>30</v>
      </c>
      <c r="L15" s="25">
        <f t="shared" si="0"/>
        <v>12.162162162162163</v>
      </c>
      <c r="M15" s="19">
        <f t="array" ref="M15">SUM(Summary!$H$3:$H$204*IF(Summary!I$3:I$204=A$2,1,0)*IF(Summary!K$3:K$204=I15,1,0))</f>
        <v>0</v>
      </c>
      <c r="N15" s="19">
        <f t="shared" si="3"/>
        <v>7</v>
      </c>
      <c r="P15" s="19">
        <v>1</v>
      </c>
      <c r="Q15" s="19">
        <v>0</v>
      </c>
      <c r="R15" s="19">
        <v>1</v>
      </c>
      <c r="S15" s="19">
        <v>0</v>
      </c>
      <c r="T15" s="19">
        <v>0</v>
      </c>
    </row>
    <row r="16" spans="1:20" x14ac:dyDescent="0.25">
      <c r="H16" s="18"/>
      <c r="I16" s="20">
        <f>I15+1</f>
        <v>40375</v>
      </c>
      <c r="J16" s="19">
        <f t="shared" si="1"/>
        <v>2</v>
      </c>
      <c r="K16" s="19">
        <f t="shared" si="2"/>
        <v>32</v>
      </c>
      <c r="L16" s="25">
        <f t="shared" si="0"/>
        <v>12.972972972972974</v>
      </c>
      <c r="M16" s="19">
        <f t="array" ref="M16">SUM(Summary!$H$3:$H$204*IF(Summary!I$3:I$204=A$2,1,0)*IF(Summary!K$3:K$204=I16,1,0))</f>
        <v>0</v>
      </c>
      <c r="N16" s="19">
        <f t="shared" si="3"/>
        <v>7</v>
      </c>
      <c r="P16" s="19">
        <v>1</v>
      </c>
      <c r="Q16" s="19">
        <v>0</v>
      </c>
      <c r="R16" s="19">
        <v>1</v>
      </c>
      <c r="S16" s="19">
        <v>0</v>
      </c>
      <c r="T16" s="19">
        <v>0</v>
      </c>
    </row>
    <row r="17" spans="8:20" x14ac:dyDescent="0.25">
      <c r="H17" s="41" t="s">
        <v>1666</v>
      </c>
      <c r="I17" s="40">
        <f>I16+3</f>
        <v>40378</v>
      </c>
      <c r="J17" s="19">
        <f t="shared" si="1"/>
        <v>1</v>
      </c>
      <c r="K17" s="19">
        <f t="shared" si="2"/>
        <v>33</v>
      </c>
      <c r="L17" s="25">
        <f t="shared" si="0"/>
        <v>13.378378378378379</v>
      </c>
      <c r="M17" s="19">
        <f t="array" ref="M17">SUM(Summary!$H$3:$H$204*IF(Summary!I$3:I$204=A$2,1,0)*IF(Summary!K$3:K$204=I17,1,0))</f>
        <v>0</v>
      </c>
      <c r="N17" s="19">
        <f t="shared" si="3"/>
        <v>7</v>
      </c>
      <c r="P17" s="19">
        <v>1</v>
      </c>
      <c r="Q17" s="19">
        <v>0</v>
      </c>
      <c r="R17" s="19">
        <v>0</v>
      </c>
      <c r="S17" s="19">
        <v>0</v>
      </c>
      <c r="T17" s="19">
        <v>0</v>
      </c>
    </row>
    <row r="18" spans="8:20" x14ac:dyDescent="0.25">
      <c r="H18" s="18"/>
      <c r="I18" s="40">
        <f>I17+1</f>
        <v>40379</v>
      </c>
      <c r="J18" s="19">
        <f t="shared" si="1"/>
        <v>2</v>
      </c>
      <c r="K18" s="19">
        <f t="shared" si="2"/>
        <v>35</v>
      </c>
      <c r="L18" s="25">
        <f t="shared" si="0"/>
        <v>14.189189189189189</v>
      </c>
      <c r="M18" s="19">
        <f t="array" ref="M18">SUM(Summary!$H$3:$H$204*IF(Summary!I$3:I$204=A$2,1,0)*IF(Summary!K$3:K$204=I18,1,0))</f>
        <v>0</v>
      </c>
      <c r="N18" s="19">
        <f t="shared" si="3"/>
        <v>7</v>
      </c>
      <c r="P18" s="19">
        <v>1</v>
      </c>
      <c r="Q18" s="19">
        <v>0</v>
      </c>
      <c r="R18" s="19">
        <v>1</v>
      </c>
      <c r="S18" s="19">
        <v>0</v>
      </c>
      <c r="T18" s="19">
        <v>0</v>
      </c>
    </row>
    <row r="19" spans="8:20" x14ac:dyDescent="0.25">
      <c r="H19" s="18"/>
      <c r="I19" s="40">
        <f>I18+1</f>
        <v>40380</v>
      </c>
      <c r="J19" s="19">
        <f t="shared" si="1"/>
        <v>2</v>
      </c>
      <c r="K19" s="19">
        <f t="shared" si="2"/>
        <v>37</v>
      </c>
      <c r="L19" s="25">
        <f t="shared" si="0"/>
        <v>15</v>
      </c>
      <c r="M19" s="19">
        <f t="array" ref="M19">SUM(Summary!$H$3:$H$204*IF(Summary!I$3:I$204=A$2,1,0)*IF(Summary!K$3:K$204=I19,1,0))</f>
        <v>6</v>
      </c>
      <c r="N19" s="19">
        <f t="shared" si="3"/>
        <v>13</v>
      </c>
      <c r="P19" s="19">
        <v>1</v>
      </c>
      <c r="Q19" s="19">
        <v>0</v>
      </c>
      <c r="R19" s="19">
        <v>1</v>
      </c>
      <c r="S19" s="19">
        <v>0</v>
      </c>
      <c r="T19" s="19">
        <v>0</v>
      </c>
    </row>
  </sheetData>
  <phoneticPr fontId="7" type="noConversion"/>
  <pageMargins left="0.7" right="0.7" top="0.75" bottom="0.75" header="0.3" footer="0.3"/>
  <pageSetup paperSize="9" scale="95" orientation="landscape"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0"/>
  <sheetViews>
    <sheetView showGridLines="0" workbookViewId="0">
      <selection activeCell="H4" sqref="H4"/>
    </sheetView>
  </sheetViews>
  <sheetFormatPr defaultRowHeight="15" x14ac:dyDescent="0.25"/>
  <cols>
    <col min="1" max="1" width="1.140625" customWidth="1"/>
    <col min="2" max="2" width="64.42578125" customWidth="1"/>
    <col min="3" max="3" width="1.5703125" customWidth="1"/>
    <col min="4" max="4" width="5.5703125" customWidth="1"/>
    <col min="5" max="6" width="16" customWidth="1"/>
  </cols>
  <sheetData>
    <row r="1" spans="2:6" x14ac:dyDescent="0.25">
      <c r="B1" s="54" t="s">
        <v>4027</v>
      </c>
      <c r="C1" s="54"/>
      <c r="D1" s="60"/>
      <c r="E1" s="60"/>
      <c r="F1" s="60"/>
    </row>
    <row r="2" spans="2:6" x14ac:dyDescent="0.25">
      <c r="B2" s="54" t="s">
        <v>4028</v>
      </c>
      <c r="C2" s="54"/>
      <c r="D2" s="60"/>
      <c r="E2" s="60"/>
      <c r="F2" s="60"/>
    </row>
    <row r="3" spans="2:6" x14ac:dyDescent="0.25">
      <c r="B3" s="28"/>
      <c r="C3" s="28"/>
      <c r="D3" s="61"/>
      <c r="E3" s="61"/>
      <c r="F3" s="61"/>
    </row>
    <row r="4" spans="2:6" ht="60" x14ac:dyDescent="0.25">
      <c r="B4" s="28" t="s">
        <v>4029</v>
      </c>
      <c r="C4" s="28"/>
      <c r="D4" s="61"/>
      <c r="E4" s="61"/>
      <c r="F4" s="61"/>
    </row>
    <row r="5" spans="2:6" x14ac:dyDescent="0.25">
      <c r="B5" s="28"/>
      <c r="C5" s="28"/>
      <c r="D5" s="61"/>
      <c r="E5" s="61"/>
      <c r="F5" s="61"/>
    </row>
    <row r="6" spans="2:6" x14ac:dyDescent="0.25">
      <c r="B6" s="54" t="s">
        <v>4030</v>
      </c>
      <c r="C6" s="54"/>
      <c r="D6" s="60"/>
      <c r="E6" s="60" t="s">
        <v>4031</v>
      </c>
      <c r="F6" s="60" t="s">
        <v>4032</v>
      </c>
    </row>
    <row r="7" spans="2:6" ht="15.75" thickBot="1" x14ac:dyDescent="0.3">
      <c r="B7" s="28"/>
      <c r="C7" s="28"/>
      <c r="D7" s="61"/>
      <c r="E7" s="61"/>
      <c r="F7" s="61"/>
    </row>
    <row r="8" spans="2:6" ht="45" x14ac:dyDescent="0.25">
      <c r="B8" s="55" t="s">
        <v>4033</v>
      </c>
      <c r="C8" s="56"/>
      <c r="D8" s="62"/>
      <c r="E8" s="62">
        <v>19</v>
      </c>
      <c r="F8" s="63"/>
    </row>
    <row r="9" spans="2:6" x14ac:dyDescent="0.25">
      <c r="B9" s="57"/>
      <c r="C9" s="28"/>
      <c r="D9" s="61"/>
      <c r="E9" s="64" t="s">
        <v>4034</v>
      </c>
      <c r="F9" s="65" t="s">
        <v>4047</v>
      </c>
    </row>
    <row r="10" spans="2:6" x14ac:dyDescent="0.25">
      <c r="B10" s="57"/>
      <c r="C10" s="28"/>
      <c r="D10" s="61"/>
      <c r="E10" s="64" t="s">
        <v>4035</v>
      </c>
      <c r="F10" s="65"/>
    </row>
    <row r="11" spans="2:6" ht="30" x14ac:dyDescent="0.25">
      <c r="B11" s="57"/>
      <c r="C11" s="28"/>
      <c r="D11" s="61"/>
      <c r="E11" s="64" t="s">
        <v>4036</v>
      </c>
      <c r="F11" s="65"/>
    </row>
    <row r="12" spans="2:6" ht="30" x14ac:dyDescent="0.25">
      <c r="B12" s="57"/>
      <c r="C12" s="28"/>
      <c r="D12" s="61"/>
      <c r="E12" s="64" t="s">
        <v>4037</v>
      </c>
      <c r="F12" s="65"/>
    </row>
    <row r="13" spans="2:6" ht="30" x14ac:dyDescent="0.25">
      <c r="B13" s="57"/>
      <c r="C13" s="28"/>
      <c r="D13" s="61"/>
      <c r="E13" s="64" t="s">
        <v>4038</v>
      </c>
      <c r="F13" s="65"/>
    </row>
    <row r="14" spans="2:6" ht="30" x14ac:dyDescent="0.25">
      <c r="B14" s="57"/>
      <c r="C14" s="28"/>
      <c r="D14" s="61"/>
      <c r="E14" s="64" t="s">
        <v>4039</v>
      </c>
      <c r="F14" s="65"/>
    </row>
    <row r="15" spans="2:6" x14ac:dyDescent="0.25">
      <c r="B15" s="57"/>
      <c r="C15" s="28"/>
      <c r="D15" s="61"/>
      <c r="E15" s="64" t="s">
        <v>4040</v>
      </c>
      <c r="F15" s="65"/>
    </row>
    <row r="16" spans="2:6" ht="30" x14ac:dyDescent="0.25">
      <c r="B16" s="57"/>
      <c r="C16" s="28"/>
      <c r="D16" s="61"/>
      <c r="E16" s="64" t="s">
        <v>4041</v>
      </c>
      <c r="F16" s="65"/>
    </row>
    <row r="17" spans="2:6" ht="30" x14ac:dyDescent="0.25">
      <c r="B17" s="57"/>
      <c r="C17" s="28"/>
      <c r="D17" s="61"/>
      <c r="E17" s="64" t="s">
        <v>4042</v>
      </c>
      <c r="F17" s="65"/>
    </row>
    <row r="18" spans="2:6" ht="30" x14ac:dyDescent="0.25">
      <c r="B18" s="57"/>
      <c r="C18" s="28"/>
      <c r="D18" s="61"/>
      <c r="E18" s="64" t="s">
        <v>4043</v>
      </c>
      <c r="F18" s="65"/>
    </row>
    <row r="19" spans="2:6" ht="30" x14ac:dyDescent="0.25">
      <c r="B19" s="57"/>
      <c r="C19" s="28"/>
      <c r="D19" s="61"/>
      <c r="E19" s="64" t="s">
        <v>4044</v>
      </c>
      <c r="F19" s="65"/>
    </row>
    <row r="20" spans="2:6" x14ac:dyDescent="0.25">
      <c r="B20" s="57"/>
      <c r="C20" s="28"/>
      <c r="D20" s="61"/>
      <c r="E20" s="64" t="s">
        <v>4045</v>
      </c>
      <c r="F20" s="65"/>
    </row>
    <row r="21" spans="2:6" ht="30.75" thickBot="1" x14ac:dyDescent="0.3">
      <c r="B21" s="58"/>
      <c r="C21" s="59"/>
      <c r="D21" s="66"/>
      <c r="E21" s="67" t="s">
        <v>4046</v>
      </c>
      <c r="F21" s="68"/>
    </row>
    <row r="22" spans="2:6" ht="15.75" thickBot="1" x14ac:dyDescent="0.3">
      <c r="B22" s="28"/>
      <c r="C22" s="28"/>
      <c r="D22" s="61"/>
      <c r="E22" s="61"/>
      <c r="F22" s="61"/>
    </row>
    <row r="23" spans="2:6" ht="60" x14ac:dyDescent="0.25">
      <c r="B23" s="55" t="s">
        <v>4048</v>
      </c>
      <c r="C23" s="56"/>
      <c r="D23" s="62"/>
      <c r="E23" s="62">
        <v>13</v>
      </c>
      <c r="F23" s="63"/>
    </row>
    <row r="24" spans="2:6" x14ac:dyDescent="0.25">
      <c r="B24" s="57"/>
      <c r="C24" s="28"/>
      <c r="D24" s="61"/>
      <c r="E24" s="64" t="s">
        <v>4045</v>
      </c>
      <c r="F24" s="65" t="s">
        <v>4047</v>
      </c>
    </row>
    <row r="25" spans="2:6" x14ac:dyDescent="0.25">
      <c r="B25" s="57"/>
      <c r="C25" s="28"/>
      <c r="D25" s="61"/>
      <c r="E25" s="64" t="s">
        <v>4049</v>
      </c>
      <c r="F25" s="65"/>
    </row>
    <row r="26" spans="2:6" x14ac:dyDescent="0.25">
      <c r="B26" s="57"/>
      <c r="C26" s="28"/>
      <c r="D26" s="61"/>
      <c r="E26" s="64" t="s">
        <v>4034</v>
      </c>
      <c r="F26" s="65"/>
    </row>
    <row r="27" spans="2:6" ht="30" x14ac:dyDescent="0.25">
      <c r="B27" s="57"/>
      <c r="C27" s="28"/>
      <c r="D27" s="61"/>
      <c r="E27" s="64" t="s">
        <v>4038</v>
      </c>
      <c r="F27" s="65"/>
    </row>
    <row r="28" spans="2:6" x14ac:dyDescent="0.25">
      <c r="B28" s="57"/>
      <c r="C28" s="28"/>
      <c r="D28" s="61"/>
      <c r="E28" s="64" t="s">
        <v>4050</v>
      </c>
      <c r="F28" s="65"/>
    </row>
    <row r="29" spans="2:6" ht="30" x14ac:dyDescent="0.25">
      <c r="B29" s="57"/>
      <c r="C29" s="28"/>
      <c r="D29" s="61"/>
      <c r="E29" s="64" t="s">
        <v>4051</v>
      </c>
      <c r="F29" s="65"/>
    </row>
    <row r="30" spans="2:6" x14ac:dyDescent="0.25">
      <c r="B30" s="57"/>
      <c r="C30" s="28"/>
      <c r="D30" s="61"/>
      <c r="E30" s="64" t="s">
        <v>4052</v>
      </c>
      <c r="F30" s="65"/>
    </row>
    <row r="31" spans="2:6" x14ac:dyDescent="0.25">
      <c r="B31" s="57"/>
      <c r="C31" s="28"/>
      <c r="D31" s="61"/>
      <c r="E31" s="64" t="s">
        <v>4053</v>
      </c>
      <c r="F31" s="65"/>
    </row>
    <row r="32" spans="2:6" ht="30" x14ac:dyDescent="0.25">
      <c r="B32" s="57"/>
      <c r="C32" s="28"/>
      <c r="D32" s="61"/>
      <c r="E32" s="64" t="s">
        <v>4054</v>
      </c>
      <c r="F32" s="65"/>
    </row>
    <row r="33" spans="2:6" x14ac:dyDescent="0.25">
      <c r="B33" s="57"/>
      <c r="C33" s="28"/>
      <c r="D33" s="61"/>
      <c r="E33" s="64" t="s">
        <v>4055</v>
      </c>
      <c r="F33" s="65"/>
    </row>
    <row r="34" spans="2:6" x14ac:dyDescent="0.25">
      <c r="B34" s="57"/>
      <c r="C34" s="28"/>
      <c r="D34" s="61"/>
      <c r="E34" s="64" t="s">
        <v>4056</v>
      </c>
      <c r="F34" s="65"/>
    </row>
    <row r="35" spans="2:6" ht="30" x14ac:dyDescent="0.25">
      <c r="B35" s="57"/>
      <c r="C35" s="28"/>
      <c r="D35" s="61"/>
      <c r="E35" s="64" t="s">
        <v>4057</v>
      </c>
      <c r="F35" s="65"/>
    </row>
    <row r="36" spans="2:6" ht="30.75" thickBot="1" x14ac:dyDescent="0.3">
      <c r="B36" s="58"/>
      <c r="C36" s="59"/>
      <c r="D36" s="66"/>
      <c r="E36" s="67" t="s">
        <v>4058</v>
      </c>
      <c r="F36" s="68"/>
    </row>
    <row r="37" spans="2:6" ht="15.75" thickBot="1" x14ac:dyDescent="0.3">
      <c r="B37" s="28"/>
      <c r="C37" s="28"/>
      <c r="D37" s="61"/>
      <c r="E37" s="61"/>
      <c r="F37" s="61"/>
    </row>
    <row r="38" spans="2:6" ht="45" x14ac:dyDescent="0.25">
      <c r="B38" s="55" t="s">
        <v>4059</v>
      </c>
      <c r="C38" s="56"/>
      <c r="D38" s="62"/>
      <c r="E38" s="62">
        <v>13</v>
      </c>
      <c r="F38" s="63"/>
    </row>
    <row r="39" spans="2:6" ht="15.75" thickBot="1" x14ac:dyDescent="0.3">
      <c r="B39" s="58"/>
      <c r="C39" s="59"/>
      <c r="D39" s="66"/>
      <c r="E39" s="67" t="s">
        <v>4060</v>
      </c>
      <c r="F39" s="68" t="s">
        <v>4047</v>
      </c>
    </row>
    <row r="40" spans="2:6" x14ac:dyDescent="0.25">
      <c r="B40" s="28"/>
      <c r="C40" s="28"/>
      <c r="D40" s="61"/>
      <c r="E40" s="61"/>
      <c r="F40" s="61"/>
    </row>
  </sheetData>
  <hyperlinks>
    <hyperlink ref="E9" location="'Details'!N2714" display="'Details'!N2714"/>
    <hyperlink ref="E10" location="'Details'!P2505" display="'Details'!P2505"/>
    <hyperlink ref="E11" location="'Details'!P2361:P2367" display="'Details'!P2361:P2367"/>
    <hyperlink ref="E12" location="'Details'!P1795:P1802" display="'Details'!P1795:P1802"/>
    <hyperlink ref="E13" location="'Details'!N1543:N1544" display="'Details'!N1543:N1544"/>
    <hyperlink ref="E14" location="'Details'!Q1140:Q1141" display="'Details'!Q1140:Q1141"/>
    <hyperlink ref="E15" location="'Details'!P815" display="'Details'!P815"/>
    <hyperlink ref="E16" location="'Details'!P670:P671" display="'Details'!P670:P671"/>
    <hyperlink ref="E17" location="'Details'!P679:P680" display="'Details'!P679:P680"/>
    <hyperlink ref="E18" location="'Details'!Q1143:Q2108" display="'Details'!Q1143:Q2108"/>
    <hyperlink ref="E19" location="'Details'!Q2110:Q65536" display="'Details'!Q2110:Q65536"/>
    <hyperlink ref="E20" location="'Details'!N524" display="'Details'!N524"/>
    <hyperlink ref="E21" location="'Details'!Q1:Q1138" display="'Details'!Q1:Q1138"/>
    <hyperlink ref="E24" location="'Details'!N524" display="'Details'!N524"/>
    <hyperlink ref="E25" location="'Details'!Q14:Q15" display="'Details'!Q14:Q15"/>
    <hyperlink ref="E26" location="'Details'!N2714" display="'Details'!N2714"/>
    <hyperlink ref="E27" location="'Details'!N1543:N1544" display="'Details'!N1543:N1544"/>
    <hyperlink ref="E28" location="'Details'!Q1033" display="'Details'!Q1033"/>
    <hyperlink ref="E29" location="'Details'!Q1265:Q1271" display="'Details'!Q1265:Q1271"/>
    <hyperlink ref="E30" location="'Details'!Q1276" display="'Details'!Q1276"/>
    <hyperlink ref="E31" location="'Details'!Q1273" display="'Details'!Q1273"/>
    <hyperlink ref="E32" location="'Details'!Q612:Q613" display="'Details'!Q612:Q613"/>
    <hyperlink ref="E33" location="'Details'!Q608" display="'Details'!Q608"/>
    <hyperlink ref="E34" location="'Details'!Q647" display="'Details'!Q647"/>
    <hyperlink ref="E35" location="'Details'!Q576:Q604" display="'Details'!Q576:Q604"/>
    <hyperlink ref="E36" location="'Details'!Q641:Q645" display="'Details'!Q641:Q645"/>
    <hyperlink ref="E39" location="'Details'!H:Q" display="'Details'!H:Q"/>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Summary</vt:lpstr>
      <vt:lpstr>Details</vt:lpstr>
      <vt:lpstr>Actors</vt:lpstr>
      <vt:lpstr>Stats (Summary)</vt:lpstr>
      <vt:lpstr>Stats (i1)</vt:lpstr>
      <vt:lpstr>Stats (i2)</vt:lpstr>
      <vt:lpstr>Stats (i3)</vt:lpstr>
      <vt:lpstr>Stats (i4)</vt:lpstr>
      <vt:lpstr>Stats (i5)</vt:lpstr>
      <vt:lpstr>Stats (i6)</vt:lpstr>
      <vt:lpstr>Stats (i7)</vt:lpstr>
      <vt:lpstr>Stats (i8)</vt:lpstr>
      <vt:lpstr>Compatibility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2017-10-17T04:34:24Z</dcterms:modified>
</cp:coreProperties>
</file>