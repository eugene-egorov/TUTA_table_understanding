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bookViews>
    <workbookView xWindow="-30" yWindow="60" windowWidth="15330" windowHeight="8025" activeTab="4"/>
  </bookViews>
  <sheets>
    <sheet name="Next 28 weeks" sheetId="5" r:id="rId1"/>
    <sheet name="First 24 weeks" sheetId="4" r:id="rId2"/>
    <sheet name="ALL Data" sheetId="1" r:id="rId3"/>
    <sheet name="Adstock Modelling" sheetId="2" r:id="rId4"/>
    <sheet name="Prediction Adstock" sheetId="6" r:id="rId5"/>
  </sheets>
  <definedNames>
    <definedName name="solver_adj" localSheetId="3" hidden="1">'Adstock Modelling'!$H$1:$H$2</definedName>
    <definedName name="solver_adj" localSheetId="1" hidden="1">'First 24 weeks'!$F$2:$G$2</definedName>
    <definedName name="solver_adj" localSheetId="4" hidden="1">'Prediction Adstock'!$L$3:$L$12</definedName>
    <definedName name="solver_cvg" localSheetId="3" hidden="1">0.001</definedName>
    <definedName name="solver_cvg" localSheetId="1" hidden="1">0.0001</definedName>
    <definedName name="solver_cvg" localSheetId="4" hidden="1">0.0001</definedName>
    <definedName name="solver_drv" localSheetId="3" hidden="1">1</definedName>
    <definedName name="solver_drv" localSheetId="1" hidden="1">1</definedName>
    <definedName name="solver_drv" localSheetId="4" hidden="1">1</definedName>
    <definedName name="solver_est" localSheetId="3" hidden="1">1</definedName>
    <definedName name="solver_est" localSheetId="1" hidden="1">1</definedName>
    <definedName name="solver_est" localSheetId="4" hidden="1">1</definedName>
    <definedName name="solver_itr" localSheetId="3" hidden="1">100</definedName>
    <definedName name="solver_itr" localSheetId="1" hidden="1">100</definedName>
    <definedName name="solver_itr" localSheetId="4" hidden="1">100</definedName>
    <definedName name="solver_lhs1" localSheetId="3" hidden="1">'Adstock Modelling'!$H$1:$H$2</definedName>
    <definedName name="solver_lhs1" localSheetId="4" hidden="1">'Prediction Adstock'!$L$12</definedName>
    <definedName name="solver_lhs10" localSheetId="4" hidden="1">'Prediction Adstock'!$L$11</definedName>
    <definedName name="solver_lhs11" localSheetId="4" hidden="1">'Prediction Adstock'!$L$12</definedName>
    <definedName name="solver_lhs12" localSheetId="4" hidden="1">'Prediction Adstock'!$L$3</definedName>
    <definedName name="solver_lhs13" localSheetId="4" hidden="1">'Prediction Adstock'!$L$15</definedName>
    <definedName name="solver_lhs14" localSheetId="4" hidden="1">'Prediction Adstock'!$L$4</definedName>
    <definedName name="solver_lhs15" localSheetId="4" hidden="1">'Prediction Adstock'!$L$6</definedName>
    <definedName name="solver_lhs16" localSheetId="4" hidden="1">'Prediction Adstock'!$L$7</definedName>
    <definedName name="solver_lhs17" localSheetId="4" hidden="1">'Prediction Adstock'!$L$8</definedName>
    <definedName name="solver_lhs18" localSheetId="4" hidden="1">'Prediction Adstock'!$L$9</definedName>
    <definedName name="solver_lhs19" localSheetId="4" hidden="1">'Prediction Adstock'!$L$10</definedName>
    <definedName name="solver_lhs2" localSheetId="3" hidden="1">'Adstock Modelling'!$H$1</definedName>
    <definedName name="solver_lhs2" localSheetId="4" hidden="1">'Prediction Adstock'!$L$3</definedName>
    <definedName name="solver_lhs20" localSheetId="4" hidden="1">'Prediction Adstock'!$L$10</definedName>
    <definedName name="solver_lhs21" localSheetId="4" hidden="1">'Prediction Adstock'!$L$11</definedName>
    <definedName name="solver_lhs22" localSheetId="4" hidden="1">'Prediction Adstock'!$L$5</definedName>
    <definedName name="solver_lhs3" localSheetId="4" hidden="1">'Prediction Adstock'!$L$4</definedName>
    <definedName name="solver_lhs4" localSheetId="4" hidden="1">'Prediction Adstock'!$L$5</definedName>
    <definedName name="solver_lhs5" localSheetId="4" hidden="1">'Prediction Adstock'!$L$6</definedName>
    <definedName name="solver_lhs6" localSheetId="4" hidden="1">'Prediction Adstock'!$L$7</definedName>
    <definedName name="solver_lhs7" localSheetId="4" hidden="1">'Prediction Adstock'!$L$8</definedName>
    <definedName name="solver_lhs8" localSheetId="4" hidden="1">'Prediction Adstock'!$L$9</definedName>
    <definedName name="solver_lhs9" localSheetId="4" hidden="1">'Prediction Adstock'!$L$10</definedName>
    <definedName name="solver_lin" localSheetId="3" hidden="1">2</definedName>
    <definedName name="solver_lin" localSheetId="1" hidden="1">2</definedName>
    <definedName name="solver_lin" localSheetId="4" hidden="1">2</definedName>
    <definedName name="solver_neg" localSheetId="3" hidden="1">2</definedName>
    <definedName name="solver_neg" localSheetId="1" hidden="1">2</definedName>
    <definedName name="solver_neg" localSheetId="4" hidden="1">2</definedName>
    <definedName name="solver_num" localSheetId="3" hidden="1">2</definedName>
    <definedName name="solver_num" localSheetId="1" hidden="1">0</definedName>
    <definedName name="solver_num" localSheetId="4" hidden="1">22</definedName>
    <definedName name="solver_nwt" localSheetId="3" hidden="1">1</definedName>
    <definedName name="solver_nwt" localSheetId="1" hidden="1">1</definedName>
    <definedName name="solver_nwt" localSheetId="4" hidden="1">1</definedName>
    <definedName name="solver_opt" localSheetId="3" hidden="1">'Adstock Modelling'!#REF!</definedName>
    <definedName name="solver_opt" localSheetId="1" hidden="1">'First 24 weeks'!$G$3</definedName>
    <definedName name="solver_opt" localSheetId="4" hidden="1">'Prediction Adstock'!$N$15</definedName>
    <definedName name="solver_pre" localSheetId="3" hidden="1">0.000001</definedName>
    <definedName name="solver_pre" localSheetId="1" hidden="1">0.000001</definedName>
    <definedName name="solver_pre" localSheetId="4" hidden="1">0.000001</definedName>
    <definedName name="solver_rel1" localSheetId="3" hidden="1">3</definedName>
    <definedName name="solver_rel1" localSheetId="4" hidden="1">1</definedName>
    <definedName name="solver_rel10" localSheetId="4" hidden="1">3</definedName>
    <definedName name="solver_rel11" localSheetId="4" hidden="1">3</definedName>
    <definedName name="solver_rel12" localSheetId="4" hidden="1">1</definedName>
    <definedName name="solver_rel13" localSheetId="4" hidden="1">2</definedName>
    <definedName name="solver_rel14" localSheetId="4" hidden="1">1</definedName>
    <definedName name="solver_rel15" localSheetId="4" hidden="1">1</definedName>
    <definedName name="solver_rel16" localSheetId="4" hidden="1">1</definedName>
    <definedName name="solver_rel17" localSheetId="4" hidden="1">1</definedName>
    <definedName name="solver_rel18" localSheetId="4" hidden="1">1</definedName>
    <definedName name="solver_rel19" localSheetId="4" hidden="1">1</definedName>
    <definedName name="solver_rel2" localSheetId="3" hidden="1">1</definedName>
    <definedName name="solver_rel2" localSheetId="4" hidden="1">3</definedName>
    <definedName name="solver_rel20" localSheetId="4" hidden="1">1</definedName>
    <definedName name="solver_rel21" localSheetId="4" hidden="1">1</definedName>
    <definedName name="solver_rel22" localSheetId="4" hidden="1">1</definedName>
    <definedName name="solver_rel3" localSheetId="4" hidden="1">3</definedName>
    <definedName name="solver_rel4" localSheetId="4" hidden="1">2</definedName>
    <definedName name="solver_rel5" localSheetId="4" hidden="1">3</definedName>
    <definedName name="solver_rel6" localSheetId="4" hidden="1">3</definedName>
    <definedName name="solver_rel7" localSheetId="4" hidden="1">3</definedName>
    <definedName name="solver_rel8" localSheetId="4" hidden="1">3</definedName>
    <definedName name="solver_rel9" localSheetId="4" hidden="1">3</definedName>
    <definedName name="solver_rhs1" localSheetId="3" hidden="1">0.000001</definedName>
    <definedName name="solver_rhs1" localSheetId="4" hidden="1">300</definedName>
    <definedName name="solver_rhs10" localSheetId="4" hidden="1">0</definedName>
    <definedName name="solver_rhs11" localSheetId="4" hidden="1">0</definedName>
    <definedName name="solver_rhs12" localSheetId="4" hidden="1">300</definedName>
    <definedName name="solver_rhs13" localSheetId="4" hidden="1">1500</definedName>
    <definedName name="solver_rhs14" localSheetId="4" hidden="1">300</definedName>
    <definedName name="solver_rhs15" localSheetId="4" hidden="1">300</definedName>
    <definedName name="solver_rhs16" localSheetId="4" hidden="1">300</definedName>
    <definedName name="solver_rhs17" localSheetId="4" hidden="1">300</definedName>
    <definedName name="solver_rhs18" localSheetId="4" hidden="1">300</definedName>
    <definedName name="solver_rhs19" localSheetId="4" hidden="1">300</definedName>
    <definedName name="solver_rhs2" localSheetId="3" hidden="1">0.99999</definedName>
    <definedName name="solver_rhs2" localSheetId="4" hidden="1">0</definedName>
    <definedName name="solver_rhs20" localSheetId="4" hidden="1">300</definedName>
    <definedName name="solver_rhs21" localSheetId="4" hidden="1">300</definedName>
    <definedName name="solver_rhs22" localSheetId="4" hidden="1">300</definedName>
    <definedName name="solver_rhs3" localSheetId="4" hidden="1">0</definedName>
    <definedName name="solver_rhs4" localSheetId="4" hidden="1">0</definedName>
    <definedName name="solver_rhs5" localSheetId="4" hidden="1">0</definedName>
    <definedName name="solver_rhs6" localSheetId="4" hidden="1">0</definedName>
    <definedName name="solver_rhs7" localSheetId="4" hidden="1">0</definedName>
    <definedName name="solver_rhs8" localSheetId="4" hidden="1">0</definedName>
    <definedName name="solver_rhs9" localSheetId="4" hidden="1">0</definedName>
    <definedName name="solver_scl" localSheetId="3" hidden="1">2</definedName>
    <definedName name="solver_scl" localSheetId="1" hidden="1">2</definedName>
    <definedName name="solver_scl" localSheetId="4" hidden="1">2</definedName>
    <definedName name="solver_sho" localSheetId="3" hidden="1">2</definedName>
    <definedName name="solver_sho" localSheetId="1" hidden="1">2</definedName>
    <definedName name="solver_sho" localSheetId="4" hidden="1">2</definedName>
    <definedName name="solver_tim" localSheetId="3" hidden="1">100</definedName>
    <definedName name="solver_tim" localSheetId="1" hidden="1">100</definedName>
    <definedName name="solver_tim" localSheetId="4" hidden="1">100</definedName>
    <definedName name="solver_tol" localSheetId="3" hidden="1">0.05</definedName>
    <definedName name="solver_tol" localSheetId="1" hidden="1">0.05</definedName>
    <definedName name="solver_tol" localSheetId="4" hidden="1">0.05</definedName>
    <definedName name="solver_typ" localSheetId="3" hidden="1">1</definedName>
    <definedName name="solver_typ" localSheetId="1" hidden="1">2</definedName>
    <definedName name="solver_typ" localSheetId="4" hidden="1">1</definedName>
    <definedName name="solver_val" localSheetId="3" hidden="1">0</definedName>
    <definedName name="solver_val" localSheetId="1" hidden="1">0</definedName>
    <definedName name="solver_val" localSheetId="4" hidden="1">0</definedName>
  </definedNames>
  <calcPr calcId="101716"/>
</workbook>
</file>

<file path=xl/calcChain.xml><?xml version="1.0" encoding="utf-8"?>
<calcChain xmlns="http://schemas.openxmlformats.org/spreadsheetml/2006/main">
  <c r="M3" i="6" l="1"/>
  <c r="M4" i="6"/>
  <c r="M5" i="6"/>
  <c r="M6" i="6"/>
  <c r="M7" i="6"/>
  <c r="N7" i="6"/>
  <c r="N3" i="6"/>
  <c r="N4" i="6"/>
  <c r="N5" i="6"/>
  <c r="N6" i="6"/>
  <c r="M8" i="6"/>
  <c r="N8" i="6"/>
  <c r="M9" i="6"/>
  <c r="N9" i="6"/>
  <c r="M10" i="6"/>
  <c r="N10" i="6"/>
  <c r="M11" i="6"/>
  <c r="N11" i="6"/>
  <c r="M12" i="6"/>
  <c r="N12" i="6"/>
  <c r="N15" i="6"/>
  <c r="K2" i="6"/>
  <c r="L15" i="6"/>
  <c r="C2" i="2"/>
  <c r="C3" i="2"/>
  <c r="C4" i="2"/>
  <c r="C5" i="2"/>
  <c r="C6" i="2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C41" i="5"/>
  <c r="D41" i="5"/>
  <c r="C42" i="5"/>
  <c r="D42" i="5"/>
  <c r="C43" i="5"/>
  <c r="D43" i="5"/>
  <c r="C44" i="5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E27" i="4"/>
  <c r="D2" i="4"/>
  <c r="E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G3" i="4"/>
  <c r="C2" i="4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5" i="5"/>
  <c r="D25" i="5"/>
  <c r="E25" i="5"/>
  <c r="C24" i="5"/>
  <c r="D24" i="5"/>
  <c r="E24" i="5"/>
  <c r="C23" i="5"/>
  <c r="D23" i="5"/>
  <c r="E23" i="5"/>
  <c r="C22" i="5"/>
  <c r="D22" i="5"/>
  <c r="E22" i="5"/>
  <c r="C21" i="5"/>
  <c r="D21" i="5"/>
  <c r="E21" i="5"/>
  <c r="C20" i="5"/>
  <c r="D20" i="5"/>
  <c r="E20" i="5"/>
  <c r="C19" i="5"/>
  <c r="D19" i="5"/>
  <c r="E19" i="5"/>
  <c r="C18" i="5"/>
  <c r="D18" i="5"/>
  <c r="E18" i="5"/>
  <c r="C17" i="5"/>
  <c r="D17" i="5"/>
  <c r="E17" i="5"/>
  <c r="C16" i="5"/>
  <c r="D16" i="5"/>
  <c r="E16" i="5"/>
  <c r="C15" i="5"/>
  <c r="D15" i="5"/>
  <c r="E15" i="5"/>
  <c r="C14" i="5"/>
  <c r="D14" i="5"/>
  <c r="E14" i="5"/>
  <c r="C13" i="5"/>
  <c r="D13" i="5"/>
  <c r="E13" i="5"/>
  <c r="C12" i="5"/>
  <c r="D12" i="5"/>
  <c r="E12" i="5"/>
  <c r="C11" i="5"/>
  <c r="D11" i="5"/>
  <c r="E11" i="5"/>
  <c r="C10" i="5"/>
  <c r="D10" i="5"/>
  <c r="E10" i="5"/>
  <c r="C9" i="5"/>
  <c r="D9" i="5"/>
  <c r="E9" i="5"/>
  <c r="C8" i="5"/>
  <c r="D8" i="5"/>
  <c r="E8" i="5"/>
  <c r="C7" i="5"/>
  <c r="D7" i="5"/>
  <c r="E7" i="5"/>
  <c r="C6" i="5"/>
  <c r="D6" i="5"/>
  <c r="E6" i="5"/>
  <c r="C5" i="5"/>
  <c r="D5" i="5"/>
  <c r="E5" i="5"/>
  <c r="C4" i="5"/>
  <c r="D4" i="5"/>
  <c r="E4" i="5"/>
  <c r="C2" i="5"/>
  <c r="D2" i="5"/>
  <c r="E2" i="5"/>
  <c r="C3" i="5"/>
  <c r="D3" i="5"/>
  <c r="E3" i="5"/>
  <c r="G3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</calcChain>
</file>

<file path=xl/sharedStrings.xml><?xml version="1.0" encoding="utf-8"?>
<sst xmlns="http://schemas.openxmlformats.org/spreadsheetml/2006/main" count="73" uniqueCount="57">
  <si>
    <t>Product:</t>
  </si>
  <si>
    <t>Krunchy Bits</t>
  </si>
  <si>
    <t>Panelists:</t>
  </si>
  <si>
    <t>Cum_Trl</t>
  </si>
  <si>
    <t>The first 24 weeks of data are used for model calibration</t>
  </si>
  <si>
    <t>Week</t>
  </si>
  <si>
    <t># HHs</t>
  </si>
  <si>
    <t>The remaining 28 weeks of data are used for model validation</t>
  </si>
  <si>
    <t>Propn. of Households</t>
  </si>
  <si>
    <t>p0</t>
  </si>
  <si>
    <t>beta</t>
  </si>
  <si>
    <t>LS</t>
  </si>
  <si>
    <t>diff</t>
  </si>
  <si>
    <t>Modelled Proportion</t>
  </si>
  <si>
    <t>Tarps</t>
  </si>
  <si>
    <t>Adstock</t>
  </si>
  <si>
    <t>decay rate</t>
  </si>
  <si>
    <t>R squared</t>
  </si>
  <si>
    <t>Recall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</si>
  <si>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</si>
  <si>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</si>
  <si>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</si>
  <si>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</si>
  <si>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</si>
  <si>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</si>
  <si>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</si>
  <si>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</si>
  <si>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</si>
  <si>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</si>
  <si>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</si>
  <si>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</si>
  <si>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</si>
  <si>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</si>
  <si>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</si>
  <si>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</si>
  <si>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</si>
  <si>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</si>
  <si>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</si>
  <si>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</si>
  <si>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</si>
  <si>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</si>
  <si>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</si>
  <si>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</si>
  <si>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</si>
  <si>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</si>
  <si>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</si>
  <si>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</si>
  <si>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</si>
  <si>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</si>
  <si>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</si>
  <si>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</si>
  <si>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</si>
  <si>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Modeled recall</t>
  </si>
  <si>
    <t>median</t>
  </si>
  <si>
    <t>Spend 1500 TARPs in the next 10 weeks (total=1500, max=300)</t>
  </si>
  <si>
    <t>=</t>
  </si>
  <si>
    <t>TARPs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</si>
</sst>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0.00000"/>
    <numFmt numFmtId="180" formatCode="0.000"/>
  </numFmts>
  <fonts count="4" x14ac:knownFonts="1">
    <font>
      <sz val="10"/>
      <name val="Arial"/>
    </font>
    <font>
      <sz val="8"/>
      <name val="Arial"/>
    </font>
    <font>
      <i/>
      <sz val="10"/>
      <name val="Arial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78" fontId="0" fillId="0" borderId="0" xfId="0" applyNumberFormat="1"/>
    <xf numFmtId="18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Trial vs Week</a:t>
            </a:r>
          </a:p>
        </c:rich>
      </c:tx>
      <c:layout>
        <c:manualLayout>
          <c:xMode val="edge"/>
          <c:yMode val="edge"/>
          <c:x val="0.38156081222408605"/>
          <c:y val="4.1484716157205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461014324321704"/>
          <c:y val="0.20742358078602621"/>
          <c:w val="0.82127773337451981"/>
          <c:h val="0.685589519650655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'Next 28 weeks'!$C$1</c:f>
              <c:strCache>
                <c:ptCount val="1"/>
                <c:pt idx="0">
                  <c:v>Propn. of Households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'Next 28 weeks'!$A$2:$A$53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'Next 28 weeks'!$C$2:$C$53</c:f>
              <c:numCache>
                <c:formatCode>0.000</c:formatCode>
                <c:ptCount val="52"/>
                <c:pt idx="0">
                  <c:v>5.3368912608405599E-3</c:v>
                </c:pt>
                <c:pt idx="1">
                  <c:v>9.3395597064709814E-3</c:v>
                </c:pt>
                <c:pt idx="2">
                  <c:v>1.067378252168112E-2</c:v>
                </c:pt>
                <c:pt idx="3">
                  <c:v>2.134756504336224E-2</c:v>
                </c:pt>
                <c:pt idx="4">
                  <c:v>2.6684456304202801E-2</c:v>
                </c:pt>
                <c:pt idx="5">
                  <c:v>3.1354236157438292E-2</c:v>
                </c:pt>
                <c:pt idx="6">
                  <c:v>3.3355570380253503E-2</c:v>
                </c:pt>
                <c:pt idx="7">
                  <c:v>3.4689793195463642E-2</c:v>
                </c:pt>
                <c:pt idx="8">
                  <c:v>3.8025350233488991E-2</c:v>
                </c:pt>
                <c:pt idx="9">
                  <c:v>4.0026684456304203E-2</c:v>
                </c:pt>
                <c:pt idx="10">
                  <c:v>4.3362241494329552E-2</c:v>
                </c:pt>
                <c:pt idx="11">
                  <c:v>4.4696464309539691E-2</c:v>
                </c:pt>
                <c:pt idx="12">
                  <c:v>4.5363575717144763E-2</c:v>
                </c:pt>
                <c:pt idx="13">
                  <c:v>4.803202134756504E-2</c:v>
                </c:pt>
                <c:pt idx="14">
                  <c:v>5.0033355570380252E-2</c:v>
                </c:pt>
                <c:pt idx="15">
                  <c:v>5.4036024016010674E-2</c:v>
                </c:pt>
                <c:pt idx="16">
                  <c:v>6.0040026684456307E-2</c:v>
                </c:pt>
                <c:pt idx="17">
                  <c:v>6.2708472314876584E-2</c:v>
                </c:pt>
                <c:pt idx="18">
                  <c:v>6.404269513008673E-2</c:v>
                </c:pt>
                <c:pt idx="19">
                  <c:v>6.404269513008673E-2</c:v>
                </c:pt>
                <c:pt idx="20">
                  <c:v>6.404269513008673E-2</c:v>
                </c:pt>
                <c:pt idx="21">
                  <c:v>6.4709806537691789E-2</c:v>
                </c:pt>
                <c:pt idx="22">
                  <c:v>6.4709806537691789E-2</c:v>
                </c:pt>
                <c:pt idx="23">
                  <c:v>6.7378252168112079E-2</c:v>
                </c:pt>
                <c:pt idx="24">
                  <c:v>6.7378252168112079E-2</c:v>
                </c:pt>
                <c:pt idx="25">
                  <c:v>6.7378252168112079E-2</c:v>
                </c:pt>
                <c:pt idx="26">
                  <c:v>7.0046697798532356E-2</c:v>
                </c:pt>
                <c:pt idx="27">
                  <c:v>7.0713809206137429E-2</c:v>
                </c:pt>
                <c:pt idx="28">
                  <c:v>7.0713809206137429E-2</c:v>
                </c:pt>
                <c:pt idx="29">
                  <c:v>7.871914609739826E-2</c:v>
                </c:pt>
                <c:pt idx="30">
                  <c:v>7.9386257505003333E-2</c:v>
                </c:pt>
                <c:pt idx="31">
                  <c:v>7.9386257505003333E-2</c:v>
                </c:pt>
                <c:pt idx="32">
                  <c:v>8.0053368912608405E-2</c:v>
                </c:pt>
                <c:pt idx="33">
                  <c:v>8.2054703135423609E-2</c:v>
                </c:pt>
                <c:pt idx="34">
                  <c:v>8.3388925950633755E-2</c:v>
                </c:pt>
                <c:pt idx="35">
                  <c:v>8.3388925950633755E-2</c:v>
                </c:pt>
                <c:pt idx="36">
                  <c:v>8.4056037358238828E-2</c:v>
                </c:pt>
                <c:pt idx="37">
                  <c:v>8.47231487658439E-2</c:v>
                </c:pt>
                <c:pt idx="38">
                  <c:v>8.47231487658439E-2</c:v>
                </c:pt>
                <c:pt idx="39">
                  <c:v>8.47231487658439E-2</c:v>
                </c:pt>
                <c:pt idx="40">
                  <c:v>8.47231487658439E-2</c:v>
                </c:pt>
                <c:pt idx="41">
                  <c:v>8.5390260173448959E-2</c:v>
                </c:pt>
                <c:pt idx="42">
                  <c:v>8.6057371581054032E-2</c:v>
                </c:pt>
                <c:pt idx="43">
                  <c:v>8.6057371581054032E-2</c:v>
                </c:pt>
                <c:pt idx="44">
                  <c:v>8.6057371581054032E-2</c:v>
                </c:pt>
                <c:pt idx="45">
                  <c:v>8.6724482988659105E-2</c:v>
                </c:pt>
                <c:pt idx="46">
                  <c:v>8.805870580386925E-2</c:v>
                </c:pt>
                <c:pt idx="47">
                  <c:v>8.8725817211474323E-2</c:v>
                </c:pt>
                <c:pt idx="48">
                  <c:v>9.13942628418946E-2</c:v>
                </c:pt>
                <c:pt idx="49">
                  <c:v>9.13942628418946E-2</c:v>
                </c:pt>
                <c:pt idx="50">
                  <c:v>9.13942628418946E-2</c:v>
                </c:pt>
                <c:pt idx="51">
                  <c:v>9.2728485657104731E-2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C1-4D78-BBBD-EAC9AB9EBBA0}"/>
            </c:ext>
          </c:extLst>
        </c:ser>
        <c:ser>
          <c:idx val="1"/>
          <c:order val="1"/>
          <c:tx>
            <c:strRef>
              <c:f>'Next 28 weeks'!$D$1</c:f>
              <c:strCache>
                <c:ptCount val="1"/>
                <c:pt idx="0">
                  <c:v>Modelled Proportion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'Next 28 weeks'!$A$2:$A$53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xVal>
          <c:yVal>
            <c:numRef>
              <c:f>'Next 28 weeks'!$D$2:$D$53</c:f>
              <c:numCache>
                <c:formatCode>0.000</c:formatCode>
                <c:ptCount val="52"/>
                <c:pt idx="0">
                  <c:v>5.367025090303029E-3</c:v>
                </c:pt>
                <c:pt idx="1">
                  <c:v>1.0399887097539473E-2</c:v>
                </c:pt>
                <c:pt idx="2">
                  <c:v>1.5119391768693138E-2</c:v>
                </c:pt>
                <c:pt idx="3">
                  <c:v>1.9545049438030211E-2</c:v>
                </c:pt>
                <c:pt idx="4">
                  <c:v>2.3695155682415883E-2</c:v>
                </c:pt>
                <c:pt idx="5">
                  <c:v>2.7586866954848941E-2</c:v>
                </c:pt>
                <c:pt idx="6">
                  <c:v>3.1236271508882103E-2</c:v>
                </c:pt>
                <c:pt idx="7">
                  <c:v>3.4658455907127961E-2</c:v>
                </c:pt>
                <c:pt idx="8">
                  <c:v>3.7867567388795445E-2</c:v>
                </c:pt>
                <c:pt idx="9">
                  <c:v>4.0876872354082765E-2</c:v>
                </c:pt>
                <c:pt idx="10">
                  <c:v>4.3698811207200247E-2</c:v>
                </c:pt>
                <c:pt idx="11">
                  <c:v>4.634504978474293E-2</c:v>
                </c:pt>
                <c:pt idx="12">
                  <c:v>4.8826527582016659E-2</c:v>
                </c:pt>
                <c:pt idx="13">
                  <c:v>5.1153502976684424E-2</c:v>
                </c:pt>
                <c:pt idx="14">
                  <c:v>5.3335595636686522E-2</c:v>
                </c:pt>
                <c:pt idx="15">
                  <c:v>5.5381826287748015E-2</c:v>
                </c:pt>
                <c:pt idx="16">
                  <c:v>5.7300654004871394E-2</c:v>
                </c:pt>
                <c:pt idx="17">
                  <c:v>5.9100011181976983E-2</c:v>
                </c:pt>
                <c:pt idx="18">
                  <c:v>6.0787336324254551E-2</c:v>
                </c:pt>
                <c:pt idx="19">
                  <c:v>6.2369604798789322E-2</c:v>
                </c:pt>
                <c:pt idx="20">
                  <c:v>6.3853357670584532E-2</c:v>
                </c:pt>
                <c:pt idx="21">
                  <c:v>6.5244728743188263E-2</c:v>
                </c:pt>
                <c:pt idx="22">
                  <c:v>6.6549469915709911E-2</c:v>
                </c:pt>
                <c:pt idx="23">
                  <c:v>6.7772974961051641E-2</c:v>
                </c:pt>
                <c:pt idx="24">
                  <c:v>6.8920301823653413E-2</c:v>
                </c:pt>
                <c:pt idx="25">
                  <c:v>6.9996193528930356E-2</c:v>
                </c:pt>
                <c:pt idx="26">
                  <c:v>7.1005097790841215E-2</c:v>
                </c:pt>
                <c:pt idx="27">
                  <c:v>7.1951185398645437E-2</c:v>
                </c:pt>
                <c:pt idx="28">
                  <c:v>7.283836745885941E-2</c:v>
                </c:pt>
                <c:pt idx="29">
                  <c:v>7.3670311563689458E-2</c:v>
                </c:pt>
                <c:pt idx="30">
                  <c:v>7.4450456952781935E-2</c:v>
                </c:pt>
                <c:pt idx="31">
                  <c:v>7.5182028730968367E-2</c:v>
                </c:pt>
                <c:pt idx="32">
                  <c:v>7.5868051200781911E-2</c:v>
                </c:pt>
                <c:pt idx="33">
                  <c:v>7.6511360364861142E-2</c:v>
                </c:pt>
                <c:pt idx="34">
                  <c:v>7.7114615649926069E-2</c:v>
                </c:pt>
                <c:pt idx="35">
                  <c:v>7.7680310900792943E-2</c:v>
                </c:pt>
                <c:pt idx="36">
                  <c:v>7.8210784689876967E-2</c:v>
                </c:pt>
                <c:pt idx="37">
                  <c:v>7.8708229984801967E-2</c:v>
                </c:pt>
                <c:pt idx="38">
                  <c:v>7.9174703214083125E-2</c:v>
                </c:pt>
                <c:pt idx="39">
                  <c:v>7.9612132768359614E-2</c:v>
                </c:pt>
                <c:pt idx="40">
                  <c:v>8.0022326972321534E-2</c:v>
                </c:pt>
                <c:pt idx="41">
                  <c:v>8.040698156028657E-2</c:v>
                </c:pt>
                <c:pt idx="42">
                  <c:v>8.0767686686330456E-2</c:v>
                </c:pt>
                <c:pt idx="43">
                  <c:v>8.1105933497950866E-2</c:v>
                </c:pt>
                <c:pt idx="44">
                  <c:v>8.1423120300440188E-2</c:v>
                </c:pt>
                <c:pt idx="45">
                  <c:v>8.172055833745058E-2</c:v>
                </c:pt>
                <c:pt idx="46">
                  <c:v>8.1999477211648006E-2</c:v>
                </c:pt>
                <c:pt idx="47">
                  <c:v>8.2261029967864038E-2</c:v>
                </c:pt>
                <c:pt idx="48">
                  <c:v>8.2506297859759312E-2</c:v>
                </c:pt>
                <c:pt idx="49">
                  <c:v>8.2736294819703654E-2</c:v>
                </c:pt>
                <c:pt idx="50">
                  <c:v>8.2951971650351453E-2</c:v>
                </c:pt>
                <c:pt idx="51">
                  <c:v>8.3154219955240055E-2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C1-4D78-BBBD-EAC9AB9EB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36000"/>
        <c:axId val="1"/>
      </c:scatterChart>
      <c:valAx>
        <c:axId val="123736000"/>
        <c:scaling>
          <c:orientation val="minMax"/>
          <c:max val="5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</a:t>
                </a:r>
              </a:p>
            </c:rich>
          </c:tx>
          <c:layout>
            <c:manualLayout>
              <c:xMode val="edge"/>
              <c:yMode val="edge"/>
              <c:x val="0.5304971887427814"/>
              <c:y val="0.927947598253275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Trial</a:t>
                </a:r>
              </a:p>
            </c:rich>
          </c:tx>
          <c:layout>
            <c:manualLayout>
              <c:xMode val="edge"/>
              <c:yMode val="edge"/>
              <c:x val="1.4184416811304315E-2"/>
              <c:y val="0.4104803493449781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360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2269534393747775"/>
          <c:y val="0.20960698689956331"/>
          <c:w val="0.24964573587895594"/>
          <c:h val="9.82532751091702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Trial vs Week</a:t>
            </a:r>
          </a:p>
        </c:rich>
      </c:tx>
      <c:layout>
        <c:manualLayout>
          <c:xMode val="edge"/>
          <c:yMode val="edge"/>
          <c:x val="0.36079545454545453"/>
          <c:y val="3.05676855895196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46590909090909"/>
          <c:y val="0.15065502183406113"/>
          <c:w val="0.83380681818181823"/>
          <c:h val="0.6855895196506550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'First 24 weeks'!$C$1</c:f>
              <c:strCache>
                <c:ptCount val="1"/>
                <c:pt idx="0">
                  <c:v>Propn. of Households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'First 24 weeks'!$A$2:$A$25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'First 24 weeks'!$C$2:$C$25</c:f>
              <c:numCache>
                <c:formatCode>0.000</c:formatCode>
                <c:ptCount val="24"/>
                <c:pt idx="0">
                  <c:v>5.3368912608405599E-3</c:v>
                </c:pt>
                <c:pt idx="1">
                  <c:v>9.3395597064709814E-3</c:v>
                </c:pt>
                <c:pt idx="2">
                  <c:v>1.067378252168112E-2</c:v>
                </c:pt>
                <c:pt idx="3">
                  <c:v>2.134756504336224E-2</c:v>
                </c:pt>
                <c:pt idx="4">
                  <c:v>2.6684456304202801E-2</c:v>
                </c:pt>
                <c:pt idx="5">
                  <c:v>3.1354236157438292E-2</c:v>
                </c:pt>
                <c:pt idx="6">
                  <c:v>3.3355570380253503E-2</c:v>
                </c:pt>
                <c:pt idx="7">
                  <c:v>3.4689793195463642E-2</c:v>
                </c:pt>
                <c:pt idx="8">
                  <c:v>3.8025350233488991E-2</c:v>
                </c:pt>
                <c:pt idx="9">
                  <c:v>4.0026684456304203E-2</c:v>
                </c:pt>
                <c:pt idx="10">
                  <c:v>4.3362241494329552E-2</c:v>
                </c:pt>
                <c:pt idx="11">
                  <c:v>4.4696464309539691E-2</c:v>
                </c:pt>
                <c:pt idx="12">
                  <c:v>4.5363575717144763E-2</c:v>
                </c:pt>
                <c:pt idx="13">
                  <c:v>4.803202134756504E-2</c:v>
                </c:pt>
                <c:pt idx="14">
                  <c:v>5.0033355570380252E-2</c:v>
                </c:pt>
                <c:pt idx="15">
                  <c:v>5.4036024016010674E-2</c:v>
                </c:pt>
                <c:pt idx="16">
                  <c:v>6.0040026684456307E-2</c:v>
                </c:pt>
                <c:pt idx="17">
                  <c:v>6.2708472314876584E-2</c:v>
                </c:pt>
                <c:pt idx="18">
                  <c:v>6.404269513008673E-2</c:v>
                </c:pt>
                <c:pt idx="19">
                  <c:v>6.404269513008673E-2</c:v>
                </c:pt>
                <c:pt idx="20">
                  <c:v>6.404269513008673E-2</c:v>
                </c:pt>
                <c:pt idx="21">
                  <c:v>6.4709806537691789E-2</c:v>
                </c:pt>
                <c:pt idx="22">
                  <c:v>6.4709806537691789E-2</c:v>
                </c:pt>
                <c:pt idx="23">
                  <c:v>6.7378252168112079E-2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DB-4B1D-B1C4-9F7E8790A726}"/>
            </c:ext>
          </c:extLst>
        </c:ser>
        <c:ser>
          <c:idx val="1"/>
          <c:order val="1"/>
          <c:tx>
            <c:strRef>
              <c:f>'First 24 weeks'!$D$1</c:f>
              <c:strCache>
                <c:ptCount val="1"/>
                <c:pt idx="0">
                  <c:v>Modelled Proportion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'First 24 weeks'!$A$2:$A$25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'First 24 weeks'!$D$2:$D$25</c:f>
              <c:numCache>
                <c:formatCode>0.000</c:formatCode>
                <c:ptCount val="24"/>
                <c:pt idx="0">
                  <c:v>5.3670253083967232E-3</c:v>
                </c:pt>
                <c:pt idx="1">
                  <c:v>1.039988745033432E-2</c:v>
                </c:pt>
                <c:pt idx="2">
                  <c:v>1.5119392182335554E-2</c:v>
                </c:pt>
                <c:pt idx="3">
                  <c:v>1.9545049847341019E-2</c:v>
                </c:pt>
                <c:pt idx="4">
                  <c:v>2.3695156030096413E-2</c:v>
                </c:pt>
                <c:pt idx="5">
                  <c:v>2.7586867190752425E-2</c:v>
                </c:pt>
                <c:pt idx="6">
                  <c:v>3.1236271589345169E-2</c:v>
                </c:pt>
                <c:pt idx="7">
                  <c:v>3.4658455794357744E-2</c:v>
                </c:pt>
                <c:pt idx="8">
                  <c:v>3.786756705030777E-2</c:v>
                </c:pt>
                <c:pt idx="9">
                  <c:v>4.0876871762187621E-2</c:v>
                </c:pt>
                <c:pt idx="10">
                  <c:v>4.3698810338530729E-2</c:v>
                </c:pt>
                <c:pt idx="11">
                  <c:v>4.6345048619824247E-2</c:v>
                </c:pt>
                <c:pt idx="12">
                  <c:v>4.8826526104872023E-2</c:v>
                </c:pt>
                <c:pt idx="13">
                  <c:v>5.1153501174475029E-2</c:v>
                </c:pt>
                <c:pt idx="14">
                  <c:v>5.3335593499382661E-2</c:v>
                </c:pt>
                <c:pt idx="15">
                  <c:v>5.5381823807829043E-2</c:v>
                </c:pt>
                <c:pt idx="16">
                  <c:v>5.7300651177052221E-2</c:v>
                </c:pt>
                <c:pt idx="17">
                  <c:v>5.9100008002958823E-2</c:v>
                </c:pt>
                <c:pt idx="18">
                  <c:v>6.0787332792498046E-2</c:v>
                </c:pt>
                <c:pt idx="19">
                  <c:v>6.2369600914308279E-2</c:v>
                </c:pt>
                <c:pt idx="20">
                  <c:v>6.3853353434758425E-2</c:v>
                </c:pt>
                <c:pt idx="21">
                  <c:v>6.5244724158592199E-2</c:v>
                </c:pt>
                <c:pt idx="22">
                  <c:v>6.6549464985960316E-2</c:v>
                </c:pt>
                <c:pt idx="23">
                  <c:v>6.7772969690666665E-2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DB-4B1D-B1C4-9F7E8790A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35016"/>
        <c:axId val="1"/>
      </c:scatterChart>
      <c:valAx>
        <c:axId val="123735016"/>
        <c:scaling>
          <c:orientation val="minMax"/>
          <c:max val="25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</a:t>
                </a:r>
              </a:p>
            </c:rich>
          </c:tx>
          <c:layout>
            <c:manualLayout>
              <c:xMode val="edge"/>
              <c:yMode val="edge"/>
              <c:x val="0.52556818181818177"/>
              <c:y val="0.914847161572052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Cumulative Trial</a:t>
                </a:r>
              </a:p>
            </c:rich>
          </c:tx>
          <c:layout>
            <c:manualLayout>
              <c:xMode val="edge"/>
              <c:yMode val="edge"/>
              <c:x val="1.5625E-2"/>
              <c:y val="0.35371179039301309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3501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306818181818182"/>
          <c:y val="0.20960698689956331"/>
          <c:w val="0.25"/>
          <c:h val="9.82532751091702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Recall vs Adstock</a:t>
            </a:r>
          </a:p>
        </c:rich>
      </c:tx>
      <c:layout>
        <c:manualLayout>
          <c:xMode val="edge"/>
          <c:yMode val="edge"/>
          <c:x val="0.40508280357051624"/>
          <c:y val="3.50878194896161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0031968236127"/>
          <c:y val="0.18421105232048474"/>
          <c:w val="0.81913423009831332"/>
          <c:h val="0.61988481098321846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'Adstock Modelling'!$D$1</c:f>
              <c:strCache>
                <c:ptCount val="1"/>
                <c:pt idx="0">
                  <c:v>Recall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70702644313230323"/>
                  <c:y val="4.6783759319488187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'Adstock Modelling'!$C$2:$C$31</c:f>
              <c:numCache>
                <c:formatCode>General</c:formatCode>
                <c:ptCount val="30"/>
                <c:pt idx="0">
                  <c:v>20</c:v>
                </c:pt>
                <c:pt idx="1">
                  <c:v>33</c:v>
                </c:pt>
                <c:pt idx="2">
                  <c:v>39.700000000000003</c:v>
                </c:pt>
                <c:pt idx="3">
                  <c:v>35.730000000000004</c:v>
                </c:pt>
                <c:pt idx="4">
                  <c:v>32.157000000000004</c:v>
                </c:pt>
                <c:pt idx="5">
                  <c:v>28.941300000000005</c:v>
                </c:pt>
                <c:pt idx="6">
                  <c:v>46.047170000000008</c:v>
                </c:pt>
                <c:pt idx="7">
                  <c:v>56.442453000000008</c:v>
                </c:pt>
                <c:pt idx="8">
                  <c:v>60.798207700000006</c:v>
                </c:pt>
                <c:pt idx="9">
                  <c:v>54.718386930000008</c:v>
                </c:pt>
                <c:pt idx="10">
                  <c:v>49.246548237000006</c:v>
                </c:pt>
                <c:pt idx="11">
                  <c:v>44.321893413300003</c:v>
                </c:pt>
                <c:pt idx="12">
                  <c:v>69.889704071970002</c:v>
                </c:pt>
                <c:pt idx="13">
                  <c:v>82.900733664773</c:v>
                </c:pt>
                <c:pt idx="14">
                  <c:v>94.610660298295699</c:v>
                </c:pt>
                <c:pt idx="15">
                  <c:v>95.149594268466132</c:v>
                </c:pt>
                <c:pt idx="16">
                  <c:v>85.634634841619516</c:v>
                </c:pt>
                <c:pt idx="17">
                  <c:v>77.071171357457573</c:v>
                </c:pt>
                <c:pt idx="18">
                  <c:v>69.364054221711811</c:v>
                </c:pt>
                <c:pt idx="19">
                  <c:v>62.427648799540634</c:v>
                </c:pt>
                <c:pt idx="20">
                  <c:v>56.184883919586575</c:v>
                </c:pt>
                <c:pt idx="21">
                  <c:v>70.566395527627918</c:v>
                </c:pt>
                <c:pt idx="22">
                  <c:v>78.509755974865129</c:v>
                </c:pt>
                <c:pt idx="23">
                  <c:v>80.658780377378619</c:v>
                </c:pt>
                <c:pt idx="24">
                  <c:v>72.592902339640759</c:v>
                </c:pt>
                <c:pt idx="25">
                  <c:v>65.333612105676679</c:v>
                </c:pt>
                <c:pt idx="26">
                  <c:v>58.800250895109009</c:v>
                </c:pt>
                <c:pt idx="27">
                  <c:v>72.920225805598108</c:v>
                </c:pt>
                <c:pt idx="28">
                  <c:v>80.628203225038305</c:v>
                </c:pt>
                <c:pt idx="29">
                  <c:v>82.565382902534481</c:v>
                </c:pt>
              </c:numCache>
            </c:numRef>
          </c:xVal>
          <c:yVal>
            <c:numRef>
              <c:f>'Adstock Modelling'!$D$2:$D$31</c:f>
              <c:numCache>
                <c:formatCode>General</c:formatCode>
                <c:ptCount val="30"/>
                <c:pt idx="0" formatCode="0.00000">
                  <c:v>0.1085858249</c:v>
                </c:pt>
                <c:pt idx="1">
                  <c:v>0.1203222052</c:v>
                </c:pt>
                <c:pt idx="2">
                  <c:v>0.12425279570000002</c:v>
                </c:pt>
                <c:pt idx="3">
                  <c:v>0.12101684940000002</c:v>
                </c:pt>
                <c:pt idx="4">
                  <c:v>0.1119389576</c:v>
                </c:pt>
                <c:pt idx="5">
                  <c:v>0.115241779</c:v>
                </c:pt>
                <c:pt idx="6">
                  <c:v>0.122077848</c:v>
                </c:pt>
                <c:pt idx="7">
                  <c:v>0.1326987312</c:v>
                </c:pt>
                <c:pt idx="8">
                  <c:v>0.12793991504999999</c:v>
                </c:pt>
                <c:pt idx="9">
                  <c:v>0.12471488126500002</c:v>
                </c:pt>
                <c:pt idx="10">
                  <c:v>0.12630934261850002</c:v>
                </c:pt>
                <c:pt idx="11">
                  <c:v>0.12102804820665</c:v>
                </c:pt>
                <c:pt idx="12">
                  <c:v>0.13943359963598501</c:v>
                </c:pt>
                <c:pt idx="13">
                  <c:v>0.14474777103238648</c:v>
                </c:pt>
                <c:pt idx="14">
                  <c:v>0.14599198814914788</c:v>
                </c:pt>
                <c:pt idx="15">
                  <c:v>0.14545133143423308</c:v>
                </c:pt>
                <c:pt idx="16">
                  <c:v>0.14458800382080977</c:v>
                </c:pt>
                <c:pt idx="17">
                  <c:v>0.1390470003787288</c:v>
                </c:pt>
                <c:pt idx="18">
                  <c:v>0.13847772541085593</c:v>
                </c:pt>
                <c:pt idx="19">
                  <c:v>0.12744096949977032</c:v>
                </c:pt>
                <c:pt idx="20">
                  <c:v>0.13675064145979329</c:v>
                </c:pt>
                <c:pt idx="21">
                  <c:v>0.13913812776381398</c:v>
                </c:pt>
                <c:pt idx="22">
                  <c:v>0.14284614168743259</c:v>
                </c:pt>
                <c:pt idx="23">
                  <c:v>0.14101433288868931</c:v>
                </c:pt>
                <c:pt idx="24">
                  <c:v>0.1289304379698204</c:v>
                </c:pt>
                <c:pt idx="25">
                  <c:v>0.14116498635283833</c:v>
                </c:pt>
                <c:pt idx="26">
                  <c:v>0.12905028664755452</c:v>
                </c:pt>
                <c:pt idx="27">
                  <c:v>0.13664398880279904</c:v>
                </c:pt>
                <c:pt idx="28">
                  <c:v>0.14503508221251918</c:v>
                </c:pt>
                <c:pt idx="29">
                  <c:v>0.13839380565126727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BE-494F-966E-93CD71F79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66192"/>
        <c:axId val="1"/>
      </c:scatterChart>
      <c:valAx>
        <c:axId val="12376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Adstock</a:t>
                </a:r>
              </a:p>
            </c:rich>
          </c:tx>
          <c:layout>
            <c:manualLayout>
              <c:xMode val="edge"/>
              <c:yMode val="edge"/>
              <c:x val="0.51420104955076595"/>
              <c:y val="0.89181541202774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Recall</a:t>
                </a:r>
              </a:p>
            </c:rich>
          </c:tx>
          <c:layout>
            <c:manualLayout>
              <c:xMode val="edge"/>
              <c:yMode val="edge"/>
              <c:x val="2.3916327886082139E-2"/>
              <c:y val="0.438597743620201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6619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Recall vs TARPS</a:t>
            </a:r>
          </a:p>
        </c:rich>
      </c:tx>
      <c:layout>
        <c:manualLayout>
          <c:xMode val="edge"/>
          <c:yMode val="edge"/>
          <c:x val="0.40482954545454547"/>
          <c:y val="2.94695481335952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27272727272728"/>
          <c:y val="0.14734774066797643"/>
          <c:w val="0.67613636363636365"/>
          <c:h val="0.7170923379174852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'Adstock Modelling'!$B$1</c:f>
              <c:strCache>
                <c:ptCount val="1"/>
                <c:pt idx="0">
                  <c:v>Tarps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'Adstock Modelling'!$B$2:$B$31</c:f>
              <c:numCache>
                <c:formatCode>General</c:formatCode>
                <c:ptCount val="30"/>
                <c:pt idx="0">
                  <c:v>200</c:v>
                </c:pt>
                <c:pt idx="1">
                  <c:v>150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300</c:v>
                </c:pt>
                <c:pt idx="13">
                  <c:v>200</c:v>
                </c:pt>
                <c:pt idx="14">
                  <c:v>200</c:v>
                </c:pt>
                <c:pt idx="15">
                  <c:v>100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200</c:v>
                </c:pt>
                <c:pt idx="22">
                  <c:v>150</c:v>
                </c:pt>
                <c:pt idx="23">
                  <c:v>100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200</c:v>
                </c:pt>
                <c:pt idx="28">
                  <c:v>150</c:v>
                </c:pt>
                <c:pt idx="2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3-4479-B9BD-3C506268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19976"/>
        <c:axId val="1"/>
      </c:barChart>
      <c:lineChart>
        <c:grouping val="standard"/>
        <c:varyColors val="0"/>
        <c:ser>
          <c:idx val="0"/>
          <c:order val="1"/>
          <c:tx>
            <c:strRef>
              <c:f>'Adstock Modelling'!$D$1</c:f>
              <c:strCache>
                <c:ptCount val="1"/>
                <c:pt idx="0">
                  <c:v>Recall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'Adstock Modelling'!$D$2:$D$31</c:f>
              <c:numCache>
                <c:formatCode>General</c:formatCode>
                <c:ptCount val="30"/>
                <c:pt idx="0" formatCode="0.00000">
                  <c:v>0.1085858249</c:v>
                </c:pt>
                <c:pt idx="1">
                  <c:v>0.1203222052</c:v>
                </c:pt>
                <c:pt idx="2">
                  <c:v>0.12425279570000002</c:v>
                </c:pt>
                <c:pt idx="3">
                  <c:v>0.12101684940000002</c:v>
                </c:pt>
                <c:pt idx="4">
                  <c:v>0.1119389576</c:v>
                </c:pt>
                <c:pt idx="5">
                  <c:v>0.115241779</c:v>
                </c:pt>
                <c:pt idx="6">
                  <c:v>0.122077848</c:v>
                </c:pt>
                <c:pt idx="7">
                  <c:v>0.1326987312</c:v>
                </c:pt>
                <c:pt idx="8">
                  <c:v>0.12793991504999999</c:v>
                </c:pt>
                <c:pt idx="9">
                  <c:v>0.12471488126500002</c:v>
                </c:pt>
                <c:pt idx="10">
                  <c:v>0.12630934261850002</c:v>
                </c:pt>
                <c:pt idx="11">
                  <c:v>0.12102804820665</c:v>
                </c:pt>
                <c:pt idx="12">
                  <c:v>0.13943359963598501</c:v>
                </c:pt>
                <c:pt idx="13">
                  <c:v>0.14474777103238648</c:v>
                </c:pt>
                <c:pt idx="14">
                  <c:v>0.14599198814914788</c:v>
                </c:pt>
                <c:pt idx="15">
                  <c:v>0.14545133143423308</c:v>
                </c:pt>
                <c:pt idx="16">
                  <c:v>0.14458800382080977</c:v>
                </c:pt>
                <c:pt idx="17">
                  <c:v>0.1390470003787288</c:v>
                </c:pt>
                <c:pt idx="18">
                  <c:v>0.13847772541085593</c:v>
                </c:pt>
                <c:pt idx="19">
                  <c:v>0.12744096949977032</c:v>
                </c:pt>
                <c:pt idx="20">
                  <c:v>0.13675064145979329</c:v>
                </c:pt>
                <c:pt idx="21">
                  <c:v>0.13913812776381398</c:v>
                </c:pt>
                <c:pt idx="22">
                  <c:v>0.14284614168743259</c:v>
                </c:pt>
                <c:pt idx="23">
                  <c:v>0.14101433288868931</c:v>
                </c:pt>
                <c:pt idx="24">
                  <c:v>0.1289304379698204</c:v>
                </c:pt>
                <c:pt idx="25">
                  <c:v>0.14116498635283833</c:v>
                </c:pt>
                <c:pt idx="26">
                  <c:v>0.12905028664755452</c:v>
                </c:pt>
                <c:pt idx="27">
                  <c:v>0.13664398880279904</c:v>
                </c:pt>
                <c:pt idx="28">
                  <c:v>0.14503508221251918</c:v>
                </c:pt>
                <c:pt idx="29">
                  <c:v>0.13839380565126727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3-4479-B9BD-3C506268E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3919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</a:t>
                </a:r>
              </a:p>
            </c:rich>
          </c:tx>
          <c:layout>
            <c:manualLayout>
              <c:xMode val="edge"/>
              <c:yMode val="edge"/>
              <c:x val="0.41193181818181818"/>
              <c:y val="0.925343811394891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TARPS</a:t>
                </a:r>
              </a:p>
            </c:rich>
          </c:tx>
          <c:layout>
            <c:manualLayout>
              <c:xMode val="edge"/>
              <c:yMode val="edge"/>
              <c:x val="2.2727272727272728E-2"/>
              <c:y val="0.45776031434184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91997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.1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Recall</a:t>
                </a:r>
              </a:p>
            </c:rich>
          </c:tx>
          <c:layout>
            <c:manualLayout>
              <c:xMode val="edge"/>
              <c:yMode val="edge"/>
              <c:x val="0.83238636363636365"/>
              <c:y val="0.46168958742632615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210227272727271"/>
          <c:y val="0.46365422396856582"/>
          <c:w val="0.10653409090909091"/>
          <c:h val="8.447937131630647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Modeling the Next 10 weeks</a:t>
            </a:r>
          </a:p>
        </c:rich>
      </c:tx>
      <c:layout>
        <c:manualLayout>
          <c:xMode val="edge"/>
          <c:yMode val="edge"/>
          <c:x val="0.35817039186375593"/>
          <c:y val="2.9288732847571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2681056833457"/>
          <c:y val="0.15062776893036672"/>
          <c:w val="0.84183114000094461"/>
          <c:h val="0.74686268761306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'Prediction Adstock'!$L$2</c:f>
              <c:strCache>
                <c:ptCount val="1"/>
                <c:pt idx="0">
                  <c:v>TARPs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'Prediction Adstock'!$L$3:$L$12</c:f>
              <c:numCache>
                <c:formatCode>General</c:formatCode>
                <c:ptCount val="10"/>
                <c:pt idx="0">
                  <c:v>300</c:v>
                </c:pt>
                <c:pt idx="1">
                  <c:v>300</c:v>
                </c:pt>
                <c:pt idx="2">
                  <c:v>0</c:v>
                </c:pt>
                <c:pt idx="3">
                  <c:v>300</c:v>
                </c:pt>
                <c:pt idx="4">
                  <c:v>300</c:v>
                </c:pt>
                <c:pt idx="5">
                  <c:v>159.25926399457174</c:v>
                </c:pt>
                <c:pt idx="6">
                  <c:v>66.666663285809136</c:v>
                </c:pt>
                <c:pt idx="7">
                  <c:v>74.074072719618854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5-41AF-A135-4D94610A1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068760"/>
        <c:axId val="1"/>
      </c:barChart>
      <c:lineChart>
        <c:grouping val="standard"/>
        <c:varyColors val="0"/>
        <c:ser>
          <c:idx val="0"/>
          <c:order val="1"/>
          <c:tx>
            <c:strRef>
              <c:f>'Prediction Adstock'!$N$2</c:f>
              <c:strCache>
                <c:ptCount val="1"/>
                <c:pt idx="0">
                  <c:v>Modeled recall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'Prediction Adstock'!$N$3:$N$12</c:f>
              <c:numCache>
                <c:formatCode>General</c:formatCode>
                <c:ptCount val="10"/>
                <c:pt idx="0">
                  <c:v>0.15315607042052029</c:v>
                </c:pt>
                <c:pt idx="1">
                  <c:v>0.16291343316669493</c:v>
                </c:pt>
                <c:pt idx="2">
                  <c:v>0.15673675036743823</c:v>
                </c:pt>
                <c:pt idx="3">
                  <c:v>0.16613604511892108</c:v>
                </c:pt>
                <c:pt idx="4">
                  <c:v>0.17459541039525564</c:v>
                </c:pt>
                <c:pt idx="5">
                  <c:v>0.17519136095671956</c:v>
                </c:pt>
                <c:pt idx="6">
                  <c:v>0.17111095393673487</c:v>
                </c:pt>
                <c:pt idx="7">
                  <c:v>0.16780792868943692</c:v>
                </c:pt>
                <c:pt idx="8">
                  <c:v>0.16114179633790604</c:v>
                </c:pt>
                <c:pt idx="9">
                  <c:v>0.15514227722152824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5-41AF-A135-4D94610A1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24068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Week</a:t>
                </a:r>
              </a:p>
            </c:rich>
          </c:tx>
          <c:layout>
            <c:manualLayout>
              <c:xMode val="edge"/>
              <c:yMode val="edge"/>
              <c:x val="0.4980398514601862"/>
              <c:y val="0.920503032352241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5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TARPs</a:t>
                </a:r>
              </a:p>
            </c:rich>
          </c:tx>
          <c:layout>
            <c:manualLayout>
              <c:xMode val="edge"/>
              <c:yMode val="edge"/>
              <c:x val="2.0915059378905459E-2"/>
              <c:y val="0.476987934946161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406876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Recall</a:t>
                </a:r>
              </a:p>
            </c:rich>
          </c:tx>
          <c:layout>
            <c:manualLayout>
              <c:xMode val="edge"/>
              <c:yMode val="edge"/>
              <c:x val="0.96470711385201424"/>
              <c:y val="0.4769879349461613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79869383003195216"/>
          <c:y val="1.6736418770040749E-2"/>
          <c:w val="0.16078451897533569"/>
          <c:h val="8.995825088896902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200025</xdr:colOff>
      <xdr:row>12</xdr:row>
      <xdr:rowOff>19050</xdr:rowOff>
    </xdr:from>
    <xdr:to>
      <xdr:col>19</xdr:col>
      <xdr:colOff>209550</xdr:colOff>
      <xdr:row>39</xdr:row>
      <xdr:rowOff>9525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16D1433B-5353-4995-8673-47F388E1A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0.52686</cdr:x>
      <cdr:y>0.16056</cdr:y>
    </cdr:from>
    <cdr:to>
      <cdr:x>0.52859</cdr:x>
      <cdr:y>0.85142</cdr:y>
    </cdr:to>
    <cdr:sp macro="" textlink="">
      <cdr:nvSpPr>
        <cdr:cNvPr id="3073" name="Line 1">
          <a:extLst xmlns:a="http://schemas.openxmlformats.org/drawingml/2006/main">
            <a:ext uri="{FF2B5EF4-FFF2-40B4-BE49-F238E27FC236}">
              <a16:creationId xmlns:a16="http://schemas.microsoft.com/office/drawing/2014/main" id="{440A8E65-1678-4814-8B27-802C0948F907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546151" y="705139"/>
          <a:ext cx="11602" cy="302043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0.55545</cdr:x>
      <cdr:y>0.096</cdr:y>
    </cdr:from>
    <cdr:to>
      <cdr:x>0.72674</cdr:x>
      <cdr:y>0.14393</cdr:y>
    </cdr:to>
    <cdr:sp macro="" textlink="">
      <cdr:nvSpPr>
        <cdr:cNvPr id="3074" name="Text Box 2">
          <a:extLst xmlns:a="http://schemas.openxmlformats.org/drawingml/2006/main">
            <a:ext uri="{FF2B5EF4-FFF2-40B4-BE49-F238E27FC236}">
              <a16:creationId xmlns:a16="http://schemas.microsoft.com/office/drawing/2014/main" id="{BE3C86FF-E03B-48D3-B15F-FC422E4A67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38404" y="422875"/>
          <a:ext cx="1151858" cy="2095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18288" tIns="22860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Arial"/>
              <a:cs typeface="Arial"/>
            </a:rPr>
            <a:t>forecast region--&gt;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0</xdr:row>
      <xdr:rowOff>28575</xdr:rowOff>
    </xdr:from>
    <xdr:to>
      <xdr:col>19</xdr:col>
      <xdr:colOff>314325</xdr:colOff>
      <xdr:row>27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1EC0E74-7D85-45B6-98F8-AD036BB70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133350</xdr:rowOff>
    </xdr:from>
    <xdr:to>
      <xdr:col>13</xdr:col>
      <xdr:colOff>381000</xdr:colOff>
      <xdr:row>22</xdr:row>
      <xdr:rowOff>152400</xdr:rowOff>
    </xdr:to>
    <xdr:graphicFrame macro="">
      <xdr:nvGraphicFramePr>
        <xdr:cNvPr id="4098" name="Chart 2">
          <a:extLst>
            <a:ext uri="{FF2B5EF4-FFF2-40B4-BE49-F238E27FC236}">
              <a16:creationId xmlns:a16="http://schemas.microsoft.com/office/drawing/2014/main" id="{87418BF5-CB7A-4970-9B4A-7AFCF1C59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828675</xdr:colOff>
      <xdr:row>13</xdr:row>
      <xdr:rowOff>38100</xdr:rowOff>
    </xdr:from>
    <xdr:to>
      <xdr:col>15</xdr:col>
      <xdr:colOff>161925</xdr:colOff>
      <xdr:row>43</xdr:row>
      <xdr:rowOff>28575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66B64C0C-5F52-43F1-845B-FD6B87093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16</xdr:row>
      <xdr:rowOff>47625</xdr:rowOff>
    </xdr:from>
    <xdr:to>
      <xdr:col>17</xdr:col>
      <xdr:colOff>295275</xdr:colOff>
      <xdr:row>44</xdr:row>
      <xdr:rowOff>57150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F4EFE1CB-01BA-4900-8EC5-ACC01E10B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J1" zoomScale="130" workbookViewId="0">
      <selection activeCell="D25" sqref="D25"/>
    </sheetView>
  </sheetViews>
  <sheetFormatPr defaultRowHeight="12.75" x14ac:dyDescent="0.2"/>
  <cols>
    <col min="1" max="2" width="9.28515625" bestFit="1" customWidth="1"/>
    <col min="3" max="3" width="19.140625" style="3" bestFit="1" customWidth="1"/>
    <col min="4" max="4" width="17.85546875" style="3" bestFit="1" customWidth="1"/>
    <col min="5" max="5" width="12.42578125" bestFit="1" customWidth="1"/>
    <col min="6" max="7" width="9.28515625" bestFit="1" customWidth="1"/>
  </cols>
  <sheetData>
    <row r="1" spans="1:7" x14ac:dyDescent="0.2">
      <c r="A1" t="s">
        <v>5</v>
      </c>
      <c r="B1" t="s">
        <v>6</v>
      </c>
      <c r="C1" s="3" t="s">
        <v>8</v>
      </c>
      <c r="D1" s="3" t="s">
        <v>13</v>
      </c>
      <c r="E1" t="s">
        <v>12</v>
      </c>
      <c r="F1" t="s">
        <v>9</v>
      </c>
      <c r="G1" t="s">
        <v>10</v>
      </c>
    </row>
    <row r="2" spans="1:7" x14ac:dyDescent="0.2">
      <c r="A2">
        <v>1</v>
      </c>
      <c r="B2">
        <v>8</v>
      </c>
      <c r="C2" s="3">
        <f>B2/1499</f>
        <v>5.3368912608405599E-3</v>
      </c>
      <c r="D2" s="3">
        <f t="shared" ref="D2:D25" si="0">F$2*(1-EXP(-G$2*A2))</f>
        <v>5.367025090303029E-3</v>
      </c>
      <c r="E2">
        <f t="shared" ref="E2:E25" si="1">(C2-D2)^2</f>
        <v>9.0804767807317022E-10</v>
      </c>
      <c r="F2">
        <v>8.6200300929717533E-2</v>
      </c>
      <c r="G2">
        <v>6.4284958283362184E-2</v>
      </c>
    </row>
    <row r="3" spans="1:7" x14ac:dyDescent="0.2">
      <c r="A3">
        <v>2</v>
      </c>
      <c r="B3">
        <v>14</v>
      </c>
      <c r="C3" s="3">
        <f t="shared" ref="C3:C53" si="2">B3/1499</f>
        <v>9.3395597064709814E-3</v>
      </c>
      <c r="D3" s="3">
        <f t="shared" si="0"/>
        <v>1.0399887097539473E-2</v>
      </c>
      <c r="E3">
        <f t="shared" si="1"/>
        <v>1.124294176250114E-6</v>
      </c>
      <c r="F3" t="s">
        <v>11</v>
      </c>
      <c r="G3">
        <f>SUM(E2:E25)</f>
        <v>1.2757349397803048E-4</v>
      </c>
    </row>
    <row r="4" spans="1:7" x14ac:dyDescent="0.2">
      <c r="A4">
        <v>3</v>
      </c>
      <c r="B4">
        <v>16</v>
      </c>
      <c r="C4" s="3">
        <f t="shared" si="2"/>
        <v>1.067378252168112E-2</v>
      </c>
      <c r="D4" s="3">
        <f t="shared" si="0"/>
        <v>1.5119391768693138E-2</v>
      </c>
      <c r="E4">
        <f t="shared" si="1"/>
        <v>1.9763441577118763E-5</v>
      </c>
    </row>
    <row r="5" spans="1:7" x14ac:dyDescent="0.2">
      <c r="A5">
        <v>4</v>
      </c>
      <c r="B5">
        <v>32</v>
      </c>
      <c r="C5" s="3">
        <f t="shared" si="2"/>
        <v>2.134756504336224E-2</v>
      </c>
      <c r="D5" s="3">
        <f t="shared" si="0"/>
        <v>1.9545049438030211E-2</v>
      </c>
      <c r="E5">
        <f t="shared" si="1"/>
        <v>3.2490625074654895E-6</v>
      </c>
    </row>
    <row r="6" spans="1:7" x14ac:dyDescent="0.2">
      <c r="A6">
        <v>5</v>
      </c>
      <c r="B6">
        <v>40</v>
      </c>
      <c r="C6" s="3">
        <f t="shared" si="2"/>
        <v>2.6684456304202801E-2</v>
      </c>
      <c r="D6" s="3">
        <f t="shared" si="0"/>
        <v>2.3695155682415883E-2</v>
      </c>
      <c r="E6">
        <f t="shared" si="1"/>
        <v>8.9359182074156509E-6</v>
      </c>
    </row>
    <row r="7" spans="1:7" x14ac:dyDescent="0.2">
      <c r="A7">
        <v>6</v>
      </c>
      <c r="B7">
        <v>47</v>
      </c>
      <c r="C7" s="3">
        <f t="shared" si="2"/>
        <v>3.1354236157438292E-2</v>
      </c>
      <c r="D7" s="3">
        <f t="shared" si="0"/>
        <v>2.7586866954848941E-2</v>
      </c>
      <c r="E7">
        <f t="shared" si="1"/>
        <v>1.4193070708618723E-5</v>
      </c>
    </row>
    <row r="8" spans="1:7" x14ac:dyDescent="0.2">
      <c r="A8">
        <v>7</v>
      </c>
      <c r="B8">
        <v>50</v>
      </c>
      <c r="C8" s="3">
        <f t="shared" si="2"/>
        <v>3.3355570380253503E-2</v>
      </c>
      <c r="D8" s="3">
        <f t="shared" si="0"/>
        <v>3.1236271508882103E-2</v>
      </c>
      <c r="E8">
        <f t="shared" si="1"/>
        <v>4.4914277061960926E-6</v>
      </c>
    </row>
    <row r="9" spans="1:7" x14ac:dyDescent="0.2">
      <c r="A9">
        <v>8</v>
      </c>
      <c r="B9">
        <v>52</v>
      </c>
      <c r="C9" s="3">
        <f t="shared" si="2"/>
        <v>3.4689793195463642E-2</v>
      </c>
      <c r="D9" s="3">
        <f t="shared" si="0"/>
        <v>3.4658455907127961E-2</v>
      </c>
      <c r="E9">
        <f t="shared" si="1"/>
        <v>9.8202564023361213E-10</v>
      </c>
    </row>
    <row r="10" spans="1:7" x14ac:dyDescent="0.2">
      <c r="A10">
        <v>9</v>
      </c>
      <c r="B10">
        <v>57</v>
      </c>
      <c r="C10" s="3">
        <f t="shared" si="2"/>
        <v>3.8025350233488991E-2</v>
      </c>
      <c r="D10" s="3">
        <f t="shared" si="0"/>
        <v>3.7867567388795445E-2</v>
      </c>
      <c r="E10">
        <f t="shared" si="1"/>
        <v>2.4895426079587791E-8</v>
      </c>
    </row>
    <row r="11" spans="1:7" x14ac:dyDescent="0.2">
      <c r="A11">
        <v>10</v>
      </c>
      <c r="B11">
        <v>60</v>
      </c>
      <c r="C11" s="3">
        <f t="shared" si="2"/>
        <v>4.0026684456304203E-2</v>
      </c>
      <c r="D11" s="3">
        <f t="shared" si="0"/>
        <v>4.0876872354082765E-2</v>
      </c>
      <c r="E11">
        <f t="shared" si="1"/>
        <v>7.2281946152913075E-7</v>
      </c>
    </row>
    <row r="12" spans="1:7" x14ac:dyDescent="0.2">
      <c r="A12">
        <v>11</v>
      </c>
      <c r="B12">
        <v>65</v>
      </c>
      <c r="C12" s="3">
        <f t="shared" si="2"/>
        <v>4.3362241494329552E-2</v>
      </c>
      <c r="D12" s="3">
        <f t="shared" si="0"/>
        <v>4.3698811207200247E-2</v>
      </c>
      <c r="E12">
        <f t="shared" si="1"/>
        <v>1.1327917162186199E-7</v>
      </c>
    </row>
    <row r="13" spans="1:7" x14ac:dyDescent="0.2">
      <c r="A13">
        <v>12</v>
      </c>
      <c r="B13">
        <v>67</v>
      </c>
      <c r="C13" s="3">
        <f t="shared" si="2"/>
        <v>4.4696464309539691E-2</v>
      </c>
      <c r="D13" s="3">
        <f t="shared" si="0"/>
        <v>4.634504978474293E-2</v>
      </c>
      <c r="E13">
        <f t="shared" si="1"/>
        <v>2.7178340690510891E-6</v>
      </c>
    </row>
    <row r="14" spans="1:7" x14ac:dyDescent="0.2">
      <c r="A14">
        <v>13</v>
      </c>
      <c r="B14">
        <v>68</v>
      </c>
      <c r="C14" s="3">
        <f t="shared" si="2"/>
        <v>4.5363575717144763E-2</v>
      </c>
      <c r="D14" s="3">
        <f t="shared" si="0"/>
        <v>4.8826527582016659E-2</v>
      </c>
      <c r="E14">
        <f t="shared" si="1"/>
        <v>1.1992035618419736E-5</v>
      </c>
    </row>
    <row r="15" spans="1:7" x14ac:dyDescent="0.2">
      <c r="A15">
        <v>14</v>
      </c>
      <c r="B15">
        <v>72</v>
      </c>
      <c r="C15" s="3">
        <f t="shared" si="2"/>
        <v>4.803202134756504E-2</v>
      </c>
      <c r="D15" s="3">
        <f t="shared" si="0"/>
        <v>5.1153502976684424E-2</v>
      </c>
      <c r="E15">
        <f t="shared" si="1"/>
        <v>9.7436475609298032E-6</v>
      </c>
    </row>
    <row r="16" spans="1:7" x14ac:dyDescent="0.2">
      <c r="A16">
        <v>15</v>
      </c>
      <c r="B16">
        <v>75</v>
      </c>
      <c r="C16" s="3">
        <f t="shared" si="2"/>
        <v>5.0033355570380252E-2</v>
      </c>
      <c r="D16" s="3">
        <f t="shared" si="0"/>
        <v>5.3335595636686522E-2</v>
      </c>
      <c r="E16">
        <f t="shared" si="1"/>
        <v>1.0904789455518445E-5</v>
      </c>
    </row>
    <row r="17" spans="1:5" x14ac:dyDescent="0.2">
      <c r="A17">
        <v>16</v>
      </c>
      <c r="B17">
        <v>81</v>
      </c>
      <c r="C17" s="3">
        <f t="shared" si="2"/>
        <v>5.4036024016010674E-2</v>
      </c>
      <c r="D17" s="3">
        <f t="shared" si="0"/>
        <v>5.5381826287748015E-2</v>
      </c>
      <c r="E17">
        <f t="shared" si="1"/>
        <v>1.8111837546133881E-6</v>
      </c>
    </row>
    <row r="18" spans="1:5" x14ac:dyDescent="0.2">
      <c r="A18">
        <v>17</v>
      </c>
      <c r="B18">
        <v>90</v>
      </c>
      <c r="C18" s="3">
        <f t="shared" si="2"/>
        <v>6.0040026684456307E-2</v>
      </c>
      <c r="D18" s="3">
        <f t="shared" si="0"/>
        <v>5.7300654004871394E-2</v>
      </c>
      <c r="E18">
        <f t="shared" si="1"/>
        <v>7.5041626776562262E-6</v>
      </c>
    </row>
    <row r="19" spans="1:5" x14ac:dyDescent="0.2">
      <c r="A19">
        <v>18</v>
      </c>
      <c r="B19">
        <v>94</v>
      </c>
      <c r="C19" s="3">
        <f t="shared" si="2"/>
        <v>6.2708472314876584E-2</v>
      </c>
      <c r="D19" s="3">
        <f t="shared" si="0"/>
        <v>5.9100011181976983E-2</v>
      </c>
      <c r="E19">
        <f t="shared" si="1"/>
        <v>1.3020991747647075E-5</v>
      </c>
    </row>
    <row r="20" spans="1:5" x14ac:dyDescent="0.2">
      <c r="A20">
        <v>19</v>
      </c>
      <c r="B20">
        <v>96</v>
      </c>
      <c r="C20" s="3">
        <f t="shared" si="2"/>
        <v>6.404269513008673E-2</v>
      </c>
      <c r="D20" s="3">
        <f t="shared" si="0"/>
        <v>6.0787336324254551E-2</v>
      </c>
      <c r="E20">
        <f t="shared" si="1"/>
        <v>1.0597360954709109E-5</v>
      </c>
    </row>
    <row r="21" spans="1:5" x14ac:dyDescent="0.2">
      <c r="A21">
        <v>20</v>
      </c>
      <c r="B21">
        <v>96</v>
      </c>
      <c r="C21" s="3">
        <f t="shared" si="2"/>
        <v>6.404269513008673E-2</v>
      </c>
      <c r="D21" s="3">
        <f t="shared" si="0"/>
        <v>6.2369604798789322E-2</v>
      </c>
      <c r="E21">
        <f t="shared" si="1"/>
        <v>2.7992312566808715E-6</v>
      </c>
    </row>
    <row r="22" spans="1:5" x14ac:dyDescent="0.2">
      <c r="A22">
        <v>21</v>
      </c>
      <c r="B22">
        <v>96</v>
      </c>
      <c r="C22" s="3">
        <f t="shared" si="2"/>
        <v>6.404269513008673E-2</v>
      </c>
      <c r="D22" s="3">
        <f t="shared" si="0"/>
        <v>6.3853357670584532E-2</v>
      </c>
      <c r="E22">
        <f t="shared" si="1"/>
        <v>3.5848673570746441E-8</v>
      </c>
    </row>
    <row r="23" spans="1:5" x14ac:dyDescent="0.2">
      <c r="A23">
        <v>22</v>
      </c>
      <c r="B23">
        <v>97</v>
      </c>
      <c r="C23" s="3">
        <f t="shared" si="2"/>
        <v>6.4709806537691789E-2</v>
      </c>
      <c r="D23" s="3">
        <f t="shared" si="0"/>
        <v>6.5244728743188263E-2</v>
      </c>
      <c r="E23">
        <f t="shared" si="1"/>
        <v>2.8614176593321213E-7</v>
      </c>
    </row>
    <row r="24" spans="1:5" x14ac:dyDescent="0.2">
      <c r="A24">
        <v>23</v>
      </c>
      <c r="B24">
        <v>97</v>
      </c>
      <c r="C24" s="3">
        <f t="shared" si="2"/>
        <v>6.4709806537691789E-2</v>
      </c>
      <c r="D24" s="3">
        <f t="shared" si="0"/>
        <v>6.6549469915709911E-2</v>
      </c>
      <c r="E24">
        <f t="shared" si="1"/>
        <v>3.3843613444210479E-6</v>
      </c>
    </row>
    <row r="25" spans="1:5" x14ac:dyDescent="0.2">
      <c r="A25">
        <v>24</v>
      </c>
      <c r="B25">
        <v>101</v>
      </c>
      <c r="C25" s="3">
        <f t="shared" si="2"/>
        <v>6.7378252168112079E-2</v>
      </c>
      <c r="D25" s="3">
        <f t="shared" si="0"/>
        <v>6.7772974961051641E-2</v>
      </c>
      <c r="E25">
        <f t="shared" si="1"/>
        <v>1.5580608326600783E-7</v>
      </c>
    </row>
    <row r="26" spans="1:5" x14ac:dyDescent="0.2">
      <c r="A26">
        <v>25</v>
      </c>
      <c r="B26">
        <v>101</v>
      </c>
      <c r="C26" s="3">
        <f t="shared" si="2"/>
        <v>6.7378252168112079E-2</v>
      </c>
      <c r="D26" s="3">
        <f t="shared" ref="D26:D53" si="3">F$2*(1-EXP(-G$2*A26))</f>
        <v>6.8920301823653413E-2</v>
      </c>
    </row>
    <row r="27" spans="1:5" x14ac:dyDescent="0.2">
      <c r="A27">
        <v>26</v>
      </c>
      <c r="B27">
        <v>101</v>
      </c>
      <c r="C27" s="3">
        <f t="shared" si="2"/>
        <v>6.7378252168112079E-2</v>
      </c>
      <c r="D27" s="3">
        <f t="shared" si="3"/>
        <v>6.9996193528930356E-2</v>
      </c>
    </row>
    <row r="28" spans="1:5" x14ac:dyDescent="0.2">
      <c r="A28">
        <v>27</v>
      </c>
      <c r="B28">
        <v>105</v>
      </c>
      <c r="C28" s="3">
        <f t="shared" si="2"/>
        <v>7.0046697798532356E-2</v>
      </c>
      <c r="D28" s="3">
        <f t="shared" si="3"/>
        <v>7.1005097790841215E-2</v>
      </c>
    </row>
    <row r="29" spans="1:5" x14ac:dyDescent="0.2">
      <c r="A29">
        <v>28</v>
      </c>
      <c r="B29">
        <v>106</v>
      </c>
      <c r="C29" s="3">
        <f t="shared" si="2"/>
        <v>7.0713809206137429E-2</v>
      </c>
      <c r="D29" s="3">
        <f t="shared" si="3"/>
        <v>7.1951185398645437E-2</v>
      </c>
    </row>
    <row r="30" spans="1:5" x14ac:dyDescent="0.2">
      <c r="A30">
        <v>29</v>
      </c>
      <c r="B30">
        <v>106</v>
      </c>
      <c r="C30" s="3">
        <f t="shared" si="2"/>
        <v>7.0713809206137429E-2</v>
      </c>
      <c r="D30" s="3">
        <f t="shared" si="3"/>
        <v>7.283836745885941E-2</v>
      </c>
    </row>
    <row r="31" spans="1:5" x14ac:dyDescent="0.2">
      <c r="A31">
        <v>30</v>
      </c>
      <c r="B31">
        <v>118</v>
      </c>
      <c r="C31" s="3">
        <f t="shared" si="2"/>
        <v>7.871914609739826E-2</v>
      </c>
      <c r="D31" s="3">
        <f t="shared" si="3"/>
        <v>7.3670311563689458E-2</v>
      </c>
    </row>
    <row r="32" spans="1:5" x14ac:dyDescent="0.2">
      <c r="A32">
        <v>31</v>
      </c>
      <c r="B32">
        <v>119</v>
      </c>
      <c r="C32" s="3">
        <f t="shared" si="2"/>
        <v>7.9386257505003333E-2</v>
      </c>
      <c r="D32" s="3">
        <f t="shared" si="3"/>
        <v>7.4450456952781935E-2</v>
      </c>
    </row>
    <row r="33" spans="1:4" x14ac:dyDescent="0.2">
      <c r="A33">
        <v>32</v>
      </c>
      <c r="B33">
        <v>119</v>
      </c>
      <c r="C33" s="3">
        <f t="shared" si="2"/>
        <v>7.9386257505003333E-2</v>
      </c>
      <c r="D33" s="3">
        <f t="shared" si="3"/>
        <v>7.5182028730968367E-2</v>
      </c>
    </row>
    <row r="34" spans="1:4" x14ac:dyDescent="0.2">
      <c r="A34">
        <v>33</v>
      </c>
      <c r="B34">
        <v>120</v>
      </c>
      <c r="C34" s="3">
        <f t="shared" si="2"/>
        <v>8.0053368912608405E-2</v>
      </c>
      <c r="D34" s="3">
        <f t="shared" si="3"/>
        <v>7.5868051200781911E-2</v>
      </c>
    </row>
    <row r="35" spans="1:4" x14ac:dyDescent="0.2">
      <c r="A35">
        <v>34</v>
      </c>
      <c r="B35">
        <v>123</v>
      </c>
      <c r="C35" s="3">
        <f t="shared" si="2"/>
        <v>8.2054703135423609E-2</v>
      </c>
      <c r="D35" s="3">
        <f t="shared" si="3"/>
        <v>7.6511360364861142E-2</v>
      </c>
    </row>
    <row r="36" spans="1:4" x14ac:dyDescent="0.2">
      <c r="A36">
        <v>35</v>
      </c>
      <c r="B36">
        <v>125</v>
      </c>
      <c r="C36" s="3">
        <f t="shared" si="2"/>
        <v>8.3388925950633755E-2</v>
      </c>
      <c r="D36" s="3">
        <f t="shared" si="3"/>
        <v>7.7114615649926069E-2</v>
      </c>
    </row>
    <row r="37" spans="1:4" x14ac:dyDescent="0.2">
      <c r="A37">
        <v>36</v>
      </c>
      <c r="B37">
        <v>125</v>
      </c>
      <c r="C37" s="3">
        <f t="shared" si="2"/>
        <v>8.3388925950633755E-2</v>
      </c>
      <c r="D37" s="3">
        <f t="shared" si="3"/>
        <v>7.7680310900792943E-2</v>
      </c>
    </row>
    <row r="38" spans="1:4" x14ac:dyDescent="0.2">
      <c r="A38">
        <v>37</v>
      </c>
      <c r="B38">
        <v>126</v>
      </c>
      <c r="C38" s="3">
        <f t="shared" si="2"/>
        <v>8.4056037358238828E-2</v>
      </c>
      <c r="D38" s="3">
        <f t="shared" si="3"/>
        <v>7.8210784689876967E-2</v>
      </c>
    </row>
    <row r="39" spans="1:4" x14ac:dyDescent="0.2">
      <c r="A39">
        <v>38</v>
      </c>
      <c r="B39">
        <v>127</v>
      </c>
      <c r="C39" s="3">
        <f t="shared" si="2"/>
        <v>8.47231487658439E-2</v>
      </c>
      <c r="D39" s="3">
        <f t="shared" si="3"/>
        <v>7.8708229984801967E-2</v>
      </c>
    </row>
    <row r="40" spans="1:4" x14ac:dyDescent="0.2">
      <c r="A40">
        <v>39</v>
      </c>
      <c r="B40">
        <v>127</v>
      </c>
      <c r="C40" s="3">
        <f t="shared" si="2"/>
        <v>8.47231487658439E-2</v>
      </c>
      <c r="D40" s="3">
        <f t="shared" si="3"/>
        <v>7.9174703214083125E-2</v>
      </c>
    </row>
    <row r="41" spans="1:4" x14ac:dyDescent="0.2">
      <c r="A41">
        <v>40</v>
      </c>
      <c r="B41">
        <v>127</v>
      </c>
      <c r="C41" s="3">
        <f t="shared" si="2"/>
        <v>8.47231487658439E-2</v>
      </c>
      <c r="D41" s="3">
        <f t="shared" si="3"/>
        <v>7.9612132768359614E-2</v>
      </c>
    </row>
    <row r="42" spans="1:4" x14ac:dyDescent="0.2">
      <c r="A42">
        <v>41</v>
      </c>
      <c r="B42">
        <v>127</v>
      </c>
      <c r="C42" s="3">
        <f t="shared" si="2"/>
        <v>8.47231487658439E-2</v>
      </c>
      <c r="D42" s="3">
        <f t="shared" si="3"/>
        <v>8.0022326972321534E-2</v>
      </c>
    </row>
    <row r="43" spans="1:4" x14ac:dyDescent="0.2">
      <c r="A43">
        <v>42</v>
      </c>
      <c r="B43">
        <v>128</v>
      </c>
      <c r="C43" s="3">
        <f t="shared" si="2"/>
        <v>8.5390260173448959E-2</v>
      </c>
      <c r="D43" s="3">
        <f t="shared" si="3"/>
        <v>8.040698156028657E-2</v>
      </c>
    </row>
    <row r="44" spans="1:4" x14ac:dyDescent="0.2">
      <c r="A44">
        <v>43</v>
      </c>
      <c r="B44">
        <v>129</v>
      </c>
      <c r="C44" s="3">
        <f t="shared" si="2"/>
        <v>8.6057371581054032E-2</v>
      </c>
      <c r="D44" s="3">
        <f t="shared" si="3"/>
        <v>8.0767686686330456E-2</v>
      </c>
    </row>
    <row r="45" spans="1:4" x14ac:dyDescent="0.2">
      <c r="A45">
        <v>44</v>
      </c>
      <c r="B45">
        <v>129</v>
      </c>
      <c r="C45" s="3">
        <f t="shared" si="2"/>
        <v>8.6057371581054032E-2</v>
      </c>
      <c r="D45" s="3">
        <f t="shared" si="3"/>
        <v>8.1105933497950866E-2</v>
      </c>
    </row>
    <row r="46" spans="1:4" x14ac:dyDescent="0.2">
      <c r="A46">
        <v>45</v>
      </c>
      <c r="B46">
        <v>129</v>
      </c>
      <c r="C46" s="3">
        <f t="shared" si="2"/>
        <v>8.6057371581054032E-2</v>
      </c>
      <c r="D46" s="3">
        <f t="shared" si="3"/>
        <v>8.1423120300440188E-2</v>
      </c>
    </row>
    <row r="47" spans="1:4" x14ac:dyDescent="0.2">
      <c r="A47">
        <v>46</v>
      </c>
      <c r="B47">
        <v>130</v>
      </c>
      <c r="C47" s="3">
        <f t="shared" si="2"/>
        <v>8.6724482988659105E-2</v>
      </c>
      <c r="D47" s="3">
        <f t="shared" si="3"/>
        <v>8.172055833745058E-2</v>
      </c>
    </row>
    <row r="48" spans="1:4" x14ac:dyDescent="0.2">
      <c r="A48">
        <v>47</v>
      </c>
      <c r="B48">
        <v>132</v>
      </c>
      <c r="C48" s="3">
        <f t="shared" si="2"/>
        <v>8.805870580386925E-2</v>
      </c>
      <c r="D48" s="3">
        <f t="shared" si="3"/>
        <v>8.1999477211648006E-2</v>
      </c>
    </row>
    <row r="49" spans="1:4" x14ac:dyDescent="0.2">
      <c r="A49">
        <v>48</v>
      </c>
      <c r="B49">
        <v>133</v>
      </c>
      <c r="C49" s="3">
        <f t="shared" si="2"/>
        <v>8.8725817211474323E-2</v>
      </c>
      <c r="D49" s="3">
        <f t="shared" si="3"/>
        <v>8.2261029967864038E-2</v>
      </c>
    </row>
    <row r="50" spans="1:4" x14ac:dyDescent="0.2">
      <c r="A50">
        <v>49</v>
      </c>
      <c r="B50">
        <v>137</v>
      </c>
      <c r="C50" s="3">
        <f t="shared" si="2"/>
        <v>9.13942628418946E-2</v>
      </c>
      <c r="D50" s="3">
        <f t="shared" si="3"/>
        <v>8.2506297859759312E-2</v>
      </c>
    </row>
    <row r="51" spans="1:4" x14ac:dyDescent="0.2">
      <c r="A51">
        <v>50</v>
      </c>
      <c r="B51">
        <v>137</v>
      </c>
      <c r="C51" s="3">
        <f t="shared" si="2"/>
        <v>9.13942628418946E-2</v>
      </c>
      <c r="D51" s="3">
        <f t="shared" si="3"/>
        <v>8.2736294819703654E-2</v>
      </c>
    </row>
    <row r="52" spans="1:4" x14ac:dyDescent="0.2">
      <c r="A52">
        <v>51</v>
      </c>
      <c r="B52">
        <v>137</v>
      </c>
      <c r="C52" s="3">
        <f t="shared" si="2"/>
        <v>9.13942628418946E-2</v>
      </c>
      <c r="D52" s="3">
        <f t="shared" si="3"/>
        <v>8.2951971650351453E-2</v>
      </c>
    </row>
    <row r="53" spans="1:4" x14ac:dyDescent="0.2">
      <c r="A53">
        <v>52</v>
      </c>
      <c r="B53">
        <v>139</v>
      </c>
      <c r="C53" s="3">
        <f t="shared" si="2"/>
        <v>9.2728485657104731E-2</v>
      </c>
      <c r="D53" s="3">
        <f t="shared" si="3"/>
        <v>8.3154219955240055E-2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opLeftCell="G1" zoomScale="130" workbookViewId="0">
      <selection activeCell="G2" sqref="G2"/>
    </sheetView>
  </sheetViews>
  <sheetFormatPr defaultRowHeight="12.75" x14ac:dyDescent="0.2"/>
  <cols>
    <col min="3" max="3" width="19" style="3" bestFit="1" customWidth="1"/>
    <col min="4" max="4" width="13" style="3" customWidth="1"/>
    <col min="5" max="5" width="12.42578125" bestFit="1" customWidth="1"/>
    <col min="6" max="7" width="13" customWidth="1"/>
  </cols>
  <sheetData>
    <row r="1" spans="1:7" x14ac:dyDescent="0.2">
      <c r="A1" t="s">
        <v>5</v>
      </c>
      <c r="B1" t="s">
        <v>6</v>
      </c>
      <c r="C1" s="3" t="s">
        <v>8</v>
      </c>
      <c r="D1" s="3" t="s">
        <v>13</v>
      </c>
      <c r="E1" t="s">
        <v>12</v>
      </c>
      <c r="F1" t="s">
        <v>9</v>
      </c>
      <c r="G1" t="s">
        <v>10</v>
      </c>
    </row>
    <row r="2" spans="1:7" x14ac:dyDescent="0.2">
      <c r="A2">
        <v>1</v>
      </c>
      <c r="B2">
        <v>8</v>
      </c>
      <c r="C2" s="3">
        <f>B2/1499</f>
        <v>5.3368912608405599E-3</v>
      </c>
      <c r="D2" s="3">
        <f>F$2*(1-EXP(-G$2*A2))</f>
        <v>5.3670253083967232E-3</v>
      </c>
      <c r="E2">
        <f>(C2-D2)^2</f>
        <v>9.0806082211710756E-10</v>
      </c>
      <c r="F2">
        <v>8.6200286423530392E-2</v>
      </c>
      <c r="G2">
        <v>6.4284972154899589E-2</v>
      </c>
    </row>
    <row r="3" spans="1:7" x14ac:dyDescent="0.2">
      <c r="A3">
        <v>2</v>
      </c>
      <c r="B3">
        <v>14</v>
      </c>
      <c r="C3" s="3">
        <f t="shared" ref="C3:C25" si="0">B3/1499</f>
        <v>9.3395597064709814E-3</v>
      </c>
      <c r="D3" s="3">
        <f t="shared" ref="D3:D25" si="1">F$2*(1-EXP(-G$2*A3))</f>
        <v>1.039988745033432E-2</v>
      </c>
      <c r="E3">
        <f t="shared" ref="E3:E25" si="2">(C3-D3)^2</f>
        <v>1.1242949244063181E-6</v>
      </c>
      <c r="F3" t="s">
        <v>11</v>
      </c>
      <c r="G3">
        <f>SUM(E2:E25)</f>
        <v>1.2757349398229265E-4</v>
      </c>
    </row>
    <row r="4" spans="1:7" x14ac:dyDescent="0.2">
      <c r="A4">
        <v>3</v>
      </c>
      <c r="B4">
        <v>16</v>
      </c>
      <c r="C4" s="3">
        <f t="shared" si="0"/>
        <v>1.067378252168112E-2</v>
      </c>
      <c r="D4" s="3">
        <f t="shared" si="1"/>
        <v>1.5119392182335554E-2</v>
      </c>
      <c r="E4">
        <f t="shared" si="2"/>
        <v>1.9763445254904029E-5</v>
      </c>
    </row>
    <row r="5" spans="1:7" x14ac:dyDescent="0.2">
      <c r="A5">
        <v>4</v>
      </c>
      <c r="B5">
        <v>32</v>
      </c>
      <c r="C5" s="3">
        <f t="shared" si="0"/>
        <v>2.134756504336224E-2</v>
      </c>
      <c r="D5" s="3">
        <f t="shared" si="1"/>
        <v>1.9545049847341019E-2</v>
      </c>
      <c r="E5">
        <f t="shared" si="2"/>
        <v>3.2490610318874213E-6</v>
      </c>
    </row>
    <row r="6" spans="1:7" x14ac:dyDescent="0.2">
      <c r="A6">
        <v>5</v>
      </c>
      <c r="B6">
        <v>40</v>
      </c>
      <c r="C6" s="3">
        <f t="shared" si="0"/>
        <v>2.6684456304202801E-2</v>
      </c>
      <c r="D6" s="3">
        <f t="shared" si="1"/>
        <v>2.3695156030096413E-2</v>
      </c>
      <c r="E6">
        <f t="shared" si="2"/>
        <v>8.9359161287725223E-6</v>
      </c>
    </row>
    <row r="7" spans="1:7" x14ac:dyDescent="0.2">
      <c r="A7">
        <v>6</v>
      </c>
      <c r="B7">
        <v>47</v>
      </c>
      <c r="C7" s="3">
        <f t="shared" si="0"/>
        <v>3.1354236157438292E-2</v>
      </c>
      <c r="D7" s="3">
        <f t="shared" si="1"/>
        <v>2.7586867190752425E-2</v>
      </c>
      <c r="E7">
        <f t="shared" si="2"/>
        <v>1.4193068931147736E-5</v>
      </c>
    </row>
    <row r="8" spans="1:7" x14ac:dyDescent="0.2">
      <c r="A8">
        <v>7</v>
      </c>
      <c r="B8">
        <v>50</v>
      </c>
      <c r="C8" s="3">
        <f t="shared" si="0"/>
        <v>3.3355570380253503E-2</v>
      </c>
      <c r="D8" s="3">
        <f t="shared" si="1"/>
        <v>3.1236271589345169E-2</v>
      </c>
      <c r="E8">
        <f t="shared" si="2"/>
        <v>4.4914273651455261E-6</v>
      </c>
    </row>
    <row r="9" spans="1:7" x14ac:dyDescent="0.2">
      <c r="A9">
        <v>8</v>
      </c>
      <c r="B9">
        <v>52</v>
      </c>
      <c r="C9" s="3">
        <f t="shared" si="0"/>
        <v>3.4689793195463642E-2</v>
      </c>
      <c r="D9" s="3">
        <f t="shared" si="1"/>
        <v>3.4658455794357744E-2</v>
      </c>
      <c r="E9">
        <f t="shared" si="2"/>
        <v>9.8203270807192682E-10</v>
      </c>
    </row>
    <row r="10" spans="1:7" x14ac:dyDescent="0.2">
      <c r="A10">
        <v>9</v>
      </c>
      <c r="B10">
        <v>57</v>
      </c>
      <c r="C10" s="3">
        <f t="shared" si="0"/>
        <v>3.8025350233488991E-2</v>
      </c>
      <c r="D10" s="3">
        <f t="shared" si="1"/>
        <v>3.786756705030777E-2</v>
      </c>
      <c r="E10">
        <f t="shared" si="2"/>
        <v>2.4895532894798998E-8</v>
      </c>
    </row>
    <row r="11" spans="1:7" x14ac:dyDescent="0.2">
      <c r="A11">
        <v>10</v>
      </c>
      <c r="B11">
        <v>60</v>
      </c>
      <c r="C11" s="3">
        <f t="shared" si="0"/>
        <v>4.0026684456304203E-2</v>
      </c>
      <c r="D11" s="3">
        <f t="shared" si="1"/>
        <v>4.0876871762187621E-2</v>
      </c>
      <c r="E11">
        <f t="shared" si="2"/>
        <v>7.2281845508530471E-7</v>
      </c>
    </row>
    <row r="12" spans="1:7" x14ac:dyDescent="0.2">
      <c r="A12">
        <v>11</v>
      </c>
      <c r="B12">
        <v>65</v>
      </c>
      <c r="C12" s="3">
        <f t="shared" si="0"/>
        <v>4.3362241494329552E-2</v>
      </c>
      <c r="D12" s="3">
        <f t="shared" si="1"/>
        <v>4.3698810338530729E-2</v>
      </c>
      <c r="E12">
        <f t="shared" si="2"/>
        <v>1.1327858688691589E-7</v>
      </c>
    </row>
    <row r="13" spans="1:7" x14ac:dyDescent="0.2">
      <c r="A13">
        <v>12</v>
      </c>
      <c r="B13">
        <v>67</v>
      </c>
      <c r="C13" s="3">
        <f t="shared" si="0"/>
        <v>4.4696464309539691E-2</v>
      </c>
      <c r="D13" s="3">
        <f t="shared" si="1"/>
        <v>4.6345048619824247E-2</v>
      </c>
      <c r="E13">
        <f t="shared" si="2"/>
        <v>2.7178302281164069E-6</v>
      </c>
    </row>
    <row r="14" spans="1:7" x14ac:dyDescent="0.2">
      <c r="A14">
        <v>13</v>
      </c>
      <c r="B14">
        <v>68</v>
      </c>
      <c r="C14" s="3">
        <f t="shared" si="0"/>
        <v>4.5363575717144763E-2</v>
      </c>
      <c r="D14" s="3">
        <f t="shared" si="1"/>
        <v>4.8826526104872023E-2</v>
      </c>
      <c r="E14">
        <f t="shared" si="2"/>
        <v>1.1992025387860376E-5</v>
      </c>
    </row>
    <row r="15" spans="1:7" x14ac:dyDescent="0.2">
      <c r="A15">
        <v>14</v>
      </c>
      <c r="B15">
        <v>72</v>
      </c>
      <c r="C15" s="3">
        <f t="shared" si="0"/>
        <v>4.803202134756504E-2</v>
      </c>
      <c r="D15" s="3">
        <f t="shared" si="1"/>
        <v>5.1153501174475029E-2</v>
      </c>
      <c r="E15">
        <f t="shared" si="2"/>
        <v>9.74363630980601E-6</v>
      </c>
    </row>
    <row r="16" spans="1:7" x14ac:dyDescent="0.2">
      <c r="A16">
        <v>15</v>
      </c>
      <c r="B16">
        <v>75</v>
      </c>
      <c r="C16" s="3">
        <f t="shared" si="0"/>
        <v>5.0033355570380252E-2</v>
      </c>
      <c r="D16" s="3">
        <f t="shared" si="1"/>
        <v>5.3335593499382661E-2</v>
      </c>
      <c r="E16">
        <f t="shared" si="2"/>
        <v>1.0904775339742121E-5</v>
      </c>
    </row>
    <row r="17" spans="1:5" x14ac:dyDescent="0.2">
      <c r="A17">
        <v>16</v>
      </c>
      <c r="B17">
        <v>81</v>
      </c>
      <c r="C17" s="3">
        <f t="shared" si="0"/>
        <v>5.4036024016010674E-2</v>
      </c>
      <c r="D17" s="3">
        <f t="shared" si="1"/>
        <v>5.5381823807829043E-2</v>
      </c>
      <c r="E17">
        <f t="shared" si="2"/>
        <v>1.8111770796583666E-6</v>
      </c>
    </row>
    <row r="18" spans="1:5" x14ac:dyDescent="0.2">
      <c r="A18">
        <v>17</v>
      </c>
      <c r="B18">
        <v>90</v>
      </c>
      <c r="C18" s="3">
        <f t="shared" si="0"/>
        <v>6.0040026684456307E-2</v>
      </c>
      <c r="D18" s="3">
        <f t="shared" si="1"/>
        <v>5.7300651177052221E-2</v>
      </c>
      <c r="E18">
        <f t="shared" si="2"/>
        <v>7.5041781705653948E-6</v>
      </c>
    </row>
    <row r="19" spans="1:5" x14ac:dyDescent="0.2">
      <c r="A19">
        <v>18</v>
      </c>
      <c r="B19">
        <v>94</v>
      </c>
      <c r="C19" s="3">
        <f t="shared" si="0"/>
        <v>6.2708472314876584E-2</v>
      </c>
      <c r="D19" s="3">
        <f t="shared" si="1"/>
        <v>5.9100008002958823E-2</v>
      </c>
      <c r="E19">
        <f t="shared" si="2"/>
        <v>1.3021014690384122E-5</v>
      </c>
    </row>
    <row r="20" spans="1:5" x14ac:dyDescent="0.2">
      <c r="A20">
        <v>19</v>
      </c>
      <c r="B20">
        <v>96</v>
      </c>
      <c r="C20" s="3">
        <f t="shared" si="0"/>
        <v>6.404269513008673E-2</v>
      </c>
      <c r="D20" s="3">
        <f t="shared" si="1"/>
        <v>6.0787332792498046E-2</v>
      </c>
      <c r="E20">
        <f t="shared" si="2"/>
        <v>1.059738394899086E-5</v>
      </c>
    </row>
    <row r="21" spans="1:5" x14ac:dyDescent="0.2">
      <c r="A21">
        <v>20</v>
      </c>
      <c r="B21">
        <v>96</v>
      </c>
      <c r="C21" s="3">
        <f t="shared" si="0"/>
        <v>6.404269513008673E-2</v>
      </c>
      <c r="D21" s="3">
        <f t="shared" si="1"/>
        <v>6.2369600914308279E-2</v>
      </c>
      <c r="E21">
        <f t="shared" si="2"/>
        <v>2.7992442548713085E-6</v>
      </c>
    </row>
    <row r="22" spans="1:5" x14ac:dyDescent="0.2">
      <c r="A22">
        <v>21</v>
      </c>
      <c r="B22">
        <v>96</v>
      </c>
      <c r="C22" s="3">
        <f t="shared" si="0"/>
        <v>6.404269513008673E-2</v>
      </c>
      <c r="D22" s="3">
        <f t="shared" si="1"/>
        <v>6.3853353434758425E-2</v>
      </c>
      <c r="E22">
        <f t="shared" si="2"/>
        <v>3.5850277589796478E-8</v>
      </c>
    </row>
    <row r="23" spans="1:5" x14ac:dyDescent="0.2">
      <c r="A23">
        <v>22</v>
      </c>
      <c r="B23">
        <v>97</v>
      </c>
      <c r="C23" s="3">
        <f t="shared" si="0"/>
        <v>6.4709806537691789E-2</v>
      </c>
      <c r="D23" s="3">
        <f t="shared" si="1"/>
        <v>6.5244724158592199E-2</v>
      </c>
      <c r="E23">
        <f t="shared" si="2"/>
        <v>2.8613686114975504E-7</v>
      </c>
    </row>
    <row r="24" spans="1:5" x14ac:dyDescent="0.2">
      <c r="A24">
        <v>23</v>
      </c>
      <c r="B24">
        <v>97</v>
      </c>
      <c r="C24" s="3">
        <f t="shared" si="0"/>
        <v>6.4709806537691789E-2</v>
      </c>
      <c r="D24" s="3">
        <f t="shared" si="1"/>
        <v>6.6549464985960316E-2</v>
      </c>
      <c r="E24">
        <f t="shared" si="2"/>
        <v>3.3843432062857662E-6</v>
      </c>
    </row>
    <row r="25" spans="1:5" x14ac:dyDescent="0.2">
      <c r="A25">
        <v>24</v>
      </c>
      <c r="B25">
        <v>101</v>
      </c>
      <c r="C25" s="3">
        <f t="shared" si="0"/>
        <v>6.7378252168112079E-2</v>
      </c>
      <c r="D25" s="3">
        <f t="shared" si="1"/>
        <v>6.7772969690666665E-2</v>
      </c>
      <c r="E25">
        <f t="shared" si="2"/>
        <v>1.5580192261162988E-7</v>
      </c>
    </row>
    <row r="27" spans="1:5" x14ac:dyDescent="0.2">
      <c r="D27" s="3" t="s">
        <v>17</v>
      </c>
      <c r="E27" s="3">
        <f>CORREL(C2:C25,D2:D25)^2</f>
        <v>0.98481526706103406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7"/>
  <sheetViews>
    <sheetView topLeftCell="A17" workbookViewId="0">
      <selection activeCell="A30" sqref="A30:B57"/>
    </sheetView>
  </sheetViews>
  <sheetFormatPr defaultRowHeight="12.75" x14ac:dyDescent="0.2"/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B2">
        <v>1499</v>
      </c>
    </row>
    <row r="4" spans="1:4" x14ac:dyDescent="0.2">
      <c r="B4" t="s">
        <v>3</v>
      </c>
      <c r="D4" t="s">
        <v>4</v>
      </c>
    </row>
    <row r="5" spans="1:4" x14ac:dyDescent="0.2">
      <c r="A5" t="s">
        <v>5</v>
      </c>
      <c r="B5" t="s">
        <v>6</v>
      </c>
      <c r="D5" t="s">
        <v>7</v>
      </c>
    </row>
    <row r="6" spans="1:4" x14ac:dyDescent="0.2">
      <c r="A6">
        <v>1</v>
      </c>
      <c r="B6">
        <v>8</v>
      </c>
    </row>
    <row r="7" spans="1:4" x14ac:dyDescent="0.2">
      <c r="A7">
        <v>2</v>
      </c>
      <c r="B7">
        <v>14</v>
      </c>
    </row>
    <row r="8" spans="1:4" x14ac:dyDescent="0.2">
      <c r="A8">
        <v>3</v>
      </c>
      <c r="B8">
        <v>16</v>
      </c>
    </row>
    <row r="9" spans="1:4" x14ac:dyDescent="0.2">
      <c r="A9">
        <v>4</v>
      </c>
      <c r="B9">
        <v>32</v>
      </c>
    </row>
    <row r="10" spans="1:4" x14ac:dyDescent="0.2">
      <c r="A10">
        <v>5</v>
      </c>
      <c r="B10">
        <v>40</v>
      </c>
    </row>
    <row r="11" spans="1:4" x14ac:dyDescent="0.2">
      <c r="A11">
        <v>6</v>
      </c>
      <c r="B11">
        <v>47</v>
      </c>
    </row>
    <row r="12" spans="1:4" x14ac:dyDescent="0.2">
      <c r="A12">
        <v>7</v>
      </c>
      <c r="B12">
        <v>50</v>
      </c>
    </row>
    <row r="13" spans="1:4" x14ac:dyDescent="0.2">
      <c r="A13">
        <v>8</v>
      </c>
      <c r="B13">
        <v>52</v>
      </c>
    </row>
    <row r="14" spans="1:4" x14ac:dyDescent="0.2">
      <c r="A14">
        <v>9</v>
      </c>
      <c r="B14">
        <v>57</v>
      </c>
    </row>
    <row r="15" spans="1:4" x14ac:dyDescent="0.2">
      <c r="A15">
        <v>10</v>
      </c>
      <c r="B15">
        <v>60</v>
      </c>
    </row>
    <row r="16" spans="1:4" x14ac:dyDescent="0.2">
      <c r="A16">
        <v>11</v>
      </c>
      <c r="B16">
        <v>65</v>
      </c>
    </row>
    <row r="17" spans="1:2" x14ac:dyDescent="0.2">
      <c r="A17">
        <v>12</v>
      </c>
      <c r="B17">
        <v>67</v>
      </c>
    </row>
    <row r="18" spans="1:2" x14ac:dyDescent="0.2">
      <c r="A18">
        <v>13</v>
      </c>
      <c r="B18">
        <v>68</v>
      </c>
    </row>
    <row r="19" spans="1:2" x14ac:dyDescent="0.2">
      <c r="A19">
        <v>14</v>
      </c>
      <c r="B19">
        <v>72</v>
      </c>
    </row>
    <row r="20" spans="1:2" x14ac:dyDescent="0.2">
      <c r="A20">
        <v>15</v>
      </c>
      <c r="B20">
        <v>75</v>
      </c>
    </row>
    <row r="21" spans="1:2" x14ac:dyDescent="0.2">
      <c r="A21">
        <v>16</v>
      </c>
      <c r="B21">
        <v>81</v>
      </c>
    </row>
    <row r="22" spans="1:2" x14ac:dyDescent="0.2">
      <c r="A22">
        <v>17</v>
      </c>
      <c r="B22">
        <v>90</v>
      </c>
    </row>
    <row r="23" spans="1:2" x14ac:dyDescent="0.2">
      <c r="A23">
        <v>18</v>
      </c>
      <c r="B23">
        <v>94</v>
      </c>
    </row>
    <row r="24" spans="1:2" x14ac:dyDescent="0.2">
      <c r="A24">
        <v>19</v>
      </c>
      <c r="B24">
        <v>96</v>
      </c>
    </row>
    <row r="25" spans="1:2" x14ac:dyDescent="0.2">
      <c r="A25">
        <v>20</v>
      </c>
      <c r="B25">
        <v>96</v>
      </c>
    </row>
    <row r="26" spans="1:2" x14ac:dyDescent="0.2">
      <c r="A26">
        <v>21</v>
      </c>
      <c r="B26">
        <v>96</v>
      </c>
    </row>
    <row r="27" spans="1:2" x14ac:dyDescent="0.2">
      <c r="A27">
        <v>22</v>
      </c>
      <c r="B27">
        <v>97</v>
      </c>
    </row>
    <row r="28" spans="1:2" x14ac:dyDescent="0.2">
      <c r="A28">
        <v>23</v>
      </c>
      <c r="B28">
        <v>97</v>
      </c>
    </row>
    <row r="29" spans="1:2" x14ac:dyDescent="0.2">
      <c r="A29">
        <v>24</v>
      </c>
      <c r="B29">
        <v>101</v>
      </c>
    </row>
    <row r="30" spans="1:2" x14ac:dyDescent="0.2">
      <c r="A30">
        <v>25</v>
      </c>
      <c r="B30">
        <v>101</v>
      </c>
    </row>
    <row r="31" spans="1:2" x14ac:dyDescent="0.2">
      <c r="A31">
        <v>26</v>
      </c>
      <c r="B31">
        <v>101</v>
      </c>
    </row>
    <row r="32" spans="1:2" x14ac:dyDescent="0.2">
      <c r="A32">
        <v>27</v>
      </c>
      <c r="B32">
        <v>105</v>
      </c>
    </row>
    <row r="33" spans="1:2" x14ac:dyDescent="0.2">
      <c r="A33">
        <v>28</v>
      </c>
      <c r="B33">
        <v>106</v>
      </c>
    </row>
    <row r="34" spans="1:2" x14ac:dyDescent="0.2">
      <c r="A34">
        <v>29</v>
      </c>
      <c r="B34">
        <v>106</v>
      </c>
    </row>
    <row r="35" spans="1:2" x14ac:dyDescent="0.2">
      <c r="A35">
        <v>30</v>
      </c>
      <c r="B35">
        <v>118</v>
      </c>
    </row>
    <row r="36" spans="1:2" x14ac:dyDescent="0.2">
      <c r="A36">
        <v>31</v>
      </c>
      <c r="B36">
        <v>119</v>
      </c>
    </row>
    <row r="37" spans="1:2" x14ac:dyDescent="0.2">
      <c r="A37">
        <v>32</v>
      </c>
      <c r="B37">
        <v>119</v>
      </c>
    </row>
    <row r="38" spans="1:2" x14ac:dyDescent="0.2">
      <c r="A38">
        <v>33</v>
      </c>
      <c r="B38">
        <v>120</v>
      </c>
    </row>
    <row r="39" spans="1:2" x14ac:dyDescent="0.2">
      <c r="A39">
        <v>34</v>
      </c>
      <c r="B39">
        <v>123</v>
      </c>
    </row>
    <row r="40" spans="1:2" x14ac:dyDescent="0.2">
      <c r="A40">
        <v>35</v>
      </c>
      <c r="B40">
        <v>125</v>
      </c>
    </row>
    <row r="41" spans="1:2" x14ac:dyDescent="0.2">
      <c r="A41">
        <v>36</v>
      </c>
      <c r="B41">
        <v>125</v>
      </c>
    </row>
    <row r="42" spans="1:2" x14ac:dyDescent="0.2">
      <c r="A42">
        <v>37</v>
      </c>
      <c r="B42">
        <v>126</v>
      </c>
    </row>
    <row r="43" spans="1:2" x14ac:dyDescent="0.2">
      <c r="A43">
        <v>38</v>
      </c>
      <c r="B43">
        <v>127</v>
      </c>
    </row>
    <row r="44" spans="1:2" x14ac:dyDescent="0.2">
      <c r="A44">
        <v>39</v>
      </c>
      <c r="B44">
        <v>127</v>
      </c>
    </row>
    <row r="45" spans="1:2" x14ac:dyDescent="0.2">
      <c r="A45">
        <v>40</v>
      </c>
      <c r="B45">
        <v>127</v>
      </c>
    </row>
    <row r="46" spans="1:2" x14ac:dyDescent="0.2">
      <c r="A46">
        <v>41</v>
      </c>
      <c r="B46">
        <v>127</v>
      </c>
    </row>
    <row r="47" spans="1:2" x14ac:dyDescent="0.2">
      <c r="A47">
        <v>42</v>
      </c>
      <c r="B47">
        <v>128</v>
      </c>
    </row>
    <row r="48" spans="1:2" x14ac:dyDescent="0.2">
      <c r="A48">
        <v>43</v>
      </c>
      <c r="B48">
        <v>129</v>
      </c>
    </row>
    <row r="49" spans="1:2" x14ac:dyDescent="0.2">
      <c r="A49">
        <v>44</v>
      </c>
      <c r="B49">
        <v>129</v>
      </c>
    </row>
    <row r="50" spans="1:2" x14ac:dyDescent="0.2">
      <c r="A50">
        <v>45</v>
      </c>
      <c r="B50">
        <v>129</v>
      </c>
    </row>
    <row r="51" spans="1:2" x14ac:dyDescent="0.2">
      <c r="A51">
        <v>46</v>
      </c>
      <c r="B51">
        <v>130</v>
      </c>
    </row>
    <row r="52" spans="1:2" x14ac:dyDescent="0.2">
      <c r="A52">
        <v>47</v>
      </c>
      <c r="B52">
        <v>132</v>
      </c>
    </row>
    <row r="53" spans="1:2" x14ac:dyDescent="0.2">
      <c r="A53">
        <v>48</v>
      </c>
      <c r="B53">
        <v>133</v>
      </c>
    </row>
    <row r="54" spans="1:2" x14ac:dyDescent="0.2">
      <c r="A54">
        <v>49</v>
      </c>
      <c r="B54">
        <v>137</v>
      </c>
    </row>
    <row r="55" spans="1:2" x14ac:dyDescent="0.2">
      <c r="A55">
        <v>50</v>
      </c>
      <c r="B55">
        <v>137</v>
      </c>
    </row>
    <row r="56" spans="1:2" x14ac:dyDescent="0.2">
      <c r="A56">
        <v>51</v>
      </c>
      <c r="B56">
        <v>137</v>
      </c>
    </row>
    <row r="57" spans="1:2" x14ac:dyDescent="0.2">
      <c r="A57">
        <v>52</v>
      </c>
      <c r="B57">
        <v>139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scale="9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zoomScale="130" workbookViewId="0">
      <selection activeCell="D31" sqref="D31"/>
    </sheetView>
  </sheetViews>
  <sheetFormatPr defaultRowHeight="12.75" x14ac:dyDescent="0.2"/>
  <cols>
    <col min="5" max="5" width="23.140625" customWidth="1"/>
    <col min="7" max="7" width="11.5703125" bestFit="1" customWidth="1"/>
    <col min="9" max="9" width="2.7109375" customWidth="1"/>
  </cols>
  <sheetData>
    <row r="1" spans="1:5" x14ac:dyDescent="0.2">
      <c r="A1" t="s">
        <v>5</v>
      </c>
      <c r="B1" t="s">
        <v>14</v>
      </c>
      <c r="C1" t="s">
        <v>15</v>
      </c>
      <c r="D1" t="s">
        <v>18</v>
      </c>
      <c r="E1" t="s">
        <v>16</v>
      </c>
    </row>
    <row r="2" spans="1:5" x14ac:dyDescent="0.2">
      <c r="A2">
        <v>1</v>
      </c>
      <c r="B2">
        <v>200</v>
      </c>
      <c r="C2">
        <f>B2*E2</f>
        <v>20</v>
      </c>
      <c r="D2" s="2">
        <v>0.1085858249</v>
      </c>
      <c r="E2">
        <v>0.1</v>
      </c>
    </row>
    <row r="3" spans="1:5" x14ac:dyDescent="0.2">
      <c r="A3">
        <v>2</v>
      </c>
      <c r="B3">
        <v>150</v>
      </c>
      <c r="C3">
        <f>E$2*B3+(1-E$2)*C2</f>
        <v>33</v>
      </c>
      <c r="D3">
        <v>0.1203222052</v>
      </c>
    </row>
    <row r="4" spans="1:5" x14ac:dyDescent="0.2">
      <c r="A4">
        <v>3</v>
      </c>
      <c r="B4">
        <v>100</v>
      </c>
      <c r="C4">
        <f t="shared" ref="C4:C31" si="0">E$2*B4+(1-E$2)*C3</f>
        <v>39.700000000000003</v>
      </c>
      <c r="D4">
        <v>0.12425279570000002</v>
      </c>
    </row>
    <row r="5" spans="1:5" x14ac:dyDescent="0.2">
      <c r="A5">
        <v>4</v>
      </c>
      <c r="B5">
        <v>0</v>
      </c>
      <c r="C5">
        <f>E$2*B5+(1-E$2)*C4</f>
        <v>35.730000000000004</v>
      </c>
      <c r="D5">
        <v>0.12101684940000002</v>
      </c>
    </row>
    <row r="6" spans="1:5" x14ac:dyDescent="0.2">
      <c r="A6">
        <v>5</v>
      </c>
      <c r="B6">
        <v>0</v>
      </c>
      <c r="C6">
        <f>E$2*B6+(1-E$2)*C5</f>
        <v>32.157000000000004</v>
      </c>
      <c r="D6">
        <v>0.1119389576</v>
      </c>
    </row>
    <row r="7" spans="1:5" x14ac:dyDescent="0.2">
      <c r="A7">
        <v>6</v>
      </c>
      <c r="B7">
        <v>0</v>
      </c>
      <c r="C7">
        <f t="shared" si="0"/>
        <v>28.941300000000005</v>
      </c>
      <c r="D7">
        <v>0.115241779</v>
      </c>
    </row>
    <row r="8" spans="1:5" x14ac:dyDescent="0.2">
      <c r="A8">
        <v>7</v>
      </c>
      <c r="B8">
        <v>200</v>
      </c>
      <c r="C8">
        <f t="shared" si="0"/>
        <v>46.047170000000008</v>
      </c>
      <c r="D8">
        <v>0.122077848</v>
      </c>
    </row>
    <row r="9" spans="1:5" x14ac:dyDescent="0.2">
      <c r="A9">
        <v>8</v>
      </c>
      <c r="B9">
        <v>150</v>
      </c>
      <c r="C9">
        <f t="shared" si="0"/>
        <v>56.442453000000008</v>
      </c>
      <c r="D9">
        <v>0.1326987312</v>
      </c>
    </row>
    <row r="10" spans="1:5" x14ac:dyDescent="0.2">
      <c r="A10">
        <v>9</v>
      </c>
      <c r="B10">
        <v>100</v>
      </c>
      <c r="C10">
        <f t="shared" si="0"/>
        <v>60.798207700000006</v>
      </c>
      <c r="D10">
        <v>0.12793991504999999</v>
      </c>
    </row>
    <row r="11" spans="1:5" x14ac:dyDescent="0.2">
      <c r="A11">
        <v>10</v>
      </c>
      <c r="B11">
        <v>0</v>
      </c>
      <c r="C11">
        <f t="shared" si="0"/>
        <v>54.718386930000008</v>
      </c>
      <c r="D11">
        <v>0.12471488126500002</v>
      </c>
    </row>
    <row r="12" spans="1:5" x14ac:dyDescent="0.2">
      <c r="A12">
        <v>11</v>
      </c>
      <c r="B12">
        <v>0</v>
      </c>
      <c r="C12">
        <f t="shared" si="0"/>
        <v>49.246548237000006</v>
      </c>
      <c r="D12">
        <v>0.12630934261850002</v>
      </c>
    </row>
    <row r="13" spans="1:5" x14ac:dyDescent="0.2">
      <c r="A13">
        <v>12</v>
      </c>
      <c r="B13">
        <v>0</v>
      </c>
      <c r="C13">
        <f t="shared" si="0"/>
        <v>44.321893413300003</v>
      </c>
      <c r="D13">
        <v>0.12102804820665</v>
      </c>
    </row>
    <row r="14" spans="1:5" x14ac:dyDescent="0.2">
      <c r="A14">
        <v>13</v>
      </c>
      <c r="B14">
        <v>300</v>
      </c>
      <c r="C14">
        <f t="shared" si="0"/>
        <v>69.889704071970002</v>
      </c>
      <c r="D14">
        <v>0.13943359963598501</v>
      </c>
    </row>
    <row r="15" spans="1:5" x14ac:dyDescent="0.2">
      <c r="A15">
        <v>14</v>
      </c>
      <c r="B15">
        <v>200</v>
      </c>
      <c r="C15">
        <f t="shared" si="0"/>
        <v>82.900733664773</v>
      </c>
      <c r="D15">
        <v>0.14474777103238648</v>
      </c>
    </row>
    <row r="16" spans="1:5" x14ac:dyDescent="0.2">
      <c r="A16">
        <v>15</v>
      </c>
      <c r="B16">
        <v>200</v>
      </c>
      <c r="C16">
        <f t="shared" si="0"/>
        <v>94.610660298295699</v>
      </c>
      <c r="D16">
        <v>0.14599198814914788</v>
      </c>
    </row>
    <row r="17" spans="1:10" x14ac:dyDescent="0.2">
      <c r="A17">
        <v>16</v>
      </c>
      <c r="B17">
        <v>100</v>
      </c>
      <c r="C17">
        <f t="shared" si="0"/>
        <v>95.149594268466132</v>
      </c>
      <c r="D17">
        <v>0.14545133143423308</v>
      </c>
    </row>
    <row r="18" spans="1:10" x14ac:dyDescent="0.2">
      <c r="A18">
        <v>17</v>
      </c>
      <c r="B18">
        <v>0</v>
      </c>
      <c r="C18">
        <f t="shared" si="0"/>
        <v>85.634634841619516</v>
      </c>
      <c r="D18">
        <v>0.14458800382080977</v>
      </c>
    </row>
    <row r="19" spans="1:10" x14ac:dyDescent="0.2">
      <c r="A19">
        <v>18</v>
      </c>
      <c r="B19">
        <v>0</v>
      </c>
      <c r="C19">
        <f t="shared" si="0"/>
        <v>77.071171357457573</v>
      </c>
      <c r="D19">
        <v>0.1390470003787288</v>
      </c>
    </row>
    <row r="20" spans="1:10" x14ac:dyDescent="0.2">
      <c r="A20">
        <v>19</v>
      </c>
      <c r="B20">
        <v>0</v>
      </c>
      <c r="C20">
        <f t="shared" si="0"/>
        <v>69.364054221711811</v>
      </c>
      <c r="D20">
        <v>0.13847772541085593</v>
      </c>
    </row>
    <row r="21" spans="1:10" x14ac:dyDescent="0.2">
      <c r="A21">
        <v>20</v>
      </c>
      <c r="B21">
        <v>0</v>
      </c>
      <c r="C21">
        <f t="shared" si="0"/>
        <v>62.427648799540634</v>
      </c>
      <c r="D21">
        <v>0.12744096949977032</v>
      </c>
    </row>
    <row r="22" spans="1:10" x14ac:dyDescent="0.2">
      <c r="A22">
        <v>21</v>
      </c>
      <c r="B22">
        <v>0</v>
      </c>
      <c r="C22">
        <f t="shared" si="0"/>
        <v>56.184883919586575</v>
      </c>
      <c r="D22">
        <v>0.13675064145979329</v>
      </c>
      <c r="F22" s="2"/>
      <c r="G22" s="2"/>
      <c r="H22" s="3"/>
      <c r="J22" s="1"/>
    </row>
    <row r="23" spans="1:10" x14ac:dyDescent="0.2">
      <c r="A23">
        <v>22</v>
      </c>
      <c r="B23">
        <v>200</v>
      </c>
      <c r="C23">
        <f t="shared" si="0"/>
        <v>70.566395527627918</v>
      </c>
      <c r="D23">
        <v>0.13913812776381398</v>
      </c>
      <c r="F23" s="2"/>
      <c r="G23" s="2"/>
      <c r="H23" s="3"/>
      <c r="J23" s="1"/>
    </row>
    <row r="24" spans="1:10" x14ac:dyDescent="0.2">
      <c r="A24">
        <v>23</v>
      </c>
      <c r="B24">
        <v>150</v>
      </c>
      <c r="C24">
        <f t="shared" si="0"/>
        <v>78.509755974865129</v>
      </c>
      <c r="D24">
        <v>0.14284614168743259</v>
      </c>
      <c r="F24" s="2"/>
      <c r="G24" s="2"/>
      <c r="H24" s="3"/>
      <c r="J24" s="1"/>
    </row>
    <row r="25" spans="1:10" x14ac:dyDescent="0.2">
      <c r="A25">
        <v>24</v>
      </c>
      <c r="B25">
        <v>100</v>
      </c>
      <c r="C25">
        <f t="shared" si="0"/>
        <v>80.658780377378619</v>
      </c>
      <c r="D25">
        <v>0.14101433288868931</v>
      </c>
      <c r="F25" s="2"/>
      <c r="G25" s="2"/>
      <c r="H25" s="3"/>
      <c r="J25" s="1"/>
    </row>
    <row r="26" spans="1:10" x14ac:dyDescent="0.2">
      <c r="A26">
        <v>25</v>
      </c>
      <c r="B26">
        <v>0</v>
      </c>
      <c r="C26">
        <f t="shared" si="0"/>
        <v>72.592902339640759</v>
      </c>
      <c r="D26">
        <v>0.1289304379698204</v>
      </c>
      <c r="F26" s="2"/>
      <c r="G26" s="2"/>
      <c r="H26" s="3"/>
      <c r="J26" s="1"/>
    </row>
    <row r="27" spans="1:10" x14ac:dyDescent="0.2">
      <c r="A27">
        <v>26</v>
      </c>
      <c r="B27">
        <v>0</v>
      </c>
      <c r="C27">
        <f t="shared" si="0"/>
        <v>65.333612105676679</v>
      </c>
      <c r="D27">
        <v>0.14116498635283833</v>
      </c>
      <c r="F27" s="2"/>
      <c r="G27" s="2"/>
      <c r="H27" s="3"/>
      <c r="J27" s="1"/>
    </row>
    <row r="28" spans="1:10" x14ac:dyDescent="0.2">
      <c r="A28">
        <v>27</v>
      </c>
      <c r="B28">
        <v>0</v>
      </c>
      <c r="C28">
        <f t="shared" si="0"/>
        <v>58.800250895109009</v>
      </c>
      <c r="D28">
        <v>0.12905028664755452</v>
      </c>
      <c r="F28" s="2"/>
      <c r="G28" s="2"/>
      <c r="H28" s="3"/>
      <c r="J28" s="1"/>
    </row>
    <row r="29" spans="1:10" x14ac:dyDescent="0.2">
      <c r="A29">
        <v>28</v>
      </c>
      <c r="B29">
        <v>200</v>
      </c>
      <c r="C29">
        <f t="shared" si="0"/>
        <v>72.920225805598108</v>
      </c>
      <c r="D29">
        <v>0.13664398880279904</v>
      </c>
      <c r="F29" s="2"/>
      <c r="G29" s="2"/>
      <c r="H29" s="3"/>
      <c r="J29" s="1"/>
    </row>
    <row r="30" spans="1:10" x14ac:dyDescent="0.2">
      <c r="A30">
        <v>29</v>
      </c>
      <c r="B30">
        <v>150</v>
      </c>
      <c r="C30">
        <f t="shared" si="0"/>
        <v>80.628203225038305</v>
      </c>
      <c r="D30">
        <v>0.14503508221251918</v>
      </c>
      <c r="F30" s="2"/>
      <c r="G30" s="2"/>
      <c r="H30" s="3"/>
      <c r="J30" s="1"/>
    </row>
    <row r="31" spans="1:10" x14ac:dyDescent="0.2">
      <c r="A31">
        <v>30</v>
      </c>
      <c r="B31">
        <v>100</v>
      </c>
      <c r="C31">
        <f t="shared" si="0"/>
        <v>82.565382902534481</v>
      </c>
      <c r="D31">
        <v>0.13839380565126727</v>
      </c>
      <c r="F31" s="2"/>
      <c r="G31" s="2"/>
      <c r="J31" s="1"/>
    </row>
    <row r="32" spans="1:10" x14ac:dyDescent="0.2">
      <c r="F32" s="2"/>
      <c r="G32" s="2"/>
      <c r="J32" s="1"/>
    </row>
    <row r="33" spans="6:10" x14ac:dyDescent="0.2">
      <c r="F33" s="2"/>
      <c r="G33" s="2"/>
      <c r="J33" s="1"/>
    </row>
    <row r="34" spans="6:10" x14ac:dyDescent="0.2">
      <c r="F34" s="2"/>
      <c r="G34" s="2"/>
      <c r="J34" s="1"/>
    </row>
    <row r="35" spans="6:10" x14ac:dyDescent="0.2">
      <c r="F35" s="2"/>
      <c r="G35" s="2"/>
      <c r="J35" s="1"/>
    </row>
    <row r="36" spans="6:10" x14ac:dyDescent="0.2">
      <c r="F36" s="2"/>
      <c r="G36" s="2"/>
      <c r="J36" s="1"/>
    </row>
    <row r="37" spans="6:10" x14ac:dyDescent="0.2">
      <c r="F37" s="2"/>
      <c r="G37" s="2"/>
      <c r="J37" s="1"/>
    </row>
    <row r="38" spans="6:10" x14ac:dyDescent="0.2">
      <c r="F38" s="2"/>
      <c r="G38" s="2"/>
      <c r="J38" s="1"/>
    </row>
    <row r="39" spans="6:10" x14ac:dyDescent="0.2">
      <c r="F39" s="2"/>
      <c r="G39" s="2"/>
      <c r="J39" s="1"/>
    </row>
    <row r="40" spans="6:10" x14ac:dyDescent="0.2">
      <c r="F40" s="2"/>
      <c r="G40" s="2"/>
      <c r="J40" s="1"/>
    </row>
    <row r="41" spans="6:10" x14ac:dyDescent="0.2">
      <c r="F41" s="2"/>
      <c r="G41" s="2"/>
      <c r="J41" s="1"/>
    </row>
    <row r="42" spans="6:10" x14ac:dyDescent="0.2">
      <c r="F42" s="2"/>
      <c r="G42" s="2"/>
      <c r="J42" s="1"/>
    </row>
    <row r="43" spans="6:10" x14ac:dyDescent="0.2">
      <c r="F43" s="2"/>
      <c r="G43" s="2"/>
      <c r="J43" s="1"/>
    </row>
    <row r="44" spans="6:10" x14ac:dyDescent="0.2">
      <c r="F44" s="2"/>
      <c r="G44" s="2"/>
      <c r="J44" s="1"/>
    </row>
    <row r="45" spans="6:10" x14ac:dyDescent="0.2">
      <c r="F45" s="2"/>
      <c r="G45" s="2"/>
      <c r="J45" s="1"/>
    </row>
    <row r="46" spans="6:10" x14ac:dyDescent="0.2">
      <c r="F46" s="2"/>
      <c r="G46" s="2"/>
      <c r="J46" s="1"/>
    </row>
    <row r="47" spans="6:10" x14ac:dyDescent="0.2">
      <c r="F47" s="2"/>
      <c r="G47" s="2"/>
      <c r="J47" s="1"/>
    </row>
    <row r="48" spans="6:10" x14ac:dyDescent="0.2">
      <c r="F48" s="2"/>
      <c r="G48" s="2"/>
      <c r="J48" s="1"/>
    </row>
    <row r="49" spans="6:10" x14ac:dyDescent="0.2">
      <c r="F49" s="2"/>
      <c r="G49" s="2"/>
      <c r="J49" s="1"/>
    </row>
    <row r="50" spans="6:10" x14ac:dyDescent="0.2">
      <c r="F50" s="2"/>
      <c r="G50" s="2"/>
      <c r="J50" s="1"/>
    </row>
    <row r="51" spans="6:10" x14ac:dyDescent="0.2">
      <c r="F51" s="2"/>
      <c r="G51" s="2"/>
      <c r="J51" s="1"/>
    </row>
    <row r="52" spans="6:10" x14ac:dyDescent="0.2">
      <c r="F52" s="2"/>
      <c r="G52" s="2"/>
      <c r="J52" s="1"/>
    </row>
    <row r="53" spans="6:10" x14ac:dyDescent="0.2">
      <c r="F53" s="2"/>
      <c r="G53" s="2"/>
      <c r="J53" s="1"/>
    </row>
    <row r="54" spans="6:10" x14ac:dyDescent="0.2">
      <c r="F54" s="2"/>
      <c r="G54" s="2"/>
      <c r="J54" s="1"/>
    </row>
    <row r="55" spans="6:10" x14ac:dyDescent="0.2">
      <c r="F55" s="2"/>
      <c r="G55" s="2"/>
      <c r="J55" s="1"/>
    </row>
    <row r="56" spans="6:10" x14ac:dyDescent="0.2">
      <c r="F56" s="2"/>
      <c r="G56" s="2"/>
      <c r="J56" s="1"/>
    </row>
    <row r="57" spans="6:10" x14ac:dyDescent="0.2">
      <c r="J57" s="1"/>
    </row>
  </sheetData>
  <phoneticPr fontId="0" type="noConversion"/>
  <printOptions horizontalCentered="1" verticalCentered="1" headings="1" gridLines="1"/>
  <pageMargins left="0.74803149606299213" right="0.74803149606299213" top="0.98425196850393704" bottom="0.98425196850393704" header="0.51181102362204722" footer="0.51181102362204722"/>
  <pageSetup scale="90" orientation="portrait" r:id="rId1"/>
  <headerFooter alignWithMargins="0">
    <oddHeader>&amp;CProblem 1 -- 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M4" sqref="M4"/>
    </sheetView>
  </sheetViews>
  <sheetFormatPr defaultRowHeight="12.75" x14ac:dyDescent="0.2"/>
  <cols>
    <col min="12" max="12" width="14.7109375" bestFit="1" customWidth="1"/>
    <col min="13" max="13" width="12" bestFit="1" customWidth="1"/>
    <col min="14" max="14" width="13.140625" bestFit="1" customWidth="1"/>
  </cols>
  <sheetData>
    <row r="1" spans="1:14" ht="33" customHeight="1" thickBot="1" x14ac:dyDescent="0.4">
      <c r="E1" s="9" t="s">
        <v>54</v>
      </c>
      <c r="F1" s="9"/>
      <c r="G1" s="9"/>
      <c r="H1" s="9"/>
      <c r="I1" s="9"/>
      <c r="J1" s="9"/>
    </row>
    <row r="2" spans="1:14" x14ac:dyDescent="0.2">
      <c r="A2" s="7" t="s">
        <v>19</v>
      </c>
      <c r="B2" s="7"/>
      <c r="G2" t="s">
        <v>55</v>
      </c>
      <c r="J2" t="s">
        <v>16</v>
      </c>
      <c r="K2">
        <f>'Adstock Modelling'!E2</f>
        <v>0.1</v>
      </c>
      <c r="L2" t="s">
        <v>56</v>
      </c>
      <c r="M2" t="s">
        <v>15</v>
      </c>
      <c r="N2" t="s">
        <v>52</v>
      </c>
    </row>
    <row r="3" spans="1:14" x14ac:dyDescent="0.2">
      <c r="A3" s="4" t="s">
        <v>20</v>
      </c>
      <c r="B3" s="4">
        <v>0.93860804167485445</v>
      </c>
      <c r="K3" t="s">
        <v>42</v>
      </c>
      <c r="L3">
        <v>300</v>
      </c>
      <c r="M3">
        <f>K$2*L3+(1-K$2)*'Adstock Modelling'!C31</f>
        <v>104.30884461228104</v>
      </c>
      <c r="N3">
        <f>B$16+B$17*M3</f>
        <v>0.15315607042052029</v>
      </c>
    </row>
    <row r="4" spans="1:14" x14ac:dyDescent="0.2">
      <c r="A4" s="4" t="s">
        <v>21</v>
      </c>
      <c r="B4" s="4">
        <v>0.88098505589670539</v>
      </c>
      <c r="K4" t="s">
        <v>43</v>
      </c>
      <c r="L4">
        <v>300</v>
      </c>
      <c r="M4">
        <f>K$2*L4+(1-K$2)*M3</f>
        <v>123.87796015105293</v>
      </c>
      <c r="N4">
        <f t="shared" ref="N4:N12" si="0">B$16+B$17*M4</f>
        <v>0.16291343316669493</v>
      </c>
    </row>
    <row r="5" spans="1:14" x14ac:dyDescent="0.2">
      <c r="A5" s="4" t="s">
        <v>22</v>
      </c>
      <c r="B5" s="4">
        <v>0.8767345221787306</v>
      </c>
      <c r="K5" t="s">
        <v>44</v>
      </c>
      <c r="L5">
        <v>0</v>
      </c>
      <c r="M5">
        <f t="shared" ref="M5:M12" si="1">K$2*L5+(1-K$2)*M4</f>
        <v>111.49016413594764</v>
      </c>
      <c r="N5">
        <f t="shared" si="0"/>
        <v>0.15673675036743823</v>
      </c>
    </row>
    <row r="6" spans="1:14" x14ac:dyDescent="0.2">
      <c r="A6" s="4" t="s">
        <v>23</v>
      </c>
      <c r="B6" s="4">
        <v>3.7690050205141821E-3</v>
      </c>
      <c r="K6" t="s">
        <v>45</v>
      </c>
      <c r="L6">
        <v>300</v>
      </c>
      <c r="M6">
        <f t="shared" si="1"/>
        <v>130.34114772235287</v>
      </c>
      <c r="N6">
        <f t="shared" si="0"/>
        <v>0.16613604511892108</v>
      </c>
    </row>
    <row r="7" spans="1:14" ht="13.5" thickBot="1" x14ac:dyDescent="0.25">
      <c r="A7" s="5" t="s">
        <v>24</v>
      </c>
      <c r="B7" s="5">
        <v>30</v>
      </c>
      <c r="K7" t="s">
        <v>46</v>
      </c>
      <c r="L7">
        <v>300</v>
      </c>
      <c r="M7">
        <f t="shared" si="1"/>
        <v>147.30703295011759</v>
      </c>
      <c r="N7">
        <f>B$16+B$17*M7</f>
        <v>0.17459541039525564</v>
      </c>
    </row>
    <row r="8" spans="1:14" x14ac:dyDescent="0.2">
      <c r="K8" t="s">
        <v>47</v>
      </c>
      <c r="L8">
        <v>159.25926399457174</v>
      </c>
      <c r="M8">
        <f t="shared" si="1"/>
        <v>148.50225605456302</v>
      </c>
      <c r="N8">
        <f t="shared" si="0"/>
        <v>0.17519136095671956</v>
      </c>
    </row>
    <row r="9" spans="1:14" ht="13.5" thickBot="1" x14ac:dyDescent="0.25">
      <c r="A9" t="s">
        <v>25</v>
      </c>
      <c r="K9" t="s">
        <v>48</v>
      </c>
      <c r="L9">
        <v>66.666663285809136</v>
      </c>
      <c r="M9">
        <f t="shared" si="1"/>
        <v>140.31869677768762</v>
      </c>
      <c r="N9">
        <f t="shared" si="0"/>
        <v>0.17111095393673487</v>
      </c>
    </row>
    <row r="10" spans="1:14" x14ac:dyDescent="0.2">
      <c r="A10" s="6"/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K10" t="s">
        <v>49</v>
      </c>
      <c r="L10">
        <v>74.074072719618854</v>
      </c>
      <c r="M10">
        <f t="shared" si="1"/>
        <v>133.69423437188075</v>
      </c>
      <c r="N10">
        <f t="shared" si="0"/>
        <v>0.16780792868943692</v>
      </c>
    </row>
    <row r="11" spans="1:14" x14ac:dyDescent="0.2">
      <c r="A11" s="4" t="s">
        <v>26</v>
      </c>
      <c r="B11" s="4">
        <v>1</v>
      </c>
      <c r="C11" s="4">
        <v>2.9442759252269828E-3</v>
      </c>
      <c r="D11" s="4">
        <v>2.9442759252269828E-3</v>
      </c>
      <c r="E11" s="4">
        <v>207.26457295731234</v>
      </c>
      <c r="F11" s="4">
        <v>1.813365028988845E-14</v>
      </c>
      <c r="K11" t="s">
        <v>50</v>
      </c>
      <c r="L11">
        <v>0</v>
      </c>
      <c r="M11">
        <f t="shared" si="1"/>
        <v>120.32481093469268</v>
      </c>
      <c r="N11">
        <f t="shared" si="0"/>
        <v>0.16114179633790604</v>
      </c>
    </row>
    <row r="12" spans="1:14" x14ac:dyDescent="0.2">
      <c r="A12" s="4" t="s">
        <v>27</v>
      </c>
      <c r="B12" s="4">
        <v>28</v>
      </c>
      <c r="C12" s="4">
        <v>3.9775116765051105E-4</v>
      </c>
      <c r="D12" s="4">
        <v>1.4205398844661108E-5</v>
      </c>
      <c r="E12" s="4"/>
      <c r="F12" s="4"/>
      <c r="K12" t="s">
        <v>51</v>
      </c>
      <c r="L12">
        <v>0</v>
      </c>
      <c r="M12">
        <f t="shared" si="1"/>
        <v>108.29232984122341</v>
      </c>
      <c r="N12">
        <f t="shared" si="0"/>
        <v>0.15514227722152824</v>
      </c>
    </row>
    <row r="13" spans="1:14" ht="13.5" thickBot="1" x14ac:dyDescent="0.25">
      <c r="A13" s="5" t="s">
        <v>28</v>
      </c>
      <c r="B13" s="5">
        <v>29</v>
      </c>
      <c r="C13" s="5">
        <v>3.3420270928774939E-3</v>
      </c>
      <c r="D13" s="5"/>
      <c r="E13" s="5"/>
      <c r="F13" s="5"/>
    </row>
    <row r="14" spans="1:14" ht="13.5" thickBot="1" x14ac:dyDescent="0.25"/>
    <row r="15" spans="1:14" x14ac:dyDescent="0.2">
      <c r="A15" s="6"/>
      <c r="B15" s="6" t="s">
        <v>35</v>
      </c>
      <c r="C15" s="6" t="s">
        <v>23</v>
      </c>
      <c r="D15" s="6" t="s">
        <v>36</v>
      </c>
      <c r="E15" s="6" t="s">
        <v>37</v>
      </c>
      <c r="F15" s="6" t="s">
        <v>38</v>
      </c>
      <c r="G15" s="6" t="s">
        <v>39</v>
      </c>
      <c r="H15" s="6" t="s">
        <v>40</v>
      </c>
      <c r="I15" s="6" t="s">
        <v>41</v>
      </c>
      <c r="K15" s="8" t="s">
        <v>28</v>
      </c>
      <c r="L15">
        <f>SUM(L3:L12)</f>
        <v>1499.9999999999998</v>
      </c>
      <c r="M15" t="s">
        <v>53</v>
      </c>
      <c r="N15">
        <f>MEDIAN(N3:N12)</f>
        <v>0.16452473914280802</v>
      </c>
    </row>
    <row r="16" spans="1:14" x14ac:dyDescent="0.2">
      <c r="A16" s="4" t="s">
        <v>29</v>
      </c>
      <c r="B16" s="4">
        <v>0.10114660517412809</v>
      </c>
      <c r="C16" s="4">
        <v>2.2514577155013961E-3</v>
      </c>
      <c r="D16" s="4">
        <v>44.924941062729616</v>
      </c>
      <c r="E16" s="4">
        <v>1.2135711593788271E-27</v>
      </c>
      <c r="F16" s="4">
        <v>9.6534697931278002E-2</v>
      </c>
      <c r="G16" s="4">
        <v>0.10575851241697817</v>
      </c>
      <c r="H16" s="4">
        <v>9.6534697931278002E-2</v>
      </c>
      <c r="I16" s="4">
        <v>0.10575851241697817</v>
      </c>
    </row>
    <row r="17" spans="1:9" ht="13.5" thickBot="1" x14ac:dyDescent="0.25">
      <c r="A17" s="5" t="s">
        <v>15</v>
      </c>
      <c r="B17" s="5">
        <v>4.9861030902712867E-4</v>
      </c>
      <c r="C17" s="5">
        <v>3.4633686030437101E-5</v>
      </c>
      <c r="D17" s="5">
        <v>14.396686179719227</v>
      </c>
      <c r="E17" s="5">
        <v>1.8133650289881634E-14</v>
      </c>
      <c r="F17" s="5">
        <v>4.2766633954876003E-4</v>
      </c>
      <c r="G17" s="5">
        <v>5.6955427850549731E-4</v>
      </c>
      <c r="H17" s="5">
        <v>4.2766633954876003E-4</v>
      </c>
      <c r="I17" s="5">
        <v>5.6955427850549731E-4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Next 28 weeks</vt:lpstr>
      <vt:lpstr>First 24 weeks</vt:lpstr>
      <vt:lpstr>ALL Data</vt:lpstr>
      <vt:lpstr>Adstock Modelling</vt:lpstr>
      <vt:lpstr>Prediction Adstock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G.S. Hardie</dc:creator>
  <cp:lastModifiedBy>xlParse</cp:lastModifiedBy>
  <cp:lastPrinted>2003-04-26T15:32:06Z</cp:lastPrinted>
  <dcterms:created xsi:type="dcterms:W3CDTF">2000-05-15T12:47:46Z</dcterms:created>
  <dcterms:modified xsi:type="dcterms:W3CDTF">2017-10-08T13:20:50Z</dcterms:modified>
</cp:coreProperties>
</file>