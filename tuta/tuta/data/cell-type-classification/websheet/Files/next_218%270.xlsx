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24226"/>
  <mc:AlternateContent xmlns:mc="http://schemas.openxmlformats.org/markup-compatibility/2006">
    <mc:Choice Requires="x15">
      <x15ac:absPath xmlns:x15ac="http://schemas.microsoft.com/office/spreadsheetml/2010/11/ac" url="C:\Users\xlParse\AppData\Local\Temp\2\"/>
    </mc:Choice>
  </mc:AlternateContent>
  <bookViews>
    <workbookView xWindow="9240" yWindow="90" windowWidth="10005" windowHeight="11925" tabRatio="811" activeTab="4"/>
  </bookViews>
  <sheets>
    <sheet name="comments" sheetId="1" r:id="rId1"/>
    <sheet name="T12.1 - T12.3a" sheetId="2" state="hidden" r:id="rId2"/>
    <sheet name="T12.4 - T12.6a" sheetId="3" state="hidden" r:id="rId3"/>
    <sheet name="T12.7-T12.9a" sheetId="30" state="hidden" r:id="rId4"/>
    <sheet name="Table 11.1-11.10" sheetId="4" r:id="rId5"/>
    <sheet name="T11.11" sheetId="50" r:id="rId6"/>
    <sheet name="T11.12-T11.13" sheetId="35" r:id="rId7"/>
    <sheet name="T11.14-T11.17" sheetId="11" r:id="rId8"/>
    <sheet name="Figs11.3-11.4" sheetId="45" r:id="rId9"/>
    <sheet name="T11.18" sheetId="13" r:id="rId10"/>
    <sheet name="T11.19-T11.20" sheetId="6" r:id="rId11"/>
    <sheet name="T11.21-T11.23a" sheetId="36" r:id="rId12"/>
    <sheet name="T11.24-T11.25" sheetId="10" r:id="rId13"/>
    <sheet name="T11.26" sheetId="14" r:id="rId14"/>
    <sheet name="T11.27 page 1" sheetId="46" state="hidden" r:id="rId15"/>
    <sheet name="T11.27 page 2" sheetId="47" state="hidden" r:id="rId16"/>
    <sheet name="T11.28 page 1" sheetId="48" state="hidden" r:id="rId17"/>
    <sheet name="T11.28 page 2" sheetId="49" state="hidden" r:id="rId18"/>
    <sheet name="T11.27" sheetId="53" r:id="rId19"/>
    <sheet name="T11.29" sheetId="17" r:id="rId20"/>
    <sheet name="T11.30" sheetId="19" r:id="rId21"/>
    <sheet name="T11.31-T11.35" sheetId="54" r:id="rId22"/>
    <sheet name="Fig11.1-11.2" sheetId="24" r:id="rId23"/>
    <sheet name="Data for Traveline charts" sheetId="23" r:id="rId24"/>
    <sheet name="T12.15b" sheetId="9" state="hidden" r:id="rId25"/>
  </sheets>
  <definedNames>
    <definedName name="_xlnm.Print_Area" localSheetId="8">'Figs11.3-11.4'!$A$1:$P$86</definedName>
    <definedName name="_xlnm.Print_Area" localSheetId="5">'T11.11'!$A$1:$M$61</definedName>
    <definedName name="_xlnm.Print_Area" localSheetId="6">'T11.12-T11.13'!$A$1:$Q$52</definedName>
    <definedName name="_xlnm.Print_Area" localSheetId="7">'T11.14-T11.17'!$A$1:$P$77</definedName>
    <definedName name="_xlnm.Print_Area" localSheetId="9">'T11.18'!$A$1:$K$60</definedName>
    <definedName name="_xlnm.Print_Area" localSheetId="11">'T11.21-T11.23a'!$A$1:$Q$81</definedName>
    <definedName name="_xlnm.Print_Area" localSheetId="12">'T11.24-T11.25'!$A$1:$K$80</definedName>
    <definedName name="_xlnm.Print_Area" localSheetId="13">'T11.26'!$A$1:$V$84</definedName>
    <definedName name="_xlnm.Print_Area" localSheetId="19">'T11.29'!$A$1:$X$64</definedName>
    <definedName name="_xlnm.Print_Area" localSheetId="21">'T11.31-T11.35'!$A$1:$N$77</definedName>
    <definedName name="_xlnm.Print_Area" localSheetId="1">'T12.1 - T12.3a'!$A$2:$K$82</definedName>
    <definedName name="_xlnm.Print_Area" localSheetId="2">'T12.4 - T12.6a'!$A$1:$O$73</definedName>
    <definedName name="_xlnm.Print_Area" localSheetId="3">'T12.7-T12.9a'!$A$1:$N$69</definedName>
    <definedName name="_xlnm.Print_Area" localSheetId="4">'Table 11.1-11.10'!$A$1:$K$87</definedName>
  </definedNames>
  <calcPr calcId="145621"/>
</workbook>
</file>

<file path=xl/calcChain.xml><?xml version="1.0" encoding="utf-8"?>
<calcChain xmlns="http://schemas.openxmlformats.org/spreadsheetml/2006/main">
  <c r="N70" i="11" l="1"/>
  <c r="V24" i="14"/>
  <c r="V15" i="14"/>
  <c r="V10" i="14"/>
  <c r="V7" i="14"/>
  <c r="J74" i="10"/>
  <c r="I74" i="10"/>
  <c r="G74" i="10"/>
  <c r="E74" i="10"/>
  <c r="D74" i="10"/>
  <c r="C74" i="10"/>
  <c r="B74" i="10"/>
  <c r="Q44" i="35"/>
  <c r="Q36" i="35"/>
  <c r="Q16" i="35"/>
  <c r="G9" i="6"/>
  <c r="G10" i="6"/>
  <c r="G13" i="6"/>
  <c r="G14" i="6"/>
  <c r="G15" i="6"/>
  <c r="G16" i="6"/>
  <c r="G17" i="6"/>
  <c r="G18" i="6"/>
  <c r="G19" i="6"/>
  <c r="G20" i="6"/>
  <c r="G22" i="6"/>
  <c r="G23" i="6"/>
  <c r="G24" i="6"/>
  <c r="G25" i="6"/>
  <c r="G26" i="6"/>
  <c r="G27" i="6"/>
  <c r="G29" i="6"/>
  <c r="G30" i="6"/>
  <c r="G31" i="6"/>
  <c r="G32" i="6"/>
  <c r="G33" i="6"/>
  <c r="G35" i="6"/>
  <c r="G36" i="6"/>
  <c r="G37" i="6"/>
  <c r="G38" i="6"/>
  <c r="G39" i="6"/>
  <c r="G41" i="6"/>
  <c r="G42" i="6"/>
  <c r="G43" i="6"/>
  <c r="G45" i="6"/>
  <c r="G46" i="6"/>
  <c r="G47" i="6"/>
  <c r="G7" i="6"/>
  <c r="P35" i="19"/>
  <c r="P24" i="19"/>
  <c r="P20" i="19"/>
  <c r="X51" i="17"/>
  <c r="X52" i="17"/>
  <c r="X53" i="17"/>
  <c r="X54" i="17"/>
  <c r="X41" i="17"/>
  <c r="X55" i="17"/>
  <c r="X27" i="17"/>
  <c r="X28" i="17"/>
  <c r="X29" i="17"/>
  <c r="X30" i="17"/>
  <c r="X31" i="17"/>
  <c r="X32" i="17"/>
  <c r="X24" i="17"/>
  <c r="X33" i="17"/>
  <c r="X15" i="17"/>
  <c r="P44" i="35"/>
  <c r="O44" i="35"/>
  <c r="N44" i="35"/>
  <c r="M44" i="35"/>
  <c r="L44" i="35"/>
  <c r="K44" i="35"/>
  <c r="J44" i="35"/>
  <c r="I44" i="35"/>
  <c r="H44" i="35"/>
  <c r="G44" i="35"/>
  <c r="P36" i="35"/>
  <c r="O36" i="35"/>
  <c r="N36" i="35"/>
  <c r="M36" i="35"/>
  <c r="L36" i="35"/>
  <c r="K36" i="35"/>
  <c r="J36" i="35"/>
  <c r="I36" i="35"/>
  <c r="H36" i="35"/>
  <c r="G36" i="35"/>
  <c r="C36" i="35"/>
  <c r="D36" i="35"/>
  <c r="E36" i="35"/>
  <c r="C44" i="35"/>
  <c r="D44" i="35"/>
  <c r="E44" i="35"/>
  <c r="P16" i="35"/>
  <c r="U24" i="14"/>
  <c r="U15" i="14"/>
  <c r="W51" i="17"/>
  <c r="W52" i="17"/>
  <c r="W53" i="17"/>
  <c r="W54" i="17"/>
  <c r="W48" i="17"/>
  <c r="W55" i="17"/>
  <c r="W41" i="17"/>
  <c r="W27" i="17"/>
  <c r="W28" i="17"/>
  <c r="W29" i="17"/>
  <c r="W30" i="17"/>
  <c r="W31" i="17"/>
  <c r="W32" i="17"/>
  <c r="W24" i="17"/>
  <c r="W33" i="17"/>
  <c r="W15" i="17"/>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6" i="23"/>
  <c r="O35" i="19"/>
  <c r="O20" i="19"/>
  <c r="O24" i="19"/>
  <c r="U10" i="14"/>
  <c r="O16" i="35"/>
  <c r="D15" i="17"/>
  <c r="E15" i="17"/>
  <c r="L27" i="17"/>
  <c r="L28" i="17"/>
  <c r="L29" i="17"/>
  <c r="L30" i="17"/>
  <c r="L31" i="17"/>
  <c r="L32" i="17"/>
  <c r="M31" i="17"/>
  <c r="M32" i="17"/>
  <c r="L24" i="17"/>
  <c r="B15" i="10"/>
  <c r="B26" i="10"/>
  <c r="C15" i="10"/>
  <c r="C26" i="10"/>
  <c r="D15" i="10"/>
  <c r="D26" i="10"/>
  <c r="D36" i="10"/>
  <c r="E15" i="10"/>
  <c r="G15" i="10"/>
  <c r="G26" i="10"/>
  <c r="E26" i="10"/>
  <c r="T15" i="14"/>
  <c r="I11" i="10"/>
  <c r="I12" i="10"/>
  <c r="I15" i="10"/>
  <c r="I13" i="10"/>
  <c r="I14" i="10"/>
  <c r="C34" i="10"/>
  <c r="D34" i="10"/>
  <c r="E34" i="10"/>
  <c r="G34" i="10"/>
  <c r="G36" i="10"/>
  <c r="I17" i="10"/>
  <c r="I18" i="10"/>
  <c r="I19" i="10"/>
  <c r="I20" i="10"/>
  <c r="I21" i="10"/>
  <c r="I22" i="10"/>
  <c r="I24" i="10"/>
  <c r="I28" i="10"/>
  <c r="B34" i="10"/>
  <c r="T24" i="14"/>
  <c r="I53" i="10"/>
  <c r="I64" i="10"/>
  <c r="G53" i="10"/>
  <c r="G64" i="10"/>
  <c r="E53" i="10"/>
  <c r="E64" i="10"/>
  <c r="D53" i="10"/>
  <c r="D64" i="10"/>
  <c r="C53" i="10"/>
  <c r="C64" i="10"/>
  <c r="B53" i="10"/>
  <c r="B64" i="10"/>
  <c r="N35" i="19"/>
  <c r="N24" i="19"/>
  <c r="N20" i="19"/>
  <c r="V51" i="17"/>
  <c r="V52" i="17"/>
  <c r="V53" i="17"/>
  <c r="V54" i="17"/>
  <c r="V48" i="17"/>
  <c r="V55" i="17"/>
  <c r="V41" i="17"/>
  <c r="V27" i="17"/>
  <c r="V28" i="17"/>
  <c r="V29" i="17"/>
  <c r="V30" i="17"/>
  <c r="V31" i="17"/>
  <c r="V32" i="17"/>
  <c r="V24" i="17"/>
  <c r="V33" i="17"/>
  <c r="V15" i="17"/>
  <c r="T10" i="14"/>
  <c r="T7" i="14"/>
  <c r="J15" i="17"/>
  <c r="I15" i="17"/>
  <c r="H15" i="17"/>
  <c r="G15" i="17"/>
  <c r="F15" i="17"/>
  <c r="D15" i="14"/>
  <c r="D10" i="14"/>
  <c r="D7" i="14"/>
  <c r="E15" i="14"/>
  <c r="F15" i="14"/>
  <c r="F10" i="14"/>
  <c r="F7" i="14"/>
  <c r="G15" i="14"/>
  <c r="H15" i="14"/>
  <c r="H10" i="14"/>
  <c r="H7" i="14"/>
  <c r="E10" i="14"/>
  <c r="G10" i="14"/>
  <c r="D24" i="14"/>
  <c r="E24" i="14"/>
  <c r="E7" i="14"/>
  <c r="F24" i="14"/>
  <c r="G24" i="14"/>
  <c r="G7" i="14"/>
  <c r="H24" i="14"/>
  <c r="C16" i="35"/>
  <c r="N16" i="35"/>
  <c r="B72" i="10"/>
  <c r="J72" i="10"/>
  <c r="C72" i="10"/>
  <c r="D72" i="10"/>
  <c r="I72" i="10"/>
  <c r="L35" i="19"/>
  <c r="K35" i="19"/>
  <c r="J35" i="19"/>
  <c r="I35" i="19"/>
  <c r="H35" i="19"/>
  <c r="G35" i="19"/>
  <c r="F35" i="19"/>
  <c r="L24" i="19"/>
  <c r="K24" i="19"/>
  <c r="J24" i="19"/>
  <c r="I24" i="19"/>
  <c r="H24" i="19"/>
  <c r="G24" i="19"/>
  <c r="F24" i="19"/>
  <c r="E24" i="19"/>
  <c r="D24" i="19"/>
  <c r="L20" i="19"/>
  <c r="K20" i="19"/>
  <c r="J20" i="19"/>
  <c r="I20" i="19"/>
  <c r="H20" i="19"/>
  <c r="G20" i="19"/>
  <c r="F20" i="19"/>
  <c r="E20" i="19"/>
  <c r="D20" i="19"/>
  <c r="T41" i="17"/>
  <c r="T48" i="17"/>
  <c r="T55" i="17"/>
  <c r="S41" i="17"/>
  <c r="S48" i="17"/>
  <c r="S55" i="17"/>
  <c r="R41" i="17"/>
  <c r="R48" i="17"/>
  <c r="R55" i="17"/>
  <c r="Q41" i="17"/>
  <c r="Q48" i="17"/>
  <c r="Q55" i="17"/>
  <c r="P41" i="17"/>
  <c r="P48" i="17"/>
  <c r="P55" i="17"/>
  <c r="O41" i="17"/>
  <c r="O48" i="17"/>
  <c r="O55" i="17"/>
  <c r="T54" i="17"/>
  <c r="S54" i="17"/>
  <c r="R54" i="17"/>
  <c r="Q54" i="17"/>
  <c r="P54" i="17"/>
  <c r="O54" i="17"/>
  <c r="T53" i="17"/>
  <c r="S53" i="17"/>
  <c r="R53" i="17"/>
  <c r="Q53" i="17"/>
  <c r="P53" i="17"/>
  <c r="O53" i="17"/>
  <c r="T52" i="17"/>
  <c r="S52" i="17"/>
  <c r="R52" i="17"/>
  <c r="Q52" i="17"/>
  <c r="P52" i="17"/>
  <c r="O52" i="17"/>
  <c r="T51" i="17"/>
  <c r="S51" i="17"/>
  <c r="R51" i="17"/>
  <c r="Q51" i="17"/>
  <c r="P51" i="17"/>
  <c r="O51" i="17"/>
  <c r="N41" i="17"/>
  <c r="M41" i="17"/>
  <c r="T15" i="17"/>
  <c r="T24" i="17"/>
  <c r="T33" i="17"/>
  <c r="S15" i="17"/>
  <c r="S24" i="17"/>
  <c r="S33" i="17"/>
  <c r="R15" i="17"/>
  <c r="R24" i="17"/>
  <c r="R33" i="17"/>
  <c r="Q15" i="17"/>
  <c r="Q24" i="17"/>
  <c r="Q33" i="17"/>
  <c r="P15" i="17"/>
  <c r="P24" i="17"/>
  <c r="P33" i="17"/>
  <c r="O15" i="17"/>
  <c r="O24" i="17"/>
  <c r="O33" i="17"/>
  <c r="N15" i="17"/>
  <c r="N24" i="17"/>
  <c r="N33" i="17"/>
  <c r="T32" i="17"/>
  <c r="S32" i="17"/>
  <c r="R32" i="17"/>
  <c r="Q32" i="17"/>
  <c r="P32" i="17"/>
  <c r="O32" i="17"/>
  <c r="N32" i="17"/>
  <c r="T31" i="17"/>
  <c r="S31" i="17"/>
  <c r="R31" i="17"/>
  <c r="Q31" i="17"/>
  <c r="P31" i="17"/>
  <c r="O31" i="17"/>
  <c r="N31" i="17"/>
  <c r="T30" i="17"/>
  <c r="S30" i="17"/>
  <c r="R30" i="17"/>
  <c r="Q30" i="17"/>
  <c r="P30" i="17"/>
  <c r="O30" i="17"/>
  <c r="N30" i="17"/>
  <c r="M30" i="17"/>
  <c r="T29" i="17"/>
  <c r="S29" i="17"/>
  <c r="R29" i="17"/>
  <c r="Q29" i="17"/>
  <c r="P29" i="17"/>
  <c r="O29" i="17"/>
  <c r="N29" i="17"/>
  <c r="M29" i="17"/>
  <c r="T28" i="17"/>
  <c r="S28" i="17"/>
  <c r="R28" i="17"/>
  <c r="Q28" i="17"/>
  <c r="P28" i="17"/>
  <c r="O28" i="17"/>
  <c r="N28" i="17"/>
  <c r="M28" i="17"/>
  <c r="T27" i="17"/>
  <c r="S27" i="17"/>
  <c r="R27" i="17"/>
  <c r="Q27" i="17"/>
  <c r="P27" i="17"/>
  <c r="O27" i="17"/>
  <c r="N27" i="17"/>
  <c r="M27" i="17"/>
  <c r="M24" i="17"/>
  <c r="M15" i="17"/>
  <c r="M33" i="17"/>
  <c r="L15" i="17"/>
  <c r="L33" i="17"/>
  <c r="K15" i="17"/>
  <c r="R24" i="14"/>
  <c r="Q24" i="14"/>
  <c r="P24" i="14"/>
  <c r="O24" i="14"/>
  <c r="N24" i="14"/>
  <c r="M24" i="14"/>
  <c r="L24" i="14"/>
  <c r="K24" i="14"/>
  <c r="J24" i="14"/>
  <c r="I24" i="14"/>
  <c r="R15" i="14"/>
  <c r="Q15" i="14"/>
  <c r="P15" i="14"/>
  <c r="O15" i="14"/>
  <c r="N15" i="14"/>
  <c r="M15" i="14"/>
  <c r="L15" i="14"/>
  <c r="K15" i="14"/>
  <c r="J15" i="14"/>
  <c r="I15" i="14"/>
  <c r="R10" i="14"/>
  <c r="Q10" i="14"/>
  <c r="P10" i="14"/>
  <c r="O10" i="14"/>
  <c r="N10" i="14"/>
  <c r="M10" i="14"/>
  <c r="L10" i="14"/>
  <c r="K10" i="14"/>
  <c r="J10" i="14"/>
  <c r="I10" i="14"/>
  <c r="R7" i="14"/>
  <c r="Q7" i="14"/>
  <c r="P7" i="14"/>
  <c r="O7" i="14"/>
  <c r="N7" i="14"/>
  <c r="M7" i="14"/>
  <c r="L7" i="14"/>
  <c r="K7" i="14"/>
  <c r="J7" i="14"/>
  <c r="I7" i="14"/>
  <c r="M16" i="35"/>
  <c r="L16" i="35"/>
  <c r="K16" i="35"/>
  <c r="J16" i="35"/>
  <c r="I16" i="35"/>
  <c r="H16" i="35"/>
  <c r="G16" i="35"/>
  <c r="F16" i="35"/>
  <c r="E16" i="35"/>
  <c r="D16" i="35"/>
  <c r="J49" i="10"/>
  <c r="J53" i="10"/>
  <c r="J50" i="10"/>
  <c r="J51" i="10"/>
  <c r="J52" i="10"/>
  <c r="S15" i="14"/>
  <c r="M24" i="19"/>
  <c r="M20" i="19"/>
  <c r="U51" i="17"/>
  <c r="I31" i="10"/>
  <c r="J69" i="10"/>
  <c r="S24" i="14"/>
  <c r="J55" i="10"/>
  <c r="J56" i="10"/>
  <c r="J57" i="10"/>
  <c r="J58" i="10"/>
  <c r="J59" i="10"/>
  <c r="J60" i="10"/>
  <c r="J62" i="10"/>
  <c r="J66" i="10"/>
  <c r="J71" i="10"/>
  <c r="J70" i="10"/>
  <c r="I33" i="10"/>
  <c r="I32" i="10"/>
  <c r="O48" i="3"/>
  <c r="P48" i="3"/>
  <c r="O22" i="3"/>
  <c r="P22" i="3"/>
  <c r="L56" i="2"/>
  <c r="M56" i="2"/>
  <c r="U27" i="17"/>
  <c r="U52" i="17"/>
  <c r="U53" i="17"/>
  <c r="L48" i="3"/>
  <c r="J48" i="3"/>
  <c r="H48" i="3"/>
  <c r="F48" i="3"/>
  <c r="L22" i="3"/>
  <c r="J22" i="3"/>
  <c r="H22" i="3"/>
  <c r="F22" i="3"/>
  <c r="I56" i="2"/>
  <c r="G56" i="2"/>
  <c r="E56" i="2"/>
  <c r="C56" i="2"/>
  <c r="I23" i="2"/>
  <c r="G23" i="2"/>
  <c r="E23" i="2"/>
  <c r="C23" i="2"/>
  <c r="N22" i="3"/>
  <c r="M35" i="19"/>
  <c r="U15" i="17"/>
  <c r="U24" i="17"/>
  <c r="U28" i="17"/>
  <c r="U29" i="17"/>
  <c r="U30" i="17"/>
  <c r="U31" i="17"/>
  <c r="U32" i="17"/>
  <c r="U33" i="17"/>
  <c r="U41" i="17"/>
  <c r="U55" i="17"/>
  <c r="U48" i="17"/>
  <c r="U54" i="17"/>
  <c r="S10" i="14"/>
  <c r="S7" i="14"/>
  <c r="N48" i="3"/>
  <c r="K56" i="2"/>
  <c r="U7" i="14"/>
  <c r="E36" i="10"/>
  <c r="I34" i="10"/>
  <c r="B36" i="10"/>
  <c r="J64" i="10"/>
  <c r="C36" i="10"/>
  <c r="I26" i="10"/>
  <c r="I36" i="10"/>
</calcChain>
</file>

<file path=xl/sharedStrings.xml><?xml version="1.0" encoding="utf-8"?>
<sst xmlns="http://schemas.openxmlformats.org/spreadsheetml/2006/main" count="1994" uniqueCount="693">
  <si>
    <t xml:space="preserve">                      </t>
  </si>
  <si>
    <t>for example, the EU/Other Europe breakdown now reflects the position following the enlargement of the EU in 2004.</t>
  </si>
  <si>
    <r>
      <t xml:space="preserve">Weeks included in year </t>
    </r>
    <r>
      <rPr>
        <vertAlign val="superscript"/>
        <sz val="12"/>
        <rFont val="Arial"/>
        <family val="2"/>
      </rPr>
      <t>2</t>
    </r>
  </si>
  <si>
    <r>
      <t xml:space="preserve">Ring tone, no reply </t>
    </r>
    <r>
      <rPr>
        <vertAlign val="superscript"/>
        <sz val="12"/>
        <rFont val="Arial"/>
        <family val="2"/>
      </rPr>
      <t>3</t>
    </r>
  </si>
  <si>
    <t xml:space="preserve">Traveline Scotland went live for telephone calls on 3 January 2001.  Its internet service became operational on 27 October 2002, </t>
  </si>
  <si>
    <t>This is the 'threshold' for the difference between the TOTALS and the sum of their parts</t>
  </si>
  <si>
    <t>formulae are written in BLUE</t>
  </si>
  <si>
    <t>All Text and figures are formatted to 'ARIEL' - font size 10 (Headers are BOLD and font size 14)</t>
  </si>
  <si>
    <t>Titles and headings should be in BOLD</t>
  </si>
  <si>
    <t>Due to the amalgamation of tables 1.1 and 1.2 all subsequent tables have been renumbered</t>
  </si>
  <si>
    <t xml:space="preserve"> i.e. Table 1.3 became 1.2, Table 1.4 became 1.3 etc.</t>
  </si>
  <si>
    <t>Walk</t>
  </si>
  <si>
    <t>Bicycle</t>
  </si>
  <si>
    <t>Driver of car, van or lorry</t>
  </si>
  <si>
    <t>Passenger in car, van or lorry</t>
  </si>
  <si>
    <t>Motorcycle / moped</t>
  </si>
  <si>
    <t>Other private transport</t>
  </si>
  <si>
    <t>Other private transport (eg motorcycle, private hire bus)</t>
  </si>
  <si>
    <t>Local bus</t>
  </si>
  <si>
    <t>Non-local bus</t>
  </si>
  <si>
    <t>Surface Rail</t>
  </si>
  <si>
    <t>Taxi / minicab</t>
  </si>
  <si>
    <t>Other public transport</t>
  </si>
  <si>
    <t>Other public transport (eg air, ferry, non-local bus)</t>
  </si>
  <si>
    <t>All modes</t>
  </si>
  <si>
    <t>Sample size (number of people)</t>
  </si>
  <si>
    <t>miles</t>
  </si>
  <si>
    <t>Commuting</t>
  </si>
  <si>
    <t>Business</t>
  </si>
  <si>
    <t>Education</t>
  </si>
  <si>
    <t>Escort education</t>
  </si>
  <si>
    <t>Shopping</t>
  </si>
  <si>
    <t>Visting friends at home</t>
  </si>
  <si>
    <t>Visiting friends elsewhere</t>
  </si>
  <si>
    <t>Sport / entertainment</t>
  </si>
  <si>
    <t>Holiday / day trip</t>
  </si>
  <si>
    <t>Other (including "just walk")</t>
  </si>
  <si>
    <t>All purposes</t>
  </si>
  <si>
    <t>Sample</t>
  </si>
  <si>
    <t>Total</t>
  </si>
  <si>
    <t>24 hour OD person trips - all modes (car and PT)</t>
  </si>
  <si>
    <t>Edinburgh and Lothian</t>
  </si>
  <si>
    <t>Fife</t>
  </si>
  <si>
    <t>Central</t>
  </si>
  <si>
    <t>Glasgow and Strathclyde</t>
  </si>
  <si>
    <t>Ayrshire</t>
  </si>
  <si>
    <t>Dumfries</t>
  </si>
  <si>
    <t>Borders</t>
  </si>
  <si>
    <t>Perth</t>
  </si>
  <si>
    <t>Dundee</t>
  </si>
  <si>
    <t>External</t>
  </si>
  <si>
    <t>24 hour OD person trips - highway (car only)</t>
  </si>
  <si>
    <t>24 hour OD person trips - PT (includes externals)</t>
  </si>
  <si>
    <t>24 hour OD vehicle trips - highway (cars and goods only) (includes externals)</t>
  </si>
  <si>
    <t>Every</t>
  </si>
  <si>
    <t>day</t>
  </si>
  <si>
    <t>Per Week</t>
  </si>
  <si>
    <t xml:space="preserve">At least </t>
  </si>
  <si>
    <t>3 times</t>
  </si>
  <si>
    <t>Once or</t>
  </si>
  <si>
    <t xml:space="preserve"> twice</t>
  </si>
  <si>
    <t>Per Month</t>
  </si>
  <si>
    <t>2 or 3</t>
  </si>
  <si>
    <t>times</t>
  </si>
  <si>
    <t>once</t>
  </si>
  <si>
    <t xml:space="preserve"> than</t>
  </si>
  <si>
    <t>Holds</t>
  </si>
  <si>
    <t>drives</t>
  </si>
  <si>
    <t>never</t>
  </si>
  <si>
    <t>full</t>
  </si>
  <si>
    <t xml:space="preserve"> licence</t>
  </si>
  <si>
    <t>a full</t>
  </si>
  <si>
    <t>driving</t>
  </si>
  <si>
    <t xml:space="preserve"> licence,</t>
  </si>
  <si>
    <t>have</t>
  </si>
  <si>
    <t>by age:</t>
  </si>
  <si>
    <t>As means of transport</t>
  </si>
  <si>
    <t>none</t>
  </si>
  <si>
    <t>1-2 days</t>
  </si>
  <si>
    <t>3-5 days</t>
  </si>
  <si>
    <t>6-7 days</t>
  </si>
  <si>
    <t>Just for pleasure</t>
  </si>
  <si>
    <t>(=100%)</t>
  </si>
  <si>
    <t xml:space="preserve">Sample </t>
  </si>
  <si>
    <t>Car or</t>
  </si>
  <si>
    <t>Van</t>
  </si>
  <si>
    <t>Service</t>
  </si>
  <si>
    <t>3. e.g. motorcycle, lorry, taxi, ferry, etc.</t>
  </si>
  <si>
    <t xml:space="preserve"> with</t>
  </si>
  <si>
    <t>row percentages</t>
  </si>
  <si>
    <t>Walking</t>
  </si>
  <si>
    <t>Means of leaving the UK</t>
  </si>
  <si>
    <t>Air</t>
  </si>
  <si>
    <t>Heathrow</t>
  </si>
  <si>
    <t xml:space="preserve">Gatwick </t>
  </si>
  <si>
    <t>Stanstead</t>
  </si>
  <si>
    <t>Manchester</t>
  </si>
  <si>
    <t>Edinburgh</t>
  </si>
  <si>
    <t>Glasgow</t>
  </si>
  <si>
    <t>Total Air</t>
  </si>
  <si>
    <t>Channel Tunnel</t>
  </si>
  <si>
    <t>Purpose of visit</t>
  </si>
  <si>
    <t>Sea</t>
  </si>
  <si>
    <t>English Channel Ports</t>
  </si>
  <si>
    <t>English East Coast Ports</t>
  </si>
  <si>
    <t>Other UK Ports</t>
  </si>
  <si>
    <t>Holiday</t>
  </si>
  <si>
    <t>Package</t>
  </si>
  <si>
    <t>Other</t>
  </si>
  <si>
    <t xml:space="preserve">Visiting </t>
  </si>
  <si>
    <t>Friends or</t>
  </si>
  <si>
    <t>Relatives</t>
  </si>
  <si>
    <t>Miscellaneous</t>
  </si>
  <si>
    <t>and other</t>
  </si>
  <si>
    <t>Purposes</t>
  </si>
  <si>
    <t>Area Visited</t>
  </si>
  <si>
    <t xml:space="preserve">Other </t>
  </si>
  <si>
    <t>Asia</t>
  </si>
  <si>
    <t xml:space="preserve">Rest of </t>
  </si>
  <si>
    <t xml:space="preserve">the </t>
  </si>
  <si>
    <t>thousands</t>
  </si>
  <si>
    <t>1   For holders of full licences.</t>
  </si>
  <si>
    <t xml:space="preserve">Doesn't </t>
  </si>
  <si>
    <t xml:space="preserve"> </t>
  </si>
  <si>
    <t>days</t>
  </si>
  <si>
    <t>1 +</t>
  </si>
  <si>
    <t>2. Including the Glasgow Underground.</t>
  </si>
  <si>
    <t>1. The number of days in the previous seven days on which the person made a trip of more than a quarter of a mile by foot for the specified purpose.</t>
  </si>
  <si>
    <t>percentage</t>
  </si>
  <si>
    <t>Car,van,minibus,works van</t>
  </si>
  <si>
    <t>..</t>
  </si>
  <si>
    <t>Bus,coach.private bus</t>
  </si>
  <si>
    <t>Rail (inc Underground)</t>
  </si>
  <si>
    <t>Other (inc taxi)</t>
  </si>
  <si>
    <t>All</t>
  </si>
  <si>
    <t>minutes</t>
  </si>
  <si>
    <t>Elsewhere</t>
  </si>
  <si>
    <t>2. Includes 'none' in 1971</t>
  </si>
  <si>
    <t>these</t>
  </si>
  <si>
    <t>Census year</t>
  </si>
  <si>
    <t>of</t>
  </si>
  <si>
    <t>cycle</t>
  </si>
  <si>
    <t xml:space="preserve">Population </t>
  </si>
  <si>
    <r>
      <t>Other</t>
    </r>
    <r>
      <rPr>
        <b/>
        <vertAlign val="superscript"/>
        <sz val="12"/>
        <rFont val="Arial"/>
        <family val="2"/>
      </rPr>
      <t>3</t>
    </r>
  </si>
  <si>
    <r>
      <t>Foot</t>
    </r>
    <r>
      <rPr>
        <b/>
        <vertAlign val="superscript"/>
        <sz val="12"/>
        <rFont val="Arial"/>
        <family val="2"/>
      </rPr>
      <t>2</t>
    </r>
  </si>
  <si>
    <t>Pedal</t>
  </si>
  <si>
    <t>Motor</t>
  </si>
  <si>
    <t>Car</t>
  </si>
  <si>
    <t>Bus</t>
  </si>
  <si>
    <t>Total All Means of Leaving the UK</t>
  </si>
  <si>
    <t>Total Sea</t>
  </si>
  <si>
    <t>New Zealand</t>
  </si>
  <si>
    <t>by annual net household income:</t>
  </si>
  <si>
    <t>Self-employed</t>
  </si>
  <si>
    <t>size</t>
  </si>
  <si>
    <t>by current situation:</t>
  </si>
  <si>
    <t>Employed full-time</t>
  </si>
  <si>
    <t>Employed part-time</t>
  </si>
  <si>
    <t>Does not work</t>
  </si>
  <si>
    <t>All employed</t>
  </si>
  <si>
    <t>from home</t>
  </si>
  <si>
    <t>adults</t>
  </si>
  <si>
    <t>All employed adults</t>
  </si>
  <si>
    <t>1. The main method of transport is recorded if the journey involves more than one method.</t>
  </si>
  <si>
    <t>by means of leaving the UK</t>
  </si>
  <si>
    <t>by purpose of visit</t>
  </si>
  <si>
    <t>Package holiday</t>
  </si>
  <si>
    <t>Other holiday</t>
  </si>
  <si>
    <t>Misc. and other</t>
  </si>
  <si>
    <t>Visit friends / relatives</t>
  </si>
  <si>
    <t>by area visited</t>
  </si>
  <si>
    <t>Australia &amp;</t>
  </si>
  <si>
    <t>Other Europe</t>
  </si>
  <si>
    <t>Australia &amp; New Zealand</t>
  </si>
  <si>
    <t>Rest of the World</t>
  </si>
  <si>
    <t>Other UK airport</t>
  </si>
  <si>
    <t>Sea or Channel Tunnel</t>
  </si>
  <si>
    <t>All visits abroad by Scots</t>
  </si>
  <si>
    <t xml:space="preserve">Other UK Airports </t>
  </si>
  <si>
    <t>Canada</t>
  </si>
  <si>
    <t>&amp; USA</t>
  </si>
  <si>
    <t>3. Including the Glasgow Underground.</t>
  </si>
  <si>
    <t>4. e.g. motorcycle, lorry, taxi, ferry, etc.</t>
  </si>
  <si>
    <t>Train</t>
  </si>
  <si>
    <t>Car or van</t>
  </si>
  <si>
    <t>Driver</t>
  </si>
  <si>
    <t>Pass.</t>
  </si>
  <si>
    <t xml:space="preserve">size </t>
  </si>
  <si>
    <t>Works</t>
  </si>
  <si>
    <t>EU</t>
  </si>
  <si>
    <t>North America</t>
  </si>
  <si>
    <t>(inc.</t>
  </si>
  <si>
    <t>u/grd)</t>
  </si>
  <si>
    <t>(e.g.</t>
  </si>
  <si>
    <t>taxi)</t>
  </si>
  <si>
    <t>1. Excluding those who worked at home in 1981, 1991 and 2001 (who were not identified separately in the 1966 and 1971</t>
  </si>
  <si>
    <t>3. Includes 'none' in 1966; unspecified means of 'Public transport' in 1971, and 'not stated' in all years apart from 2001</t>
  </si>
  <si>
    <t>Europe</t>
  </si>
  <si>
    <t>World</t>
  </si>
  <si>
    <t>(when there was no "not stated" category).</t>
  </si>
  <si>
    <t>Others</t>
  </si>
  <si>
    <t>Taxis</t>
  </si>
  <si>
    <t>Ferries</t>
  </si>
  <si>
    <t>Underground</t>
  </si>
  <si>
    <t>Rail</t>
  </si>
  <si>
    <t>All concessionary fare schemes</t>
  </si>
  <si>
    <t>millions</t>
  </si>
  <si>
    <t>2002-03</t>
  </si>
  <si>
    <t>2001-02</t>
  </si>
  <si>
    <t>2000-01</t>
  </si>
  <si>
    <t>Therefore, they may differ slightly from the result that would be obtained if one divided by the actual number of days in the year (365 or 366).</t>
  </si>
  <si>
    <t xml:space="preserve">Daily averages are calculated by dividing the total for all the weeks ending in the year by the number of days in those weeks (e.g. 52 x 7 = 364). </t>
  </si>
  <si>
    <t>6.</t>
  </si>
  <si>
    <t>5.</t>
  </si>
  <si>
    <t>3.</t>
  </si>
  <si>
    <t>cover the 52 weeks from the one ending on Friday 3 January 2003 to the week ending on Friday 26 December 2003, inclusive.</t>
  </si>
  <si>
    <t>The figures relate to the weeks which ended on Fridays which were in the specified calendar year - for example, the figures for "2003"</t>
  </si>
  <si>
    <t>2.</t>
  </si>
  <si>
    <t>1.</t>
  </si>
  <si>
    <t>numbers</t>
  </si>
  <si>
    <t>Web site</t>
  </si>
  <si>
    <t xml:space="preserve">Answered calls: av. duration </t>
  </si>
  <si>
    <t>seconds</t>
  </si>
  <si>
    <t>Percentage answered</t>
  </si>
  <si>
    <t>percentages</t>
  </si>
  <si>
    <t>Total number of calls</t>
  </si>
  <si>
    <t>Total unanswered</t>
  </si>
  <si>
    <t xml:space="preserve">Calls unanswered </t>
  </si>
  <si>
    <t>Calls answered</t>
  </si>
  <si>
    <t>Telephone calls</t>
  </si>
  <si>
    <t>Answered</t>
  </si>
  <si>
    <t>Unanswered</t>
  </si>
  <si>
    <t>week ending</t>
  </si>
  <si>
    <t>Total calls</t>
  </si>
  <si>
    <t xml:space="preserve">and was formally launched on 16 December 2002, but statistics of its use are only available from the start of 2003.  </t>
  </si>
  <si>
    <t xml:space="preserve">     Scottish residents: average per head of population *</t>
  </si>
  <si>
    <t>* Some of the results are based upon a small number of trips in the sample, and so may be subject to large percentage sampling errors.</t>
  </si>
  <si>
    <t>As mentioned in the text, NTS results for Scotland should be regarded as broad indicators rather than precise measures.</t>
  </si>
  <si>
    <t xml:space="preserve">Surface Rail </t>
  </si>
  <si>
    <t>As a result, there may be some apparently large, and potentially misleading, percentage changes between periods.</t>
  </si>
  <si>
    <r>
      <t xml:space="preserve">Walk </t>
    </r>
    <r>
      <rPr>
        <vertAlign val="superscript"/>
        <sz val="12"/>
        <rFont val="Arial"/>
        <family val="2"/>
      </rPr>
      <t>(1)</t>
    </r>
  </si>
  <si>
    <t>2003-04</t>
  </si>
  <si>
    <t>Number of cars available to the household</t>
  </si>
  <si>
    <t>No car</t>
  </si>
  <si>
    <t>One car</t>
  </si>
  <si>
    <t>2+ cars</t>
  </si>
  <si>
    <t>All house-holds</t>
  </si>
  <si>
    <t>Other private (eg bicycle, motorcycle, private hire bus)</t>
  </si>
  <si>
    <t>Other public (eg rail, taxi, air, non-local bus)</t>
  </si>
  <si>
    <t xml:space="preserve">     household about him or herself.</t>
  </si>
  <si>
    <t xml:space="preserve">     the head of the household, or his / her spouse/partner, about all adults in the household, but instead from one randomly chosen adult member of the</t>
  </si>
  <si>
    <t>1. For those in full time education at school. The main method of transport is recorded if there is more than one method.</t>
  </si>
  <si>
    <r>
      <t>Table 12.3</t>
    </r>
    <r>
      <rPr>
        <b/>
        <sz val="14"/>
        <rFont val="Arial"/>
        <family val="2"/>
      </rPr>
      <t xml:space="preserve">  Average length of trip by main mode </t>
    </r>
  </si>
  <si>
    <r>
      <t>Table 12.2</t>
    </r>
    <r>
      <rPr>
        <b/>
        <sz val="14"/>
        <rFont val="Arial"/>
        <family val="2"/>
      </rPr>
      <t xml:space="preserve">  Average distance travelled per person per year by main mode </t>
    </r>
  </si>
  <si>
    <r>
      <t>Table 12.6</t>
    </r>
    <r>
      <rPr>
        <b/>
        <sz val="14"/>
        <rFont val="Arial"/>
        <family val="2"/>
      </rPr>
      <t xml:space="preserve">  Average length of trip by purpose </t>
    </r>
  </si>
  <si>
    <t>2004-05</t>
  </si>
  <si>
    <t>Every Day</t>
  </si>
  <si>
    <t>At least 3 times</t>
  </si>
  <si>
    <t>Once or twice</t>
  </si>
  <si>
    <t>At least 2 or 3 times</t>
  </si>
  <si>
    <t>At least once</t>
  </si>
  <si>
    <t>Less than once</t>
  </si>
  <si>
    <t>Per Week:</t>
  </si>
  <si>
    <t>Per Month:</t>
  </si>
  <si>
    <t>Holds full driving licence, never drives</t>
  </si>
  <si>
    <t>Total with a full driving licence</t>
  </si>
  <si>
    <t>Doesn't have a full driving licence</t>
  </si>
  <si>
    <t>None</t>
  </si>
  <si>
    <t>1+ days</t>
  </si>
  <si>
    <t>Works from home</t>
  </si>
  <si>
    <t>Does not work from home</t>
  </si>
  <si>
    <t>Sample size (100%)</t>
  </si>
  <si>
    <t>Passenger</t>
  </si>
  <si>
    <t>(a)</t>
  </si>
  <si>
    <t>(b)</t>
  </si>
  <si>
    <t>3. This category includes jogging and walking a dog.</t>
  </si>
  <si>
    <t>Prestwick</t>
  </si>
  <si>
    <t>Walk (1)</t>
  </si>
  <si>
    <t>Other escort</t>
  </si>
  <si>
    <t>Other personal business</t>
  </si>
  <si>
    <t>(1) Short walks are believed to be under-recorded in 2002/03 compared with earlier years.</t>
  </si>
  <si>
    <t>* See footnotes for table 12.1</t>
  </si>
  <si>
    <r>
      <t>Table 12.5</t>
    </r>
    <r>
      <rPr>
        <b/>
        <sz val="14"/>
        <rFont val="Arial"/>
        <family val="2"/>
      </rPr>
      <t xml:space="preserve">  Average distance travelled per person per year by purpose</t>
    </r>
  </si>
  <si>
    <r>
      <t>Table 12.4</t>
    </r>
    <r>
      <rPr>
        <b/>
        <sz val="14"/>
        <rFont val="Arial"/>
        <family val="2"/>
      </rPr>
      <t xml:space="preserve">  Trips per person per year by purpose</t>
    </r>
  </si>
  <si>
    <t>2005-06</t>
  </si>
  <si>
    <r>
      <t>Table 12.1</t>
    </r>
    <r>
      <rPr>
        <b/>
        <sz val="14"/>
        <rFont val="Arial"/>
        <family val="2"/>
      </rPr>
      <t xml:space="preserve">   Trips per person per year by main mode </t>
    </r>
  </si>
  <si>
    <t>/  1997</t>
  </si>
  <si>
    <t>/  2000</t>
  </si>
  <si>
    <t>/  2003</t>
  </si>
  <si>
    <t>/  2005</t>
  </si>
  <si>
    <t xml:space="preserve">     Scottish residents *</t>
  </si>
  <si>
    <r>
      <t>Table 12.7</t>
    </r>
    <r>
      <rPr>
        <b/>
        <sz val="14"/>
        <rFont val="Arial"/>
        <family val="2"/>
      </rPr>
      <t xml:space="preserve">  Hours travelled per person per year by purpose </t>
    </r>
  </si>
  <si>
    <r>
      <t xml:space="preserve">Table 12.8 </t>
    </r>
    <r>
      <rPr>
        <b/>
        <sz val="14"/>
        <rFont val="Arial"/>
        <family val="2"/>
      </rPr>
      <t xml:space="preserve"> Average duration of travel per trip by purpose </t>
    </r>
  </si>
  <si>
    <r>
      <t>Table 12.9</t>
    </r>
    <r>
      <rPr>
        <b/>
        <sz val="14"/>
        <rFont val="Arial"/>
        <family val="2"/>
      </rPr>
      <t xml:space="preserve">  Trips per person per year by main mode and cars available to the household </t>
    </r>
  </si>
  <si>
    <r>
      <t xml:space="preserve">Other </t>
    </r>
    <r>
      <rPr>
        <b/>
        <vertAlign val="superscript"/>
        <sz val="12"/>
        <rFont val="Arial"/>
        <family val="2"/>
      </rPr>
      <t xml:space="preserve">3 </t>
    </r>
  </si>
  <si>
    <r>
      <t xml:space="preserve">Rail </t>
    </r>
    <r>
      <rPr>
        <b/>
        <vertAlign val="superscript"/>
        <sz val="12"/>
        <rFont val="Arial"/>
        <family val="2"/>
      </rPr>
      <t xml:space="preserve">2 </t>
    </r>
  </si>
  <si>
    <r>
      <t xml:space="preserve">School </t>
    </r>
    <r>
      <rPr>
        <vertAlign val="superscript"/>
        <sz val="12"/>
        <rFont val="Arial"/>
        <family val="2"/>
      </rPr>
      <t xml:space="preserve">2 </t>
    </r>
  </si>
  <si>
    <r>
      <t xml:space="preserve">Rail </t>
    </r>
    <r>
      <rPr>
        <b/>
        <vertAlign val="superscript"/>
        <sz val="12"/>
        <rFont val="Arial"/>
        <family val="2"/>
      </rPr>
      <t xml:space="preserve">3 </t>
    </r>
  </si>
  <si>
    <r>
      <t xml:space="preserve">Other </t>
    </r>
    <r>
      <rPr>
        <b/>
        <vertAlign val="superscript"/>
        <sz val="12"/>
        <rFont val="Arial"/>
        <family val="2"/>
      </rPr>
      <t xml:space="preserve">4 </t>
    </r>
  </si>
  <si>
    <t>column percentages</t>
  </si>
  <si>
    <t>Total these airports</t>
  </si>
  <si>
    <t>1.  These estimates are based on information from samples of passengers using the principal routes: the International Passenger Survey</t>
  </si>
  <si>
    <t>Prestwick airport was added to the International Passenger Survey sample in 2005, so there are no figures for it prior to then.</t>
  </si>
  <si>
    <t>The results for 2003 and earlier years differ from those published previously because ONS has revised the series retrospectively -</t>
  </si>
  <si>
    <t xml:space="preserve">  </t>
  </si>
  <si>
    <t>2006-07</t>
  </si>
  <si>
    <t>month ending</t>
  </si>
  <si>
    <t>Motorcycle</t>
  </si>
  <si>
    <t>Bus/coach</t>
  </si>
  <si>
    <t>*</t>
  </si>
  <si>
    <t xml:space="preserve">          which is on the basis that is used to produce such figures for DfT's "Regional Transport Statistics".</t>
  </si>
  <si>
    <t xml:space="preserve"> / 2006</t>
  </si>
  <si>
    <t>/  2006</t>
  </si>
  <si>
    <t>The figures for 1995/97 onwards are based on weighted data, so are not directly comparable with earlier results (which are based on</t>
  </si>
  <si>
    <t>unweighted data) which can be found in the previous edition or in the "Travel by Scottish residents" bulletin.</t>
  </si>
  <si>
    <t>2007-08</t>
  </si>
  <si>
    <t>Source: Transport Scotland - Not National Statistics</t>
  </si>
  <si>
    <t>/  2007</t>
  </si>
  <si>
    <t xml:space="preserve"> / 2007</t>
  </si>
  <si>
    <t xml:space="preserve">      Scottish residents: 2007 (average per head of population *)</t>
  </si>
  <si>
    <t>Newcastle</t>
  </si>
  <si>
    <t>Birmingham</t>
  </si>
  <si>
    <t xml:space="preserve">   Newcastle</t>
  </si>
  <si>
    <t xml:space="preserve">   Birmingham</t>
  </si>
  <si>
    <t xml:space="preserve">row percentages </t>
  </si>
  <si>
    <t>by gender:</t>
  </si>
  <si>
    <t xml:space="preserve"> Male</t>
  </si>
  <si>
    <t xml:space="preserve"> Female</t>
  </si>
  <si>
    <t xml:space="preserve"> 17-19</t>
  </si>
  <si>
    <t xml:space="preserve"> 20-29</t>
  </si>
  <si>
    <t xml:space="preserve"> 30-39</t>
  </si>
  <si>
    <t xml:space="preserve"> 40-49</t>
  </si>
  <si>
    <t xml:space="preserve"> 50-59</t>
  </si>
  <si>
    <t xml:space="preserve"> 60-69</t>
  </si>
  <si>
    <t xml:space="preserve"> 70-79</t>
  </si>
  <si>
    <t xml:space="preserve"> 80+</t>
  </si>
  <si>
    <t xml:space="preserve"> Self employed</t>
  </si>
  <si>
    <t xml:space="preserve"> Employed full time</t>
  </si>
  <si>
    <t xml:space="preserve"> Employed part time</t>
  </si>
  <si>
    <t xml:space="preserve"> Looking after the home or family</t>
  </si>
  <si>
    <t xml:space="preserve"> Permanently retired from work</t>
  </si>
  <si>
    <t xml:space="preserve"> Unemployed and seeking work</t>
  </si>
  <si>
    <t xml:space="preserve"> In further/higher education</t>
  </si>
  <si>
    <t xml:space="preserve"> Permanently sick or disabled</t>
  </si>
  <si>
    <t xml:space="preserve"> up to £10,000 p.a.</t>
  </si>
  <si>
    <t xml:space="preserve"> over £10,000 - £15,000</t>
  </si>
  <si>
    <t xml:space="preserve"> over £15,000 - £20,000</t>
  </si>
  <si>
    <t xml:space="preserve"> over £20,000 - £25,000</t>
  </si>
  <si>
    <t xml:space="preserve"> over £25,000 - £30,000</t>
  </si>
  <si>
    <t xml:space="preserve"> over £30,000 - £40,000</t>
  </si>
  <si>
    <t xml:space="preserve"> over £40,000 p.a.</t>
  </si>
  <si>
    <t>by Scottish Index of Multiple Deprivation:</t>
  </si>
  <si>
    <t xml:space="preserve"> 1 (20 % most deprived)</t>
  </si>
  <si>
    <t xml:space="preserve"> 5 (20% least deprived)</t>
  </si>
  <si>
    <t>by urban/rural:</t>
  </si>
  <si>
    <t xml:space="preserve"> Large urban areas</t>
  </si>
  <si>
    <t xml:space="preserve"> Other urban</t>
  </si>
  <si>
    <t xml:space="preserve"> Small accessible towns</t>
  </si>
  <si>
    <t xml:space="preserve"> Small remote towns</t>
  </si>
  <si>
    <t xml:space="preserve"> Accessible rural</t>
  </si>
  <si>
    <t xml:space="preserve"> Remote rural</t>
  </si>
  <si>
    <t>*The frequency of driving is shown only for those who hold a full driving licence</t>
  </si>
  <si>
    <t xml:space="preserve"> 16-19</t>
  </si>
  <si>
    <t xml:space="preserve"> Looking after the home/family</t>
  </si>
  <si>
    <t xml:space="preserve"> Unemployed/seeking work</t>
  </si>
  <si>
    <t>by urban/rural classification:</t>
  </si>
  <si>
    <t>By gender:</t>
  </si>
  <si>
    <t xml:space="preserve"> 16 - 20</t>
  </si>
  <si>
    <t xml:space="preserve"> 20 - 29</t>
  </si>
  <si>
    <t xml:space="preserve"> 30 - 39</t>
  </si>
  <si>
    <t xml:space="preserve"> 40 - 49</t>
  </si>
  <si>
    <t xml:space="preserve"> 50 - 59</t>
  </si>
  <si>
    <t xml:space="preserve"> 60 and over</t>
  </si>
  <si>
    <t>All children in full-time education, 2007</t>
  </si>
  <si>
    <t xml:space="preserve">  age 4-5</t>
  </si>
  <si>
    <t xml:space="preserve">  age 6-7</t>
  </si>
  <si>
    <t xml:space="preserve">  age 8-9</t>
  </si>
  <si>
    <t xml:space="preserve">  age 10-11</t>
  </si>
  <si>
    <t>All 4-11</t>
  </si>
  <si>
    <t xml:space="preserve">  age 12-13</t>
  </si>
  <si>
    <t xml:space="preserve">  age 14-15</t>
  </si>
  <si>
    <t xml:space="preserve">  age 16-18</t>
  </si>
  <si>
    <t>All 12 - 18</t>
  </si>
  <si>
    <t>1. For those in full time education at school. The Main method of transport is recorded if there is more than one method.</t>
  </si>
  <si>
    <t>Census travel to work figures)</t>
  </si>
  <si>
    <t>1. Those whose current situation was described as self-employed, employed full-time or employed part-time.</t>
  </si>
  <si>
    <t xml:space="preserve">As means of transport </t>
  </si>
  <si>
    <r>
      <t xml:space="preserve">Just for pleasure or to keep fit </t>
    </r>
    <r>
      <rPr>
        <b/>
        <vertAlign val="superscript"/>
        <sz val="12"/>
        <rFont val="Arial"/>
        <family val="2"/>
      </rPr>
      <t>2</t>
    </r>
  </si>
  <si>
    <t xml:space="preserve">2  From April 2003, the questionnaire changed such that information on possession of driving licences and frequency of driving was no longer collected from </t>
  </si>
  <si>
    <t>At least</t>
  </si>
  <si>
    <t>Less</t>
  </si>
  <si>
    <t>1 (20 % most deprived)</t>
  </si>
  <si>
    <t>5 (20% least deprived)</t>
  </si>
  <si>
    <t xml:space="preserve">Sample size (=100%) </t>
  </si>
  <si>
    <t>size (=100%)</t>
  </si>
  <si>
    <t xml:space="preserve">                   </t>
  </si>
  <si>
    <r>
      <t>Rail</t>
    </r>
    <r>
      <rPr>
        <b/>
        <vertAlign val="superscript"/>
        <sz val="12"/>
        <rFont val="Arial"/>
        <family val="2"/>
      </rPr>
      <t>3</t>
    </r>
  </si>
  <si>
    <r>
      <t>Other</t>
    </r>
    <r>
      <rPr>
        <b/>
        <vertAlign val="superscript"/>
        <sz val="12"/>
        <rFont val="Arial"/>
        <family val="2"/>
      </rPr>
      <t>4</t>
    </r>
  </si>
  <si>
    <r>
      <t>School</t>
    </r>
    <r>
      <rPr>
        <b/>
        <vertAlign val="superscript"/>
        <sz val="12"/>
        <rFont val="Arial"/>
        <family val="2"/>
      </rPr>
      <t>2</t>
    </r>
  </si>
  <si>
    <t>2. Including those who were said to travel by private bus, and a few who went by works bus.</t>
  </si>
  <si>
    <r>
      <t xml:space="preserve">by means of leaving the UK and </t>
    </r>
    <r>
      <rPr>
        <b/>
        <i/>
        <sz val="12"/>
        <color indexed="8"/>
        <rFont val="Arial"/>
        <family val="2"/>
      </rPr>
      <t>main</t>
    </r>
    <r>
      <rPr>
        <b/>
        <sz val="12"/>
        <color indexed="8"/>
        <rFont val="Arial"/>
        <family val="2"/>
      </rPr>
      <t xml:space="preserve"> purposes of visits</t>
    </r>
  </si>
  <si>
    <r>
      <t xml:space="preserve">by </t>
    </r>
    <r>
      <rPr>
        <b/>
        <i/>
        <sz val="12"/>
        <rFont val="Arial"/>
        <family val="2"/>
      </rPr>
      <t>main</t>
    </r>
    <r>
      <rPr>
        <b/>
        <sz val="12"/>
        <rFont val="Arial"/>
        <family val="2"/>
      </rPr>
      <t xml:space="preserve"> purposes of visit and area visited</t>
    </r>
  </si>
  <si>
    <t>defined hits in a more robust way than the previous supplier so the figures for 2006 onwards are not on a  like for like basis with previous years.</t>
  </si>
  <si>
    <t>2008-09</t>
  </si>
  <si>
    <t>1.  These estimates are based on information from samples of passengers using the principal routes- see sections 3.14 and 4.4 of the text.</t>
  </si>
  <si>
    <t xml:space="preserve">2. “Other UK ports” includes information collected from Rosyth in 2008 Q2 &amp; Q3. </t>
  </si>
  <si>
    <r>
      <t>Other UK Ports</t>
    </r>
    <r>
      <rPr>
        <vertAlign val="superscript"/>
        <sz val="12"/>
        <rFont val="Arial"/>
        <family val="2"/>
      </rPr>
      <t xml:space="preserve"> 2</t>
    </r>
  </si>
  <si>
    <r>
      <t>Table 11.1</t>
    </r>
    <r>
      <rPr>
        <sz val="12"/>
        <rFont val="Arial"/>
        <family val="2"/>
      </rPr>
      <t xml:space="preserve">  Trips per person per year by main mode </t>
    </r>
  </si>
  <si>
    <r>
      <t xml:space="preserve">Table 11.2 </t>
    </r>
    <r>
      <rPr>
        <sz val="12"/>
        <rFont val="Arial"/>
        <family val="2"/>
      </rPr>
      <t xml:space="preserve"> Average distance travelled per person per year by main mode </t>
    </r>
  </si>
  <si>
    <r>
      <t xml:space="preserve">Table 11.3 </t>
    </r>
    <r>
      <rPr>
        <sz val="12"/>
        <rFont val="Arial"/>
        <family val="2"/>
      </rPr>
      <t xml:space="preserve"> Average length of trip by main mode </t>
    </r>
  </si>
  <si>
    <r>
      <t>Table 11.4</t>
    </r>
    <r>
      <rPr>
        <sz val="12"/>
        <rFont val="Arial"/>
        <family val="2"/>
      </rPr>
      <t xml:space="preserve">  Trips per person per year by purpose</t>
    </r>
  </si>
  <si>
    <r>
      <t xml:space="preserve">Table 11.5 </t>
    </r>
    <r>
      <rPr>
        <sz val="12"/>
        <rFont val="Arial"/>
        <family val="2"/>
      </rPr>
      <t xml:space="preserve"> Average distance travelled per person per year by purpose</t>
    </r>
  </si>
  <si>
    <r>
      <t xml:space="preserve">Table 11.6 </t>
    </r>
    <r>
      <rPr>
        <sz val="12"/>
        <rFont val="Arial"/>
        <family val="2"/>
      </rPr>
      <t xml:space="preserve"> Average length of trip by purpose </t>
    </r>
  </si>
  <si>
    <r>
      <t>Table 11.7</t>
    </r>
    <r>
      <rPr>
        <sz val="12"/>
        <rFont val="Arial"/>
        <family val="2"/>
      </rPr>
      <t xml:space="preserve">  Hours travelled per person per year by purpose </t>
    </r>
  </si>
  <si>
    <r>
      <t>Table 11.8</t>
    </r>
    <r>
      <rPr>
        <sz val="12"/>
        <rFont val="Arial"/>
        <family val="2"/>
      </rPr>
      <t xml:space="preserve">  Average duration of travel per trip by purpose </t>
    </r>
  </si>
  <si>
    <r>
      <t>Table 11.9</t>
    </r>
    <r>
      <rPr>
        <sz val="12"/>
        <rFont val="Arial"/>
        <family val="2"/>
      </rPr>
      <t xml:space="preserve">  Trips per person per year by main mode and cars available to the household </t>
    </r>
  </si>
  <si>
    <t>There are minor differences between Tables 11.26, 11.27 and 11.28, due to totals being calculated by adding separately-rounded numbers.</t>
  </si>
  <si>
    <t>2009-10</t>
  </si>
  <si>
    <r>
      <t xml:space="preserve">2009 </t>
    </r>
    <r>
      <rPr>
        <b/>
        <vertAlign val="superscript"/>
        <sz val="12"/>
        <rFont val="Arial"/>
        <family val="2"/>
      </rPr>
      <t>1</t>
    </r>
  </si>
  <si>
    <t>Aberdeen</t>
  </si>
  <si>
    <t>Total Edinburgh,  Glasgow, Prestwick &amp; Aberdeen</t>
  </si>
  <si>
    <t>Edinburgh, Glasgow, Prestwick &amp; Aberdeen</t>
  </si>
  <si>
    <r>
      <t xml:space="preserve">Table 11.12 </t>
    </r>
    <r>
      <rPr>
        <sz val="13"/>
        <rFont val="Arial"/>
        <family val="2"/>
      </rPr>
      <t xml:space="preserve"> Frequency of Driving</t>
    </r>
    <r>
      <rPr>
        <vertAlign val="superscript"/>
        <sz val="13"/>
        <rFont val="Arial"/>
        <family val="2"/>
      </rPr>
      <t xml:space="preserve">1,2  </t>
    </r>
    <r>
      <rPr>
        <sz val="13"/>
        <rFont val="Arial"/>
        <family val="2"/>
      </rPr>
      <t xml:space="preserve">for people aged 17+ </t>
    </r>
  </si>
  <si>
    <r>
      <t>Table 11.14</t>
    </r>
    <r>
      <rPr>
        <sz val="12"/>
        <rFont val="Arial"/>
        <family val="2"/>
      </rPr>
      <t xml:space="preserve">  Usual means of travel to usual place of work (in Autumn)</t>
    </r>
  </si>
  <si>
    <r>
      <t xml:space="preserve">Table 11.15(a) </t>
    </r>
    <r>
      <rPr>
        <sz val="12"/>
        <rFont val="Arial"/>
        <family val="2"/>
      </rPr>
      <t xml:space="preserve">  Usual time taken to travel to usual place of work (in Autumn)</t>
    </r>
  </si>
  <si>
    <r>
      <t xml:space="preserve">Table 11.16 </t>
    </r>
    <r>
      <rPr>
        <sz val="12"/>
        <rFont val="Arial"/>
        <family val="2"/>
      </rPr>
      <t xml:space="preserve">  Usual means of travel to work </t>
    </r>
    <r>
      <rPr>
        <vertAlign val="superscript"/>
        <sz val="12"/>
        <rFont val="Arial"/>
        <family val="2"/>
      </rPr>
      <t>1</t>
    </r>
    <r>
      <rPr>
        <sz val="12"/>
        <rFont val="Arial"/>
        <family val="2"/>
      </rPr>
      <t xml:space="preserve"> (in Spring)</t>
    </r>
  </si>
  <si>
    <r>
      <t>Table 11.20</t>
    </r>
    <r>
      <rPr>
        <sz val="13"/>
        <rFont val="Arial"/>
        <family val="2"/>
      </rPr>
      <t xml:space="preserve">   Travel to/from school (pupils aged 5 to 16) </t>
    </r>
    <r>
      <rPr>
        <vertAlign val="superscript"/>
        <sz val="13"/>
        <rFont val="Arial"/>
        <family val="2"/>
      </rPr>
      <t xml:space="preserve">1, 2 </t>
    </r>
  </si>
  <si>
    <r>
      <t>Table 11.21</t>
    </r>
    <r>
      <rPr>
        <sz val="13"/>
        <rFont val="Arial"/>
        <family val="2"/>
      </rPr>
      <t xml:space="preserve">   Employed </t>
    </r>
    <r>
      <rPr>
        <vertAlign val="superscript"/>
        <sz val="13"/>
        <rFont val="Arial"/>
        <family val="2"/>
      </rPr>
      <t>1</t>
    </r>
    <r>
      <rPr>
        <sz val="13"/>
        <rFont val="Arial"/>
        <family val="2"/>
      </rPr>
      <t xml:space="preserve"> adults (16+) - place of work</t>
    </r>
  </si>
  <si>
    <r>
      <t xml:space="preserve">Table 11.22 </t>
    </r>
    <r>
      <rPr>
        <sz val="13"/>
        <rFont val="Arial"/>
        <family val="2"/>
      </rPr>
      <t xml:space="preserve">  Employed </t>
    </r>
    <r>
      <rPr>
        <vertAlign val="superscript"/>
        <sz val="13"/>
        <rFont val="Arial"/>
        <family val="2"/>
      </rPr>
      <t>1</t>
    </r>
    <r>
      <rPr>
        <sz val="13"/>
        <rFont val="Arial"/>
        <family val="2"/>
      </rPr>
      <t xml:space="preserve"> adults (16+) not working from home - usual method of travel to work</t>
    </r>
  </si>
  <si>
    <r>
      <t>Table 11.23</t>
    </r>
    <r>
      <rPr>
        <sz val="13"/>
        <rFont val="Arial"/>
        <family val="2"/>
      </rPr>
      <t xml:space="preserve">   Usual main method of travel to school </t>
    </r>
    <r>
      <rPr>
        <vertAlign val="superscript"/>
        <sz val="13"/>
        <rFont val="Arial"/>
        <family val="2"/>
      </rPr>
      <t xml:space="preserve">1 </t>
    </r>
  </si>
  <si>
    <r>
      <t>Table 11.26</t>
    </r>
    <r>
      <rPr>
        <sz val="13"/>
        <rFont val="Arial"/>
        <family val="2"/>
      </rPr>
      <t xml:space="preserve"> Scottish residents' visits abroad, by means of leaving the UK</t>
    </r>
    <r>
      <rPr>
        <vertAlign val="superscript"/>
        <sz val="13"/>
        <rFont val="Arial"/>
        <family val="2"/>
      </rPr>
      <t>1,</t>
    </r>
    <r>
      <rPr>
        <sz val="13"/>
        <rFont val="Arial"/>
        <family val="2"/>
      </rPr>
      <t xml:space="preserve"> purpose of visit, and area visited</t>
    </r>
  </si>
  <si>
    <t>Source: Transport Scotland &amp; Strathclyde Partnership for Transport - Not National Statistics</t>
  </si>
  <si>
    <t>2001-02 &amp;  2002-03 figures do not include Eilean Siar.</t>
  </si>
  <si>
    <t>The Young People's Concessionary Travel Scheme started in 8 January 2007, aimed at 16 to 18 year olds (inclusive) and full time volunteers (aged under 26).</t>
  </si>
  <si>
    <t>N/A</t>
  </si>
  <si>
    <r>
      <t>Buses</t>
    </r>
    <r>
      <rPr>
        <vertAlign val="superscript"/>
        <sz val="12"/>
        <rFont val="Arial"/>
        <family val="2"/>
      </rPr>
      <t>2</t>
    </r>
  </si>
  <si>
    <t>Table 11.29   Passenger journeys made under concessionary fare schemes</t>
  </si>
  <si>
    <r>
      <t>all</t>
    </r>
    <r>
      <rPr>
        <b/>
        <sz val="12"/>
        <rFont val="Arial"/>
        <family val="2"/>
      </rPr>
      <t xml:space="preserve"> journeys made under concessionary fare schemes</t>
    </r>
    <r>
      <rPr>
        <b/>
        <vertAlign val="superscript"/>
        <sz val="12"/>
        <rFont val="Arial"/>
        <family val="2"/>
      </rPr>
      <t>1</t>
    </r>
  </si>
  <si>
    <t>Strathclyde Concessionary Travel scheme</t>
  </si>
  <si>
    <t>Other concessionary fare schemes</t>
  </si>
  <si>
    <r>
      <t>Other concessionary fare schemes</t>
    </r>
    <r>
      <rPr>
        <b/>
        <vertAlign val="superscript"/>
        <sz val="12"/>
        <color indexed="8"/>
        <rFont val="Arial"/>
        <family val="2"/>
      </rPr>
      <t>3</t>
    </r>
  </si>
  <si>
    <r>
      <t>All concessionary fare schemes</t>
    </r>
    <r>
      <rPr>
        <b/>
        <vertAlign val="superscript"/>
        <sz val="12"/>
        <color indexed="8"/>
        <rFont val="Arial"/>
        <family val="2"/>
      </rPr>
      <t>3</t>
    </r>
  </si>
  <si>
    <r>
      <t>of which</t>
    </r>
    <r>
      <rPr>
        <b/>
        <sz val="12"/>
        <rFont val="Arial"/>
        <family val="2"/>
      </rPr>
      <t xml:space="preserve">:     journeys which were made </t>
    </r>
    <r>
      <rPr>
        <b/>
        <i/>
        <sz val="12"/>
        <rFont val="Arial"/>
        <family val="2"/>
      </rPr>
      <t>free of charge</t>
    </r>
    <r>
      <rPr>
        <b/>
        <sz val="12"/>
        <rFont val="Arial"/>
        <family val="2"/>
      </rPr>
      <t xml:space="preserve"> to the traveller</t>
    </r>
    <r>
      <rPr>
        <b/>
        <vertAlign val="superscript"/>
        <sz val="12"/>
        <rFont val="Arial"/>
        <family val="2"/>
      </rPr>
      <t>1</t>
    </r>
  </si>
  <si>
    <r>
      <t>Ferries</t>
    </r>
    <r>
      <rPr>
        <vertAlign val="superscript"/>
        <sz val="12"/>
        <rFont val="Arial"/>
        <family val="2"/>
      </rPr>
      <t>5</t>
    </r>
    <r>
      <rPr>
        <sz val="12"/>
        <rFont val="Arial"/>
        <family val="2"/>
      </rPr>
      <t xml:space="preserve"> </t>
    </r>
  </si>
  <si>
    <t xml:space="preserve">The National Concessionary Travel bus scheme was introduced on 1st April 2006, which allows elderly and disabled free travel on all scheduled bus services in Scotland. This replaced any local schemes. </t>
  </si>
  <si>
    <r>
      <t xml:space="preserve">Table 11.30   Traveline Scotland: telephone calls and web site hits </t>
    </r>
    <r>
      <rPr>
        <b/>
        <vertAlign val="superscript"/>
        <sz val="13"/>
        <rFont val="Arial"/>
        <family val="2"/>
      </rPr>
      <t>1</t>
    </r>
  </si>
  <si>
    <t>Figures include a degree of estimation (e.g. allowances for claims not yet been processed) and may incur some small revisions to previously published data.</t>
  </si>
  <si>
    <r>
      <t xml:space="preserve">2010 </t>
    </r>
    <r>
      <rPr>
        <b/>
        <vertAlign val="superscript"/>
        <sz val="12"/>
        <rFont val="Arial"/>
        <family val="2"/>
      </rPr>
      <t>1</t>
    </r>
  </si>
  <si>
    <t>Note: This table is no longer being updated. Henceforth, information about average times taken to travel to work will be given in Table 11.15 (b),</t>
  </si>
  <si>
    <t>The Reimbursement Rate for the National Concessionary Travel bus scheme changed from 73.6%  applicable in 2006/07 to 2009/10 to 67% applicable from 2010-11.</t>
  </si>
  <si>
    <r>
      <t>Buses</t>
    </r>
    <r>
      <rPr>
        <vertAlign val="superscript"/>
        <sz val="12"/>
        <rFont val="Arial"/>
        <family val="2"/>
      </rPr>
      <t>2,4,5</t>
    </r>
  </si>
  <si>
    <r>
      <t>Buses</t>
    </r>
    <r>
      <rPr>
        <vertAlign val="superscript"/>
        <sz val="12"/>
        <rFont val="Arial"/>
        <family val="2"/>
      </rPr>
      <t xml:space="preserve">2,4,5 </t>
    </r>
    <r>
      <rPr>
        <sz val="12"/>
        <rFont val="Arial"/>
        <family val="2"/>
      </rPr>
      <t>(ie. the National schemes)</t>
    </r>
  </si>
  <si>
    <t xml:space="preserve">HIts are the record of unique visits to the web site. The web site supplier changed on 1 January 2006 and the new supplier </t>
  </si>
  <si>
    <r>
      <t>Ferries</t>
    </r>
    <r>
      <rPr>
        <vertAlign val="superscript"/>
        <sz val="12"/>
        <rFont val="Arial"/>
        <family val="2"/>
      </rPr>
      <t>6</t>
    </r>
  </si>
  <si>
    <t>A small charge was introduced for ferries in 2010.</t>
  </si>
  <si>
    <t>* Sample size for this cell is too small for reliable estimates.</t>
  </si>
  <si>
    <t>Source: Oct-Dec, Office for National Statistics (ONS) Labour Force Survey.</t>
  </si>
  <si>
    <t>Notes: Some of the figures shown in table 11.15 (b) differ slightly from those in 11.15 (a) due to differing methodology used to extract.</t>
  </si>
  <si>
    <t xml:space="preserve">           Results are weighted using population estimates to ensure they are representative of the population at large.</t>
  </si>
  <si>
    <t>1. Data are for males and females in employment aged 16-99.</t>
  </si>
  <si>
    <t>2. Maximum recorded value of usual travel to work time = 180 minutes.</t>
  </si>
  <si>
    <r>
      <t xml:space="preserve">Table 11.15(b) </t>
    </r>
    <r>
      <rPr>
        <sz val="12"/>
        <rFont val="Arial"/>
        <family val="2"/>
      </rPr>
      <t xml:space="preserve">  Usual time taken to travel to usual place of work (in Autumn) </t>
    </r>
    <r>
      <rPr>
        <vertAlign val="superscript"/>
        <sz val="12"/>
        <rFont val="Arial"/>
        <family val="2"/>
      </rPr>
      <t>1,2</t>
    </r>
  </si>
  <si>
    <t xml:space="preserve">   </t>
  </si>
  <si>
    <t>Rail, including underground</t>
  </si>
  <si>
    <t>1. Those in full-time employment, part-time employment and self-employed only.</t>
  </si>
  <si>
    <t>1995-96</t>
  </si>
  <si>
    <t>1996-97</t>
  </si>
  <si>
    <t>1997-98</t>
  </si>
  <si>
    <t>1998-99</t>
  </si>
  <si>
    <t>1999-00</t>
  </si>
  <si>
    <t>2010-11</t>
  </si>
  <si>
    <r>
      <t xml:space="preserve">2011 </t>
    </r>
    <r>
      <rPr>
        <b/>
        <vertAlign val="superscript"/>
        <sz val="12"/>
        <rFont val="Arial"/>
        <family val="2"/>
      </rPr>
      <t>1</t>
    </r>
  </si>
  <si>
    <t>2011-12</t>
  </si>
  <si>
    <t xml:space="preserve">                       </t>
  </si>
  <si>
    <t xml:space="preserve">(a)  People: by car, bus or train      </t>
  </si>
  <si>
    <t>Destination</t>
  </si>
  <si>
    <t>Origin</t>
  </si>
  <si>
    <t>Edinburgh &amp; Lothian</t>
  </si>
  <si>
    <t>Dumfries &amp; Galloway</t>
  </si>
  <si>
    <t>Perth &amp; Kinross</t>
  </si>
  <si>
    <t xml:space="preserve">Elsewhere in Scotland </t>
  </si>
  <si>
    <t>Perth and Kinross</t>
  </si>
  <si>
    <t>Elsewhere in Scotland</t>
  </si>
  <si>
    <t xml:space="preserve">(b)  People: by car      </t>
  </si>
  <si>
    <t>Source: Transport Scotland (Transport Model for Scotland:07) - Not National Statistics</t>
  </si>
  <si>
    <t>1.  All travel movements between the 720 zones used to represent the UK. - see section 4.5 of the commentary.</t>
  </si>
  <si>
    <t xml:space="preserve">     The number of shorter distance trips which travel within a model zone area is not known.</t>
  </si>
  <si>
    <t>2.  Strathclyde excluding Ayrshire</t>
  </si>
  <si>
    <t>3.  Aberdeen City, Aberdeenshire and Angus</t>
  </si>
  <si>
    <t>4.  This traffic and travel data was extracted from the Transport Model for Scotland 2007 (TMfS:07) (Base Year Version BY20, Model Version TMfS V2.0).</t>
  </si>
  <si>
    <t xml:space="preserve">     The data reflects daily travel movements within a 2007 base year and represents the most recent data available from the LATIS service (Model version V1.12 2007 BY05)</t>
  </si>
  <si>
    <t xml:space="preserve">     TMfS:07 covers the whole of the Scottish Strategic Transport network.  England is represented with much less detail.</t>
  </si>
  <si>
    <t xml:space="preserve">     The data reflects 'inter-zonal trips', which includes all travel movements between the 720 zones used to represent the UK.</t>
  </si>
  <si>
    <t xml:space="preserve">     The data does not include more local or short distance movements travelling wholly within model zones.</t>
  </si>
  <si>
    <t xml:space="preserve">(c)  People: by bus or train     </t>
  </si>
  <si>
    <t xml:space="preserve">(d)  Vehicle trips: cars and goods vehicles only   </t>
  </si>
  <si>
    <t>Edinburgh Lothians Borders</t>
  </si>
  <si>
    <t>Fife Central Perth &amp; Kinross</t>
  </si>
  <si>
    <t>Ayrshire, Dumfries &amp; Galloway</t>
  </si>
  <si>
    <t>Dundee and Aberdeen</t>
  </si>
  <si>
    <t>Cumbria</t>
  </si>
  <si>
    <t>Northumberland</t>
  </si>
  <si>
    <t>South West England &amp; Wales</t>
  </si>
  <si>
    <t>County Durham</t>
  </si>
  <si>
    <t>Yorkshire and South East England</t>
  </si>
  <si>
    <t>Total cross-border</t>
  </si>
  <si>
    <t>Edinburgh, Lothians, Borders</t>
  </si>
  <si>
    <t>Fife, Central, Perth &amp; Kinross</t>
  </si>
  <si>
    <t>Yorkshire &amp; SE England</t>
  </si>
  <si>
    <t>(b)  People: by car</t>
  </si>
  <si>
    <t>1. The model's method of estimating public transport trips may underestimate cross border traffic.</t>
  </si>
  <si>
    <t>3.  This traffic and travel data was extracted from the Transport Model for Scotland 2007 (TMfS:07) (Base Year Version BY20, Model Version TMfS V2.0).</t>
  </si>
  <si>
    <t>(d)  Vehicle trips: cars and goods vehicles only</t>
  </si>
  <si>
    <r>
      <t xml:space="preserve">Table 11.27       Transport Model for Scotland: inter-zonal </t>
    </r>
    <r>
      <rPr>
        <b/>
        <vertAlign val="superscript"/>
        <sz val="14"/>
        <rFont val="Arial"/>
        <family val="2"/>
      </rPr>
      <t>1</t>
    </r>
    <r>
      <rPr>
        <b/>
        <sz val="14"/>
        <rFont val="Arial"/>
        <family val="2"/>
      </rPr>
      <t xml:space="preserve">  trips made on an average weekday - within Scotland: circa 2008 </t>
    </r>
    <r>
      <rPr>
        <b/>
        <vertAlign val="superscript"/>
        <sz val="14"/>
        <rFont val="Arial"/>
        <family val="2"/>
      </rPr>
      <t>4</t>
    </r>
  </si>
  <si>
    <r>
      <t>Glasgow &amp;   S'clyde</t>
    </r>
    <r>
      <rPr>
        <b/>
        <vertAlign val="superscript"/>
        <sz val="14"/>
        <rFont val="Arial"/>
        <family val="2"/>
      </rPr>
      <t>2</t>
    </r>
  </si>
  <si>
    <r>
      <t xml:space="preserve">Aberdeen &amp; North East </t>
    </r>
    <r>
      <rPr>
        <b/>
        <vertAlign val="superscript"/>
        <sz val="14"/>
        <rFont val="Arial"/>
        <family val="2"/>
      </rPr>
      <t>3</t>
    </r>
  </si>
  <si>
    <r>
      <t>Glasgow &amp; Strathclyde</t>
    </r>
    <r>
      <rPr>
        <vertAlign val="superscript"/>
        <sz val="14"/>
        <rFont val="Arial"/>
        <family val="2"/>
      </rPr>
      <t>2</t>
    </r>
  </si>
  <si>
    <r>
      <t>Aberdeen &amp; North East</t>
    </r>
    <r>
      <rPr>
        <vertAlign val="superscript"/>
        <sz val="14"/>
        <rFont val="Arial"/>
        <family val="2"/>
      </rPr>
      <t>3</t>
    </r>
  </si>
  <si>
    <r>
      <t xml:space="preserve">Aberdeen &amp; North East </t>
    </r>
    <r>
      <rPr>
        <vertAlign val="superscript"/>
        <sz val="14"/>
        <rFont val="Arial"/>
        <family val="2"/>
      </rPr>
      <t>2</t>
    </r>
  </si>
  <si>
    <r>
      <t xml:space="preserve">Table 11.27 (continued)         Transport Model for Scotland: inter-zonal </t>
    </r>
    <r>
      <rPr>
        <b/>
        <vertAlign val="superscript"/>
        <sz val="14"/>
        <rFont val="Arial"/>
        <family val="2"/>
      </rPr>
      <t>1</t>
    </r>
    <r>
      <rPr>
        <b/>
        <sz val="14"/>
        <rFont val="Arial"/>
        <family val="2"/>
      </rPr>
      <t xml:space="preserve"> trips made on an average weekday - within Scotland: circa 2008 </t>
    </r>
    <r>
      <rPr>
        <b/>
        <vertAlign val="superscript"/>
        <sz val="14"/>
        <rFont val="Arial"/>
        <family val="2"/>
      </rPr>
      <t>4</t>
    </r>
  </si>
  <si>
    <r>
      <t>Glasgow &amp; S'clyde</t>
    </r>
    <r>
      <rPr>
        <b/>
        <vertAlign val="superscript"/>
        <sz val="14"/>
        <rFont val="Arial"/>
        <family val="2"/>
      </rPr>
      <t>2</t>
    </r>
  </si>
  <si>
    <r>
      <t>Glasgow &amp; S'clyde</t>
    </r>
    <r>
      <rPr>
        <b/>
        <vertAlign val="superscript"/>
        <sz val="14"/>
        <rFont val="Arial"/>
        <family val="2"/>
      </rPr>
      <t>1</t>
    </r>
  </si>
  <si>
    <r>
      <t xml:space="preserve">Aberdeen &amp; North East </t>
    </r>
    <r>
      <rPr>
        <b/>
        <vertAlign val="superscript"/>
        <sz val="14"/>
        <rFont val="Arial"/>
        <family val="2"/>
      </rPr>
      <t>2</t>
    </r>
  </si>
  <si>
    <r>
      <t>Table 11.28   Transport Model for Scotland</t>
    </r>
    <r>
      <rPr>
        <b/>
        <vertAlign val="superscript"/>
        <sz val="14"/>
        <rFont val="Arial"/>
        <family val="2"/>
      </rPr>
      <t>4</t>
    </r>
    <r>
      <rPr>
        <b/>
        <sz val="14"/>
        <rFont val="Arial"/>
        <family val="2"/>
      </rPr>
      <t>: trips made on an average weekday - between Scotland and England &amp; Wales: circa 2008</t>
    </r>
    <r>
      <rPr>
        <b/>
        <vertAlign val="superscript"/>
        <sz val="14"/>
        <rFont val="Arial"/>
        <family val="2"/>
      </rPr>
      <t xml:space="preserve"> 3</t>
    </r>
  </si>
  <si>
    <r>
      <t xml:space="preserve">(a)  People: by car, bus or train </t>
    </r>
    <r>
      <rPr>
        <b/>
        <vertAlign val="superscript"/>
        <sz val="14"/>
        <rFont val="Arial"/>
        <family val="2"/>
      </rPr>
      <t>1</t>
    </r>
  </si>
  <si>
    <r>
      <t>Glasgow &amp; Strathclyde</t>
    </r>
    <r>
      <rPr>
        <b/>
        <vertAlign val="superscript"/>
        <sz val="14"/>
        <rFont val="Arial"/>
        <family val="2"/>
      </rPr>
      <t>2</t>
    </r>
  </si>
  <si>
    <r>
      <t>Glasgow &amp; Strathclyde</t>
    </r>
    <r>
      <rPr>
        <vertAlign val="superscript"/>
        <sz val="14"/>
        <rFont val="Arial"/>
        <family val="2"/>
      </rPr>
      <t xml:space="preserve"> 2</t>
    </r>
  </si>
  <si>
    <r>
      <t>Glasgow &amp; Strathclyde</t>
    </r>
    <r>
      <rPr>
        <b/>
        <vertAlign val="superscript"/>
        <sz val="14"/>
        <rFont val="Arial"/>
        <family val="2"/>
      </rPr>
      <t>3</t>
    </r>
  </si>
  <si>
    <r>
      <t xml:space="preserve">Table 11.28 (continued)      Transport Model for Scotland1: trips made on an average weekday - between Scotland and England &amp; Wales: circa 2008 </t>
    </r>
    <r>
      <rPr>
        <b/>
        <vertAlign val="superscript"/>
        <sz val="14"/>
        <rFont val="Arial"/>
        <family val="2"/>
      </rPr>
      <t>3</t>
    </r>
  </si>
  <si>
    <r>
      <t xml:space="preserve">(c)  People: by bus or train </t>
    </r>
    <r>
      <rPr>
        <b/>
        <vertAlign val="superscript"/>
        <sz val="14"/>
        <rFont val="Arial"/>
        <family val="2"/>
      </rPr>
      <t>1</t>
    </r>
  </si>
  <si>
    <r>
      <t>Glasgow and Strathclyde</t>
    </r>
    <r>
      <rPr>
        <b/>
        <vertAlign val="superscript"/>
        <sz val="14"/>
        <rFont val="Arial"/>
        <family val="2"/>
      </rPr>
      <t xml:space="preserve"> 2</t>
    </r>
  </si>
  <si>
    <t xml:space="preserve">3. The large fall between 2010 and 2011 is due to a small sample size with a small number of very extreme values that are very sensitive to change </t>
  </si>
  <si>
    <t>Consists of 6,211.7 unique web visits and 1219.2 app departure board visits (thousands)</t>
  </si>
  <si>
    <t>Total number of hits now includes visits to bus departure boards on the Traveline Scotland app</t>
  </si>
  <si>
    <t>Web &amp; App hits</t>
  </si>
  <si>
    <t>1993-94</t>
  </si>
  <si>
    <t xml:space="preserve">Note: The Scottish Household Survey Travel Diary asks car drivers whether their journey was delayed by congestion.  </t>
  </si>
  <si>
    <t xml:space="preserve">Those making bus journeys are asked whether their journey was delayed and there is a separate question asking the reason. </t>
  </si>
  <si>
    <t>The data on reason for delay is included in the SHS Travel Diary publication.</t>
  </si>
  <si>
    <t>All people in 2012:</t>
  </si>
  <si>
    <r>
      <t xml:space="preserve">2012 </t>
    </r>
    <r>
      <rPr>
        <b/>
        <vertAlign val="superscript"/>
        <sz val="12"/>
        <rFont val="Arial"/>
        <family val="2"/>
      </rPr>
      <t>1</t>
    </r>
  </si>
  <si>
    <r>
      <t>47</t>
    </r>
    <r>
      <rPr>
        <vertAlign val="superscript"/>
        <sz val="12"/>
        <rFont val="Arial"/>
        <family val="2"/>
      </rPr>
      <t xml:space="preserve"> 3</t>
    </r>
  </si>
  <si>
    <t>2012-13</t>
  </si>
  <si>
    <t>Note: these tables are out of date and we will be publishing more up-to-date ones in due course.</t>
  </si>
  <si>
    <t>More in-depth information about the Transport Model for Scotland can be found on the LATIS website here</t>
  </si>
  <si>
    <t>http://www.transportscotland.gov.uk/analysis/LATIS</t>
  </si>
  <si>
    <t>every day</t>
  </si>
  <si>
    <t>at least three times a week</t>
  </si>
  <si>
    <t>once or twice a week</t>
  </si>
  <si>
    <t>less often</t>
  </si>
  <si>
    <t>Never, but holds full driving licence</t>
  </si>
  <si>
    <r>
      <t xml:space="preserve">or to keep fit </t>
    </r>
    <r>
      <rPr>
        <b/>
        <vertAlign val="superscript"/>
        <sz val="12"/>
        <rFont val="Arial"/>
        <family val="2"/>
      </rPr>
      <t>2</t>
    </r>
  </si>
  <si>
    <t>by number of cars:</t>
  </si>
  <si>
    <t>one</t>
  </si>
  <si>
    <t>two +</t>
  </si>
  <si>
    <t>Household type</t>
  </si>
  <si>
    <t>Single adult</t>
  </si>
  <si>
    <t>Small adult</t>
  </si>
  <si>
    <t>Single parent</t>
  </si>
  <si>
    <t>Small family</t>
  </si>
  <si>
    <t>Large family</t>
  </si>
  <si>
    <t>Large adult</t>
  </si>
  <si>
    <t>Older smaller</t>
  </si>
  <si>
    <t xml:space="preserve"> up to £15,000 p.a.</t>
  </si>
  <si>
    <t xml:space="preserve"> Small accessible towns and small   remote towns</t>
  </si>
  <si>
    <t>One</t>
  </si>
  <si>
    <t>Two +</t>
  </si>
  <si>
    <t>Household type:</t>
  </si>
  <si>
    <t>Large family/Large adult</t>
  </si>
  <si>
    <t xml:space="preserve">Works </t>
  </si>
  <si>
    <t>Cycle</t>
  </si>
  <si>
    <t>Scooter/Skate</t>
  </si>
  <si>
    <t>Park &amp; Stride</t>
  </si>
  <si>
    <t>Driven</t>
  </si>
  <si>
    <t>Taxi</t>
  </si>
  <si>
    <t>1. All schools excluding nursery</t>
  </si>
  <si>
    <r>
      <rPr>
        <b/>
        <sz val="13"/>
        <rFont val="Arial"/>
        <family val="2"/>
      </rPr>
      <t>Table 11.23a</t>
    </r>
    <r>
      <rPr>
        <sz val="13"/>
        <rFont val="Arial"/>
        <family val="2"/>
      </rPr>
      <t xml:space="preserve">  Usual main method of travel to school - Hands Up Scotland Survey </t>
    </r>
    <r>
      <rPr>
        <vertAlign val="superscript"/>
        <sz val="13"/>
        <rFont val="Arial"/>
        <family val="2"/>
      </rPr>
      <t>1</t>
    </r>
  </si>
  <si>
    <t>Source: Hands Up Scotland Survey -  Not National Statistics</t>
  </si>
  <si>
    <t>~</t>
  </si>
  <si>
    <t>~ Less than half a per cent but greater than zero.</t>
  </si>
  <si>
    <r>
      <t>Table 11.10</t>
    </r>
    <r>
      <rPr>
        <sz val="13"/>
        <rFont val="Arial"/>
        <family val="2"/>
      </rPr>
      <t xml:space="preserve">  Frequency of driving*</t>
    </r>
    <r>
      <rPr>
        <vertAlign val="superscript"/>
        <sz val="13"/>
        <rFont val="Arial"/>
        <family val="2"/>
      </rPr>
      <t xml:space="preserve"> </t>
    </r>
    <r>
      <rPr>
        <sz val="13"/>
        <rFont val="Arial"/>
        <family val="2"/>
      </rPr>
      <t>for people aged 17+: 2013</t>
    </r>
  </si>
  <si>
    <r>
      <t xml:space="preserve">Table 11.17   </t>
    </r>
    <r>
      <rPr>
        <sz val="12"/>
        <rFont val="Arial"/>
        <family val="2"/>
      </rPr>
      <t>Employed</t>
    </r>
    <r>
      <rPr>
        <vertAlign val="superscript"/>
        <sz val="12"/>
        <rFont val="Arial"/>
        <family val="2"/>
      </rPr>
      <t>1</t>
    </r>
    <r>
      <rPr>
        <sz val="12"/>
        <rFont val="Arial"/>
        <family val="2"/>
      </rPr>
      <t xml:space="preserve"> adults (16+) - place of work: 2013</t>
    </r>
  </si>
  <si>
    <r>
      <t xml:space="preserve">Table 11.18 </t>
    </r>
    <r>
      <rPr>
        <sz val="13"/>
        <rFont val="Arial"/>
        <family val="2"/>
      </rPr>
      <t xml:space="preserve">  Employed</t>
    </r>
    <r>
      <rPr>
        <vertAlign val="superscript"/>
        <sz val="13"/>
        <rFont val="Arial"/>
        <family val="2"/>
      </rPr>
      <t>1</t>
    </r>
    <r>
      <rPr>
        <sz val="13"/>
        <rFont val="Arial"/>
        <family val="2"/>
      </rPr>
      <t xml:space="preserve"> adults (16+) not working from home - usual method of travel to work: 2013</t>
    </r>
  </si>
  <si>
    <r>
      <t>Table 11.19</t>
    </r>
    <r>
      <rPr>
        <sz val="13"/>
        <rFont val="Arial"/>
        <family val="2"/>
      </rPr>
      <t xml:space="preserve">   Usual main method of travel to school</t>
    </r>
    <r>
      <rPr>
        <vertAlign val="superscript"/>
        <sz val="13"/>
        <rFont val="Arial"/>
        <family val="2"/>
      </rPr>
      <t>1</t>
    </r>
    <r>
      <rPr>
        <sz val="13"/>
        <rFont val="Arial"/>
        <family val="2"/>
      </rPr>
      <t>: 2013</t>
    </r>
  </si>
  <si>
    <r>
      <t xml:space="preserve">Table 11.24  </t>
    </r>
    <r>
      <rPr>
        <sz val="12"/>
        <rFont val="Arial"/>
        <family val="2"/>
      </rPr>
      <t>Scottish residents' visits abroad by means of leaving the UK and purpose of visit, 2013</t>
    </r>
  </si>
  <si>
    <r>
      <t>Table 11.25</t>
    </r>
    <r>
      <rPr>
        <sz val="13"/>
        <rFont val="Arial"/>
        <family val="2"/>
      </rPr>
      <t xml:space="preserve">  Scottish residents' visits abroad by means of leaving the UK </t>
    </r>
    <r>
      <rPr>
        <vertAlign val="superscript"/>
        <sz val="13"/>
        <rFont val="Arial"/>
        <family val="2"/>
      </rPr>
      <t xml:space="preserve">1 </t>
    </r>
    <r>
      <rPr>
        <sz val="13"/>
        <rFont val="Arial"/>
        <family val="2"/>
      </rPr>
      <t>and area visited, 2013</t>
    </r>
  </si>
  <si>
    <t>2013-14</t>
  </si>
  <si>
    <r>
      <t xml:space="preserve">2013 </t>
    </r>
    <r>
      <rPr>
        <b/>
        <vertAlign val="superscript"/>
        <sz val="12"/>
        <rFont val="Arial"/>
        <family val="2"/>
      </rPr>
      <t>1</t>
    </r>
  </si>
  <si>
    <t>Figure 11.4: Driver experience of congestion and bus passenger experience of delays 2003-2013</t>
  </si>
  <si>
    <r>
      <t xml:space="preserve">Engaged tone </t>
    </r>
    <r>
      <rPr>
        <vertAlign val="superscript"/>
        <sz val="12"/>
        <rFont val="Arial"/>
        <family val="2"/>
      </rPr>
      <t>3</t>
    </r>
  </si>
  <si>
    <r>
      <t xml:space="preserve">Other </t>
    </r>
    <r>
      <rPr>
        <vertAlign val="superscript"/>
        <sz val="12"/>
        <rFont val="Arial"/>
        <family val="2"/>
      </rPr>
      <t>3</t>
    </r>
  </si>
  <si>
    <t>Categerisation of unanswered calls no longer takes place.</t>
  </si>
  <si>
    <r>
      <t xml:space="preserve">Daily average answered  </t>
    </r>
    <r>
      <rPr>
        <vertAlign val="superscript"/>
        <sz val="12"/>
        <rFont val="Arial"/>
        <family val="2"/>
      </rPr>
      <t xml:space="preserve">4 </t>
    </r>
  </si>
  <si>
    <r>
      <t xml:space="preserve">Daily average hits </t>
    </r>
    <r>
      <rPr>
        <vertAlign val="superscript"/>
        <sz val="12"/>
        <rFont val="Arial"/>
        <family val="2"/>
      </rPr>
      <t>4</t>
    </r>
  </si>
  <si>
    <r>
      <t xml:space="preserve">Total number of hits </t>
    </r>
    <r>
      <rPr>
        <vertAlign val="superscript"/>
        <sz val="12"/>
        <rFont val="Arial"/>
        <family val="2"/>
      </rPr>
      <t>5, 6</t>
    </r>
  </si>
  <si>
    <t>**</t>
  </si>
  <si>
    <r>
      <t xml:space="preserve">Table 11.11  </t>
    </r>
    <r>
      <rPr>
        <sz val="12"/>
        <rFont val="Arial"/>
        <family val="2"/>
      </rPr>
      <t xml:space="preserve">Frequency of Walking in the previous seven days </t>
    </r>
    <r>
      <rPr>
        <vertAlign val="superscript"/>
        <sz val="12"/>
        <rFont val="Arial"/>
        <family val="2"/>
      </rPr>
      <t xml:space="preserve">1 </t>
    </r>
    <r>
      <rPr>
        <sz val="12"/>
        <rFont val="Arial"/>
        <family val="2"/>
      </rPr>
      <t xml:space="preserve">(people aged 16+): 2012 </t>
    </r>
    <r>
      <rPr>
        <vertAlign val="superscript"/>
        <sz val="12"/>
        <rFont val="Arial"/>
        <family val="2"/>
      </rPr>
      <t>2</t>
    </r>
  </si>
  <si>
    <r>
      <t>Table 11.13</t>
    </r>
    <r>
      <rPr>
        <sz val="13"/>
        <rFont val="Arial"/>
        <family val="2"/>
      </rPr>
      <t xml:space="preserve">   Frequency of Walking in the previous seven days</t>
    </r>
    <r>
      <rPr>
        <vertAlign val="superscript"/>
        <sz val="13"/>
        <rFont val="Arial"/>
        <family val="2"/>
      </rPr>
      <t>1 2</t>
    </r>
    <r>
      <rPr>
        <sz val="13"/>
        <rFont val="Arial"/>
        <family val="2"/>
      </rPr>
      <t xml:space="preserve">  (people aged 16+)</t>
    </r>
  </si>
  <si>
    <t>Figure 11.3: Travel to work a) 2003 and b) 2013</t>
  </si>
  <si>
    <t>** Cell value suppressed as contain less than 5 responses.</t>
  </si>
  <si>
    <t>hjhjkk</t>
  </si>
  <si>
    <r>
      <t>by frequency of driving:</t>
    </r>
    <r>
      <rPr>
        <b/>
        <vertAlign val="superscript"/>
        <sz val="12"/>
        <color indexed="8"/>
        <rFont val="Arial"/>
        <family val="2"/>
      </rPr>
      <t xml:space="preserve"> #</t>
    </r>
  </si>
  <si>
    <t># Only includes those with a full driving licence.</t>
  </si>
  <si>
    <t>All people aged 16+ in 2013:</t>
  </si>
  <si>
    <t>Aberdeen City &amp; Shire</t>
  </si>
  <si>
    <t>Stirling, Falkirk &amp; Clacks</t>
  </si>
  <si>
    <t>Rest of UK</t>
  </si>
  <si>
    <t xml:space="preserve">2.  East Dunbartonshire, East Renfrewshire, Glasgow City, Inverclyde, North Lanarkshire, Renfrewshire, South Lanarkshire and West Dunbartonshire </t>
  </si>
  <si>
    <t>3.  City of Edinburgh, East Lothian, Midlothian, Fife (South), Scottish Borders and West Lothian</t>
  </si>
  <si>
    <t>4.  Dundee City, Angus, Perth &amp; Kinross and Fife (North)</t>
  </si>
  <si>
    <t>5.  This traffic and travel data was extracted from the Transport Model for Scotland 2012 (TMfS12) (Base Year Version AE, Model Version TMfS12 V1.0).</t>
  </si>
  <si>
    <t xml:space="preserve">     The data reflects daily travel movements within a 2012 base year and represents the most recent data available from the LATIS service</t>
  </si>
  <si>
    <t xml:space="preserve">     TMfS12 covers the whole of the Scottish Strategic Transport network.  England is represented with much less detail.</t>
  </si>
  <si>
    <r>
      <t xml:space="preserve">Clydeplan </t>
    </r>
    <r>
      <rPr>
        <b/>
        <vertAlign val="superscript"/>
        <sz val="10"/>
        <rFont val="Arial"/>
        <family val="2"/>
      </rPr>
      <t>2</t>
    </r>
  </si>
  <si>
    <r>
      <t xml:space="preserve">SESplan </t>
    </r>
    <r>
      <rPr>
        <b/>
        <vertAlign val="superscript"/>
        <sz val="10"/>
        <rFont val="Arial"/>
        <family val="2"/>
      </rPr>
      <t>3</t>
    </r>
  </si>
  <si>
    <r>
      <t xml:space="preserve">TAYplan </t>
    </r>
    <r>
      <rPr>
        <b/>
        <vertAlign val="superscript"/>
        <sz val="10"/>
        <rFont val="Arial"/>
        <family val="2"/>
      </rPr>
      <t>4</t>
    </r>
  </si>
  <si>
    <t>Source: Transport Scotland (Transport Model for Scotland:12) - Not National Statistics</t>
  </si>
  <si>
    <t>-</t>
  </si>
  <si>
    <r>
      <t>Clydeplan</t>
    </r>
    <r>
      <rPr>
        <vertAlign val="superscript"/>
        <sz val="10"/>
        <rFont val="Arial"/>
        <family val="2"/>
      </rPr>
      <t>2</t>
    </r>
  </si>
  <si>
    <r>
      <t>SESplan</t>
    </r>
    <r>
      <rPr>
        <vertAlign val="superscript"/>
        <sz val="10"/>
        <rFont val="Arial"/>
        <family val="2"/>
      </rPr>
      <t>3</t>
    </r>
  </si>
  <si>
    <r>
      <t>TAYplan</t>
    </r>
    <r>
      <rPr>
        <vertAlign val="superscript"/>
        <sz val="10"/>
        <rFont val="Arial"/>
        <family val="2"/>
      </rPr>
      <t>4</t>
    </r>
  </si>
  <si>
    <t>Source: Office for National Statistics</t>
  </si>
  <si>
    <t>Source: Scottish Household Survey</t>
  </si>
  <si>
    <t>Source: Transport Statistics Great Britain</t>
  </si>
  <si>
    <t>Note: This table has been removed as data are no longer available for Scotland .</t>
  </si>
  <si>
    <t>Note: This table has been removed as data are no longer available for Scotland.</t>
  </si>
  <si>
    <t xml:space="preserve"> Latest Scottish estimates are given in table 11.19 although this is based on a different source.</t>
  </si>
  <si>
    <r>
      <t xml:space="preserve">Table 11.27  </t>
    </r>
    <r>
      <rPr>
        <sz val="12"/>
        <rFont val="Arial"/>
        <family val="2"/>
      </rPr>
      <t xml:space="preserve">Transport Model for Scotland: inter-zonal </t>
    </r>
    <r>
      <rPr>
        <vertAlign val="superscript"/>
        <sz val="12"/>
        <rFont val="Arial"/>
        <family val="2"/>
      </rPr>
      <t>1</t>
    </r>
    <r>
      <rPr>
        <sz val="12"/>
        <rFont val="Arial"/>
        <family val="2"/>
      </rPr>
      <t xml:space="preserve"> trips made on an average weekday - within Scotland: circa 2012 </t>
    </r>
    <r>
      <rPr>
        <vertAlign val="superscript"/>
        <sz val="12"/>
        <rFont val="Arial"/>
        <family val="2"/>
      </rPr>
      <t>5</t>
    </r>
  </si>
  <si>
    <t>All people aged 17+ in 2013:</t>
  </si>
  <si>
    <t>Work mainly at or from home</t>
  </si>
  <si>
    <t>Less than 2km</t>
  </si>
  <si>
    <t xml:space="preserve">2 km to less than 5 km  </t>
  </si>
  <si>
    <t>5 km to less than 10 km</t>
  </si>
  <si>
    <t>10 km to less than 20 km</t>
  </si>
  <si>
    <t>20 km to less than 30 km</t>
  </si>
  <si>
    <t>30 km to less than 40 km</t>
  </si>
  <si>
    <t>40 km to less than 60 km</t>
  </si>
  <si>
    <t>60 km and over</t>
  </si>
  <si>
    <r>
      <t>Other</t>
    </r>
    <r>
      <rPr>
        <b/>
        <vertAlign val="superscript"/>
        <sz val="12"/>
        <rFont val="Arial"/>
        <family val="2"/>
      </rPr>
      <t xml:space="preserve">2 </t>
    </r>
  </si>
  <si>
    <t>1. The distance travelled is a calculation of the straight line between the postcode of place of residence and postcode of workplace.</t>
  </si>
  <si>
    <t>2. Includes no fixed place of work, working on an offshore installation and working outside the UK.</t>
  </si>
  <si>
    <t>Underground, metro, light rail or tram</t>
  </si>
  <si>
    <t>Bus, minibus or coach</t>
  </si>
  <si>
    <t>Taxi or minicab</t>
  </si>
  <si>
    <t>Driver, car or van</t>
  </si>
  <si>
    <t>Passenger, car or van</t>
  </si>
  <si>
    <t>Motorcycle, scooter or moped</t>
  </si>
  <si>
    <t>On foot</t>
  </si>
  <si>
    <t>30 km and over</t>
  </si>
  <si>
    <t>Number of cars or vans available for private use:</t>
  </si>
  <si>
    <t xml:space="preserve">       None</t>
  </si>
  <si>
    <t xml:space="preserve">       One</t>
  </si>
  <si>
    <t xml:space="preserve">       Two or more</t>
  </si>
  <si>
    <t>Study mainly at or from home</t>
  </si>
  <si>
    <t>By age:</t>
  </si>
  <si>
    <t xml:space="preserve">       4 to 11</t>
  </si>
  <si>
    <t xml:space="preserve">       12 to 15</t>
  </si>
  <si>
    <t xml:space="preserve">       16 to 17</t>
  </si>
  <si>
    <t xml:space="preserve">       18 and over</t>
  </si>
  <si>
    <r>
      <t xml:space="preserve">Table 11.35 </t>
    </r>
    <r>
      <rPr>
        <sz val="13"/>
        <rFont val="Arial"/>
        <family val="2"/>
      </rPr>
      <t xml:space="preserve"> All people aged 4 and over studying, mode of transport to place of study by distance: 2011</t>
    </r>
  </si>
  <si>
    <t>Train, underground, metro, light rail or tram</t>
  </si>
  <si>
    <t>By distance:</t>
  </si>
  <si>
    <t xml:space="preserve">      All</t>
  </si>
  <si>
    <t xml:space="preserve">      Less than 2km</t>
  </si>
  <si>
    <t xml:space="preserve">      2km to less than 5km</t>
  </si>
  <si>
    <t xml:space="preserve">      5km to less than 10km</t>
  </si>
  <si>
    <t xml:space="preserve">      10km to less than 20km</t>
  </si>
  <si>
    <t xml:space="preserve">      20km to less than 30km</t>
  </si>
  <si>
    <t xml:space="preserve">      30km to less than 40km</t>
  </si>
  <si>
    <t xml:space="preserve">      40km to less than 60km</t>
  </si>
  <si>
    <t xml:space="preserve">      60km and over</t>
  </si>
  <si>
    <t>Source: Scottish Census 2011, National Records of Scotland</t>
  </si>
  <si>
    <t>Excluding those working mainly from home</t>
  </si>
  <si>
    <t>3. Percentages for distance to place of work do not include those working mainly from home</t>
  </si>
  <si>
    <t>3. Percentages for mode of travel to place of work do not include those working mainly from home</t>
  </si>
  <si>
    <t>4. Percentages for distance to place of work do not include those working mainly from home</t>
  </si>
  <si>
    <r>
      <t xml:space="preserve">Table 11.34 </t>
    </r>
    <r>
      <rPr>
        <sz val="13"/>
        <rFont val="Arial"/>
        <family val="2"/>
      </rPr>
      <t xml:space="preserve"> All people aged 4 and over studying, distance to place of study by age: 2011</t>
    </r>
    <r>
      <rPr>
        <vertAlign val="superscript"/>
        <sz val="13"/>
        <rFont val="Arial"/>
        <family val="2"/>
      </rPr>
      <t>1 2</t>
    </r>
  </si>
  <si>
    <t>Excluding those studying mainly from home</t>
  </si>
  <si>
    <t>2. Percentages for distance to place of study do not include those studying mainly from home</t>
  </si>
  <si>
    <t xml:space="preserve">      Other</t>
  </si>
  <si>
    <t>2. Question now asked in survey every other year.  2012 is the most recent data available.</t>
  </si>
  <si>
    <t>** value supressed as cell contains fewer than 5 responses</t>
  </si>
  <si>
    <t>** denotes cell value supressed as based on fewer than 5 responses</t>
  </si>
  <si>
    <r>
      <t xml:space="preserve">Table 11.31 </t>
    </r>
    <r>
      <rPr>
        <sz val="13"/>
        <rFont val="Arial"/>
        <family val="2"/>
      </rPr>
      <t xml:space="preserve">  Employed adults (16-74) distance to place of work: 2011</t>
    </r>
    <r>
      <rPr>
        <vertAlign val="superscript"/>
        <sz val="13"/>
        <rFont val="Arial"/>
        <family val="2"/>
      </rPr>
      <t>1 3</t>
    </r>
  </si>
  <si>
    <r>
      <t xml:space="preserve">Table 11.32 </t>
    </r>
    <r>
      <rPr>
        <sz val="13"/>
        <rFont val="Arial"/>
        <family val="2"/>
      </rPr>
      <t xml:space="preserve">  Employed adults (16-74) mode of transport to place of work: 2011</t>
    </r>
    <r>
      <rPr>
        <vertAlign val="superscript"/>
        <sz val="13"/>
        <rFont val="Arial"/>
        <family val="2"/>
      </rPr>
      <t>1 2 3</t>
    </r>
  </si>
  <si>
    <r>
      <t xml:space="preserve">Table 11.33 </t>
    </r>
    <r>
      <rPr>
        <sz val="13"/>
        <rFont val="Arial"/>
        <family val="2"/>
      </rPr>
      <t xml:space="preserve">  Employed adults (16-74) distance to place of work by car/van availability: 2011</t>
    </r>
    <r>
      <rPr>
        <vertAlign val="superscript"/>
        <sz val="13"/>
        <rFont val="Arial"/>
        <family val="2"/>
      </rPr>
      <t>1 2 4</t>
    </r>
  </si>
  <si>
    <t>3. Excludes people who live in communal establishments - values for number of cars in a household were imputed where this was missing</t>
  </si>
  <si>
    <t>1. The distance travelled is a calculation of the straight line between the postcode of place of residence and postcode of place of study</t>
  </si>
  <si>
    <t>Total Number         (=100%)</t>
  </si>
  <si>
    <t>Total Number          (=100%)</t>
  </si>
  <si>
    <r>
      <t>Total Number        (=100%)</t>
    </r>
    <r>
      <rPr>
        <b/>
        <i/>
        <vertAlign val="superscript"/>
        <sz val="12"/>
        <rFont val="Arial"/>
        <family val="2"/>
      </rPr>
      <t>3</t>
    </r>
  </si>
  <si>
    <t>does not provide any information about passengers using other routes (e.g.Rosyth) - see sections 11.2 (page 283) and 11.7 (page 288) of the notes and definitions.</t>
  </si>
  <si>
    <t>1.  All travel movements between the 720 zones used to represent the UK. - see section 11.8 (page 288) of the notes and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</si>
</sst>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169" formatCode="_-* #,##0_-;\-* #,##0_-;_-* &quot;-&quot;_-;_-@_-"/>
    <numFmt numFmtId="170" formatCode="_-&quot;£&quot;* #,##0.00_-;\-&quot;£&quot;* #,##0.00_-;_-&quot;£&quot;* &quot;-&quot;??_-;_-@_-"/>
    <numFmt numFmtId="171" formatCode="_-* #,##0.00_-;\-* #,##0.00_-;_-* &quot;-&quot;??_-;_-@_-"/>
    <numFmt numFmtId="172" formatCode="_-* #,##0_-;\-* #,##0_-;_-* &quot;-&quot;??_-;_-@_-"/>
    <numFmt numFmtId="173" formatCode="_-* #,##0.0_-;\-* #,##0.0_-;_-* &quot;-&quot;??_-;_-@_-"/>
    <numFmt numFmtId="175" formatCode="0.0"/>
    <numFmt numFmtId="179" formatCode="[&gt;0.5]#,##0;[&lt;-0.5]\-#,##0;\-"/>
    <numFmt numFmtId="189" formatCode="#,##0.0"/>
    <numFmt numFmtId="193" formatCode="#,##0_ ;\-#,##0\ "/>
    <numFmt numFmtId="194" formatCode="0.0%"/>
    <numFmt numFmtId="197" formatCode="d\ mmm"/>
    <numFmt numFmtId="198" formatCode="#,##0;\-#,##0;&quot;&quot;"/>
    <numFmt numFmtId="203" formatCode="[$-809]dd\ mmmm\ yyyy;@"/>
    <numFmt numFmtId="206" formatCode="[$-409]d\-mmm;@"/>
    <numFmt numFmtId="212" formatCode="mmmm\ yyyy"/>
  </numFmts>
  <fonts count="72">
    <font>
      <sz val="10"/>
      <name val="Arial"/>
    </font>
    <font>
      <i/>
      <sz val="10"/>
      <name val="Arial"/>
    </font>
    <font>
      <sz val="10"/>
      <name val="Arial"/>
      <family val="2"/>
    </font>
    <font>
      <i/>
      <sz val="10"/>
      <name val="Arial"/>
      <family val="2"/>
    </font>
    <font>
      <sz val="10"/>
      <name val="Arial"/>
      <family val="2"/>
    </font>
    <font>
      <sz val="10"/>
      <color indexed="50"/>
      <name val="Arial"/>
      <family val="2"/>
    </font>
    <font>
      <sz val="10"/>
      <color indexed="18"/>
      <name val="Arial"/>
      <family val="2"/>
    </font>
    <font>
      <sz val="12"/>
      <name val="Arial"/>
      <family val="2"/>
    </font>
    <font>
      <b/>
      <sz val="12"/>
      <name val="Arial"/>
      <family val="2"/>
    </font>
    <font>
      <i/>
      <sz val="12"/>
      <name val="Arial"/>
      <family val="2"/>
    </font>
    <font>
      <sz val="12"/>
      <color indexed="12"/>
      <name val="Arial"/>
      <family val="2"/>
    </font>
    <font>
      <sz val="12"/>
      <color indexed="56"/>
      <name val="Arial"/>
      <family val="2"/>
    </font>
    <font>
      <sz val="12"/>
      <color indexed="8"/>
      <name val="Arial"/>
      <family val="2"/>
    </font>
    <font>
      <sz val="14"/>
      <name val="Arial"/>
      <family val="2"/>
    </font>
    <font>
      <b/>
      <sz val="14"/>
      <name val="Arial"/>
      <family val="2"/>
    </font>
    <font>
      <sz val="10"/>
      <name val="ZapfHumnst BT"/>
    </font>
    <font>
      <vertAlign val="superscript"/>
      <sz val="12"/>
      <name val="Arial"/>
      <family val="2"/>
    </font>
    <font>
      <sz val="8"/>
      <name val="Arial"/>
      <family val="2"/>
    </font>
    <font>
      <b/>
      <vertAlign val="superscript"/>
      <sz val="12"/>
      <name val="Arial"/>
      <family val="2"/>
    </font>
    <font>
      <sz val="10"/>
      <color indexed="8"/>
      <name val="Arial"/>
      <family val="2"/>
    </font>
    <font>
      <sz val="10"/>
      <name val="Times New Roman"/>
      <family val="1"/>
    </font>
    <font>
      <sz val="12"/>
      <color indexed="39"/>
      <name val="Arial"/>
      <family val="2"/>
    </font>
    <font>
      <u/>
      <sz val="7.5"/>
      <color indexed="12"/>
      <name val="Arial"/>
      <family val="2"/>
    </font>
    <font>
      <sz val="12"/>
      <name val="Arial"/>
      <family val="2"/>
    </font>
    <font>
      <b/>
      <sz val="12"/>
      <name val="Arial"/>
      <family val="2"/>
    </font>
    <font>
      <sz val="8"/>
      <name val="Arial"/>
      <family val="2"/>
    </font>
    <font>
      <sz val="12"/>
      <color indexed="12"/>
      <name val="Arial"/>
      <family val="2"/>
    </font>
    <font>
      <sz val="12"/>
      <name val="Times New Roman"/>
      <family val="1"/>
    </font>
    <font>
      <sz val="12"/>
      <color indexed="39"/>
      <name val="Arial"/>
      <family val="2"/>
    </font>
    <font>
      <sz val="12"/>
      <color indexed="56"/>
      <name val="Arial"/>
      <family val="2"/>
    </font>
    <font>
      <i/>
      <sz val="12"/>
      <name val="Arial"/>
      <family val="2"/>
    </font>
    <font>
      <sz val="12"/>
      <name val="Arial Unicode MS"/>
      <family val="2"/>
    </font>
    <font>
      <b/>
      <sz val="12"/>
      <color indexed="12"/>
      <name val="Arial"/>
      <family val="2"/>
    </font>
    <font>
      <sz val="10"/>
      <name val="Arial Unicode MS"/>
      <family val="2"/>
    </font>
    <font>
      <i/>
      <sz val="10"/>
      <color indexed="8"/>
      <name val="Arial"/>
      <family val="2"/>
    </font>
    <font>
      <sz val="12"/>
      <color indexed="8"/>
      <name val="Arial"/>
      <family val="2"/>
    </font>
    <font>
      <b/>
      <i/>
      <sz val="12"/>
      <name val="Arial"/>
      <family val="2"/>
    </font>
    <font>
      <b/>
      <sz val="12"/>
      <color indexed="8"/>
      <name val="Arial"/>
      <family val="2"/>
    </font>
    <font>
      <i/>
      <sz val="12"/>
      <color indexed="8"/>
      <name val="Arial"/>
      <family val="2"/>
    </font>
    <font>
      <sz val="12"/>
      <color indexed="48"/>
      <name val="Arial"/>
      <family val="2"/>
    </font>
    <font>
      <b/>
      <i/>
      <sz val="12"/>
      <color indexed="8"/>
      <name val="Arial"/>
      <family val="2"/>
    </font>
    <font>
      <b/>
      <sz val="12"/>
      <color indexed="8"/>
      <name val="Arial"/>
      <family val="2"/>
    </font>
    <font>
      <b/>
      <i/>
      <sz val="12"/>
      <name val="Arial"/>
      <family val="2"/>
    </font>
    <font>
      <vertAlign val="superscript"/>
      <sz val="12"/>
      <name val="Arial"/>
      <family val="2"/>
    </font>
    <font>
      <b/>
      <sz val="13"/>
      <name val="Arial"/>
      <family val="2"/>
    </font>
    <font>
      <sz val="13"/>
      <name val="Arial"/>
      <family val="2"/>
    </font>
    <font>
      <vertAlign val="superscript"/>
      <sz val="13"/>
      <name val="Arial"/>
      <family val="2"/>
    </font>
    <font>
      <b/>
      <vertAlign val="superscript"/>
      <sz val="12"/>
      <color indexed="8"/>
      <name val="Arial"/>
      <family val="2"/>
    </font>
    <font>
      <sz val="10"/>
      <name val="Times New Roman"/>
      <family val="1"/>
    </font>
    <font>
      <b/>
      <sz val="12"/>
      <color indexed="56"/>
      <name val="Arial"/>
      <family val="2"/>
    </font>
    <font>
      <b/>
      <sz val="16"/>
      <name val="Arial"/>
      <family val="2"/>
    </font>
    <font>
      <b/>
      <vertAlign val="superscript"/>
      <sz val="13"/>
      <name val="Arial"/>
      <family val="2"/>
    </font>
    <font>
      <b/>
      <sz val="12"/>
      <color indexed="12"/>
      <name val="Arial"/>
      <family val="2"/>
    </font>
    <font>
      <b/>
      <sz val="10"/>
      <name val="Arial"/>
      <family val="2"/>
    </font>
    <font>
      <sz val="12"/>
      <color indexed="62"/>
      <name val="Arial"/>
      <family val="2"/>
    </font>
    <font>
      <b/>
      <vertAlign val="superscript"/>
      <sz val="14"/>
      <name val="Arial"/>
      <family val="2"/>
    </font>
    <font>
      <i/>
      <sz val="14"/>
      <name val="Arial"/>
      <family val="2"/>
    </font>
    <font>
      <vertAlign val="superscript"/>
      <sz val="14"/>
      <name val="Arial"/>
      <family val="2"/>
    </font>
    <font>
      <sz val="11"/>
      <name val="Arial"/>
      <family val="2"/>
    </font>
    <font>
      <sz val="9"/>
      <name val="Arial"/>
      <family val="2"/>
    </font>
    <font>
      <u/>
      <sz val="14"/>
      <color indexed="12"/>
      <name val="Arial"/>
      <family val="2"/>
    </font>
    <font>
      <b/>
      <vertAlign val="superscript"/>
      <sz val="10"/>
      <name val="Arial"/>
      <family val="2"/>
    </font>
    <font>
      <vertAlign val="superscript"/>
      <sz val="10"/>
      <name val="Arial"/>
      <family val="2"/>
    </font>
    <font>
      <b/>
      <i/>
      <vertAlign val="superscript"/>
      <sz val="12"/>
      <name val="Arial"/>
      <family val="2"/>
    </font>
    <font>
      <sz val="10"/>
      <color theme="1"/>
      <name val="Arial"/>
      <family val="2"/>
    </font>
    <font>
      <sz val="10"/>
      <color rgb="FF0000FF"/>
      <name val="Arial"/>
      <family val="2"/>
    </font>
    <font>
      <i/>
      <sz val="10"/>
      <color theme="1"/>
      <name val="Arial"/>
      <family val="2"/>
    </font>
    <font>
      <sz val="12"/>
      <name val="Calibri"/>
      <family val="2"/>
      <scheme val="minor"/>
    </font>
    <font>
      <sz val="8"/>
      <color theme="1"/>
      <name val="Arial"/>
      <family val="2"/>
    </font>
    <font>
      <sz val="12"/>
      <color theme="1"/>
      <name val="Arial"/>
      <family val="2"/>
    </font>
    <font>
      <b/>
      <sz val="12"/>
      <color theme="1"/>
      <name val="Arial"/>
      <family val="2"/>
    </font>
    <font>
      <i/>
      <sz val="12"/>
      <color theme="1"/>
      <name val="Arial"/>
      <family val="2"/>
    </font>
  </fonts>
  <fills count="6">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indexed="13"/>
        <bgColor indexed="64"/>
      </patternFill>
    </fill>
    <fill>
      <patternFill patternType="solid">
        <fgColor theme="0"/>
        <bgColor indexed="64"/>
      </patternFill>
    </fill>
  </fills>
  <borders count="18">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diagonal/>
    </border>
    <border>
      <left/>
      <right/>
      <top style="medium">
        <color indexed="64"/>
      </top>
      <bottom style="hair">
        <color indexed="64"/>
      </bottom>
      <diagonal/>
    </border>
    <border>
      <left/>
      <right/>
      <top style="hair">
        <color indexed="64"/>
      </top>
      <bottom style="medium">
        <color indexed="64"/>
      </bottom>
      <diagonal/>
    </border>
    <border>
      <left style="medium">
        <color indexed="64"/>
      </left>
      <right/>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top style="medium">
        <color indexed="64"/>
      </top>
      <bottom/>
      <diagonal/>
    </border>
    <border>
      <left/>
      <right style="thin">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s>
  <cellStyleXfs count="13">
    <xf numFmtId="0" fontId="0" fillId="0" borderId="0"/>
    <xf numFmtId="171" fontId="2" fillId="0" borderId="0" applyFont="0" applyFill="0" applyBorder="0" applyAlignment="0" applyProtection="0"/>
    <xf numFmtId="170" fontId="2" fillId="0" borderId="0" applyFont="0" applyFill="0" applyBorder="0" applyAlignment="0" applyProtection="0"/>
    <xf numFmtId="0" fontId="22" fillId="0" borderId="0" applyNumberFormat="0" applyFill="0" applyBorder="0" applyAlignment="0" applyProtection="0">
      <alignment vertical="top"/>
      <protection locked="0"/>
    </xf>
    <xf numFmtId="0" fontId="2" fillId="0" borderId="0"/>
    <xf numFmtId="0" fontId="2" fillId="0" borderId="0"/>
    <xf numFmtId="0" fontId="15" fillId="0" borderId="0"/>
    <xf numFmtId="0" fontId="2" fillId="0" borderId="0"/>
    <xf numFmtId="0" fontId="23" fillId="0" borderId="0"/>
    <xf numFmtId="0" fontId="23" fillId="0" borderId="0"/>
    <xf numFmtId="0" fontId="23" fillId="0" borderId="0"/>
    <xf numFmtId="9" fontId="2" fillId="0" borderId="0" applyFont="0" applyFill="0" applyBorder="0" applyAlignment="0" applyProtection="0"/>
    <xf numFmtId="179" fontId="48" fillId="0" borderId="0" applyFill="0" applyBorder="0" applyAlignment="0" applyProtection="0"/>
  </cellStyleXfs>
  <cellXfs count="693">
    <xf numFmtId="0" fontId="0" fillId="0" borderId="0" xfId="0"/>
    <xf numFmtId="0" fontId="2" fillId="0" borderId="0" xfId="0" applyFont="1" applyBorder="1"/>
    <xf numFmtId="0" fontId="0" fillId="0" borderId="0" xfId="0" applyBorder="1"/>
    <xf numFmtId="0" fontId="0" fillId="0" borderId="1" xfId="0" applyBorder="1"/>
    <xf numFmtId="0" fontId="5" fillId="0" borderId="2" xfId="0" applyFont="1" applyBorder="1"/>
    <xf numFmtId="0" fontId="5" fillId="0" borderId="0" xfId="0" applyFont="1"/>
    <xf numFmtId="0" fontId="6" fillId="0" borderId="0" xfId="0" applyFont="1"/>
    <xf numFmtId="0" fontId="4" fillId="0" borderId="0" xfId="0" applyFont="1"/>
    <xf numFmtId="0" fontId="3" fillId="0" borderId="0" xfId="0" applyFont="1" applyAlignment="1">
      <alignment horizontal="right"/>
    </xf>
    <xf numFmtId="0" fontId="7" fillId="0" borderId="0" xfId="0" applyFont="1"/>
    <xf numFmtId="0" fontId="7" fillId="0" borderId="1" xfId="0" applyFont="1" applyBorder="1"/>
    <xf numFmtId="0" fontId="7" fillId="0" borderId="1" xfId="0" applyFont="1" applyBorder="1" applyAlignment="1">
      <alignment horizontal="right"/>
    </xf>
    <xf numFmtId="0" fontId="7" fillId="0" borderId="0" xfId="0" applyFont="1" applyBorder="1"/>
    <xf numFmtId="0" fontId="8" fillId="0" borderId="1" xfId="0" applyFont="1" applyBorder="1" applyAlignment="1">
      <alignment horizontal="right"/>
    </xf>
    <xf numFmtId="0" fontId="7" fillId="0" borderId="0" xfId="0" quotePrefix="1" applyFont="1" applyAlignment="1">
      <alignment horizontal="left"/>
    </xf>
    <xf numFmtId="0" fontId="9" fillId="0" borderId="0" xfId="0" applyFont="1"/>
    <xf numFmtId="172" fontId="7" fillId="0" borderId="0" xfId="1" applyNumberFormat="1" applyFont="1" applyBorder="1"/>
    <xf numFmtId="172" fontId="10" fillId="0" borderId="0" xfId="1" applyNumberFormat="1" applyFont="1" applyBorder="1"/>
    <xf numFmtId="0" fontId="10" fillId="0" borderId="0" xfId="0" applyFont="1" applyBorder="1"/>
    <xf numFmtId="189" fontId="11" fillId="0" borderId="0" xfId="0" applyNumberFormat="1" applyFont="1" applyBorder="1"/>
    <xf numFmtId="172" fontId="9" fillId="0" borderId="0" xfId="1" applyNumberFormat="1" applyFont="1" applyBorder="1"/>
    <xf numFmtId="172" fontId="7" fillId="0" borderId="0" xfId="1" applyNumberFormat="1" applyFont="1"/>
    <xf numFmtId="172" fontId="7" fillId="0" borderId="0" xfId="0" applyNumberFormat="1" applyFont="1"/>
    <xf numFmtId="172" fontId="10" fillId="0" borderId="0" xfId="1" applyNumberFormat="1" applyFont="1"/>
    <xf numFmtId="0" fontId="10" fillId="0" borderId="0" xfId="0" applyFont="1"/>
    <xf numFmtId="172" fontId="12" fillId="0" borderId="0" xfId="1" applyNumberFormat="1" applyFont="1"/>
    <xf numFmtId="0" fontId="12" fillId="0" borderId="0" xfId="0" applyFont="1"/>
    <xf numFmtId="173" fontId="7" fillId="0" borderId="0" xfId="1" applyNumberFormat="1" applyFont="1"/>
    <xf numFmtId="173" fontId="10" fillId="0" borderId="0" xfId="1" applyNumberFormat="1" applyFont="1"/>
    <xf numFmtId="0" fontId="9" fillId="0" borderId="0" xfId="0" applyFont="1" applyBorder="1"/>
    <xf numFmtId="0" fontId="8" fillId="0" borderId="3" xfId="0" applyFont="1" applyBorder="1"/>
    <xf numFmtId="0" fontId="9" fillId="0" borderId="0" xfId="0" applyFont="1" applyAlignment="1">
      <alignment horizontal="right"/>
    </xf>
    <xf numFmtId="189" fontId="11" fillId="0" borderId="1" xfId="0" applyNumberFormat="1" applyFont="1" applyBorder="1"/>
    <xf numFmtId="0" fontId="9" fillId="0" borderId="0" xfId="0" applyFont="1" applyBorder="1" applyAlignment="1">
      <alignment horizontal="right"/>
    </xf>
    <xf numFmtId="172" fontId="9" fillId="0" borderId="0" xfId="1" applyNumberFormat="1" applyFont="1"/>
    <xf numFmtId="0" fontId="7" fillId="0" borderId="0" xfId="0" applyFont="1" applyAlignment="1">
      <alignment horizontal="right"/>
    </xf>
    <xf numFmtId="1" fontId="7" fillId="0" borderId="0" xfId="0" applyNumberFormat="1" applyFont="1"/>
    <xf numFmtId="0" fontId="8" fillId="0" borderId="0" xfId="0" applyFont="1"/>
    <xf numFmtId="16" fontId="7" fillId="0" borderId="0" xfId="0" quotePrefix="1" applyNumberFormat="1" applyFont="1" applyAlignment="1">
      <alignment horizontal="left"/>
    </xf>
    <xf numFmtId="0" fontId="13" fillId="0" borderId="0" xfId="0" applyFont="1"/>
    <xf numFmtId="0" fontId="13" fillId="0" borderId="0" xfId="0" applyFont="1" applyBorder="1"/>
    <xf numFmtId="0" fontId="13" fillId="0" borderId="1" xfId="0" applyFont="1" applyBorder="1"/>
    <xf numFmtId="1" fontId="15" fillId="0" borderId="0" xfId="6" applyNumberFormat="1"/>
    <xf numFmtId="1" fontId="15" fillId="0" borderId="0" xfId="6" applyNumberFormat="1" applyAlignment="1">
      <alignment horizontal="center" vertical="top" wrapText="1"/>
    </xf>
    <xf numFmtId="1" fontId="0" fillId="0" borderId="0" xfId="0" applyNumberFormat="1"/>
    <xf numFmtId="175" fontId="7" fillId="0" borderId="0" xfId="0" applyNumberFormat="1" applyFont="1" applyBorder="1"/>
    <xf numFmtId="0" fontId="7" fillId="0" borderId="4" xfId="0" applyFont="1" applyBorder="1"/>
    <xf numFmtId="0" fontId="9" fillId="0" borderId="0" xfId="0" applyFont="1" applyAlignment="1">
      <alignment horizontal="center"/>
    </xf>
    <xf numFmtId="0" fontId="4" fillId="0" borderId="0" xfId="0" applyFont="1" applyBorder="1"/>
    <xf numFmtId="0" fontId="3" fillId="0" borderId="0" xfId="0" applyFont="1" applyBorder="1" applyAlignment="1">
      <alignment horizontal="right"/>
    </xf>
    <xf numFmtId="172" fontId="7" fillId="0" borderId="0" xfId="1" applyNumberFormat="1" applyFont="1" applyFill="1" applyBorder="1"/>
    <xf numFmtId="0" fontId="19" fillId="0" borderId="0" xfId="0" applyFont="1" applyFill="1" applyBorder="1"/>
    <xf numFmtId="172" fontId="4" fillId="0" borderId="0" xfId="1" applyNumberFormat="1" applyFont="1" applyFill="1" applyBorder="1"/>
    <xf numFmtId="0" fontId="17" fillId="0" borderId="0" xfId="0" applyFont="1"/>
    <xf numFmtId="0" fontId="8" fillId="0" borderId="0" xfId="0" applyFont="1" applyAlignment="1">
      <alignment horizontal="center"/>
    </xf>
    <xf numFmtId="0" fontId="7" fillId="0" borderId="3" xfId="0" applyFont="1" applyBorder="1"/>
    <xf numFmtId="175" fontId="7" fillId="0" borderId="0" xfId="0" applyNumberFormat="1" applyFont="1"/>
    <xf numFmtId="0" fontId="7" fillId="0" borderId="0" xfId="0" applyFont="1" applyAlignment="1">
      <alignment horizontal="left" indent="1"/>
    </xf>
    <xf numFmtId="0" fontId="8" fillId="0" borderId="0" xfId="0" applyFont="1" applyBorder="1"/>
    <xf numFmtId="1" fontId="7" fillId="0" borderId="0" xfId="0" applyNumberFormat="1" applyFont="1" applyBorder="1"/>
    <xf numFmtId="0" fontId="7" fillId="0" borderId="0" xfId="0" applyFont="1" applyFill="1"/>
    <xf numFmtId="0" fontId="7" fillId="0" borderId="0" xfId="0" applyFont="1" applyFill="1" applyBorder="1"/>
    <xf numFmtId="173" fontId="20" fillId="0" borderId="0" xfId="1" applyNumberFormat="1" applyFont="1"/>
    <xf numFmtId="172" fontId="10" fillId="2" borderId="0" xfId="1" applyNumberFormat="1" applyFont="1" applyFill="1"/>
    <xf numFmtId="173" fontId="10" fillId="2" borderId="0" xfId="1" applyNumberFormat="1" applyFont="1" applyFill="1"/>
    <xf numFmtId="172" fontId="9" fillId="0" borderId="0" xfId="1" applyNumberFormat="1" applyFont="1" applyAlignment="1">
      <alignment horizontal="right"/>
    </xf>
    <xf numFmtId="0" fontId="14" fillId="0" borderId="0" xfId="0" applyFont="1" applyAlignment="1">
      <alignment horizontal="left"/>
    </xf>
    <xf numFmtId="172" fontId="9" fillId="0" borderId="0" xfId="1" applyNumberFormat="1" applyFont="1" applyFill="1"/>
    <xf numFmtId="172" fontId="10" fillId="3" borderId="0" xfId="1" applyNumberFormat="1" applyFont="1" applyFill="1" applyBorder="1"/>
    <xf numFmtId="172" fontId="12" fillId="0" borderId="0" xfId="1" applyNumberFormat="1" applyFont="1" applyBorder="1"/>
    <xf numFmtId="0" fontId="4" fillId="0" borderId="0" xfId="0" applyFont="1" applyFill="1"/>
    <xf numFmtId="0" fontId="3" fillId="0" borderId="0" xfId="0" applyFont="1" applyFill="1" applyBorder="1" applyAlignment="1">
      <alignment horizontal="right"/>
    </xf>
    <xf numFmtId="0" fontId="7" fillId="0" borderId="1" xfId="0" applyFont="1" applyFill="1" applyBorder="1"/>
    <xf numFmtId="0" fontId="13" fillId="0" borderId="0" xfId="0" applyFont="1" applyFill="1" applyBorder="1"/>
    <xf numFmtId="0" fontId="7" fillId="0" borderId="4" xfId="0" applyFont="1" applyBorder="1" applyAlignment="1">
      <alignment horizontal="center"/>
    </xf>
    <xf numFmtId="3" fontId="9" fillId="0" borderId="1" xfId="0" applyNumberFormat="1" applyFont="1" applyFill="1" applyBorder="1"/>
    <xf numFmtId="0" fontId="7" fillId="0" borderId="1" xfId="0" applyFont="1" applyFill="1" applyBorder="1" applyAlignment="1">
      <alignment horizontal="left" indent="1"/>
    </xf>
    <xf numFmtId="0" fontId="7" fillId="0" borderId="0" xfId="0" applyFont="1" applyBorder="1" applyAlignment="1">
      <alignment horizontal="center"/>
    </xf>
    <xf numFmtId="0" fontId="7" fillId="0" borderId="0" xfId="0" applyFont="1" applyFill="1" applyAlignment="1">
      <alignment horizontal="left" indent="1"/>
    </xf>
    <xf numFmtId="0" fontId="8" fillId="0" borderId="0" xfId="0" applyFont="1" applyFill="1" applyBorder="1"/>
    <xf numFmtId="175" fontId="7" fillId="0" borderId="0" xfId="0" applyNumberFormat="1" applyFont="1" applyFill="1"/>
    <xf numFmtId="0" fontId="23" fillId="0" borderId="0" xfId="0" applyFont="1" applyFill="1"/>
    <xf numFmtId="3" fontId="7" fillId="0" borderId="0" xfId="0" applyNumberFormat="1" applyFont="1"/>
    <xf numFmtId="3" fontId="7" fillId="0" borderId="0" xfId="0" applyNumberFormat="1" applyFont="1" applyFill="1"/>
    <xf numFmtId="3" fontId="9" fillId="0" borderId="0" xfId="0" applyNumberFormat="1" applyFont="1" applyBorder="1" applyAlignment="1">
      <alignment horizontal="right"/>
    </xf>
    <xf numFmtId="0" fontId="23" fillId="0" borderId="0" xfId="0" applyFont="1" applyBorder="1"/>
    <xf numFmtId="3" fontId="26" fillId="0" borderId="0" xfId="0" applyNumberFormat="1" applyFont="1" applyBorder="1"/>
    <xf numFmtId="0" fontId="7" fillId="0" borderId="0" xfId="0" applyFont="1" applyBorder="1" applyAlignment="1">
      <alignment horizontal="right"/>
    </xf>
    <xf numFmtId="0" fontId="23" fillId="0" borderId="0" xfId="0" applyFont="1"/>
    <xf numFmtId="0" fontId="0" fillId="0" borderId="0" xfId="0" applyAlignment="1">
      <alignment wrapText="1"/>
    </xf>
    <xf numFmtId="197" fontId="4" fillId="0" borderId="0" xfId="0" applyNumberFormat="1" applyFont="1" applyFill="1" applyBorder="1" applyAlignment="1" applyProtection="1">
      <alignment horizontal="center"/>
    </xf>
    <xf numFmtId="3" fontId="0" fillId="0" borderId="0" xfId="0" applyNumberFormat="1"/>
    <xf numFmtId="0" fontId="8" fillId="0" borderId="0" xfId="0" applyFont="1" applyBorder="1" applyAlignment="1">
      <alignment horizontal="right"/>
    </xf>
    <xf numFmtId="0" fontId="8" fillId="0" borderId="0" xfId="0" applyFont="1" applyBorder="1" applyAlignment="1">
      <alignment horizontal="center"/>
    </xf>
    <xf numFmtId="3" fontId="23" fillId="0" borderId="0" xfId="1" applyNumberFormat="1" applyFont="1" applyFill="1" applyBorder="1"/>
    <xf numFmtId="3" fontId="7" fillId="0" borderId="0" xfId="1" applyNumberFormat="1" applyFont="1" applyFill="1" applyBorder="1"/>
    <xf numFmtId="0" fontId="2" fillId="0" borderId="0" xfId="0" applyFont="1" applyFill="1"/>
    <xf numFmtId="0" fontId="4" fillId="0" borderId="0" xfId="0" applyFont="1" applyBorder="1" applyAlignment="1">
      <alignment horizontal="right"/>
    </xf>
    <xf numFmtId="0" fontId="4" fillId="0" borderId="0" xfId="0" applyFont="1" applyAlignment="1">
      <alignment horizontal="right"/>
    </xf>
    <xf numFmtId="172" fontId="4" fillId="0" borderId="0" xfId="0" applyNumberFormat="1" applyFont="1" applyBorder="1"/>
    <xf numFmtId="0" fontId="4" fillId="0" borderId="1" xfId="0" applyFont="1" applyBorder="1"/>
    <xf numFmtId="172" fontId="4" fillId="0" borderId="1" xfId="0" applyNumberFormat="1" applyFont="1" applyBorder="1"/>
    <xf numFmtId="0" fontId="4" fillId="0" borderId="1" xfId="0" applyFont="1" applyFill="1" applyBorder="1"/>
    <xf numFmtId="0" fontId="4" fillId="0" borderId="0" xfId="0" applyFont="1" applyBorder="1" applyAlignment="1">
      <alignment horizontal="centerContinuous"/>
    </xf>
    <xf numFmtId="206" fontId="0" fillId="0" borderId="0" xfId="0" applyNumberFormat="1" applyAlignment="1">
      <alignment horizontal="center"/>
    </xf>
    <xf numFmtId="206" fontId="0" fillId="0" borderId="0" xfId="0" applyNumberFormat="1"/>
    <xf numFmtId="0" fontId="8" fillId="0" borderId="0" xfId="0" applyFont="1" applyAlignment="1">
      <alignment horizontal="left"/>
    </xf>
    <xf numFmtId="172" fontId="10" fillId="0" borderId="0" xfId="1" applyNumberFormat="1" applyFont="1" applyFill="1" applyBorder="1"/>
    <xf numFmtId="172" fontId="12" fillId="0" borderId="0" xfId="1" applyNumberFormat="1" applyFont="1" applyFill="1" applyBorder="1"/>
    <xf numFmtId="173" fontId="7" fillId="0" borderId="0" xfId="1" applyNumberFormat="1" applyFont="1" applyFill="1" applyBorder="1"/>
    <xf numFmtId="173" fontId="10" fillId="0" borderId="0" xfId="1" applyNumberFormat="1" applyFont="1" applyFill="1" applyBorder="1"/>
    <xf numFmtId="0" fontId="7" fillId="0" borderId="5" xfId="0" applyFont="1" applyBorder="1"/>
    <xf numFmtId="0" fontId="7" fillId="0" borderId="0" xfId="0" applyFont="1" applyAlignment="1">
      <alignment horizontal="left" indent="3"/>
    </xf>
    <xf numFmtId="0" fontId="8" fillId="0" borderId="0" xfId="0" applyFont="1" applyAlignment="1"/>
    <xf numFmtId="3" fontId="9" fillId="0" borderId="5" xfId="0" applyNumberFormat="1" applyFont="1" applyBorder="1"/>
    <xf numFmtId="0" fontId="7" fillId="0" borderId="0" xfId="0" applyFont="1" applyAlignment="1">
      <alignment horizontal="left" indent="2"/>
    </xf>
    <xf numFmtId="175" fontId="21" fillId="0" borderId="0" xfId="0" applyNumberFormat="1" applyFont="1" applyFill="1" applyBorder="1" applyAlignment="1">
      <alignment horizontal="right"/>
    </xf>
    <xf numFmtId="175" fontId="21" fillId="0" borderId="5" xfId="0" applyNumberFormat="1" applyFont="1" applyFill="1" applyBorder="1" applyAlignment="1">
      <alignment horizontal="right"/>
    </xf>
    <xf numFmtId="0" fontId="7" fillId="0" borderId="5" xfId="0" applyFont="1" applyFill="1" applyBorder="1" applyAlignment="1">
      <alignment horizontal="right"/>
    </xf>
    <xf numFmtId="175" fontId="31" fillId="0" borderId="0" xfId="8" applyNumberFormat="1" applyFont="1" applyAlignment="1">
      <alignment horizontal="right" wrapText="1"/>
    </xf>
    <xf numFmtId="175" fontId="7" fillId="0" borderId="0" xfId="0" applyNumberFormat="1" applyFont="1" applyAlignment="1">
      <alignment horizontal="right"/>
    </xf>
    <xf numFmtId="175" fontId="23" fillId="0" borderId="0" xfId="0" applyNumberFormat="1" applyFont="1" applyAlignment="1">
      <alignment horizontal="right"/>
    </xf>
    <xf numFmtId="175" fontId="23" fillId="0" borderId="0" xfId="0" applyNumberFormat="1" applyFont="1" applyAlignment="1"/>
    <xf numFmtId="175" fontId="21" fillId="0" borderId="0" xfId="0" applyNumberFormat="1" applyFont="1" applyFill="1" applyBorder="1"/>
    <xf numFmtId="175" fontId="23" fillId="0" borderId="0" xfId="0" applyNumberFormat="1" applyFont="1" applyBorder="1"/>
    <xf numFmtId="1" fontId="4" fillId="0" borderId="0" xfId="0" applyNumberFormat="1" applyFont="1"/>
    <xf numFmtId="173" fontId="0" fillId="0" borderId="0" xfId="0" applyNumberFormat="1"/>
    <xf numFmtId="3" fontId="32" fillId="0" borderId="0" xfId="1" applyNumberFormat="1" applyFont="1" applyFill="1" applyBorder="1"/>
    <xf numFmtId="175" fontId="7" fillId="0" borderId="0" xfId="1" applyNumberFormat="1" applyFont="1" applyBorder="1"/>
    <xf numFmtId="0" fontId="7" fillId="0" borderId="6" xfId="0" applyFont="1" applyBorder="1"/>
    <xf numFmtId="0" fontId="7" fillId="0" borderId="6" xfId="0" applyFont="1" applyBorder="1" applyAlignment="1">
      <alignment horizontal="centerContinuous"/>
    </xf>
    <xf numFmtId="0" fontId="8" fillId="0" borderId="7" xfId="0" applyFont="1" applyBorder="1" applyAlignment="1">
      <alignment horizontal="right" wrapText="1"/>
    </xf>
    <xf numFmtId="0" fontId="8" fillId="0" borderId="7" xfId="0" applyFont="1" applyBorder="1"/>
    <xf numFmtId="0" fontId="8" fillId="0" borderId="7" xfId="0" applyFont="1" applyBorder="1" applyAlignment="1">
      <alignment horizontal="left" wrapText="1"/>
    </xf>
    <xf numFmtId="173" fontId="7" fillId="0" borderId="0" xfId="1" applyNumberFormat="1" applyFont="1" applyFill="1"/>
    <xf numFmtId="175" fontId="7" fillId="0" borderId="0" xfId="10" applyNumberFormat="1" applyFont="1" applyAlignment="1">
      <alignment wrapText="1"/>
    </xf>
    <xf numFmtId="1" fontId="7" fillId="0" borderId="0" xfId="10" applyNumberFormat="1" applyFont="1" applyAlignment="1">
      <alignment wrapText="1"/>
    </xf>
    <xf numFmtId="172" fontId="0" fillId="0" borderId="0" xfId="1" applyNumberFormat="1" applyFont="1" applyFill="1" applyBorder="1" applyAlignment="1" applyProtection="1">
      <alignment horizontal="left"/>
    </xf>
    <xf numFmtId="3" fontId="0" fillId="0" borderId="0" xfId="0" applyNumberFormat="1" applyFill="1" applyBorder="1"/>
    <xf numFmtId="175" fontId="31" fillId="0" borderId="5" xfId="8" applyNumberFormat="1" applyFont="1" applyBorder="1" applyAlignment="1">
      <alignment horizontal="right" wrapText="1"/>
    </xf>
    <xf numFmtId="0" fontId="33" fillId="0" borderId="0" xfId="8" applyFont="1" applyAlignment="1">
      <alignment horizontal="left" wrapText="1"/>
    </xf>
    <xf numFmtId="0" fontId="33" fillId="0" borderId="0" xfId="10" applyFont="1" applyAlignment="1">
      <alignment horizontal="center" wrapText="1"/>
    </xf>
    <xf numFmtId="0" fontId="33" fillId="0" borderId="0" xfId="9" applyFont="1" applyAlignment="1">
      <alignment horizontal="right" wrapText="1"/>
    </xf>
    <xf numFmtId="172" fontId="7" fillId="0" borderId="0" xfId="1" applyNumberFormat="1" applyFont="1" applyFill="1" applyBorder="1" applyAlignment="1">
      <alignment horizontal="right"/>
    </xf>
    <xf numFmtId="0" fontId="8" fillId="0" borderId="0" xfId="0" applyFont="1" applyFill="1"/>
    <xf numFmtId="0" fontId="8" fillId="0" borderId="0" xfId="0" applyFont="1" applyFill="1" applyAlignment="1">
      <alignment horizontal="left" indent="1"/>
    </xf>
    <xf numFmtId="169" fontId="7" fillId="0" borderId="0" xfId="1" applyNumberFormat="1" applyFont="1" applyAlignment="1">
      <alignment horizontal="right"/>
    </xf>
    <xf numFmtId="3" fontId="10" fillId="0" borderId="0" xfId="1" applyNumberFormat="1" applyFont="1" applyFill="1" applyBorder="1"/>
    <xf numFmtId="3" fontId="7" fillId="0" borderId="0" xfId="1" applyNumberFormat="1" applyFont="1" applyFill="1"/>
    <xf numFmtId="0" fontId="4" fillId="0" borderId="0" xfId="0" applyFont="1" applyFill="1" applyBorder="1"/>
    <xf numFmtId="173" fontId="7" fillId="0" borderId="0" xfId="1" applyNumberFormat="1" applyFont="1" applyBorder="1"/>
    <xf numFmtId="173" fontId="10" fillId="0" borderId="0" xfId="1" applyNumberFormat="1" applyFont="1" applyBorder="1"/>
    <xf numFmtId="172" fontId="7" fillId="0" borderId="0" xfId="0" applyNumberFormat="1" applyFont="1" applyBorder="1"/>
    <xf numFmtId="3" fontId="10" fillId="0" borderId="0" xfId="1" applyNumberFormat="1" applyFont="1" applyFill="1"/>
    <xf numFmtId="0" fontId="7" fillId="4" borderId="0" xfId="0" applyFont="1" applyFill="1"/>
    <xf numFmtId="0" fontId="10" fillId="4" borderId="0" xfId="0" applyFont="1" applyFill="1"/>
    <xf numFmtId="1" fontId="7" fillId="4" borderId="0" xfId="0" applyNumberFormat="1" applyFont="1" applyFill="1"/>
    <xf numFmtId="172" fontId="7" fillId="4" borderId="0" xfId="1" applyNumberFormat="1" applyFont="1" applyFill="1" applyAlignment="1">
      <alignment horizontal="right"/>
    </xf>
    <xf numFmtId="0" fontId="7" fillId="4" borderId="0" xfId="0" applyFont="1" applyFill="1" applyAlignment="1">
      <alignment horizontal="right"/>
    </xf>
    <xf numFmtId="172" fontId="9" fillId="4" borderId="0" xfId="1" applyNumberFormat="1" applyFont="1" applyFill="1" applyAlignment="1">
      <alignment horizontal="right"/>
    </xf>
    <xf numFmtId="172" fontId="9" fillId="4" borderId="0" xfId="1" applyNumberFormat="1" applyFont="1" applyFill="1"/>
    <xf numFmtId="170" fontId="9" fillId="4" borderId="0" xfId="2" applyFont="1" applyFill="1" applyBorder="1"/>
    <xf numFmtId="0" fontId="4" fillId="4" borderId="0" xfId="0" applyFont="1" applyFill="1"/>
    <xf numFmtId="0" fontId="0" fillId="4" borderId="0" xfId="0" applyFill="1"/>
    <xf numFmtId="1" fontId="7" fillId="0" borderId="0" xfId="0" applyNumberFormat="1" applyFont="1" applyFill="1"/>
    <xf numFmtId="0" fontId="19" fillId="0" borderId="0" xfId="0" applyFont="1" applyAlignment="1">
      <alignment vertical="top" wrapText="1"/>
    </xf>
    <xf numFmtId="0" fontId="3" fillId="0" borderId="0" xfId="0" applyFont="1"/>
    <xf numFmtId="0" fontId="34" fillId="0" borderId="0" xfId="0" applyFont="1" applyAlignment="1">
      <alignment vertical="top" wrapText="1"/>
    </xf>
    <xf numFmtId="0" fontId="19" fillId="0" borderId="8" xfId="0" applyFont="1" applyBorder="1" applyAlignment="1">
      <alignment vertical="top" wrapText="1"/>
    </xf>
    <xf numFmtId="0" fontId="7" fillId="0" borderId="9" xfId="0" applyFont="1" applyBorder="1"/>
    <xf numFmtId="0" fontId="8" fillId="0" borderId="9" xfId="0" applyFont="1" applyBorder="1"/>
    <xf numFmtId="0" fontId="7" fillId="0" borderId="4" xfId="0" applyFont="1" applyBorder="1" applyAlignment="1">
      <alignment horizontal="right"/>
    </xf>
    <xf numFmtId="0" fontId="23" fillId="0" borderId="0" xfId="0" applyFont="1" applyBorder="1" applyAlignment="1">
      <alignment horizontal="right"/>
    </xf>
    <xf numFmtId="0" fontId="23" fillId="0" borderId="1" xfId="0" applyFont="1" applyBorder="1"/>
    <xf numFmtId="0" fontId="24" fillId="0" borderId="0" xfId="0" applyFont="1" applyBorder="1"/>
    <xf numFmtId="0" fontId="35" fillId="0" borderId="0" xfId="0" applyFont="1"/>
    <xf numFmtId="172" fontId="23" fillId="0" borderId="0" xfId="1" applyNumberFormat="1" applyFont="1" applyFill="1" applyBorder="1"/>
    <xf numFmtId="0" fontId="23" fillId="0" borderId="4" xfId="0" applyFont="1" applyBorder="1"/>
    <xf numFmtId="0" fontId="23" fillId="0" borderId="0" xfId="0" applyFont="1" applyFill="1" applyBorder="1"/>
    <xf numFmtId="0" fontId="2" fillId="0" borderId="0" xfId="0" applyFont="1"/>
    <xf numFmtId="0" fontId="23" fillId="0" borderId="10" xfId="0" applyFont="1" applyBorder="1"/>
    <xf numFmtId="0" fontId="8" fillId="0" borderId="10" xfId="0" applyFont="1" applyBorder="1"/>
    <xf numFmtId="0" fontId="37" fillId="0" borderId="0" xfId="0" applyFont="1" applyAlignment="1">
      <alignment horizontal="center" wrapText="1"/>
    </xf>
    <xf numFmtId="0" fontId="8" fillId="0" borderId="0" xfId="0" quotePrefix="1" applyFont="1" applyBorder="1" applyAlignment="1">
      <alignment horizontal="left"/>
    </xf>
    <xf numFmtId="0" fontId="8" fillId="0" borderId="9" xfId="0" quotePrefix="1" applyFont="1" applyBorder="1" applyAlignment="1">
      <alignment horizontal="left"/>
    </xf>
    <xf numFmtId="16" fontId="8" fillId="0" borderId="0" xfId="0" quotePrefix="1" applyNumberFormat="1" applyFont="1" applyBorder="1" applyAlignment="1">
      <alignment horizontal="center"/>
    </xf>
    <xf numFmtId="16" fontId="8" fillId="0" borderId="0" xfId="0" applyNumberFormat="1" applyFont="1" applyBorder="1" applyAlignment="1">
      <alignment horizontal="center"/>
    </xf>
    <xf numFmtId="0" fontId="8" fillId="0" borderId="0" xfId="0" quotePrefix="1" applyFont="1" applyBorder="1" applyAlignment="1">
      <alignment horizontal="center"/>
    </xf>
    <xf numFmtId="16" fontId="8" fillId="0" borderId="0" xfId="0" quotePrefix="1" applyNumberFormat="1" applyFont="1" applyBorder="1" applyAlignment="1">
      <alignment horizontal="left"/>
    </xf>
    <xf numFmtId="0" fontId="36" fillId="0" borderId="0" xfId="0" applyFont="1" applyBorder="1" applyAlignment="1">
      <alignment horizontal="right"/>
    </xf>
    <xf numFmtId="0" fontId="8" fillId="0" borderId="4" xfId="0" applyFont="1" applyBorder="1" applyAlignment="1">
      <alignment horizontal="center"/>
    </xf>
    <xf numFmtId="16" fontId="8" fillId="0" borderId="4" xfId="0" applyNumberFormat="1" applyFont="1" applyBorder="1" applyAlignment="1">
      <alignment horizontal="center"/>
    </xf>
    <xf numFmtId="16" fontId="8" fillId="0" borderId="4" xfId="0" quotePrefix="1" applyNumberFormat="1" applyFont="1" applyBorder="1" applyAlignment="1">
      <alignment horizontal="center"/>
    </xf>
    <xf numFmtId="0" fontId="7" fillId="0" borderId="9" xfId="0" applyFont="1" applyBorder="1" applyAlignment="1">
      <alignment horizontal="centerContinuous"/>
    </xf>
    <xf numFmtId="0" fontId="12" fillId="0" borderId="0" xfId="0" applyFont="1" applyBorder="1"/>
    <xf numFmtId="0" fontId="8" fillId="0" borderId="4" xfId="0" applyFont="1" applyBorder="1"/>
    <xf numFmtId="0" fontId="36" fillId="0" borderId="9" xfId="0" applyFont="1" applyBorder="1" applyAlignment="1">
      <alignment horizontal="center"/>
    </xf>
    <xf numFmtId="0" fontId="36" fillId="0" borderId="0" xfId="0" applyFont="1" applyBorder="1" applyAlignment="1">
      <alignment horizontal="center"/>
    </xf>
    <xf numFmtId="0" fontId="36" fillId="0" borderId="0" xfId="0" quotePrefix="1" applyFont="1" applyBorder="1" applyAlignment="1">
      <alignment horizontal="center"/>
    </xf>
    <xf numFmtId="0" fontId="8" fillId="0" borderId="9" xfId="0" applyFont="1" applyBorder="1" applyAlignment="1">
      <alignment horizontal="center"/>
    </xf>
    <xf numFmtId="0" fontId="8" fillId="0" borderId="0" xfId="0" applyFont="1" applyBorder="1" applyAlignment="1"/>
    <xf numFmtId="0" fontId="1" fillId="0" borderId="0" xfId="0" applyFont="1" applyBorder="1" applyAlignment="1">
      <alignment horizontal="right"/>
    </xf>
    <xf numFmtId="0" fontId="7" fillId="0" borderId="10" xfId="0" applyFont="1" applyBorder="1"/>
    <xf numFmtId="3" fontId="9" fillId="0" borderId="0" xfId="0" applyNumberFormat="1" applyFont="1" applyBorder="1"/>
    <xf numFmtId="0" fontId="7" fillId="0" borderId="4" xfId="0" applyFont="1" applyBorder="1" applyAlignment="1">
      <alignment horizontal="left" indent="1"/>
    </xf>
    <xf numFmtId="0" fontId="7" fillId="0" borderId="4" xfId="0" applyFont="1" applyFill="1" applyBorder="1"/>
    <xf numFmtId="0" fontId="21" fillId="0" borderId="4" xfId="0" applyFont="1" applyFill="1" applyBorder="1"/>
    <xf numFmtId="3" fontId="9" fillId="0" borderId="4" xfId="0" applyNumberFormat="1" applyFont="1" applyFill="1" applyBorder="1"/>
    <xf numFmtId="0" fontId="8" fillId="0" borderId="10" xfId="0" applyFont="1" applyFill="1" applyBorder="1"/>
    <xf numFmtId="0" fontId="9" fillId="0" borderId="0" xfId="0" applyFont="1" applyFill="1" applyBorder="1" applyAlignment="1">
      <alignment horizontal="right"/>
    </xf>
    <xf numFmtId="0" fontId="12" fillId="0" borderId="0" xfId="0" applyFont="1" applyFill="1"/>
    <xf numFmtId="0" fontId="38" fillId="0" borderId="4" xfId="0" applyFont="1" applyBorder="1"/>
    <xf numFmtId="172" fontId="9" fillId="0" borderId="4" xfId="1" applyNumberFormat="1" applyFont="1" applyFill="1" applyBorder="1"/>
    <xf numFmtId="0" fontId="12" fillId="0" borderId="4" xfId="0" applyFont="1" applyFill="1" applyBorder="1"/>
    <xf numFmtId="172" fontId="7" fillId="0" borderId="4" xfId="1" applyNumberFormat="1" applyFont="1" applyFill="1" applyBorder="1"/>
    <xf numFmtId="0" fontId="8" fillId="0" borderId="4" xfId="0" applyFont="1" applyBorder="1" applyAlignment="1">
      <alignment vertical="top"/>
    </xf>
    <xf numFmtId="1" fontId="7" fillId="0" borderId="4" xfId="0" applyNumberFormat="1" applyFont="1" applyFill="1" applyBorder="1"/>
    <xf numFmtId="0" fontId="7" fillId="0" borderId="0" xfId="0" applyFont="1" applyBorder="1" applyAlignment="1">
      <alignment horizontal="left"/>
    </xf>
    <xf numFmtId="0" fontId="31" fillId="0" borderId="4" xfId="9" applyFont="1" applyBorder="1" applyAlignment="1">
      <alignment horizontal="right" wrapText="1"/>
    </xf>
    <xf numFmtId="175" fontId="7" fillId="0" borderId="4" xfId="0" applyNumberFormat="1" applyFont="1" applyFill="1" applyBorder="1"/>
    <xf numFmtId="193" fontId="9" fillId="0" borderId="4" xfId="1" applyNumberFormat="1" applyFont="1" applyFill="1" applyBorder="1"/>
    <xf numFmtId="0" fontId="7" fillId="0" borderId="0" xfId="0" applyFont="1" applyAlignment="1">
      <alignment horizontal="left"/>
    </xf>
    <xf numFmtId="0" fontId="7" fillId="0" borderId="4" xfId="0" applyFont="1" applyBorder="1" applyAlignment="1">
      <alignment horizontal="left"/>
    </xf>
    <xf numFmtId="0" fontId="8" fillId="0" borderId="4" xfId="0" quotePrefix="1" applyFont="1" applyBorder="1" applyAlignment="1">
      <alignment horizontal="center"/>
    </xf>
    <xf numFmtId="0" fontId="36" fillId="0" borderId="9" xfId="0" applyFont="1" applyBorder="1"/>
    <xf numFmtId="0" fontId="36" fillId="0" borderId="4" xfId="0" applyFont="1" applyBorder="1" applyAlignment="1">
      <alignment horizontal="center"/>
    </xf>
    <xf numFmtId="0" fontId="7" fillId="0" borderId="0" xfId="10" applyFont="1" applyAlignment="1">
      <alignment horizontal="right" wrapText="1"/>
    </xf>
    <xf numFmtId="0" fontId="31" fillId="0" borderId="0" xfId="10" applyFont="1" applyAlignment="1">
      <alignment horizontal="center" wrapText="1"/>
    </xf>
    <xf numFmtId="175" fontId="4" fillId="0" borderId="0" xfId="0" applyNumberFormat="1" applyFont="1"/>
    <xf numFmtId="9" fontId="4" fillId="0" borderId="0" xfId="0" applyNumberFormat="1" applyFont="1"/>
    <xf numFmtId="0" fontId="7" fillId="0" borderId="10" xfId="0" applyFont="1" applyFill="1" applyBorder="1"/>
    <xf numFmtId="9" fontId="9" fillId="0" borderId="0" xfId="0" applyNumberFormat="1" applyFont="1" applyBorder="1"/>
    <xf numFmtId="0" fontId="7" fillId="0" borderId="0" xfId="0" applyFont="1" applyFill="1" applyBorder="1" applyAlignment="1">
      <alignment horizontal="center"/>
    </xf>
    <xf numFmtId="0" fontId="8" fillId="0" borderId="0" xfId="0" applyFont="1" applyFill="1" applyBorder="1" applyAlignment="1">
      <alignment horizontal="center"/>
    </xf>
    <xf numFmtId="0" fontId="8" fillId="0" borderId="0" xfId="0" applyFont="1" applyFill="1" applyBorder="1" applyAlignment="1">
      <alignment horizontal="left"/>
    </xf>
    <xf numFmtId="0" fontId="7" fillId="0" borderId="0" xfId="0" applyFont="1" applyFill="1" applyBorder="1" applyAlignment="1">
      <alignment horizontal="centerContinuous"/>
    </xf>
    <xf numFmtId="3" fontId="8" fillId="0" borderId="0" xfId="1" applyNumberFormat="1" applyFont="1" applyFill="1" applyBorder="1"/>
    <xf numFmtId="169" fontId="7" fillId="0" borderId="0" xfId="0" applyNumberFormat="1" applyFont="1" applyFill="1"/>
    <xf numFmtId="0" fontId="7" fillId="0" borderId="0" xfId="0" applyFont="1" applyFill="1" applyBorder="1" applyAlignment="1">
      <alignment horizontal="right"/>
    </xf>
    <xf numFmtId="0" fontId="7" fillId="0" borderId="0" xfId="0" applyFont="1" applyFill="1" applyAlignment="1">
      <alignment horizontal="left" indent="9"/>
    </xf>
    <xf numFmtId="0" fontId="7" fillId="0" borderId="0" xfId="0" applyFont="1" applyFill="1" applyAlignment="1"/>
    <xf numFmtId="0" fontId="7" fillId="0" borderId="0" xfId="0" applyFont="1" applyFill="1" applyBorder="1" applyAlignment="1"/>
    <xf numFmtId="0" fontId="7" fillId="0" borderId="9" xfId="0" applyFont="1" applyFill="1" applyBorder="1"/>
    <xf numFmtId="0" fontId="8" fillId="0" borderId="0" xfId="0" applyFont="1" applyFill="1" applyBorder="1" applyAlignment="1">
      <alignment horizontal="centerContinuous"/>
    </xf>
    <xf numFmtId="0" fontId="8" fillId="0" borderId="4" xfId="0" applyFont="1" applyFill="1" applyBorder="1" applyAlignment="1">
      <alignment horizontal="left"/>
    </xf>
    <xf numFmtId="0" fontId="8" fillId="0" borderId="4" xfId="0" applyFont="1" applyFill="1" applyBorder="1" applyAlignment="1">
      <alignment horizontal="center"/>
    </xf>
    <xf numFmtId="0" fontId="8" fillId="0" borderId="4" xfId="0" applyFont="1" applyFill="1" applyBorder="1" applyAlignment="1">
      <alignment horizontal="centerContinuous"/>
    </xf>
    <xf numFmtId="0" fontId="3" fillId="0" borderId="0" xfId="0" applyFont="1" applyFill="1" applyAlignment="1">
      <alignment horizontal="right"/>
    </xf>
    <xf numFmtId="0" fontId="8" fillId="0" borderId="4" xfId="0" applyFont="1" applyFill="1" applyBorder="1"/>
    <xf numFmtId="169" fontId="8" fillId="0" borderId="4" xfId="0" applyNumberFormat="1" applyFont="1" applyFill="1" applyBorder="1"/>
    <xf numFmtId="0" fontId="8" fillId="0" borderId="9" xfId="0" applyFont="1" applyFill="1" applyBorder="1"/>
    <xf numFmtId="0" fontId="36" fillId="0" borderId="0" xfId="0" applyFont="1" applyFill="1" applyBorder="1" applyAlignment="1">
      <alignment horizontal="center"/>
    </xf>
    <xf numFmtId="0" fontId="8" fillId="0" borderId="4" xfId="0" applyFont="1" applyFill="1" applyBorder="1" applyAlignment="1">
      <alignment horizontal="right"/>
    </xf>
    <xf numFmtId="3" fontId="9" fillId="0" borderId="0" xfId="0" applyNumberFormat="1" applyFont="1" applyFill="1" applyBorder="1" applyAlignment="1">
      <alignment horizontal="right"/>
    </xf>
    <xf numFmtId="0" fontId="37" fillId="0" borderId="0" xfId="0" applyFont="1" applyAlignment="1">
      <alignment horizontal="right"/>
    </xf>
    <xf numFmtId="3" fontId="7" fillId="0" borderId="0" xfId="1" applyNumberFormat="1" applyFont="1"/>
    <xf numFmtId="3" fontId="10" fillId="0" borderId="0" xfId="1" applyNumberFormat="1" applyFont="1" applyBorder="1"/>
    <xf numFmtId="0" fontId="37" fillId="0" borderId="0" xfId="0" applyFont="1"/>
    <xf numFmtId="0" fontId="12" fillId="0" borderId="0" xfId="0" applyFont="1" applyAlignment="1">
      <alignment horizontal="left" indent="1"/>
    </xf>
    <xf numFmtId="0" fontId="7" fillId="0" borderId="0" xfId="0" applyFont="1" applyBorder="1" applyAlignment="1">
      <alignment horizontal="left" indent="1"/>
    </xf>
    <xf numFmtId="3" fontId="7" fillId="0" borderId="0" xfId="1" applyNumberFormat="1" applyFont="1" applyBorder="1"/>
    <xf numFmtId="0" fontId="30" fillId="0" borderId="0" xfId="0" applyFont="1" applyBorder="1" applyAlignment="1">
      <alignment horizontal="right"/>
    </xf>
    <xf numFmtId="0" fontId="30" fillId="0" borderId="0" xfId="0" applyFont="1" applyFill="1" applyBorder="1" applyAlignment="1">
      <alignment horizontal="right"/>
    </xf>
    <xf numFmtId="0" fontId="24" fillId="0" borderId="0" xfId="0" applyFont="1"/>
    <xf numFmtId="0" fontId="23" fillId="0" borderId="0" xfId="0" applyFont="1" applyAlignment="1">
      <alignment horizontal="left"/>
    </xf>
    <xf numFmtId="4" fontId="23" fillId="0" borderId="0" xfId="1" applyNumberFormat="1" applyFont="1"/>
    <xf numFmtId="4" fontId="23" fillId="0" borderId="0" xfId="1" applyNumberFormat="1" applyFont="1" applyAlignment="1">
      <alignment horizontal="right"/>
    </xf>
    <xf numFmtId="4" fontId="29" fillId="0" borderId="0" xfId="1" applyNumberFormat="1" applyFont="1"/>
    <xf numFmtId="172" fontId="23" fillId="0" borderId="0" xfId="1" applyNumberFormat="1" applyFont="1" applyFill="1" applyBorder="1" applyAlignment="1">
      <alignment horizontal="right"/>
    </xf>
    <xf numFmtId="4" fontId="23" fillId="0" borderId="11" xfId="1" applyNumberFormat="1" applyFont="1" applyBorder="1" applyAlignment="1">
      <alignment horizontal="right"/>
    </xf>
    <xf numFmtId="4" fontId="23" fillId="0" borderId="0" xfId="1" applyNumberFormat="1" applyFont="1" applyBorder="1" applyAlignment="1">
      <alignment horizontal="right"/>
    </xf>
    <xf numFmtId="4" fontId="29" fillId="0" borderId="11" xfId="1" applyNumberFormat="1" applyFont="1" applyBorder="1"/>
    <xf numFmtId="4" fontId="29" fillId="0" borderId="0" xfId="1" applyNumberFormat="1" applyFont="1" applyBorder="1"/>
    <xf numFmtId="0" fontId="35" fillId="0" borderId="0" xfId="0" applyFont="1" applyBorder="1"/>
    <xf numFmtId="2" fontId="23" fillId="0" borderId="0" xfId="1" applyNumberFormat="1" applyFont="1" applyFill="1" applyBorder="1" applyAlignment="1">
      <alignment horizontal="right"/>
    </xf>
    <xf numFmtId="0" fontId="42" fillId="0" borderId="0" xfId="0" applyFont="1" applyBorder="1"/>
    <xf numFmtId="0" fontId="41" fillId="0" borderId="0" xfId="0" applyFont="1"/>
    <xf numFmtId="0" fontId="24" fillId="0" borderId="10" xfId="0" applyFont="1" applyBorder="1"/>
    <xf numFmtId="0" fontId="23" fillId="0" borderId="10" xfId="0" applyFont="1" applyBorder="1" applyAlignment="1">
      <alignment horizontal="right"/>
    </xf>
    <xf numFmtId="0" fontId="24" fillId="0" borderId="10" xfId="0" applyFont="1" applyBorder="1" applyAlignment="1">
      <alignment horizontal="right"/>
    </xf>
    <xf numFmtId="0" fontId="24" fillId="0" borderId="10" xfId="0" applyFont="1" applyFill="1" applyBorder="1" applyAlignment="1">
      <alignment horizontal="right"/>
    </xf>
    <xf numFmtId="0" fontId="1" fillId="0" borderId="0" xfId="0" applyFont="1" applyFill="1" applyBorder="1" applyAlignment="1">
      <alignment horizontal="right"/>
    </xf>
    <xf numFmtId="0" fontId="2" fillId="0" borderId="0" xfId="0" quotePrefix="1" applyFont="1"/>
    <xf numFmtId="3" fontId="23" fillId="0" borderId="0" xfId="0" applyNumberFormat="1" applyFont="1" applyBorder="1" applyAlignment="1">
      <alignment horizontal="right"/>
    </xf>
    <xf numFmtId="3" fontId="23" fillId="0" borderId="0" xfId="0" applyNumberFormat="1" applyFont="1" applyFill="1" applyBorder="1" applyAlignment="1">
      <alignment horizontal="right"/>
    </xf>
    <xf numFmtId="3" fontId="30" fillId="0" borderId="0" xfId="0" applyNumberFormat="1" applyFont="1" applyBorder="1" applyAlignment="1">
      <alignment horizontal="right"/>
    </xf>
    <xf numFmtId="189" fontId="23" fillId="0" borderId="0" xfId="0" applyNumberFormat="1" applyFont="1" applyBorder="1"/>
    <xf numFmtId="175" fontId="23" fillId="0" borderId="0" xfId="0" applyNumberFormat="1" applyFont="1" applyBorder="1" applyAlignment="1">
      <alignment horizontal="right"/>
    </xf>
    <xf numFmtId="3" fontId="23" fillId="0" borderId="0" xfId="0" applyNumberFormat="1" applyFont="1" applyBorder="1"/>
    <xf numFmtId="189" fontId="26" fillId="0" borderId="0" xfId="0" applyNumberFormat="1" applyFont="1" applyBorder="1"/>
    <xf numFmtId="3" fontId="28" fillId="0" borderId="0" xfId="0" applyNumberFormat="1" applyFont="1" applyBorder="1"/>
    <xf numFmtId="3" fontId="23" fillId="0" borderId="0" xfId="0" applyNumberFormat="1" applyFont="1" applyFill="1"/>
    <xf numFmtId="3" fontId="23" fillId="0" borderId="0" xfId="0" applyNumberFormat="1" applyFont="1"/>
    <xf numFmtId="0" fontId="23" fillId="0" borderId="0" xfId="0" applyFont="1" applyBorder="1" applyAlignment="1" applyProtection="1">
      <alignment vertical="top"/>
    </xf>
    <xf numFmtId="3" fontId="23" fillId="0" borderId="0" xfId="0" applyNumberFormat="1" applyFont="1" applyBorder="1" applyAlignment="1">
      <alignment horizontal="center"/>
    </xf>
    <xf numFmtId="0" fontId="23" fillId="0" borderId="0" xfId="0" applyFont="1" applyBorder="1" applyAlignment="1">
      <alignment horizontal="center"/>
    </xf>
    <xf numFmtId="0" fontId="2" fillId="0" borderId="0" xfId="0" applyFont="1" applyBorder="1" applyAlignment="1">
      <alignment horizontal="right"/>
    </xf>
    <xf numFmtId="3" fontId="1" fillId="0" borderId="0" xfId="0" applyNumberFormat="1" applyFont="1" applyBorder="1" applyAlignment="1">
      <alignment horizontal="right"/>
    </xf>
    <xf numFmtId="3" fontId="2" fillId="0" borderId="0" xfId="0" applyNumberFormat="1" applyFont="1" applyBorder="1"/>
    <xf numFmtId="0" fontId="2" fillId="0" borderId="0" xfId="0" quotePrefix="1" applyFont="1" applyBorder="1"/>
    <xf numFmtId="0" fontId="2" fillId="0" borderId="0" xfId="0" applyFont="1" applyFill="1" applyBorder="1"/>
    <xf numFmtId="0" fontId="2" fillId="0" borderId="0" xfId="0" quotePrefix="1" applyFont="1" applyFill="1" applyBorder="1"/>
    <xf numFmtId="0" fontId="2" fillId="0" borderId="0" xfId="0" applyFont="1" applyBorder="1" applyAlignment="1" applyProtection="1">
      <alignment vertical="top"/>
    </xf>
    <xf numFmtId="3" fontId="2" fillId="0" borderId="0" xfId="0" applyNumberFormat="1" applyFont="1" applyBorder="1" applyAlignment="1">
      <alignment horizontal="center"/>
    </xf>
    <xf numFmtId="0" fontId="2" fillId="0" borderId="0" xfId="0" applyFont="1" applyBorder="1" applyAlignment="1">
      <alignment horizontal="center"/>
    </xf>
    <xf numFmtId="0" fontId="2" fillId="0" borderId="0" xfId="0" applyFont="1" applyFill="1" applyAlignment="1">
      <alignment horizontal="left"/>
    </xf>
    <xf numFmtId="0" fontId="1" fillId="0" borderId="12" xfId="0" applyFont="1" applyBorder="1" applyAlignment="1">
      <alignment horizontal="right"/>
    </xf>
    <xf numFmtId="0" fontId="1" fillId="0" borderId="0" xfId="0" applyFont="1" applyAlignment="1">
      <alignment horizontal="right"/>
    </xf>
    <xf numFmtId="0" fontId="31" fillId="0" borderId="0" xfId="9" applyFont="1" applyFill="1" applyAlignment="1">
      <alignment horizontal="right" wrapText="1"/>
    </xf>
    <xf numFmtId="3" fontId="9" fillId="0" borderId="0" xfId="1" applyNumberFormat="1" applyFont="1" applyFill="1" applyAlignment="1">
      <alignment horizontal="right"/>
    </xf>
    <xf numFmtId="4" fontId="23" fillId="0" borderId="0" xfId="1" applyNumberFormat="1" applyFont="1" applyFill="1" applyBorder="1" applyAlignment="1">
      <alignment horizontal="right"/>
    </xf>
    <xf numFmtId="4" fontId="23" fillId="0" borderId="0" xfId="1" applyNumberFormat="1" applyFont="1" applyFill="1" applyAlignment="1">
      <alignment horizontal="right"/>
    </xf>
    <xf numFmtId="0" fontId="4" fillId="0" borderId="0" xfId="0" applyFont="1" applyAlignment="1"/>
    <xf numFmtId="0" fontId="23" fillId="0" borderId="0" xfId="0" applyFont="1" applyFill="1" applyBorder="1" applyAlignment="1">
      <alignment horizontal="right"/>
    </xf>
    <xf numFmtId="175" fontId="23" fillId="0" borderId="0" xfId="0" applyNumberFormat="1" applyFont="1" applyFill="1" applyBorder="1" applyAlignment="1">
      <alignment horizontal="right"/>
    </xf>
    <xf numFmtId="3" fontId="1" fillId="0" borderId="0" xfId="0" applyNumberFormat="1" applyFont="1" applyFill="1" applyBorder="1" applyAlignment="1">
      <alignment horizontal="right"/>
    </xf>
    <xf numFmtId="189" fontId="26" fillId="0" borderId="0" xfId="0" applyNumberFormat="1" applyFont="1" applyFill="1" applyBorder="1"/>
    <xf numFmtId="3" fontId="26" fillId="0" borderId="0" xfId="0" applyNumberFormat="1" applyFont="1" applyFill="1" applyBorder="1"/>
    <xf numFmtId="175" fontId="23" fillId="0" borderId="0" xfId="0" applyNumberFormat="1" applyFont="1" applyFill="1" applyBorder="1"/>
    <xf numFmtId="189" fontId="23" fillId="0" borderId="5" xfId="0" applyNumberFormat="1" applyFont="1" applyBorder="1"/>
    <xf numFmtId="212" fontId="4" fillId="0" borderId="0" xfId="0" applyNumberFormat="1" applyFont="1" applyFill="1" applyBorder="1" applyAlignment="1" applyProtection="1">
      <alignment horizontal="center"/>
    </xf>
    <xf numFmtId="4" fontId="23" fillId="0" borderId="0" xfId="1" applyNumberFormat="1" applyFont="1" applyFill="1"/>
    <xf numFmtId="175" fontId="23" fillId="0" borderId="0" xfId="0" applyNumberFormat="1" applyFont="1" applyFill="1"/>
    <xf numFmtId="175" fontId="31" fillId="0" borderId="0" xfId="8" applyNumberFormat="1" applyFont="1" applyFill="1" applyAlignment="1">
      <alignment horizontal="right" wrapText="1"/>
    </xf>
    <xf numFmtId="0" fontId="7" fillId="0" borderId="0" xfId="0" applyFont="1" applyFill="1" applyAlignment="1">
      <alignment horizontal="right"/>
    </xf>
    <xf numFmtId="3" fontId="9" fillId="0" borderId="0" xfId="0" applyNumberFormat="1" applyFont="1" applyFill="1" applyBorder="1"/>
    <xf numFmtId="0" fontId="0" fillId="0" borderId="0" xfId="0" applyFill="1"/>
    <xf numFmtId="0" fontId="1" fillId="0" borderId="0" xfId="0" applyFont="1" applyFill="1" applyAlignment="1">
      <alignment horizontal="right"/>
    </xf>
    <xf numFmtId="3" fontId="9" fillId="0" borderId="0" xfId="0" applyNumberFormat="1" applyFont="1" applyFill="1"/>
    <xf numFmtId="175" fontId="7" fillId="0" borderId="0" xfId="10" applyNumberFormat="1" applyFont="1" applyFill="1" applyAlignment="1">
      <alignment wrapText="1"/>
    </xf>
    <xf numFmtId="1" fontId="7" fillId="0" borderId="0" xfId="10" applyNumberFormat="1" applyFont="1" applyFill="1" applyAlignment="1">
      <alignment wrapText="1"/>
    </xf>
    <xf numFmtId="175" fontId="23" fillId="0" borderId="0" xfId="0" applyNumberFormat="1" applyFont="1" applyFill="1" applyAlignment="1"/>
    <xf numFmtId="172" fontId="9" fillId="0" borderId="0" xfId="1" applyNumberFormat="1" applyFont="1" applyFill="1" applyBorder="1"/>
    <xf numFmtId="0" fontId="8" fillId="0" borderId="3" xfId="0" applyFont="1" applyFill="1" applyBorder="1"/>
    <xf numFmtId="0" fontId="1" fillId="0" borderId="12" xfId="0" applyFont="1" applyFill="1" applyBorder="1" applyAlignment="1">
      <alignment horizontal="right"/>
    </xf>
    <xf numFmtId="175" fontId="23" fillId="0" borderId="0" xfId="0" applyNumberFormat="1" applyFont="1" applyFill="1" applyAlignment="1">
      <alignment horizontal="right"/>
    </xf>
    <xf numFmtId="0" fontId="14" fillId="0" borderId="0" xfId="0" applyFont="1" applyBorder="1"/>
    <xf numFmtId="0" fontId="44" fillId="0" borderId="0" xfId="0" quotePrefix="1" applyFont="1" applyBorder="1" applyAlignment="1">
      <alignment horizontal="left"/>
    </xf>
    <xf numFmtId="0" fontId="44" fillId="0" borderId="0" xfId="0" applyFont="1" applyBorder="1"/>
    <xf numFmtId="0" fontId="44" fillId="0" borderId="0" xfId="0" applyFont="1" applyFill="1"/>
    <xf numFmtId="189" fontId="23" fillId="0" borderId="0" xfId="0" applyNumberFormat="1" applyFont="1" applyFill="1" applyBorder="1"/>
    <xf numFmtId="0" fontId="8" fillId="0" borderId="10" xfId="0" applyFont="1" applyFill="1" applyBorder="1" applyAlignment="1">
      <alignment horizontal="center"/>
    </xf>
    <xf numFmtId="0" fontId="8" fillId="0" borderId="10" xfId="0" applyFont="1" applyFill="1" applyBorder="1" applyAlignment="1">
      <alignment horizontal="right"/>
    </xf>
    <xf numFmtId="0" fontId="7" fillId="0" borderId="0" xfId="0" applyFont="1" applyAlignment="1"/>
    <xf numFmtId="0" fontId="7" fillId="0" borderId="0" xfId="0" applyFont="1" applyBorder="1" applyAlignment="1"/>
    <xf numFmtId="2" fontId="23" fillId="0" borderId="5" xfId="1" applyNumberFormat="1" applyFont="1" applyFill="1" applyBorder="1" applyAlignment="1">
      <alignment horizontal="right"/>
    </xf>
    <xf numFmtId="4" fontId="23" fillId="0" borderId="5" xfId="1" applyNumberFormat="1" applyFont="1" applyBorder="1"/>
    <xf numFmtId="0" fontId="31" fillId="0" borderId="0" xfId="9" applyFont="1" applyFill="1" applyBorder="1" applyAlignment="1">
      <alignment horizontal="right" wrapText="1"/>
    </xf>
    <xf numFmtId="175" fontId="8" fillId="0" borderId="0" xfId="0" applyNumberFormat="1" applyFont="1"/>
    <xf numFmtId="3" fontId="9" fillId="0" borderId="0" xfId="10" applyNumberFormat="1" applyFont="1" applyFill="1" applyAlignment="1">
      <alignment wrapText="1"/>
    </xf>
    <xf numFmtId="0" fontId="44" fillId="0" borderId="0" xfId="0" quotePrefix="1" applyFont="1" applyFill="1" applyBorder="1" applyAlignment="1">
      <alignment horizontal="left"/>
    </xf>
    <xf numFmtId="175" fontId="28" fillId="0" borderId="0" xfId="0" applyNumberFormat="1" applyFont="1" applyFill="1" applyBorder="1" applyAlignment="1">
      <alignment horizontal="right"/>
    </xf>
    <xf numFmtId="0" fontId="0" fillId="0" borderId="0" xfId="0" applyFill="1" applyBorder="1"/>
    <xf numFmtId="0" fontId="7" fillId="0" borderId="0" xfId="0" applyFont="1" applyFill="1" applyBorder="1" applyAlignment="1">
      <alignment horizontal="left" indent="3"/>
    </xf>
    <xf numFmtId="175" fontId="31" fillId="0" borderId="0" xfId="8" applyNumberFormat="1" applyFont="1" applyFill="1" applyBorder="1" applyAlignment="1">
      <alignment horizontal="right" wrapText="1"/>
    </xf>
    <xf numFmtId="0" fontId="7" fillId="0" borderId="0" xfId="0" applyFont="1" applyFill="1" applyBorder="1" applyAlignment="1">
      <alignment horizontal="left" indent="2"/>
    </xf>
    <xf numFmtId="0" fontId="7" fillId="0" borderId="0" xfId="0" applyFont="1" applyFill="1" applyBorder="1" applyAlignment="1">
      <alignment horizontal="left" indent="1"/>
    </xf>
    <xf numFmtId="0" fontId="21" fillId="0" borderId="0" xfId="0" applyFont="1" applyFill="1" applyBorder="1"/>
    <xf numFmtId="0" fontId="27" fillId="0" borderId="0" xfId="0" applyFont="1"/>
    <xf numFmtId="4" fontId="23" fillId="0" borderId="0" xfId="1" applyNumberFormat="1" applyFont="1" applyFill="1" applyBorder="1" applyAlignment="1">
      <alignment horizontal="center"/>
    </xf>
    <xf numFmtId="172" fontId="8" fillId="0" borderId="0" xfId="1" applyNumberFormat="1" applyFont="1" applyFill="1" applyBorder="1" applyAlignment="1">
      <alignment horizontal="right"/>
    </xf>
    <xf numFmtId="4" fontId="49" fillId="0" borderId="0" xfId="1" applyNumberFormat="1" applyFont="1"/>
    <xf numFmtId="0" fontId="8" fillId="0" borderId="4" xfId="0" applyFont="1" applyBorder="1" applyAlignment="1">
      <alignment horizontal="left"/>
    </xf>
    <xf numFmtId="0" fontId="37" fillId="0" borderId="4" xfId="0" applyFont="1" applyBorder="1"/>
    <xf numFmtId="172" fontId="8" fillId="0" borderId="4" xfId="1" applyNumberFormat="1" applyFont="1" applyFill="1" applyBorder="1" applyAlignment="1">
      <alignment horizontal="right"/>
    </xf>
    <xf numFmtId="4" fontId="49" fillId="0" borderId="4" xfId="1" applyNumberFormat="1" applyFont="1" applyBorder="1"/>
    <xf numFmtId="3" fontId="23" fillId="0" borderId="1" xfId="0" applyNumberFormat="1" applyFont="1" applyBorder="1" applyAlignment="1">
      <alignment horizontal="right"/>
    </xf>
    <xf numFmtId="3" fontId="26" fillId="0" borderId="1" xfId="0" applyNumberFormat="1" applyFont="1" applyBorder="1"/>
    <xf numFmtId="3" fontId="26" fillId="0" borderId="13" xfId="0" applyNumberFormat="1" applyFont="1" applyBorder="1"/>
    <xf numFmtId="0" fontId="4" fillId="0" borderId="0" xfId="0" applyFont="1" applyBorder="1" applyAlignment="1" applyProtection="1">
      <alignment vertical="top"/>
    </xf>
    <xf numFmtId="3" fontId="23" fillId="0" borderId="0" xfId="0" applyNumberFormat="1" applyFont="1" applyAlignment="1">
      <alignment horizontal="right"/>
    </xf>
    <xf numFmtId="3" fontId="26" fillId="0" borderId="0" xfId="1" applyNumberFormat="1" applyFont="1" applyFill="1" applyBorder="1"/>
    <xf numFmtId="3" fontId="23" fillId="0" borderId="0" xfId="1" applyNumberFormat="1" applyFont="1" applyFill="1"/>
    <xf numFmtId="3" fontId="26" fillId="0" borderId="0" xfId="1" applyNumberFormat="1" applyFont="1" applyFill="1"/>
    <xf numFmtId="3" fontId="52" fillId="0" borderId="0" xfId="1" applyNumberFormat="1" applyFont="1" applyFill="1" applyBorder="1"/>
    <xf numFmtId="169" fontId="23" fillId="0" borderId="0" xfId="1" applyNumberFormat="1" applyFont="1" applyFill="1" applyAlignment="1">
      <alignment horizontal="right"/>
    </xf>
    <xf numFmtId="3" fontId="23" fillId="0" borderId="0" xfId="1" applyNumberFormat="1" applyFont="1" applyFill="1" applyBorder="1" applyAlignment="1">
      <alignment horizontal="justify"/>
    </xf>
    <xf numFmtId="0" fontId="37" fillId="0" borderId="0" xfId="7" applyFont="1" applyAlignment="1">
      <alignment vertical="top" wrapText="1"/>
    </xf>
    <xf numFmtId="1" fontId="37" fillId="0" borderId="0" xfId="7" applyNumberFormat="1" applyFont="1" applyFill="1" applyAlignment="1">
      <alignment vertical="top" wrapText="1"/>
    </xf>
    <xf numFmtId="1" fontId="12" fillId="0" borderId="0" xfId="7" applyNumberFormat="1" applyFont="1" applyFill="1" applyAlignment="1">
      <alignment horizontal="right" wrapText="1"/>
    </xf>
    <xf numFmtId="1" fontId="39" fillId="0" borderId="0" xfId="7" applyNumberFormat="1" applyFont="1" applyFill="1" applyAlignment="1">
      <alignment horizontal="right" wrapText="1"/>
    </xf>
    <xf numFmtId="3" fontId="38" fillId="0" borderId="0" xfId="7" applyNumberFormat="1" applyFont="1" applyFill="1" applyAlignment="1">
      <alignment horizontal="right" wrapText="1"/>
    </xf>
    <xf numFmtId="1" fontId="12" fillId="0" borderId="0" xfId="7" applyNumberFormat="1" applyFont="1" applyFill="1" applyAlignment="1">
      <alignment vertical="top" wrapText="1"/>
    </xf>
    <xf numFmtId="1" fontId="7" fillId="0" borderId="0" xfId="7" applyNumberFormat="1" applyFont="1" applyFill="1"/>
    <xf numFmtId="1" fontId="12" fillId="0" borderId="0" xfId="7" applyNumberFormat="1" applyFont="1" applyFill="1" applyAlignment="1">
      <alignment horizontal="left" vertical="top" wrapText="1"/>
    </xf>
    <xf numFmtId="1" fontId="12" fillId="0" borderId="4" xfId="7" applyNumberFormat="1" applyFont="1" applyFill="1" applyBorder="1" applyAlignment="1">
      <alignment vertical="top" wrapText="1"/>
    </xf>
    <xf numFmtId="0" fontId="12" fillId="0" borderId="0" xfId="7" applyFont="1" applyAlignment="1">
      <alignment vertical="top" wrapText="1"/>
    </xf>
    <xf numFmtId="0" fontId="12" fillId="0" borderId="0" xfId="7" applyFont="1" applyAlignment="1">
      <alignment horizontal="left" vertical="top" wrapText="1"/>
    </xf>
    <xf numFmtId="0" fontId="7" fillId="0" borderId="0" xfId="7" applyFont="1" applyFill="1" applyAlignment="1">
      <alignment horizontal="right"/>
    </xf>
    <xf numFmtId="175" fontId="21" fillId="0" borderId="0" xfId="7" applyNumberFormat="1" applyFont="1" applyFill="1" applyBorder="1" applyAlignment="1">
      <alignment horizontal="right"/>
    </xf>
    <xf numFmtId="0" fontId="7" fillId="0" borderId="0" xfId="7" applyFont="1" applyFill="1"/>
    <xf numFmtId="3" fontId="9" fillId="0" borderId="0" xfId="7" applyNumberFormat="1" applyFont="1" applyFill="1" applyBorder="1"/>
    <xf numFmtId="0" fontId="23" fillId="0" borderId="4" xfId="7" applyFont="1" applyFill="1" applyBorder="1"/>
    <xf numFmtId="0" fontId="2" fillId="0" borderId="0" xfId="7" applyFill="1"/>
    <xf numFmtId="0" fontId="8" fillId="0" borderId="10" xfId="7" applyFont="1" applyFill="1" applyBorder="1"/>
    <xf numFmtId="0" fontId="1" fillId="0" borderId="0" xfId="7" applyFont="1" applyFill="1" applyAlignment="1">
      <alignment horizontal="right"/>
    </xf>
    <xf numFmtId="0" fontId="23" fillId="0" borderId="0" xfId="7" applyFont="1" applyFill="1"/>
    <xf numFmtId="3" fontId="9" fillId="0" borderId="0" xfId="7" applyNumberFormat="1" applyFont="1" applyFill="1"/>
    <xf numFmtId="1" fontId="7" fillId="0" borderId="0" xfId="7" applyNumberFormat="1" applyFont="1" applyFill="1" applyAlignment="1">
      <alignment horizontal="right" vertical="top" wrapText="1"/>
    </xf>
    <xf numFmtId="0" fontId="37" fillId="0" borderId="0" xfId="7" applyFont="1" applyFill="1" applyAlignment="1">
      <alignment vertical="top" wrapText="1"/>
    </xf>
    <xf numFmtId="1" fontId="7" fillId="0" borderId="0" xfId="7" applyNumberFormat="1" applyFont="1" applyFill="1" applyAlignment="1">
      <alignment horizontal="right" wrapText="1"/>
    </xf>
    <xf numFmtId="1" fontId="12" fillId="0" borderId="0" xfId="7" applyNumberFormat="1" applyFont="1" applyFill="1" applyAlignment="1">
      <alignment horizontal="right"/>
    </xf>
    <xf numFmtId="0" fontId="38" fillId="0" borderId="0" xfId="7" applyFont="1" applyFill="1" applyAlignment="1">
      <alignment horizontal="right" wrapText="1"/>
    </xf>
    <xf numFmtId="1" fontId="37" fillId="0" borderId="0" xfId="7" applyNumberFormat="1" applyFont="1" applyFill="1" applyAlignment="1">
      <alignment horizontal="right" wrapText="1"/>
    </xf>
    <xf numFmtId="175" fontId="7" fillId="0" borderId="0" xfId="7" applyNumberFormat="1" applyFont="1" applyFill="1"/>
    <xf numFmtId="175" fontId="23" fillId="0" borderId="0" xfId="7" applyNumberFormat="1" applyFont="1" applyFill="1" applyAlignment="1"/>
    <xf numFmtId="175" fontId="23" fillId="0" borderId="0" xfId="7" applyNumberFormat="1" applyFont="1" applyFill="1" applyAlignment="1">
      <alignment horizontal="right"/>
    </xf>
    <xf numFmtId="0" fontId="53" fillId="0" borderId="0" xfId="0" applyFont="1"/>
    <xf numFmtId="175" fontId="54" fillId="0" borderId="0" xfId="0" applyNumberFormat="1" applyFont="1" applyAlignment="1"/>
    <xf numFmtId="175" fontId="29" fillId="0" borderId="0" xfId="0" applyNumberFormat="1" applyFont="1" applyAlignment="1">
      <alignment horizontal="right"/>
    </xf>
    <xf numFmtId="0" fontId="8" fillId="0" borderId="14" xfId="0" quotePrefix="1" applyFont="1" applyBorder="1" applyAlignment="1">
      <alignment horizontal="left"/>
    </xf>
    <xf numFmtId="0" fontId="8" fillId="0" borderId="11" xfId="0" applyFont="1" applyBorder="1" applyAlignment="1">
      <alignment horizontal="center"/>
    </xf>
    <xf numFmtId="16" fontId="8" fillId="0" borderId="15" xfId="0" quotePrefix="1" applyNumberFormat="1" applyFont="1" applyBorder="1" applyAlignment="1">
      <alignment horizontal="center"/>
    </xf>
    <xf numFmtId="1" fontId="7" fillId="0" borderId="0" xfId="0" applyNumberFormat="1" applyFont="1" applyFill="1" applyBorder="1"/>
    <xf numFmtId="3" fontId="7" fillId="0" borderId="0" xfId="1" applyNumberFormat="1" applyFont="1" applyFill="1" applyAlignment="1">
      <alignment horizontal="right"/>
    </xf>
    <xf numFmtId="169" fontId="7" fillId="0" borderId="0" xfId="1" applyNumberFormat="1" applyFont="1" applyFill="1" applyAlignment="1">
      <alignment horizontal="right"/>
    </xf>
    <xf numFmtId="1" fontId="7" fillId="0" borderId="0" xfId="0" applyNumberFormat="1" applyFont="1" applyFill="1" applyBorder="1" applyAlignment="1">
      <alignment horizontal="right"/>
    </xf>
    <xf numFmtId="1" fontId="7" fillId="0" borderId="0" xfId="1" applyNumberFormat="1" applyFont="1" applyFill="1"/>
    <xf numFmtId="1" fontId="7" fillId="0" borderId="0" xfId="1" applyNumberFormat="1" applyFont="1" applyFill="1" applyAlignment="1">
      <alignment horizontal="right"/>
    </xf>
    <xf numFmtId="3" fontId="7" fillId="0" borderId="0" xfId="1" applyNumberFormat="1" applyFont="1" applyFill="1" applyBorder="1" applyAlignment="1">
      <alignment horizontal="right"/>
    </xf>
    <xf numFmtId="0" fontId="14" fillId="0" borderId="0" xfId="6" applyFont="1" applyFill="1" applyBorder="1"/>
    <xf numFmtId="1" fontId="13" fillId="0" borderId="0" xfId="6" applyNumberFormat="1" applyFont="1" applyFill="1"/>
    <xf numFmtId="1" fontId="7" fillId="0" borderId="0" xfId="6" applyNumberFormat="1" applyFont="1" applyFill="1"/>
    <xf numFmtId="1" fontId="14" fillId="0" borderId="0" xfId="6" applyNumberFormat="1" applyFont="1" applyFill="1" applyBorder="1"/>
    <xf numFmtId="1" fontId="13" fillId="0" borderId="0" xfId="6" applyNumberFormat="1" applyFont="1" applyFill="1" applyBorder="1"/>
    <xf numFmtId="1" fontId="14" fillId="0" borderId="9" xfId="6" applyNumberFormat="1" applyFont="1" applyFill="1" applyBorder="1"/>
    <xf numFmtId="1" fontId="13" fillId="0" borderId="10" xfId="6" applyNumberFormat="1" applyFont="1" applyFill="1" applyBorder="1"/>
    <xf numFmtId="1" fontId="13" fillId="0" borderId="10" xfId="6" applyNumberFormat="1" applyFont="1" applyFill="1" applyBorder="1" applyAlignment="1">
      <alignment horizontal="centerContinuous"/>
    </xf>
    <xf numFmtId="1" fontId="14" fillId="0" borderId="10" xfId="6" applyNumberFormat="1" applyFont="1" applyFill="1" applyBorder="1" applyAlignment="1">
      <alignment horizontal="centerContinuous"/>
    </xf>
    <xf numFmtId="1" fontId="13" fillId="0" borderId="9" xfId="6" applyNumberFormat="1" applyFont="1" applyFill="1" applyBorder="1"/>
    <xf numFmtId="1" fontId="14" fillId="0" borderId="4" xfId="6" applyNumberFormat="1" applyFont="1" applyFill="1" applyBorder="1"/>
    <xf numFmtId="1" fontId="14" fillId="0" borderId="4" xfId="6" applyNumberFormat="1" applyFont="1" applyFill="1" applyBorder="1" applyAlignment="1">
      <alignment horizontal="center" vertical="center" wrapText="1"/>
    </xf>
    <xf numFmtId="1" fontId="13" fillId="0" borderId="0" xfId="6" applyNumberFormat="1" applyFont="1" applyFill="1" applyAlignment="1">
      <alignment horizontal="center" vertical="top" wrapText="1"/>
    </xf>
    <xf numFmtId="1" fontId="56" fillId="0" borderId="0" xfId="6" applyNumberFormat="1" applyFont="1" applyFill="1" applyAlignment="1">
      <alignment vertical="top" wrapText="1"/>
    </xf>
    <xf numFmtId="1" fontId="56" fillId="0" borderId="0" xfId="6" applyNumberFormat="1" applyFont="1" applyFill="1" applyAlignment="1">
      <alignment horizontal="right" vertical="top"/>
    </xf>
    <xf numFmtId="3" fontId="13" fillId="0" borderId="0" xfId="0" applyNumberFormat="1" applyFont="1" applyFill="1" applyBorder="1" applyAlignment="1">
      <alignment horizontal="right"/>
    </xf>
    <xf numFmtId="3" fontId="14" fillId="0" borderId="0" xfId="0" applyNumberFormat="1" applyFont="1" applyFill="1" applyBorder="1" applyAlignment="1">
      <alignment horizontal="right"/>
    </xf>
    <xf numFmtId="3" fontId="14" fillId="0" borderId="4" xfId="0" applyNumberFormat="1" applyFont="1" applyFill="1" applyBorder="1" applyAlignment="1">
      <alignment horizontal="right"/>
    </xf>
    <xf numFmtId="1" fontId="4" fillId="0" borderId="0" xfId="6" applyNumberFormat="1" applyFont="1" applyFill="1"/>
    <xf numFmtId="3" fontId="4" fillId="0" borderId="0" xfId="0" applyNumberFormat="1" applyFont="1" applyBorder="1" applyAlignment="1">
      <alignment horizontal="right"/>
    </xf>
    <xf numFmtId="1" fontId="14" fillId="0" borderId="1" xfId="6" applyNumberFormat="1" applyFont="1" applyFill="1" applyBorder="1"/>
    <xf numFmtId="1" fontId="13" fillId="0" borderId="1" xfId="6" applyNumberFormat="1" applyFont="1" applyFill="1" applyBorder="1"/>
    <xf numFmtId="1" fontId="14" fillId="0" borderId="16" xfId="6" applyNumberFormat="1" applyFont="1" applyFill="1" applyBorder="1"/>
    <xf numFmtId="1" fontId="14" fillId="0" borderId="16" xfId="6" applyNumberFormat="1" applyFont="1" applyFill="1" applyBorder="1" applyAlignment="1">
      <alignment horizontal="centerContinuous"/>
    </xf>
    <xf numFmtId="1" fontId="14" fillId="0" borderId="1" xfId="6" applyNumberFormat="1" applyFont="1" applyFill="1" applyBorder="1" applyAlignment="1">
      <alignment horizontal="center" vertical="top" wrapText="1"/>
    </xf>
    <xf numFmtId="1" fontId="56" fillId="0" borderId="0" xfId="6" applyNumberFormat="1" applyFont="1" applyFill="1" applyAlignment="1">
      <alignment horizontal="center" vertical="top" wrapText="1"/>
    </xf>
    <xf numFmtId="3" fontId="14" fillId="0" borderId="1" xfId="0" applyNumberFormat="1" applyFont="1" applyFill="1" applyBorder="1" applyAlignment="1">
      <alignment horizontal="right"/>
    </xf>
    <xf numFmtId="0" fontId="58" fillId="0" borderId="0" xfId="0" applyFont="1" applyBorder="1"/>
    <xf numFmtId="1" fontId="58" fillId="0" borderId="0" xfId="6" applyNumberFormat="1" applyFont="1" applyFill="1" applyBorder="1"/>
    <xf numFmtId="1" fontId="14" fillId="0" borderId="4" xfId="6" applyNumberFormat="1" applyFont="1" applyFill="1" applyBorder="1" applyAlignment="1">
      <alignment horizontal="center" vertical="top" wrapText="1"/>
    </xf>
    <xf numFmtId="0" fontId="13" fillId="0" borderId="0" xfId="6" applyFont="1" applyFill="1" applyBorder="1"/>
    <xf numFmtId="1" fontId="13" fillId="0" borderId="4" xfId="6" applyNumberFormat="1" applyFont="1" applyFill="1" applyBorder="1"/>
    <xf numFmtId="1" fontId="14" fillId="0" borderId="10" xfId="6" applyNumberFormat="1" applyFont="1" applyFill="1" applyBorder="1" applyAlignment="1">
      <alignment horizontal="center" vertical="top" wrapText="1"/>
    </xf>
    <xf numFmtId="1" fontId="13" fillId="0" borderId="0" xfId="6" applyNumberFormat="1" applyFont="1" applyFill="1" applyBorder="1" applyAlignment="1">
      <alignment horizontal="center" vertical="top" wrapText="1"/>
    </xf>
    <xf numFmtId="175" fontId="13" fillId="0" borderId="0" xfId="6" applyNumberFormat="1" applyFont="1" applyFill="1" applyAlignment="1">
      <alignment horizontal="center" vertical="top" wrapText="1"/>
    </xf>
    <xf numFmtId="175" fontId="13" fillId="0" borderId="0" xfId="6" applyNumberFormat="1" applyFont="1" applyFill="1" applyAlignment="1">
      <alignment horizontal="right" vertical="top" wrapText="1"/>
    </xf>
    <xf numFmtId="175" fontId="14" fillId="0" borderId="0" xfId="6" applyNumberFormat="1" applyFont="1" applyFill="1" applyAlignment="1">
      <alignment horizontal="right" vertical="top" wrapText="1"/>
    </xf>
    <xf numFmtId="175" fontId="13" fillId="0" borderId="0" xfId="0" applyNumberFormat="1" applyFont="1" applyFill="1" applyBorder="1" applyAlignment="1">
      <alignment horizontal="right"/>
    </xf>
    <xf numFmtId="189" fontId="14" fillId="0" borderId="0" xfId="0" applyNumberFormat="1" applyFont="1" applyFill="1" applyBorder="1" applyAlignment="1">
      <alignment horizontal="right"/>
    </xf>
    <xf numFmtId="175" fontId="14" fillId="0" borderId="4" xfId="0" applyNumberFormat="1" applyFont="1" applyFill="1" applyBorder="1" applyAlignment="1">
      <alignment horizontal="right"/>
    </xf>
    <xf numFmtId="189" fontId="14" fillId="0" borderId="4" xfId="0" applyNumberFormat="1" applyFont="1" applyFill="1" applyBorder="1" applyAlignment="1">
      <alignment horizontal="right"/>
    </xf>
    <xf numFmtId="3" fontId="4" fillId="0" borderId="0" xfId="0" applyNumberFormat="1" applyFont="1" applyFill="1" applyBorder="1" applyAlignment="1">
      <alignment horizontal="right"/>
    </xf>
    <xf numFmtId="1" fontId="14" fillId="0" borderId="10" xfId="6" applyNumberFormat="1" applyFont="1" applyFill="1" applyBorder="1"/>
    <xf numFmtId="189" fontId="13" fillId="0" borderId="0" xfId="0" applyNumberFormat="1" applyFont="1" applyFill="1" applyBorder="1" applyAlignment="1">
      <alignment horizontal="right"/>
    </xf>
    <xf numFmtId="175" fontId="14" fillId="0" borderId="4" xfId="6" applyNumberFormat="1" applyFont="1" applyFill="1" applyBorder="1"/>
    <xf numFmtId="2" fontId="7" fillId="0" borderId="0" xfId="6" applyNumberFormat="1" applyFont="1" applyFill="1"/>
    <xf numFmtId="175" fontId="14" fillId="0" borderId="0" xfId="6" applyNumberFormat="1" applyFont="1" applyFill="1"/>
    <xf numFmtId="1" fontId="14" fillId="0" borderId="0" xfId="6" applyNumberFormat="1" applyFont="1" applyFill="1"/>
    <xf numFmtId="1" fontId="8" fillId="0" borderId="0" xfId="6" applyNumberFormat="1" applyFont="1" applyFill="1"/>
    <xf numFmtId="3" fontId="0" fillId="0" borderId="0" xfId="0" applyNumberFormat="1" applyFill="1"/>
    <xf numFmtId="203" fontId="2" fillId="0" borderId="0" xfId="0" applyNumberFormat="1" applyFont="1" applyFill="1" applyBorder="1" applyAlignment="1" applyProtection="1">
      <alignment horizontal="center"/>
    </xf>
    <xf numFmtId="198" fontId="2" fillId="0" borderId="0" xfId="0" applyNumberFormat="1" applyFont="1" applyFill="1" applyBorder="1" applyProtection="1"/>
    <xf numFmtId="172" fontId="2" fillId="0" borderId="0" xfId="1" applyNumberFormat="1" applyFill="1" applyBorder="1" applyAlignment="1" applyProtection="1">
      <alignment horizontal="left"/>
    </xf>
    <xf numFmtId="2" fontId="23" fillId="0" borderId="0" xfId="0" applyNumberFormat="1" applyFont="1" applyFill="1"/>
    <xf numFmtId="3" fontId="38" fillId="0" borderId="0" xfId="7" applyNumberFormat="1" applyFont="1" applyFill="1" applyBorder="1" applyAlignment="1">
      <alignment horizontal="right" wrapText="1"/>
    </xf>
    <xf numFmtId="1" fontId="12" fillId="0" borderId="0" xfId="7" applyNumberFormat="1" applyFont="1" applyFill="1" applyBorder="1"/>
    <xf numFmtId="0" fontId="8" fillId="0" borderId="10" xfId="0" applyFont="1" applyBorder="1" applyAlignment="1">
      <alignment horizontal="right"/>
    </xf>
    <xf numFmtId="2" fontId="35" fillId="0" borderId="0" xfId="0" applyNumberFormat="1" applyFont="1"/>
    <xf numFmtId="1" fontId="7" fillId="0" borderId="4" xfId="7" applyNumberFormat="1" applyFont="1" applyFill="1" applyBorder="1" applyAlignment="1">
      <alignment horizontal="right" wrapText="1"/>
    </xf>
    <xf numFmtId="1" fontId="12" fillId="0" borderId="4" xfId="7" applyNumberFormat="1" applyFont="1" applyFill="1" applyBorder="1" applyAlignment="1">
      <alignment horizontal="right" wrapText="1"/>
    </xf>
    <xf numFmtId="3" fontId="38" fillId="0" borderId="4" xfId="7" applyNumberFormat="1" applyFont="1" applyFill="1" applyBorder="1" applyAlignment="1">
      <alignment horizontal="right" wrapText="1"/>
    </xf>
    <xf numFmtId="1" fontId="12" fillId="0" borderId="0" xfId="7" applyNumberFormat="1" applyFont="1" applyFill="1" applyBorder="1" applyAlignment="1">
      <alignment horizontal="right" wrapText="1"/>
    </xf>
    <xf numFmtId="1" fontId="12" fillId="0" borderId="0" xfId="7" applyNumberFormat="1" applyFont="1" applyFill="1"/>
    <xf numFmtId="0" fontId="38" fillId="0" borderId="0" xfId="7" applyFont="1" applyFill="1" applyBorder="1"/>
    <xf numFmtId="0" fontId="38" fillId="0" borderId="0" xfId="7" applyFont="1" applyFill="1" applyBorder="1" applyAlignment="1">
      <alignment horizontal="right" wrapText="1"/>
    </xf>
    <xf numFmtId="1" fontId="37" fillId="0" borderId="0" xfId="7" applyNumberFormat="1" applyFont="1" applyFill="1" applyBorder="1" applyAlignment="1">
      <alignment vertical="top" wrapText="1"/>
    </xf>
    <xf numFmtId="1" fontId="12" fillId="0" borderId="0" xfId="7" applyNumberFormat="1" applyFont="1" applyFill="1" applyAlignment="1">
      <alignment horizontal="right" vertical="top" wrapText="1"/>
    </xf>
    <xf numFmtId="1" fontId="7" fillId="0" borderId="4" xfId="7" applyNumberFormat="1" applyFont="1" applyFill="1" applyBorder="1" applyAlignment="1">
      <alignment horizontal="right" vertical="top" wrapText="1"/>
    </xf>
    <xf numFmtId="3" fontId="40" fillId="0" borderId="0" xfId="7" applyNumberFormat="1" applyFont="1" applyFill="1" applyAlignment="1">
      <alignment horizontal="right" wrapText="1"/>
    </xf>
    <xf numFmtId="0" fontId="50" fillId="0" borderId="0" xfId="0" applyFont="1" applyFill="1" applyAlignment="1">
      <alignment horizontal="left"/>
    </xf>
    <xf numFmtId="0" fontId="14" fillId="0" borderId="0" xfId="0" applyFont="1" applyFill="1" applyAlignment="1">
      <alignment horizontal="left"/>
    </xf>
    <xf numFmtId="0" fontId="59" fillId="0" borderId="0" xfId="0" applyFont="1"/>
    <xf numFmtId="189" fontId="23" fillId="0" borderId="5" xfId="0" applyNumberFormat="1" applyFont="1" applyFill="1" applyBorder="1"/>
    <xf numFmtId="0" fontId="7" fillId="0" borderId="0" xfId="1" quotePrefix="1" applyNumberFormat="1" applyFont="1" applyFill="1" applyBorder="1" applyAlignment="1">
      <alignment horizontal="right"/>
    </xf>
    <xf numFmtId="203" fontId="65" fillId="0" borderId="0" xfId="0" applyNumberFormat="1" applyFont="1" applyFill="1" applyBorder="1" applyAlignment="1" applyProtection="1">
      <alignment horizontal="center"/>
    </xf>
    <xf numFmtId="169" fontId="7" fillId="0" borderId="0" xfId="1" applyNumberFormat="1" applyFont="1" applyFill="1"/>
    <xf numFmtId="2" fontId="23" fillId="0" borderId="0" xfId="0" applyNumberFormat="1" applyFont="1"/>
    <xf numFmtId="0" fontId="50" fillId="0" borderId="0" xfId="0" applyFont="1" applyBorder="1"/>
    <xf numFmtId="0" fontId="60" fillId="0" borderId="0" xfId="3" applyFont="1" applyBorder="1" applyAlignment="1" applyProtection="1"/>
    <xf numFmtId="0" fontId="12" fillId="0" borderId="0" xfId="7" applyFont="1" applyBorder="1" applyAlignment="1">
      <alignment vertical="top" wrapText="1"/>
    </xf>
    <xf numFmtId="0" fontId="12" fillId="0" borderId="0" xfId="7" applyFont="1" applyFill="1" applyAlignment="1">
      <alignment vertical="top" wrapText="1"/>
    </xf>
    <xf numFmtId="0" fontId="12" fillId="0" borderId="4" xfId="7" applyFont="1" applyFill="1" applyBorder="1" applyAlignment="1">
      <alignment vertical="top" wrapText="1"/>
    </xf>
    <xf numFmtId="0" fontId="7" fillId="0" borderId="11" xfId="0" applyFont="1" applyBorder="1"/>
    <xf numFmtId="1" fontId="12" fillId="0" borderId="11" xfId="7" applyNumberFormat="1" applyFont="1" applyFill="1" applyBorder="1" applyAlignment="1">
      <alignment horizontal="right" wrapText="1"/>
    </xf>
    <xf numFmtId="1" fontId="12" fillId="0" borderId="11" xfId="7" applyNumberFormat="1" applyFont="1" applyFill="1" applyBorder="1"/>
    <xf numFmtId="1" fontId="12" fillId="0" borderId="15" xfId="7" applyNumberFormat="1" applyFont="1" applyFill="1" applyBorder="1" applyAlignment="1">
      <alignment horizontal="right" wrapText="1"/>
    </xf>
    <xf numFmtId="172" fontId="38" fillId="0" borderId="0" xfId="1" applyNumberFormat="1" applyFont="1" applyFill="1" applyBorder="1" applyAlignment="1">
      <alignment horizontal="right" wrapText="1"/>
    </xf>
    <xf numFmtId="172" fontId="38" fillId="0" borderId="0" xfId="1" applyNumberFormat="1" applyFont="1" applyFill="1" applyBorder="1"/>
    <xf numFmtId="172" fontId="38" fillId="0" borderId="4" xfId="1" applyNumberFormat="1" applyFont="1" applyFill="1" applyBorder="1" applyAlignment="1">
      <alignment horizontal="right" wrapText="1"/>
    </xf>
    <xf numFmtId="0" fontId="8" fillId="0" borderId="4" xfId="0" applyFont="1" applyBorder="1" applyAlignment="1"/>
    <xf numFmtId="0" fontId="8" fillId="0" borderId="15" xfId="0" applyFont="1" applyBorder="1" applyAlignment="1"/>
    <xf numFmtId="1" fontId="31" fillId="0" borderId="0" xfId="8" applyNumberFormat="1" applyFont="1" applyFill="1" applyAlignment="1">
      <alignment horizontal="right" wrapText="1"/>
    </xf>
    <xf numFmtId="1" fontId="21" fillId="0" borderId="0" xfId="7" applyNumberFormat="1" applyFont="1" applyFill="1" applyBorder="1" applyAlignment="1">
      <alignment horizontal="right"/>
    </xf>
    <xf numFmtId="1" fontId="21" fillId="0" borderId="0" xfId="7" applyNumberFormat="1" applyFont="1" applyFill="1" applyBorder="1"/>
    <xf numFmtId="0" fontId="8" fillId="0" borderId="0" xfId="4" applyFont="1" applyBorder="1"/>
    <xf numFmtId="0" fontId="7" fillId="0" borderId="0" xfId="4" applyFont="1"/>
    <xf numFmtId="175" fontId="7" fillId="0" borderId="0" xfId="4" applyNumberFormat="1" applyFont="1" applyAlignment="1">
      <alignment horizontal="right"/>
    </xf>
    <xf numFmtId="1" fontId="31" fillId="0" borderId="0" xfId="8" applyNumberFormat="1" applyFont="1" applyAlignment="1">
      <alignment horizontal="right" wrapText="1"/>
    </xf>
    <xf numFmtId="1" fontId="21" fillId="0" borderId="0" xfId="0" applyNumberFormat="1" applyFont="1" applyFill="1" applyBorder="1" applyAlignment="1">
      <alignment horizontal="right"/>
    </xf>
    <xf numFmtId="1" fontId="21" fillId="0" borderId="0" xfId="0" applyNumberFormat="1" applyFont="1" applyFill="1" applyBorder="1"/>
    <xf numFmtId="1" fontId="12" fillId="0" borderId="0" xfId="7" applyNumberFormat="1" applyFont="1" applyFill="1" applyBorder="1" applyAlignment="1">
      <alignment horizontal="right" vertical="top" wrapText="1"/>
    </xf>
    <xf numFmtId="175" fontId="7" fillId="0" borderId="0" xfId="7" applyNumberFormat="1" applyFont="1" applyFill="1" applyAlignment="1">
      <alignment horizontal="right" vertical="top" wrapText="1"/>
    </xf>
    <xf numFmtId="1" fontId="9" fillId="0" borderId="0" xfId="7" applyNumberFormat="1" applyFont="1" applyFill="1" applyAlignment="1">
      <alignment horizontal="right" wrapText="1"/>
    </xf>
    <xf numFmtId="175" fontId="7" fillId="0" borderId="0" xfId="10" applyNumberFormat="1" applyFont="1" applyAlignment="1">
      <alignment horizontal="right" wrapText="1"/>
    </xf>
    <xf numFmtId="175" fontId="23" fillId="0" borderId="0" xfId="0" applyNumberFormat="1" applyFont="1"/>
    <xf numFmtId="0" fontId="8" fillId="0" borderId="0" xfId="4" applyFont="1"/>
    <xf numFmtId="0" fontId="7" fillId="0" borderId="0" xfId="4" applyFont="1" applyFill="1"/>
    <xf numFmtId="0" fontId="7" fillId="0" borderId="0" xfId="4" applyFont="1" applyBorder="1"/>
    <xf numFmtId="3" fontId="9" fillId="0" borderId="0" xfId="4" applyNumberFormat="1" applyFont="1" applyFill="1"/>
    <xf numFmtId="0" fontId="8" fillId="0" borderId="0" xfId="4" applyFont="1" applyBorder="1" applyAlignment="1">
      <alignment horizontal="left"/>
    </xf>
    <xf numFmtId="0" fontId="7" fillId="0" borderId="9" xfId="4" applyFont="1" applyBorder="1"/>
    <xf numFmtId="0" fontId="8" fillId="0" borderId="9" xfId="4" applyFont="1" applyBorder="1"/>
    <xf numFmtId="0" fontId="7" fillId="0" borderId="4" xfId="4" applyFont="1" applyBorder="1"/>
    <xf numFmtId="0" fontId="8" fillId="0" borderId="4" xfId="4" applyFont="1" applyBorder="1"/>
    <xf numFmtId="0" fontId="3" fillId="0" borderId="0" xfId="4" applyFont="1" applyBorder="1" applyAlignment="1">
      <alignment horizontal="right"/>
    </xf>
    <xf numFmtId="0" fontId="9" fillId="0" borderId="0" xfId="4" applyFont="1" applyBorder="1" applyAlignment="1">
      <alignment horizontal="center"/>
    </xf>
    <xf numFmtId="0" fontId="9" fillId="0" borderId="0" xfId="4" applyFont="1" applyBorder="1" applyAlignment="1">
      <alignment horizontal="right"/>
    </xf>
    <xf numFmtId="175" fontId="7" fillId="0" borderId="0" xfId="4" applyNumberFormat="1" applyFont="1" applyFill="1"/>
    <xf numFmtId="175" fontId="7" fillId="0" borderId="0" xfId="4" applyNumberFormat="1" applyFont="1" applyFill="1" applyBorder="1"/>
    <xf numFmtId="0" fontId="7" fillId="0" borderId="0" xfId="4" applyFont="1" applyFill="1" applyBorder="1"/>
    <xf numFmtId="175" fontId="7" fillId="0" borderId="4" xfId="4" applyNumberFormat="1" applyFont="1" applyFill="1" applyBorder="1"/>
    <xf numFmtId="0" fontId="7" fillId="0" borderId="4" xfId="4" applyFont="1" applyFill="1" applyBorder="1"/>
    <xf numFmtId="0" fontId="2" fillId="0" borderId="0" xfId="4" applyFont="1"/>
    <xf numFmtId="0" fontId="8" fillId="0" borderId="10" xfId="0" applyFont="1" applyFill="1" applyBorder="1" applyProtection="1">
      <protection locked="0"/>
    </xf>
    <xf numFmtId="0" fontId="8" fillId="0" borderId="10" xfId="0" applyFont="1" applyFill="1" applyBorder="1" applyAlignment="1" applyProtection="1">
      <alignment horizontal="right"/>
      <protection locked="0"/>
    </xf>
    <xf numFmtId="0" fontId="8" fillId="0" borderId="0" xfId="0" applyFont="1" applyFill="1" applyBorder="1" applyProtection="1">
      <protection locked="0"/>
    </xf>
    <xf numFmtId="0" fontId="8" fillId="0" borderId="0" xfId="0" applyFont="1" applyFill="1" applyBorder="1" applyAlignment="1" applyProtection="1">
      <alignment horizontal="right"/>
      <protection locked="0"/>
    </xf>
    <xf numFmtId="175" fontId="0" fillId="0" borderId="0" xfId="0" applyNumberFormat="1"/>
    <xf numFmtId="0" fontId="45" fillId="0" borderId="0" xfId="0" quotePrefix="1" applyFont="1" applyAlignment="1">
      <alignment horizontal="left"/>
    </xf>
    <xf numFmtId="0" fontId="9" fillId="0" borderId="4" xfId="0" applyFont="1" applyBorder="1"/>
    <xf numFmtId="172" fontId="66" fillId="0" borderId="4" xfId="1" applyNumberFormat="1" applyFont="1" applyBorder="1"/>
    <xf numFmtId="0" fontId="0" fillId="0" borderId="10" xfId="0" applyBorder="1"/>
    <xf numFmtId="172" fontId="66" fillId="0" borderId="0" xfId="1" applyNumberFormat="1" applyFont="1" applyBorder="1"/>
    <xf numFmtId="0" fontId="3" fillId="0" borderId="0" xfId="0" applyFont="1" applyBorder="1"/>
    <xf numFmtId="0" fontId="4" fillId="0" borderId="4" xfId="0" applyFont="1" applyBorder="1"/>
    <xf numFmtId="1" fontId="7" fillId="0" borderId="4" xfId="0" applyNumberFormat="1" applyFont="1" applyFill="1" applyBorder="1" applyAlignment="1">
      <alignment horizontal="right"/>
    </xf>
    <xf numFmtId="1" fontId="7" fillId="0" borderId="0" xfId="0" applyNumberFormat="1" applyFont="1" applyAlignment="1">
      <alignment horizontal="right"/>
    </xf>
    <xf numFmtId="189" fontId="23" fillId="0" borderId="0" xfId="0" applyNumberFormat="1" applyFont="1" applyBorder="1" applyAlignment="1">
      <alignment horizontal="right"/>
    </xf>
    <xf numFmtId="189" fontId="23" fillId="0" borderId="0" xfId="0" applyNumberFormat="1" applyFont="1" applyFill="1" applyBorder="1" applyAlignment="1">
      <alignment horizontal="right"/>
    </xf>
    <xf numFmtId="189" fontId="23" fillId="0" borderId="0" xfId="0" applyNumberFormat="1" applyFont="1" applyFill="1"/>
    <xf numFmtId="189" fontId="23" fillId="0" borderId="0" xfId="0" applyNumberFormat="1" applyFont="1"/>
    <xf numFmtId="0" fontId="36" fillId="0" borderId="9" xfId="4" applyFont="1" applyBorder="1" applyAlignment="1">
      <alignment horizontal="right"/>
    </xf>
    <xf numFmtId="0" fontId="36" fillId="0" borderId="4" xfId="4" applyFont="1" applyBorder="1" applyAlignment="1">
      <alignment horizontal="right"/>
    </xf>
    <xf numFmtId="169" fontId="23" fillId="0" borderId="0" xfId="0" applyNumberFormat="1" applyFont="1"/>
    <xf numFmtId="194" fontId="0" fillId="0" borderId="0" xfId="11" applyNumberFormat="1" applyFont="1" applyFill="1" applyBorder="1" applyProtection="1"/>
    <xf numFmtId="1" fontId="37" fillId="0" borderId="0" xfId="7" applyNumberFormat="1" applyFont="1" applyFill="1" applyAlignment="1">
      <alignment horizontal="right" vertical="top" wrapText="1"/>
    </xf>
    <xf numFmtId="1" fontId="7" fillId="0" borderId="0" xfId="7" applyNumberFormat="1" applyFont="1" applyFill="1" applyAlignment="1">
      <alignment horizontal="right"/>
    </xf>
    <xf numFmtId="175" fontId="2" fillId="0" borderId="0" xfId="0" applyNumberFormat="1" applyFont="1" applyBorder="1"/>
    <xf numFmtId="0" fontId="2" fillId="5" borderId="0" xfId="5" applyFont="1" applyFill="1"/>
    <xf numFmtId="172" fontId="38" fillId="0" borderId="0" xfId="1" applyNumberFormat="1" applyFont="1" applyFill="1" applyAlignment="1">
      <alignment horizontal="right" vertical="top" wrapText="1"/>
    </xf>
    <xf numFmtId="172" fontId="40" fillId="0" borderId="0" xfId="1" applyNumberFormat="1" applyFont="1" applyFill="1" applyAlignment="1">
      <alignment vertical="top" wrapText="1"/>
    </xf>
    <xf numFmtId="172" fontId="38" fillId="0" borderId="0" xfId="1" applyNumberFormat="1" applyFont="1" applyFill="1" applyBorder="1" applyAlignment="1">
      <alignment horizontal="right" vertical="top" wrapText="1"/>
    </xf>
    <xf numFmtId="172" fontId="9" fillId="0" borderId="0" xfId="1" applyNumberFormat="1" applyFont="1" applyFill="1" applyAlignment="1">
      <alignment horizontal="right" vertical="top" wrapText="1"/>
    </xf>
    <xf numFmtId="172" fontId="9" fillId="0" borderId="4" xfId="1" applyNumberFormat="1" applyFont="1" applyFill="1" applyBorder="1" applyAlignment="1">
      <alignment horizontal="right" vertical="top" wrapText="1"/>
    </xf>
    <xf numFmtId="0" fontId="64" fillId="5" borderId="0" xfId="0" applyFont="1" applyFill="1" applyBorder="1" applyAlignment="1"/>
    <xf numFmtId="1" fontId="7" fillId="0" borderId="4" xfId="0" applyNumberFormat="1" applyFont="1" applyBorder="1"/>
    <xf numFmtId="1" fontId="7" fillId="0" borderId="4" xfId="0" applyNumberFormat="1" applyFont="1" applyBorder="1" applyAlignment="1">
      <alignment horizontal="right"/>
    </xf>
    <xf numFmtId="1" fontId="0" fillId="0" borderId="0" xfId="0" applyNumberFormat="1" applyFill="1"/>
    <xf numFmtId="0" fontId="67" fillId="0" borderId="0" xfId="0" applyFont="1"/>
    <xf numFmtId="3" fontId="12" fillId="0" borderId="0" xfId="0" applyNumberFormat="1" applyFont="1" applyBorder="1" applyAlignment="1">
      <alignment horizontal="right" vertical="center"/>
    </xf>
    <xf numFmtId="3" fontId="7" fillId="0" borderId="0" xfId="0" applyNumberFormat="1" applyFont="1" applyBorder="1"/>
    <xf numFmtId="1" fontId="53" fillId="0" borderId="0" xfId="6" applyNumberFormat="1" applyFont="1" applyFill="1" applyBorder="1"/>
    <xf numFmtId="1" fontId="2" fillId="0" borderId="0" xfId="6" applyNumberFormat="1" applyFont="1" applyFill="1"/>
    <xf numFmtId="1" fontId="2" fillId="0" borderId="0" xfId="6" applyNumberFormat="1" applyFont="1" applyFill="1" applyBorder="1"/>
    <xf numFmtId="1" fontId="53" fillId="0" borderId="9" xfId="6" applyNumberFormat="1" applyFont="1" applyFill="1" applyBorder="1"/>
    <xf numFmtId="1" fontId="2" fillId="0" borderId="10" xfId="6" applyNumberFormat="1" applyFont="1" applyFill="1" applyBorder="1"/>
    <xf numFmtId="1" fontId="2" fillId="0" borderId="10" xfId="6" applyNumberFormat="1" applyFont="1" applyFill="1" applyBorder="1" applyAlignment="1">
      <alignment horizontal="centerContinuous"/>
    </xf>
    <xf numFmtId="1" fontId="53" fillId="0" borderId="10" xfId="6" applyNumberFormat="1" applyFont="1" applyFill="1" applyBorder="1" applyAlignment="1">
      <alignment horizontal="centerContinuous"/>
    </xf>
    <xf numFmtId="1" fontId="53" fillId="0" borderId="4" xfId="6" applyNumberFormat="1" applyFont="1" applyFill="1" applyBorder="1"/>
    <xf numFmtId="1" fontId="53" fillId="0" borderId="4" xfId="6" applyNumberFormat="1" applyFont="1" applyFill="1" applyBorder="1" applyAlignment="1">
      <alignment horizontal="center" wrapText="1"/>
    </xf>
    <xf numFmtId="1" fontId="2" fillId="0" borderId="0" xfId="6" applyNumberFormat="1" applyFont="1" applyFill="1" applyAlignment="1">
      <alignment horizontal="center" vertical="top" wrapText="1"/>
    </xf>
    <xf numFmtId="1" fontId="3" fillId="0" borderId="0" xfId="6" applyNumberFormat="1" applyFont="1" applyFill="1" applyAlignment="1">
      <alignment horizontal="right" vertical="top"/>
    </xf>
    <xf numFmtId="3" fontId="2" fillId="0" borderId="0" xfId="0" applyNumberFormat="1" applyFont="1" applyFill="1" applyBorder="1" applyAlignment="1">
      <alignment horizontal="right"/>
    </xf>
    <xf numFmtId="3" fontId="53" fillId="0" borderId="0" xfId="0" applyNumberFormat="1" applyFont="1" applyFill="1" applyBorder="1" applyAlignment="1">
      <alignment horizontal="right"/>
    </xf>
    <xf numFmtId="3" fontId="53" fillId="0" borderId="4" xfId="0" applyNumberFormat="1" applyFont="1" applyFill="1" applyBorder="1" applyAlignment="1">
      <alignment horizontal="right"/>
    </xf>
    <xf numFmtId="0" fontId="8" fillId="0" borderId="0" xfId="6" applyFont="1" applyFill="1" applyBorder="1"/>
    <xf numFmtId="1" fontId="59" fillId="0" borderId="0" xfId="6" applyNumberFormat="1" applyFont="1" applyFill="1" applyBorder="1"/>
    <xf numFmtId="0" fontId="59" fillId="0" borderId="0" xfId="0" applyFont="1" applyBorder="1"/>
    <xf numFmtId="175" fontId="7" fillId="0" borderId="0" xfId="0" applyNumberFormat="1" applyFont="1" applyFill="1" applyBorder="1"/>
    <xf numFmtId="193" fontId="9" fillId="0" borderId="0" xfId="1" applyNumberFormat="1" applyFont="1" applyFill="1" applyBorder="1"/>
    <xf numFmtId="1" fontId="7" fillId="0" borderId="0" xfId="0" applyNumberFormat="1" applyFont="1" applyBorder="1" applyAlignment="1">
      <alignment horizontal="right"/>
    </xf>
    <xf numFmtId="1" fontId="7" fillId="0" borderId="0" xfId="7" applyNumberFormat="1" applyFont="1" applyFill="1" applyBorder="1" applyAlignment="1">
      <alignment horizontal="right" wrapText="1"/>
    </xf>
    <xf numFmtId="1" fontId="7" fillId="0" borderId="0" xfId="7" applyNumberFormat="1" applyFont="1" applyFill="1" applyBorder="1" applyAlignment="1">
      <alignment horizontal="right" vertical="top" wrapText="1"/>
    </xf>
    <xf numFmtId="172" fontId="9" fillId="0" borderId="0" xfId="1" applyNumberFormat="1" applyFont="1" applyFill="1" applyBorder="1" applyAlignment="1">
      <alignment horizontal="right" vertical="top" wrapText="1"/>
    </xf>
    <xf numFmtId="0" fontId="31" fillId="0" borderId="0" xfId="9" applyFont="1" applyBorder="1" applyAlignment="1">
      <alignment horizontal="right" wrapText="1"/>
    </xf>
    <xf numFmtId="0" fontId="23" fillId="0" borderId="0" xfId="7" applyFont="1" applyFill="1" applyBorder="1"/>
    <xf numFmtId="0" fontId="58" fillId="0" borderId="0" xfId="0" applyFont="1"/>
    <xf numFmtId="1" fontId="7" fillId="0" borderId="0" xfId="4" applyNumberFormat="1" applyFont="1" applyFill="1"/>
    <xf numFmtId="1" fontId="7" fillId="0" borderId="0" xfId="4" applyNumberFormat="1" applyFont="1" applyFill="1" applyBorder="1"/>
    <xf numFmtId="3" fontId="9" fillId="0" borderId="0" xfId="0" applyNumberFormat="1" applyFont="1"/>
    <xf numFmtId="0" fontId="8" fillId="0" borderId="0" xfId="0" applyFont="1" applyFill="1" applyBorder="1" applyAlignment="1"/>
    <xf numFmtId="0" fontId="44" fillId="0" borderId="0" xfId="0" applyFont="1" applyFill="1" applyBorder="1"/>
    <xf numFmtId="0" fontId="8" fillId="0" borderId="0" xfId="0" applyFont="1" applyFill="1" applyAlignment="1"/>
    <xf numFmtId="175" fontId="31" fillId="0" borderId="4" xfId="8" applyNumberFormat="1" applyFont="1" applyBorder="1" applyAlignment="1">
      <alignment horizontal="right" wrapText="1"/>
    </xf>
    <xf numFmtId="175" fontId="31" fillId="0" borderId="4" xfId="8" applyNumberFormat="1" applyFont="1" applyFill="1" applyBorder="1" applyAlignment="1">
      <alignment horizontal="right" wrapText="1"/>
    </xf>
    <xf numFmtId="0" fontId="0" fillId="0" borderId="0" xfId="0" applyFont="1"/>
    <xf numFmtId="0" fontId="0" fillId="0" borderId="0" xfId="0" applyFont="1" applyBorder="1"/>
    <xf numFmtId="0" fontId="68" fillId="0" borderId="0" xfId="0" applyFont="1" applyBorder="1"/>
    <xf numFmtId="0" fontId="8" fillId="0" borderId="10" xfId="0" applyFont="1" applyBorder="1" applyAlignment="1">
      <alignment horizontal="center" wrapText="1"/>
    </xf>
    <xf numFmtId="175" fontId="31" fillId="0" borderId="0" xfId="8" applyNumberFormat="1" applyFont="1" applyBorder="1" applyAlignment="1">
      <alignment horizontal="right" wrapText="1"/>
    </xf>
    <xf numFmtId="0" fontId="7" fillId="0" borderId="0" xfId="7" applyFont="1" applyFill="1" applyBorder="1"/>
    <xf numFmtId="3" fontId="9" fillId="0" borderId="0" xfId="7" applyNumberFormat="1" applyFont="1" applyFill="1" applyBorder="1" applyAlignment="1"/>
    <xf numFmtId="0" fontId="8" fillId="0" borderId="0" xfId="0" applyFont="1" applyBorder="1" applyAlignment="1">
      <alignment horizontal="left"/>
    </xf>
    <xf numFmtId="0" fontId="69" fillId="0" borderId="0" xfId="0" applyFont="1" applyBorder="1" applyAlignment="1"/>
    <xf numFmtId="0" fontId="70" fillId="0" borderId="0" xfId="0" applyFont="1" applyAlignment="1">
      <alignment horizontal="left" wrapText="1"/>
    </xf>
    <xf numFmtId="0" fontId="69" fillId="0" borderId="0" xfId="0" applyFont="1"/>
    <xf numFmtId="0" fontId="69" fillId="0" borderId="4" xfId="0" applyFont="1" applyBorder="1" applyAlignment="1"/>
    <xf numFmtId="0" fontId="69" fillId="0" borderId="4" xfId="0" applyFont="1" applyBorder="1"/>
    <xf numFmtId="0" fontId="3" fillId="0" borderId="9" xfId="0" applyFont="1" applyBorder="1" applyAlignment="1">
      <alignment horizontal="right"/>
    </xf>
    <xf numFmtId="0" fontId="0" fillId="0" borderId="9" xfId="0" applyBorder="1"/>
    <xf numFmtId="175" fontId="9" fillId="0" borderId="0" xfId="0" applyNumberFormat="1" applyFont="1" applyBorder="1" applyAlignment="1">
      <alignment horizontal="right"/>
    </xf>
    <xf numFmtId="194" fontId="68" fillId="0" borderId="0" xfId="0" applyNumberFormat="1" applyFont="1" applyBorder="1" applyAlignment="1">
      <alignment vertical="center" wrapText="1"/>
    </xf>
    <xf numFmtId="175" fontId="7" fillId="0" borderId="0" xfId="8" applyNumberFormat="1" applyFont="1" applyBorder="1" applyAlignment="1">
      <alignment horizontal="right" wrapText="1"/>
    </xf>
    <xf numFmtId="175" fontId="7" fillId="0" borderId="0" xfId="8" applyNumberFormat="1" applyFont="1" applyFill="1" applyBorder="1" applyAlignment="1">
      <alignment horizontal="right" wrapText="1"/>
    </xf>
    <xf numFmtId="3" fontId="68" fillId="0" borderId="0" xfId="0" applyNumberFormat="1" applyFont="1" applyBorder="1" applyAlignment="1">
      <alignment vertical="center" wrapText="1"/>
    </xf>
    <xf numFmtId="0" fontId="68" fillId="0" borderId="0" xfId="0" applyFont="1" applyBorder="1" applyAlignment="1">
      <alignment horizontal="right" vertical="center"/>
    </xf>
    <xf numFmtId="3" fontId="68" fillId="0" borderId="0" xfId="0" applyNumberFormat="1" applyFont="1" applyBorder="1" applyAlignment="1">
      <alignment horizontal="right" vertical="center"/>
    </xf>
    <xf numFmtId="0" fontId="68" fillId="0" borderId="0" xfId="0" applyFont="1" applyBorder="1" applyAlignment="1">
      <alignment vertical="center" wrapText="1"/>
    </xf>
    <xf numFmtId="0" fontId="2" fillId="0" borderId="9" xfId="0" applyFont="1" applyFill="1" applyBorder="1" applyAlignment="1">
      <alignment vertical="top"/>
    </xf>
    <xf numFmtId="0" fontId="8" fillId="0" borderId="4" xfId="0" applyFont="1" applyBorder="1" applyAlignment="1">
      <alignment horizontal="center" wrapText="1"/>
    </xf>
    <xf numFmtId="0" fontId="36" fillId="0" borderId="4" xfId="0" applyFont="1" applyBorder="1" applyAlignment="1">
      <alignment horizontal="center" wrapText="1"/>
    </xf>
    <xf numFmtId="0" fontId="68" fillId="0" borderId="0" xfId="0" applyFont="1" applyBorder="1" applyAlignment="1">
      <alignment horizontal="left" vertical="center" wrapText="1"/>
    </xf>
    <xf numFmtId="0" fontId="8" fillId="0" borderId="0" xfId="0" applyFont="1" applyBorder="1" applyAlignment="1">
      <alignment horizontal="center" wrapText="1"/>
    </xf>
    <xf numFmtId="0" fontId="44" fillId="0" borderId="9" xfId="0" quotePrefix="1" applyFont="1" applyBorder="1" applyAlignment="1">
      <alignment horizontal="left"/>
    </xf>
    <xf numFmtId="175" fontId="31" fillId="0" borderId="9" xfId="8" applyNumberFormat="1" applyFont="1" applyFill="1" applyBorder="1" applyAlignment="1">
      <alignment horizontal="right" wrapText="1"/>
    </xf>
    <xf numFmtId="194" fontId="31" fillId="0" borderId="0" xfId="8" applyNumberFormat="1" applyFont="1" applyAlignment="1">
      <alignment horizontal="right" wrapText="1"/>
    </xf>
    <xf numFmtId="194" fontId="31" fillId="0" borderId="0" xfId="8" applyNumberFormat="1" applyFont="1" applyBorder="1" applyAlignment="1">
      <alignment horizontal="right" wrapText="1"/>
    </xf>
    <xf numFmtId="194" fontId="31" fillId="0" borderId="0" xfId="8" applyNumberFormat="1" applyFont="1" applyFill="1" applyAlignment="1">
      <alignment horizontal="right" wrapText="1"/>
    </xf>
    <xf numFmtId="175" fontId="69" fillId="0" borderId="0" xfId="0" applyNumberFormat="1" applyFont="1"/>
    <xf numFmtId="175" fontId="69" fillId="0" borderId="4" xfId="0" applyNumberFormat="1" applyFont="1" applyBorder="1"/>
    <xf numFmtId="3" fontId="71" fillId="0" borderId="0" xfId="0" applyNumberFormat="1" applyFont="1" applyAlignment="1">
      <alignment vertical="center" wrapText="1"/>
    </xf>
    <xf numFmtId="0" fontId="69" fillId="0" borderId="0" xfId="0" applyFont="1" applyBorder="1" applyAlignment="1">
      <alignment horizontal="left" vertical="center" wrapText="1"/>
    </xf>
    <xf numFmtId="175" fontId="68" fillId="0" borderId="0" xfId="0" applyNumberFormat="1" applyFont="1" applyBorder="1" applyAlignment="1">
      <alignment vertical="center" wrapText="1"/>
    </xf>
    <xf numFmtId="0" fontId="69" fillId="0" borderId="4" xfId="0" applyFont="1" applyBorder="1" applyAlignment="1">
      <alignment horizontal="left" vertical="center" wrapText="1"/>
    </xf>
    <xf numFmtId="3" fontId="71" fillId="0" borderId="4" xfId="0" applyNumberFormat="1" applyFont="1" applyBorder="1" applyAlignment="1">
      <alignment vertical="center" wrapText="1"/>
    </xf>
    <xf numFmtId="0" fontId="2" fillId="5" borderId="0" xfId="0" applyFont="1" applyFill="1" applyBorder="1" applyAlignment="1"/>
    <xf numFmtId="0" fontId="68" fillId="0" borderId="0" xfId="0" applyFont="1" applyFill="1" applyBorder="1" applyAlignment="1">
      <alignment horizontal="left" vertical="center"/>
    </xf>
    <xf numFmtId="0" fontId="2" fillId="0" borderId="0" xfId="0" applyFont="1" applyFill="1" applyBorder="1" applyAlignment="1"/>
    <xf numFmtId="0" fontId="19" fillId="0" borderId="0" xfId="0" applyFont="1" applyBorder="1" applyAlignment="1">
      <alignment vertical="top" wrapText="1"/>
    </xf>
    <xf numFmtId="0" fontId="34" fillId="0" borderId="0" xfId="0" applyFont="1" applyBorder="1" applyAlignment="1">
      <alignment horizontal="right" wrapText="1"/>
    </xf>
    <xf numFmtId="1" fontId="37" fillId="0" borderId="0" xfId="7" applyNumberFormat="1" applyFont="1" applyFill="1" applyAlignment="1">
      <alignment vertical="top" wrapText="1"/>
    </xf>
    <xf numFmtId="0" fontId="8" fillId="0" borderId="10" xfId="0" applyFont="1" applyBorder="1" applyAlignment="1">
      <alignment horizontal="center"/>
    </xf>
    <xf numFmtId="0" fontId="7" fillId="0" borderId="10" xfId="0" applyFont="1" applyBorder="1" applyAlignment="1">
      <alignment horizontal="center"/>
    </xf>
    <xf numFmtId="0" fontId="8" fillId="0" borderId="17" xfId="0" applyFont="1" applyBorder="1" applyAlignment="1">
      <alignment horizontal="center"/>
    </xf>
    <xf numFmtId="0" fontId="8" fillId="0" borderId="9" xfId="0" applyFont="1" applyBorder="1" applyAlignment="1">
      <alignment horizontal="center" vertical="center"/>
    </xf>
    <xf numFmtId="0" fontId="8" fillId="0" borderId="9" xfId="0" applyFont="1" applyBorder="1" applyAlignment="1">
      <alignment vertical="center"/>
    </xf>
    <xf numFmtId="0" fontId="0" fillId="0" borderId="0" xfId="0" applyAlignment="1">
      <alignment vertical="center"/>
    </xf>
    <xf numFmtId="0" fontId="8" fillId="0" borderId="14" xfId="0" applyFont="1" applyBorder="1" applyAlignment="1">
      <alignment horizontal="center"/>
    </xf>
    <xf numFmtId="0" fontId="53" fillId="0" borderId="9" xfId="0" applyFont="1" applyBorder="1" applyAlignment="1">
      <alignment horizontal="center"/>
    </xf>
    <xf numFmtId="0" fontId="8" fillId="0" borderId="11" xfId="0" applyFont="1" applyBorder="1" applyAlignment="1">
      <alignment horizontal="center"/>
    </xf>
    <xf numFmtId="0" fontId="53" fillId="0" borderId="0" xfId="0" applyFont="1" applyBorder="1" applyAlignment="1">
      <alignment horizontal="center"/>
    </xf>
    <xf numFmtId="0" fontId="8" fillId="0" borderId="4" xfId="0" applyFont="1" applyBorder="1" applyAlignment="1">
      <alignment horizontal="center"/>
    </xf>
    <xf numFmtId="0" fontId="8" fillId="0" borderId="4" xfId="0" applyFont="1" applyBorder="1" applyAlignment="1"/>
    <xf numFmtId="0" fontId="8" fillId="0" borderId="9" xfId="0" applyFont="1" applyBorder="1" applyAlignment="1">
      <alignment horizontal="center" wrapText="1"/>
    </xf>
    <xf numFmtId="0" fontId="8" fillId="0" borderId="4" xfId="0" applyFont="1" applyBorder="1" applyAlignment="1">
      <alignment horizontal="center" wrapText="1"/>
    </xf>
    <xf numFmtId="16" fontId="8" fillId="0" borderId="9" xfId="0" quotePrefix="1" applyNumberFormat="1" applyFont="1" applyBorder="1" applyAlignment="1">
      <alignment horizontal="center" wrapText="1"/>
    </xf>
    <xf numFmtId="16" fontId="8" fillId="0" borderId="4" xfId="0" quotePrefix="1" applyNumberFormat="1" applyFont="1" applyBorder="1" applyAlignment="1">
      <alignment horizontal="center" wrapText="1"/>
    </xf>
    <xf numFmtId="0" fontId="8" fillId="0" borderId="9" xfId="0" quotePrefix="1" applyFont="1" applyBorder="1" applyAlignment="1">
      <alignment horizontal="center" wrapText="1"/>
    </xf>
    <xf numFmtId="0" fontId="8" fillId="0" borderId="4" xfId="0" quotePrefix="1" applyFont="1" applyBorder="1" applyAlignment="1">
      <alignment horizontal="center" wrapText="1"/>
    </xf>
    <xf numFmtId="0" fontId="8" fillId="0" borderId="14" xfId="0" applyFont="1" applyBorder="1" applyAlignment="1">
      <alignment horizontal="center" wrapText="1"/>
    </xf>
    <xf numFmtId="0" fontId="8" fillId="0" borderId="15" xfId="0" applyFont="1" applyBorder="1" applyAlignment="1">
      <alignment horizontal="center" wrapText="1"/>
    </xf>
    <xf numFmtId="0" fontId="3" fillId="0" borderId="0" xfId="0" applyFont="1" applyBorder="1" applyAlignment="1">
      <alignment horizontal="right"/>
    </xf>
    <xf numFmtId="0" fontId="0" fillId="0" borderId="0" xfId="0" applyAlignment="1">
      <alignment horizontal="right"/>
    </xf>
    <xf numFmtId="1" fontId="37" fillId="0" borderId="0" xfId="7" applyNumberFormat="1" applyFont="1" applyFill="1" applyAlignment="1">
      <alignment wrapText="1"/>
    </xf>
    <xf numFmtId="1" fontId="19" fillId="0" borderId="0" xfId="0" applyNumberFormat="1" applyFont="1" applyAlignment="1">
      <alignment vertical="top" wrapText="1"/>
    </xf>
    <xf numFmtId="0" fontId="7" fillId="0" borderId="0" xfId="0" applyFont="1" applyAlignment="1">
      <alignment horizontal="left"/>
    </xf>
    <xf numFmtId="0" fontId="7" fillId="0" borderId="0" xfId="0" applyFont="1" applyAlignment="1"/>
    <xf numFmtId="0" fontId="68" fillId="0" borderId="0" xfId="0" applyFont="1" applyBorder="1" applyAlignment="1">
      <alignment horizontal="left" vertical="center" wrapText="1"/>
    </xf>
    <xf numFmtId="0" fontId="36" fillId="0" borderId="0" xfId="0" applyFont="1" applyBorder="1" applyAlignment="1">
      <alignment horizontal="center" wrapText="1"/>
    </xf>
    <xf numFmtId="0" fontId="36" fillId="0" borderId="4" xfId="0" applyFont="1" applyBorder="1" applyAlignment="1">
      <alignment horizontal="center" wrapText="1"/>
    </xf>
    <xf numFmtId="0" fontId="7" fillId="0" borderId="0" xfId="0" applyFont="1" applyBorder="1" applyAlignment="1">
      <alignment horizontal="center"/>
    </xf>
    <xf numFmtId="0" fontId="7" fillId="0" borderId="4" xfId="0" applyFont="1" applyBorder="1" applyAlignment="1">
      <alignment horizontal="center"/>
    </xf>
    <xf numFmtId="0" fontId="8" fillId="0" borderId="0" xfId="0" applyFont="1" applyBorder="1" applyAlignment="1">
      <alignment horizontal="center" wrapText="1"/>
    </xf>
  </cellXfs>
  <cellStyles count="13">
    <cellStyle name="Comma" xfId="1" builtinId="3"/>
    <cellStyle name="Currency" xfId="2" builtinId="4"/>
    <cellStyle name="Hyperlink" xfId="3" builtinId="8"/>
    <cellStyle name="Normal" xfId="0" builtinId="0"/>
    <cellStyle name="Normal 2" xfId="4"/>
    <cellStyle name="Normal 3" xfId="5"/>
    <cellStyle name="Normal_250599" xfId="6"/>
    <cellStyle name="Normal_chapter11 - personal" xfId="7"/>
    <cellStyle name="Normal_T12.13-T12.15" xfId="8"/>
    <cellStyle name="Normal_T12.16-T12.19" xfId="9"/>
    <cellStyle name="Normal_T12.23-T12.25" xfId="10"/>
    <cellStyle name="Percent" xfId="11" builtinId="5"/>
    <cellStyle name="Publication_style" xfId="1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078403635350722E-2"/>
          <c:y val="4.3115438108484005E-2"/>
          <c:w val="0.86129847999082421"/>
          <c:h val="0.82892906815020861"/>
        </c:manualLayout>
      </c:layout>
      <c:lineChart>
        <c:grouping val="standard"/>
        <c:varyColors val="0"/>
        <c:ser>
          <c:idx val="0"/>
          <c:order val="0"/>
          <c:tx>
            <c:v>Driver congestion</c:v>
          </c:tx>
          <c:spPr>
            <a:ln w="38100">
              <a:solidFill>
                <a:srgbClr val="000080"/>
              </a:solidFill>
              <a:prstDash val="solid"/>
            </a:ln>
          </c:spPr>
          <c:marker>
            <c:symbol val="circle"/>
            <c:size val="8"/>
            <c:spPr>
              <a:solidFill>
                <a:srgbClr val="000080"/>
              </a:solidFill>
              <a:ln>
                <a:solidFill>
                  <a:srgbClr val="000080"/>
                </a:solidFill>
                <a:prstDash val="solid"/>
              </a:ln>
            </c:spPr>
          </c:marker>
          <c:cat>
            <c:numLit>
              <c:formatCode>General</c:formatCode>
              <c:ptCount val="11"/>
              <c:pt idx="0">
                <c:v>2003</c:v>
              </c:pt>
              <c:pt idx="1">
                <c:v>2004</c:v>
              </c:pt>
              <c:pt idx="2">
                <c:v>2005</c:v>
              </c:pt>
              <c:pt idx="3">
                <c:v>2006</c:v>
              </c:pt>
              <c:pt idx="4">
                <c:v>2007</c:v>
              </c:pt>
              <c:pt idx="5">
                <c:v>2008</c:v>
              </c:pt>
              <c:pt idx="6">
                <c:v>2009</c:v>
              </c:pt>
              <c:pt idx="7">
                <c:v>2010</c:v>
              </c:pt>
              <c:pt idx="8">
                <c:v>2011</c:v>
              </c:pt>
              <c:pt idx="9">
                <c:v>2012</c:v>
              </c:pt>
              <c:pt idx="10">
                <c:v>2013</c:v>
              </c:pt>
            </c:numLit>
          </c:cat>
          <c:val>
            <c:numLit>
              <c:formatCode>General</c:formatCode>
              <c:ptCount val="11"/>
              <c:pt idx="0">
                <c:v>10.8</c:v>
              </c:pt>
              <c:pt idx="1">
                <c:v>11.9</c:v>
              </c:pt>
              <c:pt idx="2">
                <c:v>11.6</c:v>
              </c:pt>
              <c:pt idx="3">
                <c:v>12.7</c:v>
              </c:pt>
              <c:pt idx="4">
                <c:v>14.3</c:v>
              </c:pt>
              <c:pt idx="5">
                <c:v>13.1</c:v>
              </c:pt>
              <c:pt idx="6">
                <c:v>11</c:v>
              </c:pt>
              <c:pt idx="7">
                <c:v>10.5</c:v>
              </c:pt>
              <c:pt idx="8">
                <c:v>11.2</c:v>
              </c:pt>
              <c:pt idx="9">
                <c:v>9.9</c:v>
              </c:pt>
              <c:pt idx="10">
                <c:v>9.6999999999999993</c:v>
              </c:pt>
            </c:numLit>
          </c:val>
          <c:smooth val="0"/>
          <c:extLst>
            <c:ext xmlns:c16="http://schemas.microsoft.com/office/drawing/2014/chart" uri="{C3380CC4-5D6E-409C-BE32-E72D297353CC}">
              <c16:uniqueId val="{00000000-6F12-47EE-B9B5-89D65B57BFA4}"/>
            </c:ext>
          </c:extLst>
        </c:ser>
        <c:ser>
          <c:idx val="1"/>
          <c:order val="1"/>
          <c:tx>
            <c:v>Service bus delays</c:v>
          </c:tx>
          <c:spPr>
            <a:ln w="38100">
              <a:solidFill>
                <a:srgbClr val="FF00FF"/>
              </a:solidFill>
              <a:prstDash val="lgDash"/>
            </a:ln>
          </c:spPr>
          <c:marker>
            <c:symbol val="square"/>
            <c:size val="7"/>
            <c:spPr>
              <a:solidFill>
                <a:srgbClr val="FF00FF"/>
              </a:solidFill>
              <a:ln>
                <a:solidFill>
                  <a:srgbClr val="FF00FF"/>
                </a:solidFill>
                <a:prstDash val="solid"/>
              </a:ln>
            </c:spPr>
          </c:marker>
          <c:cat>
            <c:numLit>
              <c:formatCode>General</c:formatCode>
              <c:ptCount val="11"/>
              <c:pt idx="0">
                <c:v>2003</c:v>
              </c:pt>
              <c:pt idx="1">
                <c:v>2004</c:v>
              </c:pt>
              <c:pt idx="2">
                <c:v>2005</c:v>
              </c:pt>
              <c:pt idx="3">
                <c:v>2006</c:v>
              </c:pt>
              <c:pt idx="4">
                <c:v>2007</c:v>
              </c:pt>
              <c:pt idx="5">
                <c:v>2008</c:v>
              </c:pt>
              <c:pt idx="6">
                <c:v>2009</c:v>
              </c:pt>
              <c:pt idx="7">
                <c:v>2010</c:v>
              </c:pt>
              <c:pt idx="8">
                <c:v>2011</c:v>
              </c:pt>
              <c:pt idx="9">
                <c:v>2012</c:v>
              </c:pt>
              <c:pt idx="10">
                <c:v>2013</c:v>
              </c:pt>
            </c:numLit>
          </c:cat>
          <c:val>
            <c:numLit>
              <c:formatCode>General</c:formatCode>
              <c:ptCount val="11"/>
              <c:pt idx="0">
                <c:v>7.6</c:v>
              </c:pt>
              <c:pt idx="1">
                <c:v>8.9</c:v>
              </c:pt>
              <c:pt idx="2">
                <c:v>9.5</c:v>
              </c:pt>
              <c:pt idx="3">
                <c:v>8.9</c:v>
              </c:pt>
              <c:pt idx="4">
                <c:v>12.5</c:v>
              </c:pt>
              <c:pt idx="5">
                <c:v>14.4</c:v>
              </c:pt>
              <c:pt idx="6">
                <c:v>9.9</c:v>
              </c:pt>
              <c:pt idx="7">
                <c:v>12.4</c:v>
              </c:pt>
              <c:pt idx="8">
                <c:v>10.5</c:v>
              </c:pt>
              <c:pt idx="9">
                <c:v>11.1</c:v>
              </c:pt>
              <c:pt idx="10">
                <c:v>10.199999999999999</c:v>
              </c:pt>
            </c:numLit>
          </c:val>
          <c:smooth val="0"/>
          <c:extLst>
            <c:ext xmlns:c16="http://schemas.microsoft.com/office/drawing/2014/chart" uri="{C3380CC4-5D6E-409C-BE32-E72D297353CC}">
              <c16:uniqueId val="{00000001-6F12-47EE-B9B5-89D65B57BFA4}"/>
            </c:ext>
          </c:extLst>
        </c:ser>
        <c:dLbls>
          <c:showLegendKey val="0"/>
          <c:showVal val="0"/>
          <c:showCatName val="0"/>
          <c:showSerName val="0"/>
          <c:showPercent val="0"/>
          <c:showBubbleSize val="0"/>
        </c:dLbls>
        <c:marker val="1"/>
        <c:smooth val="0"/>
        <c:axId val="119223688"/>
        <c:axId val="1"/>
      </c:lineChart>
      <c:catAx>
        <c:axId val="119223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4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 experiencing congestion / delays</a:t>
                </a:r>
              </a:p>
            </c:rich>
          </c:tx>
          <c:layout>
            <c:manualLayout>
              <c:xMode val="edge"/>
              <c:yMode val="edge"/>
              <c:x val="1.7897091722595078E-2"/>
              <c:y val="0.265646731571627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450" b="0" i="0" u="none" strike="noStrike" baseline="0">
                <a:solidFill>
                  <a:srgbClr val="000000"/>
                </a:solidFill>
                <a:latin typeface="Arial"/>
                <a:ea typeface="Arial"/>
                <a:cs typeface="Arial"/>
              </a:defRPr>
            </a:pPr>
            <a:endParaRPr lang="en-US"/>
          </a:p>
        </c:txPr>
        <c:crossAx val="119223688"/>
        <c:crosses val="autoZero"/>
        <c:crossBetween val="midCat"/>
      </c:valAx>
      <c:spPr>
        <a:solidFill>
          <a:srgbClr val="FFFFFF"/>
        </a:solidFill>
        <a:ln w="12700">
          <a:solidFill>
            <a:srgbClr val="FFFFFF"/>
          </a:solidFill>
          <a:prstDash val="solid"/>
        </a:ln>
      </c:spPr>
    </c:plotArea>
    <c:legend>
      <c:legendPos val="b"/>
      <c:layout>
        <c:manualLayout>
          <c:xMode val="edge"/>
          <c:yMode val="edge"/>
          <c:wMode val="edge"/>
          <c:hMode val="edge"/>
          <c:x val="0.28523525163381419"/>
          <c:y val="0.94853963838664812"/>
          <c:w val="0.76510149318583498"/>
          <c:h val="0.99026425591098743"/>
        </c:manualLayout>
      </c:layout>
      <c:overlay val="0"/>
      <c:spPr>
        <a:solidFill>
          <a:srgbClr val="FFFFFF"/>
        </a:solidFill>
        <a:ln w="3175">
          <a:solidFill>
            <a:srgbClr val="000000"/>
          </a:solidFill>
          <a:prstDash val="solid"/>
        </a:ln>
      </c:spPr>
      <c:txPr>
        <a:bodyPr/>
        <a:lstStyle/>
        <a:p>
          <a:pPr>
            <a:defRPr sz="9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4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8511588770122448"/>
          <c:y val="0.25995345885339538"/>
          <c:w val="0.43186671225332535"/>
          <c:h val="0.48243614886305813"/>
        </c:manualLayout>
      </c:layout>
      <c:pieChart>
        <c:varyColors val="1"/>
        <c:ser>
          <c:idx val="0"/>
          <c:order val="0"/>
          <c:spPr>
            <a:solidFill>
              <a:srgbClr val="8080FF"/>
            </a:solidFill>
            <a:ln w="12700">
              <a:solidFill>
                <a:srgbClr val="000000"/>
              </a:solidFill>
              <a:prstDash val="solid"/>
            </a:ln>
          </c:spPr>
          <c:dPt>
            <c:idx val="0"/>
            <c:bubble3D val="0"/>
            <c:extLst>
              <c:ext xmlns:c16="http://schemas.microsoft.com/office/drawing/2014/chart" uri="{C3380CC4-5D6E-409C-BE32-E72D297353CC}">
                <c16:uniqueId val="{00000000-F54B-4886-8F26-930F332D612D}"/>
              </c:ext>
            </c:extLst>
          </c:dPt>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F54B-4886-8F26-930F332D612D}"/>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2-F54B-4886-8F26-930F332D612D}"/>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3-F54B-4886-8F26-930F332D612D}"/>
              </c:ext>
            </c:extLst>
          </c:dPt>
          <c:dPt>
            <c:idx val="4"/>
            <c:bubble3D val="0"/>
            <c:spPr>
              <a:solidFill>
                <a:srgbClr val="600080"/>
              </a:solidFill>
              <a:ln w="12700">
                <a:solidFill>
                  <a:srgbClr val="000000"/>
                </a:solidFill>
                <a:prstDash val="solid"/>
              </a:ln>
            </c:spPr>
            <c:extLst>
              <c:ext xmlns:c16="http://schemas.microsoft.com/office/drawing/2014/chart" uri="{C3380CC4-5D6E-409C-BE32-E72D297353CC}">
                <c16:uniqueId val="{00000004-F54B-4886-8F26-930F332D612D}"/>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F54B-4886-8F26-930F332D612D}"/>
              </c:ext>
            </c:extLst>
          </c:dPt>
          <c:dPt>
            <c:idx val="6"/>
            <c:bubble3D val="0"/>
            <c:spPr>
              <a:solidFill>
                <a:srgbClr val="0080C0"/>
              </a:solidFill>
              <a:ln w="12700">
                <a:solidFill>
                  <a:srgbClr val="000000"/>
                </a:solidFill>
                <a:prstDash val="solid"/>
              </a:ln>
            </c:spPr>
            <c:extLst>
              <c:ext xmlns:c16="http://schemas.microsoft.com/office/drawing/2014/chart" uri="{C3380CC4-5D6E-409C-BE32-E72D297353CC}">
                <c16:uniqueId val="{00000006-F54B-4886-8F26-930F332D612D}"/>
              </c:ext>
            </c:extLst>
          </c:dPt>
          <c:dLbls>
            <c:dLbl>
              <c:idx val="0"/>
              <c:tx>
                <c:rich>
                  <a:bodyPr/>
                  <a:lstStyle/>
                  <a:p>
                    <a:pPr>
                      <a:defRPr sz="1000" b="0" i="0" u="none" strike="noStrike" baseline="0">
                        <a:solidFill>
                          <a:srgbClr val="000000"/>
                        </a:solidFill>
                        <a:latin typeface="Arial"/>
                        <a:ea typeface="Arial"/>
                        <a:cs typeface="Arial"/>
                      </a:defRPr>
                    </a:pPr>
                    <a:r>
                      <a:rPr lang="en-US"/>
                      <a:t>Driver
57%</a:t>
                    </a:r>
                  </a:p>
                </c:rich>
              </c:tx>
              <c:spPr>
                <a:noFill/>
                <a:ln w="25400">
                  <a:noFill/>
                </a:ln>
              </c:spPr>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4B-4886-8F26-930F332D612D}"/>
                </c:ext>
              </c:extLst>
            </c:dLbl>
            <c:dLbl>
              <c:idx val="6"/>
              <c:layout>
                <c:manualLayout>
                  <c:x val="9.4048392268687511E-2"/>
                  <c:y val="-5.9553003762064634E-2"/>
                </c:manualLayout>
              </c:layout>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54B-4886-8F26-930F332D612D}"/>
                </c:ext>
              </c:extLst>
            </c:dLbl>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'Figs11.3-11.4'!$T$5:$T$11</c:f>
              <c:strCache>
                <c:ptCount val="7"/>
                <c:pt idx="0">
                  <c:v>Driver</c:v>
                </c:pt>
                <c:pt idx="1">
                  <c:v>Passenger</c:v>
                </c:pt>
                <c:pt idx="2">
                  <c:v>Bus</c:v>
                </c:pt>
                <c:pt idx="3">
                  <c:v>Walking</c:v>
                </c:pt>
                <c:pt idx="4">
                  <c:v>Rail, including underground</c:v>
                </c:pt>
                <c:pt idx="5">
                  <c:v>Other</c:v>
                </c:pt>
                <c:pt idx="6">
                  <c:v>Bicycle</c:v>
                </c:pt>
              </c:strCache>
            </c:strRef>
          </c:cat>
          <c:val>
            <c:numRef>
              <c:f>'Figs11.3-11.4'!$U$5:$U$11</c:f>
              <c:numCache>
                <c:formatCode>0</c:formatCode>
                <c:ptCount val="7"/>
                <c:pt idx="0">
                  <c:v>59.8</c:v>
                </c:pt>
                <c:pt idx="1">
                  <c:v>8.6999999999999993</c:v>
                </c:pt>
                <c:pt idx="2">
                  <c:v>11.6</c:v>
                </c:pt>
                <c:pt idx="3">
                  <c:v>12.6</c:v>
                </c:pt>
                <c:pt idx="4">
                  <c:v>2.9</c:v>
                </c:pt>
                <c:pt idx="5">
                  <c:v>2.6</c:v>
                </c:pt>
                <c:pt idx="6">
                  <c:v>1.8</c:v>
                </c:pt>
              </c:numCache>
            </c:numRef>
          </c:val>
          <c:extLst>
            <c:ext xmlns:c16="http://schemas.microsoft.com/office/drawing/2014/chart" uri="{C3380CC4-5D6E-409C-BE32-E72D297353CC}">
              <c16:uniqueId val="{00000007-F54B-4886-8F26-930F332D612D}"/>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8099201901474025"/>
          <c:y val="0.25629290617848971"/>
          <c:w val="0.44008308860396822"/>
          <c:h val="0.48741418764302058"/>
        </c:manualLayout>
      </c:layout>
      <c:pieChart>
        <c:varyColors val="1"/>
        <c:ser>
          <c:idx val="0"/>
          <c:order val="0"/>
          <c:spPr>
            <a:solidFill>
              <a:srgbClr val="8080FF"/>
            </a:solidFill>
            <a:ln w="12700">
              <a:solidFill>
                <a:srgbClr val="000000"/>
              </a:solidFill>
              <a:prstDash val="solid"/>
            </a:ln>
          </c:spPr>
          <c:dPt>
            <c:idx val="0"/>
            <c:bubble3D val="0"/>
            <c:extLst>
              <c:ext xmlns:c16="http://schemas.microsoft.com/office/drawing/2014/chart" uri="{C3380CC4-5D6E-409C-BE32-E72D297353CC}">
                <c16:uniqueId val="{00000000-2C8B-4207-8EF5-142773BEDA49}"/>
              </c:ext>
            </c:extLst>
          </c:dPt>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2C8B-4207-8EF5-142773BEDA49}"/>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2-2C8B-4207-8EF5-142773BEDA49}"/>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3-2C8B-4207-8EF5-142773BEDA49}"/>
              </c:ext>
            </c:extLst>
          </c:dPt>
          <c:dPt>
            <c:idx val="4"/>
            <c:bubble3D val="0"/>
            <c:spPr>
              <a:solidFill>
                <a:srgbClr val="600080"/>
              </a:solidFill>
              <a:ln w="12700">
                <a:solidFill>
                  <a:srgbClr val="000000"/>
                </a:solidFill>
                <a:prstDash val="solid"/>
              </a:ln>
            </c:spPr>
            <c:extLst>
              <c:ext xmlns:c16="http://schemas.microsoft.com/office/drawing/2014/chart" uri="{C3380CC4-5D6E-409C-BE32-E72D297353CC}">
                <c16:uniqueId val="{00000004-2C8B-4207-8EF5-142773BEDA49}"/>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2C8B-4207-8EF5-142773BEDA49}"/>
              </c:ext>
            </c:extLst>
          </c:dPt>
          <c:dPt>
            <c:idx val="6"/>
            <c:bubble3D val="0"/>
            <c:spPr>
              <a:solidFill>
                <a:srgbClr val="0080C0"/>
              </a:solidFill>
              <a:ln w="12700">
                <a:solidFill>
                  <a:srgbClr val="000000"/>
                </a:solidFill>
                <a:prstDash val="solid"/>
              </a:ln>
            </c:spPr>
            <c:extLst>
              <c:ext xmlns:c16="http://schemas.microsoft.com/office/drawing/2014/chart" uri="{C3380CC4-5D6E-409C-BE32-E72D297353CC}">
                <c16:uniqueId val="{00000006-2C8B-4207-8EF5-142773BEDA49}"/>
              </c:ext>
            </c:extLst>
          </c:dPt>
          <c:dLbls>
            <c:dLbl>
              <c:idx val="6"/>
              <c:layout>
                <c:manualLayout>
                  <c:x val="9.7845476485043506E-2"/>
                  <c:y val="-5.5578178585800331E-2"/>
                </c:manualLayout>
              </c:layout>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C8B-4207-8EF5-142773BEDA49}"/>
                </c:ext>
              </c:extLst>
            </c:dLbl>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'Figs11.3-11.4'!$T$5:$T$11</c:f>
              <c:strCache>
                <c:ptCount val="7"/>
                <c:pt idx="0">
                  <c:v>Driver</c:v>
                </c:pt>
                <c:pt idx="1">
                  <c:v>Passenger</c:v>
                </c:pt>
                <c:pt idx="2">
                  <c:v>Bus</c:v>
                </c:pt>
                <c:pt idx="3">
                  <c:v>Walking</c:v>
                </c:pt>
                <c:pt idx="4">
                  <c:v>Rail, including underground</c:v>
                </c:pt>
                <c:pt idx="5">
                  <c:v>Other</c:v>
                </c:pt>
                <c:pt idx="6">
                  <c:v>Bicycle</c:v>
                </c:pt>
              </c:strCache>
            </c:strRef>
          </c:cat>
          <c:val>
            <c:numRef>
              <c:f>'Figs11.3-11.4'!$V$5:$V$11</c:f>
              <c:numCache>
                <c:formatCode>0</c:formatCode>
                <c:ptCount val="7"/>
                <c:pt idx="0">
                  <c:v>60.6</c:v>
                </c:pt>
                <c:pt idx="1">
                  <c:v>5.6</c:v>
                </c:pt>
                <c:pt idx="2">
                  <c:v>11.3</c:v>
                </c:pt>
                <c:pt idx="3">
                  <c:v>12.9</c:v>
                </c:pt>
                <c:pt idx="4">
                  <c:v>4</c:v>
                </c:pt>
                <c:pt idx="5">
                  <c:v>3.1</c:v>
                </c:pt>
                <c:pt idx="6">
                  <c:v>2.5</c:v>
                </c:pt>
              </c:numCache>
            </c:numRef>
          </c:val>
          <c:extLst>
            <c:ext xmlns:c16="http://schemas.microsoft.com/office/drawing/2014/chart" uri="{C3380CC4-5D6E-409C-BE32-E72D297353CC}">
              <c16:uniqueId val="{00000007-2C8B-4207-8EF5-142773BEDA49}"/>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Figure 11.1          Calls to Traveline Scotland in 2013
</a:t>
            </a:r>
          </a:p>
        </c:rich>
      </c:tx>
      <c:layout>
        <c:manualLayout>
          <c:xMode val="edge"/>
          <c:yMode val="edge"/>
          <c:x val="0.21237722921765581"/>
          <c:y val="8.6206896551724137E-3"/>
        </c:manualLayout>
      </c:layout>
      <c:overlay val="0"/>
      <c:spPr>
        <a:noFill/>
        <a:ln w="25400">
          <a:noFill/>
        </a:ln>
      </c:spPr>
    </c:title>
    <c:autoTitleDeleted val="0"/>
    <c:plotArea>
      <c:layout>
        <c:manualLayout>
          <c:layoutTarget val="inner"/>
          <c:xMode val="edge"/>
          <c:yMode val="edge"/>
          <c:x val="9.8453018488784627E-2"/>
          <c:y val="6.8965575301029855E-2"/>
          <c:w val="0.85372831746703237"/>
          <c:h val="0.64827640782968066"/>
        </c:manualLayout>
      </c:layout>
      <c:lineChart>
        <c:grouping val="standard"/>
        <c:varyColors val="0"/>
        <c:ser>
          <c:idx val="0"/>
          <c:order val="0"/>
          <c:tx>
            <c:strRef>
              <c:f>'Data for Traveline charts'!$C$4</c:f>
              <c:strCache>
                <c:ptCount val="1"/>
                <c:pt idx="0">
                  <c:v>Total calls</c:v>
                </c:pt>
              </c:strCache>
            </c:strRef>
          </c:tx>
          <c:spPr>
            <a:ln w="38100">
              <a:solidFill>
                <a:srgbClr val="969696"/>
              </a:solidFill>
              <a:prstDash val="solid"/>
            </a:ln>
          </c:spPr>
          <c:marker>
            <c:symbol val="none"/>
          </c:marker>
          <c:cat>
            <c:numRef>
              <c:f>'Data for Traveline charts'!$B$5:$B$56</c:f>
              <c:numCache>
                <c:formatCode>[$-809]dd\ mmmm\ yyyy;@</c:formatCode>
                <c:ptCount val="52"/>
                <c:pt idx="0">
                  <c:v>41280</c:v>
                </c:pt>
                <c:pt idx="1">
                  <c:v>41287</c:v>
                </c:pt>
                <c:pt idx="2">
                  <c:v>41294</c:v>
                </c:pt>
                <c:pt idx="3">
                  <c:v>41301</c:v>
                </c:pt>
                <c:pt idx="4">
                  <c:v>41308</c:v>
                </c:pt>
                <c:pt idx="5">
                  <c:v>41315</c:v>
                </c:pt>
                <c:pt idx="6">
                  <c:v>41322</c:v>
                </c:pt>
                <c:pt idx="7">
                  <c:v>41329</c:v>
                </c:pt>
                <c:pt idx="8">
                  <c:v>41336</c:v>
                </c:pt>
                <c:pt idx="9">
                  <c:v>41343</c:v>
                </c:pt>
                <c:pt idx="10">
                  <c:v>41350</c:v>
                </c:pt>
                <c:pt idx="11">
                  <c:v>41357</c:v>
                </c:pt>
                <c:pt idx="12">
                  <c:v>41364</c:v>
                </c:pt>
                <c:pt idx="13">
                  <c:v>41371</c:v>
                </c:pt>
                <c:pt idx="14">
                  <c:v>41378</c:v>
                </c:pt>
                <c:pt idx="15">
                  <c:v>41385</c:v>
                </c:pt>
                <c:pt idx="16">
                  <c:v>41392</c:v>
                </c:pt>
                <c:pt idx="17">
                  <c:v>41399</c:v>
                </c:pt>
                <c:pt idx="18">
                  <c:v>41406</c:v>
                </c:pt>
                <c:pt idx="19">
                  <c:v>41413</c:v>
                </c:pt>
                <c:pt idx="20">
                  <c:v>41420</c:v>
                </c:pt>
                <c:pt idx="21">
                  <c:v>41427</c:v>
                </c:pt>
                <c:pt idx="22">
                  <c:v>41434</c:v>
                </c:pt>
                <c:pt idx="23">
                  <c:v>41441</c:v>
                </c:pt>
                <c:pt idx="24">
                  <c:v>41448</c:v>
                </c:pt>
                <c:pt idx="25">
                  <c:v>41455</c:v>
                </c:pt>
                <c:pt idx="26">
                  <c:v>41462</c:v>
                </c:pt>
                <c:pt idx="27">
                  <c:v>41469</c:v>
                </c:pt>
                <c:pt idx="28">
                  <c:v>41476</c:v>
                </c:pt>
                <c:pt idx="29">
                  <c:v>41483</c:v>
                </c:pt>
                <c:pt idx="30">
                  <c:v>41490</c:v>
                </c:pt>
                <c:pt idx="31">
                  <c:v>41497</c:v>
                </c:pt>
                <c:pt idx="32">
                  <c:v>41504</c:v>
                </c:pt>
                <c:pt idx="33">
                  <c:v>41511</c:v>
                </c:pt>
                <c:pt idx="34">
                  <c:v>41518</c:v>
                </c:pt>
                <c:pt idx="35">
                  <c:v>41525</c:v>
                </c:pt>
                <c:pt idx="36">
                  <c:v>41532</c:v>
                </c:pt>
                <c:pt idx="37">
                  <c:v>41539</c:v>
                </c:pt>
                <c:pt idx="38">
                  <c:v>41546</c:v>
                </c:pt>
                <c:pt idx="39">
                  <c:v>41553</c:v>
                </c:pt>
                <c:pt idx="40">
                  <c:v>41560</c:v>
                </c:pt>
                <c:pt idx="41">
                  <c:v>41567</c:v>
                </c:pt>
                <c:pt idx="42">
                  <c:v>41574</c:v>
                </c:pt>
                <c:pt idx="43">
                  <c:v>41581</c:v>
                </c:pt>
                <c:pt idx="44">
                  <c:v>41588</c:v>
                </c:pt>
                <c:pt idx="45">
                  <c:v>41595</c:v>
                </c:pt>
                <c:pt idx="46">
                  <c:v>41602</c:v>
                </c:pt>
                <c:pt idx="47">
                  <c:v>41609</c:v>
                </c:pt>
                <c:pt idx="48">
                  <c:v>41616</c:v>
                </c:pt>
                <c:pt idx="49">
                  <c:v>41623</c:v>
                </c:pt>
                <c:pt idx="50">
                  <c:v>41630</c:v>
                </c:pt>
                <c:pt idx="51">
                  <c:v>41637</c:v>
                </c:pt>
              </c:numCache>
            </c:numRef>
          </c:cat>
          <c:val>
            <c:numRef>
              <c:f>'Data for Traveline charts'!$C$5:$C$56</c:f>
              <c:numCache>
                <c:formatCode>#,##0;\-#,##0;""</c:formatCode>
                <c:ptCount val="52"/>
                <c:pt idx="0">
                  <c:v>13333</c:v>
                </c:pt>
                <c:pt idx="1">
                  <c:v>5113</c:v>
                </c:pt>
                <c:pt idx="2">
                  <c:v>5602</c:v>
                </c:pt>
                <c:pt idx="3">
                  <c:v>7760</c:v>
                </c:pt>
                <c:pt idx="4">
                  <c:v>5503</c:v>
                </c:pt>
                <c:pt idx="5">
                  <c:v>6179</c:v>
                </c:pt>
                <c:pt idx="6">
                  <c:v>6231</c:v>
                </c:pt>
                <c:pt idx="7">
                  <c:v>5446</c:v>
                </c:pt>
                <c:pt idx="8">
                  <c:v>5650</c:v>
                </c:pt>
                <c:pt idx="9">
                  <c:v>5305</c:v>
                </c:pt>
                <c:pt idx="10">
                  <c:v>6086</c:v>
                </c:pt>
                <c:pt idx="11">
                  <c:v>10236</c:v>
                </c:pt>
                <c:pt idx="12">
                  <c:v>7504</c:v>
                </c:pt>
                <c:pt idx="13">
                  <c:v>6295</c:v>
                </c:pt>
                <c:pt idx="14">
                  <c:v>5731</c:v>
                </c:pt>
                <c:pt idx="15">
                  <c:v>5660</c:v>
                </c:pt>
                <c:pt idx="16">
                  <c:v>5601</c:v>
                </c:pt>
                <c:pt idx="17">
                  <c:v>6605</c:v>
                </c:pt>
                <c:pt idx="18">
                  <c:v>6873</c:v>
                </c:pt>
                <c:pt idx="19">
                  <c:v>5404</c:v>
                </c:pt>
                <c:pt idx="20">
                  <c:v>6767</c:v>
                </c:pt>
                <c:pt idx="21">
                  <c:v>7675</c:v>
                </c:pt>
                <c:pt idx="22">
                  <c:v>6567</c:v>
                </c:pt>
                <c:pt idx="23">
                  <c:v>6078</c:v>
                </c:pt>
                <c:pt idx="24">
                  <c:v>6220</c:v>
                </c:pt>
                <c:pt idx="25">
                  <c:v>6280</c:v>
                </c:pt>
                <c:pt idx="26">
                  <c:v>6261</c:v>
                </c:pt>
                <c:pt idx="27">
                  <c:v>7044</c:v>
                </c:pt>
                <c:pt idx="28">
                  <c:v>7191</c:v>
                </c:pt>
                <c:pt idx="29">
                  <c:v>6509</c:v>
                </c:pt>
                <c:pt idx="30">
                  <c:v>6660</c:v>
                </c:pt>
                <c:pt idx="31">
                  <c:v>6526</c:v>
                </c:pt>
                <c:pt idx="32">
                  <c:v>6702</c:v>
                </c:pt>
                <c:pt idx="33">
                  <c:v>7307</c:v>
                </c:pt>
                <c:pt idx="34">
                  <c:v>6544</c:v>
                </c:pt>
                <c:pt idx="35">
                  <c:v>6070</c:v>
                </c:pt>
                <c:pt idx="36">
                  <c:v>5631</c:v>
                </c:pt>
                <c:pt idx="37">
                  <c:v>5843</c:v>
                </c:pt>
                <c:pt idx="38">
                  <c:v>5974</c:v>
                </c:pt>
                <c:pt idx="39">
                  <c:v>6270</c:v>
                </c:pt>
                <c:pt idx="40">
                  <c:v>5525</c:v>
                </c:pt>
                <c:pt idx="41">
                  <c:v>5772</c:v>
                </c:pt>
                <c:pt idx="42">
                  <c:v>5642</c:v>
                </c:pt>
                <c:pt idx="43">
                  <c:v>5135</c:v>
                </c:pt>
                <c:pt idx="44">
                  <c:v>5369</c:v>
                </c:pt>
                <c:pt idx="45">
                  <c:v>5025</c:v>
                </c:pt>
                <c:pt idx="46">
                  <c:v>5100</c:v>
                </c:pt>
                <c:pt idx="47">
                  <c:v>5227</c:v>
                </c:pt>
                <c:pt idx="48">
                  <c:v>9783</c:v>
                </c:pt>
                <c:pt idx="49">
                  <c:v>5232</c:v>
                </c:pt>
                <c:pt idx="50">
                  <c:v>6049</c:v>
                </c:pt>
                <c:pt idx="51">
                  <c:v>12140</c:v>
                </c:pt>
              </c:numCache>
            </c:numRef>
          </c:val>
          <c:smooth val="0"/>
          <c:extLst>
            <c:ext xmlns:c16="http://schemas.microsoft.com/office/drawing/2014/chart" uri="{C3380CC4-5D6E-409C-BE32-E72D297353CC}">
              <c16:uniqueId val="{00000000-D062-4876-A564-A9D997A3AB3D}"/>
            </c:ext>
          </c:extLst>
        </c:ser>
        <c:ser>
          <c:idx val="1"/>
          <c:order val="1"/>
          <c:tx>
            <c:strRef>
              <c:f>'Data for Traveline charts'!$D$4</c:f>
              <c:strCache>
                <c:ptCount val="1"/>
                <c:pt idx="0">
                  <c:v>Answered</c:v>
                </c:pt>
              </c:strCache>
            </c:strRef>
          </c:tx>
          <c:spPr>
            <a:ln w="38100">
              <a:solidFill>
                <a:srgbClr val="000000"/>
              </a:solidFill>
              <a:prstDash val="solid"/>
            </a:ln>
          </c:spPr>
          <c:marker>
            <c:symbol val="none"/>
          </c:marker>
          <c:cat>
            <c:numRef>
              <c:f>'Data for Traveline charts'!$B$5:$B$56</c:f>
              <c:numCache>
                <c:formatCode>[$-809]dd\ mmmm\ yyyy;@</c:formatCode>
                <c:ptCount val="52"/>
                <c:pt idx="0">
                  <c:v>41280</c:v>
                </c:pt>
                <c:pt idx="1">
                  <c:v>41287</c:v>
                </c:pt>
                <c:pt idx="2">
                  <c:v>41294</c:v>
                </c:pt>
                <c:pt idx="3">
                  <c:v>41301</c:v>
                </c:pt>
                <c:pt idx="4">
                  <c:v>41308</c:v>
                </c:pt>
                <c:pt idx="5">
                  <c:v>41315</c:v>
                </c:pt>
                <c:pt idx="6">
                  <c:v>41322</c:v>
                </c:pt>
                <c:pt idx="7">
                  <c:v>41329</c:v>
                </c:pt>
                <c:pt idx="8">
                  <c:v>41336</c:v>
                </c:pt>
                <c:pt idx="9">
                  <c:v>41343</c:v>
                </c:pt>
                <c:pt idx="10">
                  <c:v>41350</c:v>
                </c:pt>
                <c:pt idx="11">
                  <c:v>41357</c:v>
                </c:pt>
                <c:pt idx="12">
                  <c:v>41364</c:v>
                </c:pt>
                <c:pt idx="13">
                  <c:v>41371</c:v>
                </c:pt>
                <c:pt idx="14">
                  <c:v>41378</c:v>
                </c:pt>
                <c:pt idx="15">
                  <c:v>41385</c:v>
                </c:pt>
                <c:pt idx="16">
                  <c:v>41392</c:v>
                </c:pt>
                <c:pt idx="17">
                  <c:v>41399</c:v>
                </c:pt>
                <c:pt idx="18">
                  <c:v>41406</c:v>
                </c:pt>
                <c:pt idx="19">
                  <c:v>41413</c:v>
                </c:pt>
                <c:pt idx="20">
                  <c:v>41420</c:v>
                </c:pt>
                <c:pt idx="21">
                  <c:v>41427</c:v>
                </c:pt>
                <c:pt idx="22">
                  <c:v>41434</c:v>
                </c:pt>
                <c:pt idx="23">
                  <c:v>41441</c:v>
                </c:pt>
                <c:pt idx="24">
                  <c:v>41448</c:v>
                </c:pt>
                <c:pt idx="25">
                  <c:v>41455</c:v>
                </c:pt>
                <c:pt idx="26">
                  <c:v>41462</c:v>
                </c:pt>
                <c:pt idx="27">
                  <c:v>41469</c:v>
                </c:pt>
                <c:pt idx="28">
                  <c:v>41476</c:v>
                </c:pt>
                <c:pt idx="29">
                  <c:v>41483</c:v>
                </c:pt>
                <c:pt idx="30">
                  <c:v>41490</c:v>
                </c:pt>
                <c:pt idx="31">
                  <c:v>41497</c:v>
                </c:pt>
                <c:pt idx="32">
                  <c:v>41504</c:v>
                </c:pt>
                <c:pt idx="33">
                  <c:v>41511</c:v>
                </c:pt>
                <c:pt idx="34">
                  <c:v>41518</c:v>
                </c:pt>
                <c:pt idx="35">
                  <c:v>41525</c:v>
                </c:pt>
                <c:pt idx="36">
                  <c:v>41532</c:v>
                </c:pt>
                <c:pt idx="37">
                  <c:v>41539</c:v>
                </c:pt>
                <c:pt idx="38">
                  <c:v>41546</c:v>
                </c:pt>
                <c:pt idx="39">
                  <c:v>41553</c:v>
                </c:pt>
                <c:pt idx="40">
                  <c:v>41560</c:v>
                </c:pt>
                <c:pt idx="41">
                  <c:v>41567</c:v>
                </c:pt>
                <c:pt idx="42">
                  <c:v>41574</c:v>
                </c:pt>
                <c:pt idx="43">
                  <c:v>41581</c:v>
                </c:pt>
                <c:pt idx="44">
                  <c:v>41588</c:v>
                </c:pt>
                <c:pt idx="45">
                  <c:v>41595</c:v>
                </c:pt>
                <c:pt idx="46">
                  <c:v>41602</c:v>
                </c:pt>
                <c:pt idx="47">
                  <c:v>41609</c:v>
                </c:pt>
                <c:pt idx="48">
                  <c:v>41616</c:v>
                </c:pt>
                <c:pt idx="49">
                  <c:v>41623</c:v>
                </c:pt>
                <c:pt idx="50">
                  <c:v>41630</c:v>
                </c:pt>
                <c:pt idx="51">
                  <c:v>41637</c:v>
                </c:pt>
              </c:numCache>
            </c:numRef>
          </c:cat>
          <c:val>
            <c:numRef>
              <c:f>'Data for Traveline charts'!$D$5:$D$56</c:f>
              <c:numCache>
                <c:formatCode>#,##0;\-#,##0;""</c:formatCode>
                <c:ptCount val="52"/>
                <c:pt idx="0">
                  <c:v>13052</c:v>
                </c:pt>
                <c:pt idx="1">
                  <c:v>5001</c:v>
                </c:pt>
                <c:pt idx="2">
                  <c:v>5436</c:v>
                </c:pt>
                <c:pt idx="3">
                  <c:v>7615</c:v>
                </c:pt>
                <c:pt idx="4">
                  <c:v>5336</c:v>
                </c:pt>
                <c:pt idx="5">
                  <c:v>6010</c:v>
                </c:pt>
                <c:pt idx="6">
                  <c:v>6096</c:v>
                </c:pt>
                <c:pt idx="7">
                  <c:v>5327</c:v>
                </c:pt>
                <c:pt idx="8">
                  <c:v>5515</c:v>
                </c:pt>
                <c:pt idx="9">
                  <c:v>5192</c:v>
                </c:pt>
                <c:pt idx="10">
                  <c:v>5930</c:v>
                </c:pt>
                <c:pt idx="11">
                  <c:v>10014</c:v>
                </c:pt>
                <c:pt idx="12">
                  <c:v>7278</c:v>
                </c:pt>
                <c:pt idx="13">
                  <c:v>5915</c:v>
                </c:pt>
                <c:pt idx="14">
                  <c:v>5621</c:v>
                </c:pt>
                <c:pt idx="15">
                  <c:v>5583</c:v>
                </c:pt>
                <c:pt idx="16">
                  <c:v>5540</c:v>
                </c:pt>
                <c:pt idx="17">
                  <c:v>6542</c:v>
                </c:pt>
                <c:pt idx="18">
                  <c:v>6772</c:v>
                </c:pt>
                <c:pt idx="19">
                  <c:v>5336</c:v>
                </c:pt>
                <c:pt idx="20">
                  <c:v>6644</c:v>
                </c:pt>
                <c:pt idx="21">
                  <c:v>7435</c:v>
                </c:pt>
                <c:pt idx="22">
                  <c:v>6480</c:v>
                </c:pt>
                <c:pt idx="23">
                  <c:v>5997</c:v>
                </c:pt>
                <c:pt idx="24">
                  <c:v>6168</c:v>
                </c:pt>
                <c:pt idx="25">
                  <c:v>6219</c:v>
                </c:pt>
                <c:pt idx="26">
                  <c:v>6190</c:v>
                </c:pt>
                <c:pt idx="27">
                  <c:v>6896</c:v>
                </c:pt>
                <c:pt idx="28">
                  <c:v>7056</c:v>
                </c:pt>
                <c:pt idx="29">
                  <c:v>6351</c:v>
                </c:pt>
                <c:pt idx="30">
                  <c:v>6486</c:v>
                </c:pt>
                <c:pt idx="31">
                  <c:v>6370</c:v>
                </c:pt>
                <c:pt idx="32">
                  <c:v>6552</c:v>
                </c:pt>
                <c:pt idx="33">
                  <c:v>7171</c:v>
                </c:pt>
                <c:pt idx="34">
                  <c:v>6404</c:v>
                </c:pt>
                <c:pt idx="35">
                  <c:v>5935</c:v>
                </c:pt>
                <c:pt idx="36">
                  <c:v>5553</c:v>
                </c:pt>
                <c:pt idx="37">
                  <c:v>5773</c:v>
                </c:pt>
                <c:pt idx="38">
                  <c:v>5874</c:v>
                </c:pt>
                <c:pt idx="39">
                  <c:v>6142</c:v>
                </c:pt>
                <c:pt idx="40">
                  <c:v>5403</c:v>
                </c:pt>
                <c:pt idx="41">
                  <c:v>5651</c:v>
                </c:pt>
                <c:pt idx="42">
                  <c:v>5512</c:v>
                </c:pt>
                <c:pt idx="43">
                  <c:v>5042</c:v>
                </c:pt>
                <c:pt idx="44">
                  <c:v>5299</c:v>
                </c:pt>
                <c:pt idx="45">
                  <c:v>4969</c:v>
                </c:pt>
                <c:pt idx="46">
                  <c:v>5058</c:v>
                </c:pt>
                <c:pt idx="47">
                  <c:v>5166</c:v>
                </c:pt>
                <c:pt idx="48">
                  <c:v>9698</c:v>
                </c:pt>
                <c:pt idx="49">
                  <c:v>5160</c:v>
                </c:pt>
                <c:pt idx="50">
                  <c:v>5952</c:v>
                </c:pt>
                <c:pt idx="51">
                  <c:v>11999</c:v>
                </c:pt>
              </c:numCache>
            </c:numRef>
          </c:val>
          <c:smooth val="0"/>
          <c:extLst>
            <c:ext xmlns:c16="http://schemas.microsoft.com/office/drawing/2014/chart" uri="{C3380CC4-5D6E-409C-BE32-E72D297353CC}">
              <c16:uniqueId val="{00000001-D062-4876-A564-A9D997A3AB3D}"/>
            </c:ext>
          </c:extLst>
        </c:ser>
        <c:ser>
          <c:idx val="2"/>
          <c:order val="2"/>
          <c:tx>
            <c:strRef>
              <c:f>'Data for Traveline charts'!$E$4</c:f>
              <c:strCache>
                <c:ptCount val="1"/>
                <c:pt idx="0">
                  <c:v>Unanswered</c:v>
                </c:pt>
              </c:strCache>
            </c:strRef>
          </c:tx>
          <c:spPr>
            <a:ln w="38100">
              <a:solidFill>
                <a:srgbClr val="FF0000"/>
              </a:solidFill>
              <a:prstDash val="solid"/>
            </a:ln>
          </c:spPr>
          <c:marker>
            <c:symbol val="plus"/>
            <c:size val="8"/>
            <c:spPr>
              <a:noFill/>
              <a:ln>
                <a:solidFill>
                  <a:srgbClr val="FF0000"/>
                </a:solidFill>
                <a:prstDash val="solid"/>
              </a:ln>
            </c:spPr>
          </c:marker>
          <c:cat>
            <c:numRef>
              <c:f>'Data for Traveline charts'!$B$5:$B$56</c:f>
              <c:numCache>
                <c:formatCode>[$-809]dd\ mmmm\ yyyy;@</c:formatCode>
                <c:ptCount val="52"/>
                <c:pt idx="0">
                  <c:v>41280</c:v>
                </c:pt>
                <c:pt idx="1">
                  <c:v>41287</c:v>
                </c:pt>
                <c:pt idx="2">
                  <c:v>41294</c:v>
                </c:pt>
                <c:pt idx="3">
                  <c:v>41301</c:v>
                </c:pt>
                <c:pt idx="4">
                  <c:v>41308</c:v>
                </c:pt>
                <c:pt idx="5">
                  <c:v>41315</c:v>
                </c:pt>
                <c:pt idx="6">
                  <c:v>41322</c:v>
                </c:pt>
                <c:pt idx="7">
                  <c:v>41329</c:v>
                </c:pt>
                <c:pt idx="8">
                  <c:v>41336</c:v>
                </c:pt>
                <c:pt idx="9">
                  <c:v>41343</c:v>
                </c:pt>
                <c:pt idx="10">
                  <c:v>41350</c:v>
                </c:pt>
                <c:pt idx="11">
                  <c:v>41357</c:v>
                </c:pt>
                <c:pt idx="12">
                  <c:v>41364</c:v>
                </c:pt>
                <c:pt idx="13">
                  <c:v>41371</c:v>
                </c:pt>
                <c:pt idx="14">
                  <c:v>41378</c:v>
                </c:pt>
                <c:pt idx="15">
                  <c:v>41385</c:v>
                </c:pt>
                <c:pt idx="16">
                  <c:v>41392</c:v>
                </c:pt>
                <c:pt idx="17">
                  <c:v>41399</c:v>
                </c:pt>
                <c:pt idx="18">
                  <c:v>41406</c:v>
                </c:pt>
                <c:pt idx="19">
                  <c:v>41413</c:v>
                </c:pt>
                <c:pt idx="20">
                  <c:v>41420</c:v>
                </c:pt>
                <c:pt idx="21">
                  <c:v>41427</c:v>
                </c:pt>
                <c:pt idx="22">
                  <c:v>41434</c:v>
                </c:pt>
                <c:pt idx="23">
                  <c:v>41441</c:v>
                </c:pt>
                <c:pt idx="24">
                  <c:v>41448</c:v>
                </c:pt>
                <c:pt idx="25">
                  <c:v>41455</c:v>
                </c:pt>
                <c:pt idx="26">
                  <c:v>41462</c:v>
                </c:pt>
                <c:pt idx="27">
                  <c:v>41469</c:v>
                </c:pt>
                <c:pt idx="28">
                  <c:v>41476</c:v>
                </c:pt>
                <c:pt idx="29">
                  <c:v>41483</c:v>
                </c:pt>
                <c:pt idx="30">
                  <c:v>41490</c:v>
                </c:pt>
                <c:pt idx="31">
                  <c:v>41497</c:v>
                </c:pt>
                <c:pt idx="32">
                  <c:v>41504</c:v>
                </c:pt>
                <c:pt idx="33">
                  <c:v>41511</c:v>
                </c:pt>
                <c:pt idx="34">
                  <c:v>41518</c:v>
                </c:pt>
                <c:pt idx="35">
                  <c:v>41525</c:v>
                </c:pt>
                <c:pt idx="36">
                  <c:v>41532</c:v>
                </c:pt>
                <c:pt idx="37">
                  <c:v>41539</c:v>
                </c:pt>
                <c:pt idx="38">
                  <c:v>41546</c:v>
                </c:pt>
                <c:pt idx="39">
                  <c:v>41553</c:v>
                </c:pt>
                <c:pt idx="40">
                  <c:v>41560</c:v>
                </c:pt>
                <c:pt idx="41">
                  <c:v>41567</c:v>
                </c:pt>
                <c:pt idx="42">
                  <c:v>41574</c:v>
                </c:pt>
                <c:pt idx="43">
                  <c:v>41581</c:v>
                </c:pt>
                <c:pt idx="44">
                  <c:v>41588</c:v>
                </c:pt>
                <c:pt idx="45">
                  <c:v>41595</c:v>
                </c:pt>
                <c:pt idx="46">
                  <c:v>41602</c:v>
                </c:pt>
                <c:pt idx="47">
                  <c:v>41609</c:v>
                </c:pt>
                <c:pt idx="48">
                  <c:v>41616</c:v>
                </c:pt>
                <c:pt idx="49">
                  <c:v>41623</c:v>
                </c:pt>
                <c:pt idx="50">
                  <c:v>41630</c:v>
                </c:pt>
                <c:pt idx="51">
                  <c:v>41637</c:v>
                </c:pt>
              </c:numCache>
            </c:numRef>
          </c:cat>
          <c:val>
            <c:numRef>
              <c:f>'Data for Traveline charts'!$E$5:$E$56</c:f>
              <c:numCache>
                <c:formatCode>#,##0;\-#,##0;""</c:formatCode>
                <c:ptCount val="52"/>
                <c:pt idx="0">
                  <c:v>281</c:v>
                </c:pt>
                <c:pt idx="1">
                  <c:v>112</c:v>
                </c:pt>
                <c:pt idx="2">
                  <c:v>166</c:v>
                </c:pt>
                <c:pt idx="3">
                  <c:v>145</c:v>
                </c:pt>
                <c:pt idx="4">
                  <c:v>167</c:v>
                </c:pt>
                <c:pt idx="5">
                  <c:v>169</c:v>
                </c:pt>
                <c:pt idx="6">
                  <c:v>135</c:v>
                </c:pt>
                <c:pt idx="7">
                  <c:v>119</c:v>
                </c:pt>
                <c:pt idx="8">
                  <c:v>135</c:v>
                </c:pt>
                <c:pt idx="9">
                  <c:v>113</c:v>
                </c:pt>
                <c:pt idx="10">
                  <c:v>156</c:v>
                </c:pt>
                <c:pt idx="11">
                  <c:v>222</c:v>
                </c:pt>
                <c:pt idx="12">
                  <c:v>226</c:v>
                </c:pt>
                <c:pt idx="13">
                  <c:v>380</c:v>
                </c:pt>
                <c:pt idx="14">
                  <c:v>110</c:v>
                </c:pt>
                <c:pt idx="15">
                  <c:v>77</c:v>
                </c:pt>
                <c:pt idx="16">
                  <c:v>61</c:v>
                </c:pt>
                <c:pt idx="17">
                  <c:v>63</c:v>
                </c:pt>
                <c:pt idx="18">
                  <c:v>101</c:v>
                </c:pt>
                <c:pt idx="19">
                  <c:v>68</c:v>
                </c:pt>
                <c:pt idx="20">
                  <c:v>123</c:v>
                </c:pt>
                <c:pt idx="21">
                  <c:v>240</c:v>
                </c:pt>
                <c:pt idx="22">
                  <c:v>87</c:v>
                </c:pt>
                <c:pt idx="23">
                  <c:v>81</c:v>
                </c:pt>
                <c:pt idx="24">
                  <c:v>52</c:v>
                </c:pt>
                <c:pt idx="25">
                  <c:v>61</c:v>
                </c:pt>
                <c:pt idx="26">
                  <c:v>71</c:v>
                </c:pt>
                <c:pt idx="27">
                  <c:v>148</c:v>
                </c:pt>
                <c:pt idx="28">
                  <c:v>135</c:v>
                </c:pt>
                <c:pt idx="29">
                  <c:v>158</c:v>
                </c:pt>
                <c:pt idx="30">
                  <c:v>174</c:v>
                </c:pt>
                <c:pt idx="31">
                  <c:v>156</c:v>
                </c:pt>
                <c:pt idx="32">
                  <c:v>150</c:v>
                </c:pt>
                <c:pt idx="33">
                  <c:v>136</c:v>
                </c:pt>
                <c:pt idx="34">
                  <c:v>140</c:v>
                </c:pt>
                <c:pt idx="35">
                  <c:v>135</c:v>
                </c:pt>
                <c:pt idx="36">
                  <c:v>78</c:v>
                </c:pt>
                <c:pt idx="37">
                  <c:v>70</c:v>
                </c:pt>
                <c:pt idx="38">
                  <c:v>100</c:v>
                </c:pt>
                <c:pt idx="39">
                  <c:v>128</c:v>
                </c:pt>
                <c:pt idx="40">
                  <c:v>122</c:v>
                </c:pt>
                <c:pt idx="41">
                  <c:v>121</c:v>
                </c:pt>
                <c:pt idx="42">
                  <c:v>130</c:v>
                </c:pt>
                <c:pt idx="43">
                  <c:v>93</c:v>
                </c:pt>
                <c:pt idx="44">
                  <c:v>70</c:v>
                </c:pt>
                <c:pt idx="45">
                  <c:v>56</c:v>
                </c:pt>
                <c:pt idx="46">
                  <c:v>42</c:v>
                </c:pt>
                <c:pt idx="47">
                  <c:v>61</c:v>
                </c:pt>
                <c:pt idx="48">
                  <c:v>85</c:v>
                </c:pt>
                <c:pt idx="49">
                  <c:v>72</c:v>
                </c:pt>
                <c:pt idx="50">
                  <c:v>97</c:v>
                </c:pt>
                <c:pt idx="51" formatCode="#,##0">
                  <c:v>141</c:v>
                </c:pt>
              </c:numCache>
            </c:numRef>
          </c:val>
          <c:smooth val="0"/>
          <c:extLst>
            <c:ext xmlns:c16="http://schemas.microsoft.com/office/drawing/2014/chart" uri="{C3380CC4-5D6E-409C-BE32-E72D297353CC}">
              <c16:uniqueId val="{00000002-D062-4876-A564-A9D997A3AB3D}"/>
            </c:ext>
          </c:extLst>
        </c:ser>
        <c:dLbls>
          <c:showLegendKey val="0"/>
          <c:showVal val="0"/>
          <c:showCatName val="0"/>
          <c:showSerName val="0"/>
          <c:showPercent val="0"/>
          <c:showBubbleSize val="0"/>
        </c:dLbls>
        <c:smooth val="0"/>
        <c:axId val="119325096"/>
        <c:axId val="1"/>
      </c:lineChart>
      <c:dateAx>
        <c:axId val="119325096"/>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Week ending</a:t>
                </a:r>
              </a:p>
            </c:rich>
          </c:tx>
          <c:layout>
            <c:manualLayout>
              <c:xMode val="edge"/>
              <c:yMode val="edge"/>
              <c:x val="0.45147738389241426"/>
              <c:y val="0.91034555163363196"/>
            </c:manualLayout>
          </c:layout>
          <c:overlay val="0"/>
          <c:spPr>
            <a:noFill/>
            <a:ln w="25400">
              <a:noFill/>
            </a:ln>
          </c:spPr>
        </c:title>
        <c:numFmt formatCode="[$-809]dd\ mmmm\ yyyy;@" sourceLinked="0"/>
        <c:majorTickMark val="out"/>
        <c:minorTickMark val="none"/>
        <c:tickLblPos val="nextTo"/>
        <c:spPr>
          <a:ln w="3175">
            <a:solidFill>
              <a:srgbClr val="000000"/>
            </a:solidFill>
            <a:prstDash val="solid"/>
          </a:ln>
        </c:spPr>
        <c:txPr>
          <a:bodyPr rot="-5400000" vert="horz"/>
          <a:lstStyle/>
          <a:p>
            <a:pPr>
              <a:defRPr sz="900" b="1" i="0" u="none" strike="noStrike" baseline="0">
                <a:solidFill>
                  <a:srgbClr val="000000"/>
                </a:solidFill>
                <a:latin typeface="Arial"/>
                <a:ea typeface="Arial"/>
                <a:cs typeface="Arial"/>
              </a:defRPr>
            </a:pPr>
            <a:endParaRPr lang="en-US"/>
          </a:p>
        </c:txPr>
        <c:crossAx val="1"/>
        <c:crosses val="autoZero"/>
        <c:auto val="1"/>
        <c:lblOffset val="100"/>
        <c:baseTimeUnit val="days"/>
        <c:majorUnit val="14"/>
        <c:majorTimeUnit val="days"/>
        <c:minorUnit val="7"/>
        <c:minorTimeUnit val="days"/>
      </c:dateAx>
      <c:valAx>
        <c:axId val="1"/>
        <c:scaling>
          <c:orientation val="minMax"/>
        </c:scaling>
        <c:delete val="0"/>
        <c:axPos val="l"/>
        <c:majorGridlines>
          <c:spPr>
            <a:ln w="3175">
              <a:solidFill>
                <a:srgbClr val="000000"/>
              </a:solidFill>
              <a:prstDash val="sysDash"/>
            </a:ln>
          </c:spPr>
        </c:majorGridlines>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119325096"/>
        <c:crosses val="autoZero"/>
        <c:crossBetween val="midCat"/>
      </c:valAx>
      <c:spPr>
        <a:solidFill>
          <a:srgbClr val="FFFFFF"/>
        </a:solidFill>
        <a:ln w="12700">
          <a:solidFill>
            <a:srgbClr val="C0C0C0"/>
          </a:solidFill>
          <a:prstDash val="solid"/>
        </a:ln>
      </c:spPr>
    </c:plotArea>
    <c:legend>
      <c:legendPos val="r"/>
      <c:layout>
        <c:manualLayout>
          <c:xMode val="edge"/>
          <c:yMode val="edge"/>
          <c:wMode val="edge"/>
          <c:hMode val="edge"/>
          <c:x val="0.19690606184775425"/>
          <c:y val="0.95862141370259746"/>
          <c:w val="0.73839765809864488"/>
          <c:h val="0.99482831025432161"/>
        </c:manualLayout>
      </c:layout>
      <c:overlay val="0"/>
      <c:spPr>
        <a:solidFill>
          <a:srgbClr val="FFFFFF"/>
        </a:solidFill>
        <a:ln w="3175">
          <a:solidFill>
            <a:srgbClr val="C0C0C0"/>
          </a:solidFill>
          <a:prstDash val="solid"/>
        </a:ln>
      </c:spPr>
      <c:txPr>
        <a:bodyPr/>
        <a:lstStyle/>
        <a:p>
          <a:pPr>
            <a:defRPr sz="7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20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00" verticalDpi="30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Figure 11.2          Traveline Scotland - Web &amp; App hits in 2013
</a:t>
            </a:r>
          </a:p>
        </c:rich>
      </c:tx>
      <c:layout>
        <c:manualLayout>
          <c:xMode val="edge"/>
          <c:yMode val="edge"/>
          <c:x val="0.17021306379255782"/>
          <c:y val="3.8699690402476783E-2"/>
        </c:manualLayout>
      </c:layout>
      <c:overlay val="0"/>
      <c:spPr>
        <a:noFill/>
        <a:ln w="25400">
          <a:noFill/>
        </a:ln>
      </c:spPr>
    </c:title>
    <c:autoTitleDeleted val="0"/>
    <c:plotArea>
      <c:layout>
        <c:manualLayout>
          <c:layoutTarget val="inner"/>
          <c:xMode val="edge"/>
          <c:yMode val="edge"/>
          <c:x val="0.11205689280930409"/>
          <c:y val="0.10216725988600212"/>
          <c:w val="0.85390189204051981"/>
          <c:h val="0.66718316683131684"/>
        </c:manualLayout>
      </c:layout>
      <c:lineChart>
        <c:grouping val="standard"/>
        <c:varyColors val="0"/>
        <c:ser>
          <c:idx val="0"/>
          <c:order val="0"/>
          <c:tx>
            <c:strRef>
              <c:f>'Data for Traveline charts'!$H$4</c:f>
              <c:strCache>
                <c:ptCount val="1"/>
                <c:pt idx="0">
                  <c:v>Web &amp; App hits</c:v>
                </c:pt>
              </c:strCache>
            </c:strRef>
          </c:tx>
          <c:spPr>
            <a:ln w="38100">
              <a:solidFill>
                <a:srgbClr val="000000"/>
              </a:solidFill>
              <a:prstDash val="solid"/>
            </a:ln>
          </c:spPr>
          <c:marker>
            <c:symbol val="none"/>
          </c:marker>
          <c:cat>
            <c:numRef>
              <c:f>'Data for Traveline charts'!$G$5:$G$16</c:f>
              <c:numCache>
                <c:formatCode>[$-809]dd\ mmmm\ yyyy;@</c:formatCode>
                <c:ptCount val="12"/>
                <c:pt idx="0">
                  <c:v>41305</c:v>
                </c:pt>
                <c:pt idx="1">
                  <c:v>41333</c:v>
                </c:pt>
                <c:pt idx="2">
                  <c:v>41364</c:v>
                </c:pt>
                <c:pt idx="3">
                  <c:v>41394</c:v>
                </c:pt>
                <c:pt idx="4">
                  <c:v>41425</c:v>
                </c:pt>
                <c:pt idx="5">
                  <c:v>41455</c:v>
                </c:pt>
                <c:pt idx="6">
                  <c:v>41486</c:v>
                </c:pt>
                <c:pt idx="7">
                  <c:v>41517</c:v>
                </c:pt>
                <c:pt idx="8">
                  <c:v>41547</c:v>
                </c:pt>
                <c:pt idx="9">
                  <c:v>41578</c:v>
                </c:pt>
                <c:pt idx="10">
                  <c:v>41608</c:v>
                </c:pt>
                <c:pt idx="11">
                  <c:v>41639</c:v>
                </c:pt>
              </c:numCache>
            </c:numRef>
          </c:cat>
          <c:val>
            <c:numRef>
              <c:f>'Data for Traveline charts'!$H$5:$H$16</c:f>
              <c:numCache>
                <c:formatCode>_-* #,##0_-;\-* #,##0_-;_-* "-"??_-;_-@_-</c:formatCode>
                <c:ptCount val="12"/>
                <c:pt idx="0">
                  <c:v>1002010</c:v>
                </c:pt>
                <c:pt idx="1">
                  <c:v>960679</c:v>
                </c:pt>
                <c:pt idx="2">
                  <c:v>1133326</c:v>
                </c:pt>
                <c:pt idx="3">
                  <c:v>996407</c:v>
                </c:pt>
                <c:pt idx="4">
                  <c:v>1122770</c:v>
                </c:pt>
                <c:pt idx="5">
                  <c:v>980588</c:v>
                </c:pt>
                <c:pt idx="6">
                  <c:v>953943</c:v>
                </c:pt>
                <c:pt idx="7">
                  <c:v>1087251</c:v>
                </c:pt>
                <c:pt idx="8">
                  <c:v>1127481</c:v>
                </c:pt>
                <c:pt idx="9">
                  <c:v>1068146</c:v>
                </c:pt>
                <c:pt idx="10">
                  <c:v>1052448</c:v>
                </c:pt>
                <c:pt idx="11">
                  <c:v>1140643</c:v>
                </c:pt>
              </c:numCache>
            </c:numRef>
          </c:val>
          <c:smooth val="0"/>
          <c:extLst>
            <c:ext xmlns:c16="http://schemas.microsoft.com/office/drawing/2014/chart" uri="{C3380CC4-5D6E-409C-BE32-E72D297353CC}">
              <c16:uniqueId val="{00000000-61E4-485D-B55A-984200F0864C}"/>
            </c:ext>
          </c:extLst>
        </c:ser>
        <c:dLbls>
          <c:showLegendKey val="0"/>
          <c:showVal val="0"/>
          <c:showCatName val="0"/>
          <c:showSerName val="0"/>
          <c:showPercent val="0"/>
          <c:showBubbleSize val="0"/>
        </c:dLbls>
        <c:smooth val="0"/>
        <c:axId val="119384784"/>
        <c:axId val="1"/>
      </c:lineChart>
      <c:dateAx>
        <c:axId val="119384784"/>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Month ending</a:t>
                </a:r>
              </a:p>
            </c:rich>
          </c:tx>
          <c:layout>
            <c:manualLayout>
              <c:xMode val="edge"/>
              <c:yMode val="edge"/>
              <c:x val="0.46808570205320077"/>
              <c:y val="0.94891705874227017"/>
            </c:manualLayout>
          </c:layout>
          <c:overlay val="0"/>
          <c:spPr>
            <a:noFill/>
            <a:ln w="25400">
              <a:noFill/>
            </a:ln>
          </c:spPr>
        </c:title>
        <c:numFmt formatCode="mmmm\ yyyy"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n-US"/>
          </a:p>
        </c:txPr>
        <c:crossAx val="1"/>
        <c:crosses val="autoZero"/>
        <c:auto val="1"/>
        <c:lblOffset val="100"/>
        <c:baseTimeUnit val="months"/>
        <c:majorUnit val="1"/>
        <c:majorTimeUnit val="months"/>
        <c:minorUnit val="1"/>
        <c:minorTimeUnit val="months"/>
      </c:dateAx>
      <c:valAx>
        <c:axId val="1"/>
        <c:scaling>
          <c:orientation val="minMax"/>
        </c:scaling>
        <c:delete val="0"/>
        <c:axPos val="l"/>
        <c:majorGridlines>
          <c:spPr>
            <a:ln w="3175">
              <a:solidFill>
                <a:srgbClr val="000000"/>
              </a:solidFill>
              <a:prstDash val="sysDash"/>
            </a:ln>
          </c:spPr>
        </c:majorGridlines>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119384784"/>
        <c:crosses val="autoZero"/>
        <c:crossBetween val="midCat"/>
      </c:valAx>
      <c:spPr>
        <a:solidFill>
          <a:srgbClr val="FFFFFF"/>
        </a:solidFill>
        <a:ln w="12700">
          <a:solidFill>
            <a:srgbClr val="C0C0C0"/>
          </a:solidFill>
          <a:prstDash val="solid"/>
        </a:ln>
      </c:spPr>
    </c:plotArea>
    <c:plotVisOnly val="1"/>
    <c:dispBlanksAs val="gap"/>
    <c:showDLblsOverMax val="0"/>
  </c:chart>
  <c:spPr>
    <a:solidFill>
      <a:srgbClr val="FFFFFF"/>
    </a:solidFill>
    <a:ln w="9525">
      <a:noFill/>
    </a:ln>
  </c:spPr>
  <c:txPr>
    <a:bodyPr/>
    <a:lstStyle/>
    <a:p>
      <a:pPr>
        <a:defRPr sz="120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00" verticalDpi="300"/>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13</xdr:col>
      <xdr:colOff>590550</xdr:colOff>
      <xdr:row>82</xdr:row>
      <xdr:rowOff>47625</xdr:rowOff>
    </xdr:to>
    <xdr:graphicFrame macro="">
      <xdr:nvGraphicFramePr>
        <xdr:cNvPr id="5629" name="Chart 3">
          <a:extLst>
            <a:ext uri="{FF2B5EF4-FFF2-40B4-BE49-F238E27FC236}">
              <a16:creationId xmlns:a16="http://schemas.microsoft.com/office/drawing/2014/main" id="{6B916AEF-A5C4-4577-80E5-791683159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3</xdr:row>
      <xdr:rowOff>0</xdr:rowOff>
    </xdr:from>
    <xdr:to>
      <xdr:col>9</xdr:col>
      <xdr:colOff>571500</xdr:colOff>
      <xdr:row>35</xdr:row>
      <xdr:rowOff>114300</xdr:rowOff>
    </xdr:to>
    <xdr:graphicFrame macro="">
      <xdr:nvGraphicFramePr>
        <xdr:cNvPr id="5630" name="Chart 14">
          <a:extLst>
            <a:ext uri="{FF2B5EF4-FFF2-40B4-BE49-F238E27FC236}">
              <a16:creationId xmlns:a16="http://schemas.microsoft.com/office/drawing/2014/main" id="{37CD4DC6-573B-4290-8D64-B5EDCF452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314325</xdr:colOff>
      <xdr:row>2</xdr:row>
      <xdr:rowOff>66675</xdr:rowOff>
    </xdr:from>
    <xdr:to>
      <xdr:col>18</xdr:col>
      <xdr:colOff>180975</xdr:colOff>
      <xdr:row>35</xdr:row>
      <xdr:rowOff>76200</xdr:rowOff>
    </xdr:to>
    <xdr:graphicFrame macro="">
      <xdr:nvGraphicFramePr>
        <xdr:cNvPr id="5631" name="Chart 15">
          <a:extLst>
            <a:ext uri="{FF2B5EF4-FFF2-40B4-BE49-F238E27FC236}">
              <a16:creationId xmlns:a16="http://schemas.microsoft.com/office/drawing/2014/main" id="{4590EFA1-DC40-4B4E-9156-D42EEBBD1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171450</xdr:colOff>
      <xdr:row>3</xdr:row>
      <xdr:rowOff>161925</xdr:rowOff>
    </xdr:from>
    <xdr:ext cx="133350" cy="180975"/>
    <xdr:sp macro="" textlink="">
      <xdr:nvSpPr>
        <xdr:cNvPr id="5136" name="Text Box 16">
          <a:extLst>
            <a:ext uri="{FF2B5EF4-FFF2-40B4-BE49-F238E27FC236}">
              <a16:creationId xmlns:a16="http://schemas.microsoft.com/office/drawing/2014/main" id="{93BD8873-854D-49AE-AB2C-70D0939BF351}"/>
            </a:ext>
          </a:extLst>
        </xdr:cNvPr>
        <xdr:cNvSpPr txBox="1">
          <a:spLocks noChangeArrowheads="1"/>
        </xdr:cNvSpPr>
      </xdr:nvSpPr>
      <xdr:spPr bwMode="auto">
        <a:xfrm>
          <a:off x="171450" y="809625"/>
          <a:ext cx="1905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GB" sz="1000" b="1" i="0" u="none" strike="noStrike" baseline="0">
              <a:solidFill>
                <a:srgbClr val="000000"/>
              </a:solidFill>
              <a:latin typeface="Arial"/>
              <a:cs typeface="Arial"/>
            </a:rPr>
            <a:t>a)</a:t>
          </a:r>
          <a:endParaRPr lang="en-GB"/>
        </a:p>
      </xdr:txBody>
    </xdr:sp>
    <xdr:clientData/>
  </xdr:oneCellAnchor>
</xdr:wsDr>
</file>

<file path=xl/drawings/drawing2.xml><?xml version="1.0" encoding="utf-8"?>
<c:userShapes xmlns:c="http://schemas.openxmlformats.org/drawingml/2006/chart">
  <cdr:relSizeAnchor xmlns:cdr="http://schemas.openxmlformats.org/drawingml/2006/chartDrawing">
    <cdr:from>
      <cdr:x>0.03406</cdr:x>
      <cdr:y>0.04293</cdr:y>
    </cdr:from>
    <cdr:to>
      <cdr:x>0.05688</cdr:x>
      <cdr:y>0.07584</cdr:y>
    </cdr:to>
    <cdr:sp macro="" textlink="">
      <cdr:nvSpPr>
        <cdr:cNvPr id="7169" name="Text Box 1"/>
        <cdr:cNvSpPr txBox="1">
          <a:spLocks xmlns:a="http://schemas.openxmlformats.org/drawingml/2006/main" noChangeArrowheads="1"/>
        </cdr:cNvSpPr>
      </cdr:nvSpPr>
      <cdr:spPr bwMode="auto">
        <a:xfrm xmlns:a="http://schemas.openxmlformats.org/drawingml/2006/main">
          <a:off x="208279" y="234304"/>
          <a:ext cx="139525" cy="179601"/>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1" i="0" u="none" strike="noStrike" baseline="0">
              <a:solidFill>
                <a:srgbClr val="000000"/>
              </a:solidFill>
              <a:latin typeface="Arial"/>
              <a:cs typeface="Arial"/>
            </a:rPr>
            <a:t>b)</a:t>
          </a:r>
          <a:endParaRPr lang="en-GB"/>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219075</xdr:colOff>
      <xdr:row>0</xdr:row>
      <xdr:rowOff>85725</xdr:rowOff>
    </xdr:from>
    <xdr:to>
      <xdr:col>12</xdr:col>
      <xdr:colOff>9525</xdr:colOff>
      <xdr:row>34</xdr:row>
      <xdr:rowOff>104775</xdr:rowOff>
    </xdr:to>
    <xdr:graphicFrame macro="">
      <xdr:nvGraphicFramePr>
        <xdr:cNvPr id="2298" name="Chart 1">
          <a:extLst>
            <a:ext uri="{FF2B5EF4-FFF2-40B4-BE49-F238E27FC236}">
              <a16:creationId xmlns:a16="http://schemas.microsoft.com/office/drawing/2014/main" id="{A5FC3226-5033-4C61-9214-B65901198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257175</xdr:colOff>
      <xdr:row>37</xdr:row>
      <xdr:rowOff>76200</xdr:rowOff>
    </xdr:from>
    <xdr:to>
      <xdr:col>11</xdr:col>
      <xdr:colOff>600075</xdr:colOff>
      <xdr:row>75</xdr:row>
      <xdr:rowOff>76200</xdr:rowOff>
    </xdr:to>
    <xdr:graphicFrame macro="">
      <xdr:nvGraphicFramePr>
        <xdr:cNvPr id="2299" name="Chart 2">
          <a:extLst>
            <a:ext uri="{FF2B5EF4-FFF2-40B4-BE49-F238E27FC236}">
              <a16:creationId xmlns:a16="http://schemas.microsoft.com/office/drawing/2014/main" id="{2DDA1BB7-DEC7-41E7-B618-303684FFF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transportscotland.gov.uk/analysis/LATIS%23sthash.XuJzwPtC.dpuf"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transportscotland.gov.uk/analysis/LATIS%23sthash.XuJzwPtC.dpuf"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transportscotland.gov.uk/analysis/LATIS%23sthash.XuJzwPtC.dpuf"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transportscotland.gov.uk/analysis/LATIS%23sthash.XuJzwPtC.dpuf"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2.75"/>
  <sheetData>
    <row r="1" spans="1:2" ht="13.5" thickBot="1">
      <c r="A1" s="4">
        <v>999</v>
      </c>
      <c r="B1" s="5" t="s">
        <v>5</v>
      </c>
    </row>
    <row r="2" spans="1:2">
      <c r="B2" s="6" t="s">
        <v>6</v>
      </c>
    </row>
    <row r="3" spans="1:2">
      <c r="B3" t="s">
        <v>7</v>
      </c>
    </row>
    <row r="4" spans="1:2">
      <c r="B4" t="s">
        <v>8</v>
      </c>
    </row>
    <row r="6" spans="1:2">
      <c r="B6" t="s">
        <v>9</v>
      </c>
    </row>
    <row r="7" spans="1:2">
      <c r="B7" t="s">
        <v>10</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2"/>
  <sheetViews>
    <sheetView zoomScale="70" zoomScaleNormal="70" workbookViewId="0">
      <selection activeCell="P35" sqref="P35"/>
    </sheetView>
  </sheetViews>
  <sheetFormatPr defaultRowHeight="15"/>
  <cols>
    <col min="1" max="1" width="55.28515625" style="9" customWidth="1"/>
    <col min="2" max="2" width="1.7109375" style="12" customWidth="1"/>
    <col min="3" max="3" width="10" style="9" customWidth="1"/>
    <col min="4" max="4" width="1.7109375" style="9" customWidth="1"/>
    <col min="5" max="5" width="9.5703125" style="9" customWidth="1"/>
    <col min="6" max="6" width="1.7109375" style="9" customWidth="1"/>
    <col min="7" max="7" width="10" style="9" customWidth="1"/>
    <col min="8" max="8" width="1.7109375" style="9" customWidth="1"/>
    <col min="9" max="9" width="9.7109375" style="9" customWidth="1"/>
    <col min="10" max="10" width="1.7109375" style="9" customWidth="1"/>
    <col min="11" max="11" width="10.5703125" style="9" customWidth="1"/>
    <col min="12" max="12" width="1.5703125" style="9" customWidth="1"/>
    <col min="13" max="16384" width="9.140625" style="9"/>
  </cols>
  <sheetData>
    <row r="1" spans="1:13">
      <c r="A1" s="9" t="s">
        <v>304</v>
      </c>
    </row>
    <row r="2" spans="1:13" s="39" customFormat="1" ht="18">
      <c r="A2" s="39" t="s">
        <v>285</v>
      </c>
      <c r="B2" s="40"/>
    </row>
    <row r="3" spans="1:13" s="39" customFormat="1" ht="8.1" customHeight="1">
      <c r="B3" s="40"/>
    </row>
    <row r="4" spans="1:13" ht="15" customHeight="1">
      <c r="A4" s="29" t="s">
        <v>235</v>
      </c>
      <c r="C4" s="12"/>
      <c r="D4" s="12"/>
      <c r="E4" s="87"/>
      <c r="F4" s="12"/>
      <c r="G4" s="12"/>
      <c r="H4" s="12"/>
      <c r="I4" s="12"/>
      <c r="J4" s="12"/>
    </row>
    <row r="5" spans="1:13" ht="8.1" customHeight="1" thickBot="1">
      <c r="A5" s="10"/>
      <c r="B5" s="10"/>
      <c r="C5" s="10"/>
      <c r="D5" s="10"/>
      <c r="E5" s="11"/>
      <c r="F5" s="10"/>
      <c r="G5" s="10"/>
      <c r="H5" s="10"/>
      <c r="I5" s="10"/>
      <c r="J5" s="10"/>
      <c r="K5" s="10"/>
      <c r="L5" s="10"/>
      <c r="M5" s="10"/>
    </row>
    <row r="6" spans="1:13" ht="15" customHeight="1">
      <c r="A6" s="12"/>
      <c r="C6" s="58">
        <v>1995</v>
      </c>
      <c r="D6" s="12"/>
      <c r="E6" s="58">
        <v>1998</v>
      </c>
      <c r="F6" s="12"/>
      <c r="G6" s="58">
        <v>2002</v>
      </c>
      <c r="H6" s="12"/>
      <c r="I6" s="58">
        <v>2004</v>
      </c>
      <c r="J6" s="12"/>
      <c r="K6" s="58">
        <v>2005</v>
      </c>
      <c r="M6" s="58">
        <v>2006</v>
      </c>
    </row>
    <row r="7" spans="1:13" ht="15" customHeight="1" thickBot="1">
      <c r="A7" s="11"/>
      <c r="B7" s="13"/>
      <c r="C7" s="13" t="s">
        <v>286</v>
      </c>
      <c r="D7" s="10"/>
      <c r="E7" s="13" t="s">
        <v>287</v>
      </c>
      <c r="F7" s="10"/>
      <c r="G7" s="13" t="s">
        <v>288</v>
      </c>
      <c r="H7" s="13"/>
      <c r="I7" s="13" t="s">
        <v>289</v>
      </c>
      <c r="J7" s="13"/>
      <c r="K7" s="13" t="s">
        <v>312</v>
      </c>
      <c r="L7" s="13"/>
      <c r="M7" s="13" t="s">
        <v>317</v>
      </c>
    </row>
    <row r="8" spans="1:13" ht="15" customHeight="1">
      <c r="A8" s="12"/>
      <c r="C8" s="12"/>
      <c r="D8" s="12"/>
      <c r="E8" s="12"/>
      <c r="F8" s="12"/>
      <c r="G8" s="12"/>
      <c r="I8" s="12"/>
      <c r="J8" s="12"/>
    </row>
    <row r="9" spans="1:13" ht="18">
      <c r="A9" s="12" t="s">
        <v>240</v>
      </c>
      <c r="C9" s="16">
        <v>300.630254416036</v>
      </c>
      <c r="D9" s="12"/>
      <c r="E9" s="21">
        <v>302.3833429810407</v>
      </c>
      <c r="G9" s="50">
        <v>289.25548201837398</v>
      </c>
      <c r="H9" s="50"/>
      <c r="I9" s="50">
        <v>242.13133210683321</v>
      </c>
      <c r="J9" s="50"/>
      <c r="K9" s="50">
        <v>248.36097505122331</v>
      </c>
      <c r="M9" s="154"/>
    </row>
    <row r="10" spans="1:13">
      <c r="A10" s="12" t="s">
        <v>12</v>
      </c>
      <c r="C10" s="16">
        <v>8.6983850618463237</v>
      </c>
      <c r="D10" s="12"/>
      <c r="E10" s="21">
        <v>13.634431222267043</v>
      </c>
      <c r="G10" s="50">
        <v>9.187545727344073</v>
      </c>
      <c r="H10" s="50"/>
      <c r="I10" s="50">
        <v>10.304629496361125</v>
      </c>
      <c r="J10" s="50"/>
      <c r="K10" s="50">
        <v>8.2680609170268085</v>
      </c>
      <c r="M10" s="154"/>
    </row>
    <row r="11" spans="1:13">
      <c r="A11" s="12" t="s">
        <v>13</v>
      </c>
      <c r="C11" s="16">
        <v>388.20493587474607</v>
      </c>
      <c r="D11" s="12"/>
      <c r="E11" s="21">
        <v>432.73754951593384</v>
      </c>
      <c r="G11" s="50">
        <v>395.47993019712851</v>
      </c>
      <c r="H11" s="50"/>
      <c r="I11" s="50">
        <v>406.56784273327685</v>
      </c>
      <c r="J11" s="50"/>
      <c r="K11" s="50">
        <v>407.74083283114379</v>
      </c>
      <c r="M11" s="154"/>
    </row>
    <row r="12" spans="1:13">
      <c r="A12" s="12" t="s">
        <v>14</v>
      </c>
      <c r="C12" s="16">
        <v>229.82106169116116</v>
      </c>
      <c r="D12" s="12"/>
      <c r="E12" s="16">
        <v>219.43389269866879</v>
      </c>
      <c r="F12" s="12"/>
      <c r="G12" s="50">
        <v>214.15985670098334</v>
      </c>
      <c r="H12" s="50"/>
      <c r="I12" s="50">
        <v>229.44825728645552</v>
      </c>
      <c r="J12" s="50"/>
      <c r="K12" s="50">
        <v>225.32205375436905</v>
      </c>
      <c r="M12" s="154"/>
    </row>
    <row r="13" spans="1:13" s="24" customFormat="1" hidden="1">
      <c r="A13" s="18" t="s">
        <v>15</v>
      </c>
      <c r="B13" s="18"/>
      <c r="C13" s="17">
        <v>1.3336040574678649</v>
      </c>
      <c r="D13" s="18"/>
      <c r="E13" s="68">
        <v>1.2030689794271883</v>
      </c>
      <c r="F13" s="18"/>
      <c r="G13" s="107">
        <v>2.3798107197266978</v>
      </c>
      <c r="H13" s="107"/>
      <c r="I13" s="107">
        <v>0.77829025106496585</v>
      </c>
      <c r="J13" s="107"/>
      <c r="K13" s="107" t="e">
        <v>#DIV/0!</v>
      </c>
      <c r="M13" s="155"/>
    </row>
    <row r="14" spans="1:13" s="24" customFormat="1" hidden="1">
      <c r="A14" s="18" t="s">
        <v>16</v>
      </c>
      <c r="B14" s="18"/>
      <c r="C14" s="17">
        <v>11.10342305211965</v>
      </c>
      <c r="D14" s="18"/>
      <c r="E14" s="17">
        <v>10.201898749495765</v>
      </c>
      <c r="F14" s="18"/>
      <c r="G14" s="107">
        <v>10.104486958127509</v>
      </c>
      <c r="H14" s="107"/>
      <c r="I14" s="107">
        <v>9.1877285178693722</v>
      </c>
      <c r="J14" s="107"/>
      <c r="K14" s="107" t="e">
        <v>#DIV/0!</v>
      </c>
      <c r="M14" s="155"/>
    </row>
    <row r="15" spans="1:13">
      <c r="A15" s="12" t="s">
        <v>17</v>
      </c>
      <c r="C15" s="16">
        <v>12.437027109587515</v>
      </c>
      <c r="D15" s="12"/>
      <c r="E15" s="16">
        <v>11.404967728922953</v>
      </c>
      <c r="F15" s="12"/>
      <c r="G15" s="50">
        <v>12.48429767785421</v>
      </c>
      <c r="H15" s="50"/>
      <c r="I15" s="50">
        <v>9.9660187689343385</v>
      </c>
      <c r="J15" s="50"/>
      <c r="K15" s="50">
        <v>11.035502505208425</v>
      </c>
      <c r="M15" s="154"/>
    </row>
    <row r="16" spans="1:13">
      <c r="A16" s="12" t="s">
        <v>18</v>
      </c>
      <c r="C16" s="16">
        <v>86.264589283203321</v>
      </c>
      <c r="D16" s="12"/>
      <c r="E16" s="16">
        <v>82.778033985478018</v>
      </c>
      <c r="F16" s="12"/>
      <c r="G16" s="50">
        <v>82.984144222335075</v>
      </c>
      <c r="H16" s="50"/>
      <c r="I16" s="50">
        <v>81.16535448562442</v>
      </c>
      <c r="J16" s="50"/>
      <c r="K16" s="50">
        <v>80.097204841681176</v>
      </c>
      <c r="M16" s="154"/>
    </row>
    <row r="17" spans="1:13" s="24" customFormat="1" ht="2.25" hidden="1" customHeight="1">
      <c r="A17" s="18" t="s">
        <v>19</v>
      </c>
      <c r="B17" s="18"/>
      <c r="C17" s="17">
        <v>1.8842371640394304</v>
      </c>
      <c r="D17" s="18"/>
      <c r="E17" s="68">
        <v>3.0208178701089152</v>
      </c>
      <c r="F17" s="18"/>
      <c r="G17" s="107">
        <v>0.57930658787682932</v>
      </c>
      <c r="H17" s="107"/>
      <c r="I17" s="107">
        <v>0.44633674973593496</v>
      </c>
      <c r="J17" s="107"/>
      <c r="K17" s="107">
        <v>15.457035072917922</v>
      </c>
      <c r="M17" s="155"/>
    </row>
    <row r="18" spans="1:13">
      <c r="A18" s="12" t="s">
        <v>20</v>
      </c>
      <c r="C18" s="16">
        <v>9.3519142539893441</v>
      </c>
      <c r="D18" s="12"/>
      <c r="E18" s="69">
        <v>14.570385235982251</v>
      </c>
      <c r="F18" s="12"/>
      <c r="G18" s="108">
        <v>11.88557388855547</v>
      </c>
      <c r="H18" s="108"/>
      <c r="I18" s="108">
        <v>15.947233816582129</v>
      </c>
      <c r="J18" s="108"/>
      <c r="K18" s="108">
        <v>15.457035072917922</v>
      </c>
      <c r="M18" s="154"/>
    </row>
    <row r="19" spans="1:13">
      <c r="A19" s="12" t="s">
        <v>21</v>
      </c>
      <c r="C19" s="16">
        <v>12.592508909652487</v>
      </c>
      <c r="D19" s="12"/>
      <c r="E19" s="69">
        <v>19.365835014118595</v>
      </c>
      <c r="F19" s="12"/>
      <c r="G19" s="108">
        <v>15.846041087669082</v>
      </c>
      <c r="H19" s="108"/>
      <c r="I19" s="108">
        <v>15.86326198739452</v>
      </c>
      <c r="J19" s="108"/>
      <c r="K19" s="108">
        <v>15.67713166549011</v>
      </c>
      <c r="M19" s="154"/>
    </row>
    <row r="20" spans="1:13" s="24" customFormat="1" hidden="1">
      <c r="A20" s="18" t="s">
        <v>22</v>
      </c>
      <c r="B20" s="18"/>
      <c r="C20" s="17">
        <v>4.5122588090400857</v>
      </c>
      <c r="D20" s="18"/>
      <c r="E20" s="68">
        <v>2.1913417708753529</v>
      </c>
      <c r="F20" s="18"/>
      <c r="G20" s="107">
        <v>3.1406119754397306</v>
      </c>
      <c r="H20" s="107"/>
      <c r="I20" s="107">
        <v>1.6815547920559935</v>
      </c>
      <c r="J20" s="107"/>
      <c r="K20" s="107">
        <v>0</v>
      </c>
      <c r="M20" s="155"/>
    </row>
    <row r="21" spans="1:13">
      <c r="A21" s="12" t="s">
        <v>23</v>
      </c>
      <c r="C21" s="16">
        <v>6.3964959730795155</v>
      </c>
      <c r="D21" s="12"/>
      <c r="E21" s="16">
        <v>5.2121596409842681</v>
      </c>
      <c r="F21" s="12"/>
      <c r="G21" s="16">
        <v>3.7199185633165599</v>
      </c>
      <c r="H21" s="16"/>
      <c r="I21" s="16">
        <v>2.1278915417919282</v>
      </c>
      <c r="J21" s="16"/>
      <c r="K21" s="16">
        <v>2.4426083438075725</v>
      </c>
      <c r="M21" s="154"/>
    </row>
    <row r="22" spans="1:13">
      <c r="A22" s="12" t="s">
        <v>24</v>
      </c>
      <c r="C22" s="16">
        <v>1054.3971725733018</v>
      </c>
      <c r="D22" s="12"/>
      <c r="E22" s="16">
        <v>1101.5205980233964</v>
      </c>
      <c r="F22" s="12"/>
      <c r="G22" s="50">
        <v>1035.0027900835603</v>
      </c>
      <c r="H22" s="50"/>
      <c r="I22" s="50">
        <v>1013.5218222232543</v>
      </c>
      <c r="J22" s="50"/>
      <c r="K22" s="50">
        <v>1014.4014049828683</v>
      </c>
      <c r="M22" s="154"/>
    </row>
    <row r="23" spans="1:13">
      <c r="A23" s="12"/>
      <c r="C23" s="19" t="str">
        <f>IF(ABS(C22-(SUM(C9:C21)-C13-C14-C17-C20))&gt;comments!$A$1,'T12.1 - T12.3a'!C22-(SUM(C9:C21)-C13-C14-C17-C20)," ")</f>
        <v xml:space="preserve"> </v>
      </c>
      <c r="D23" s="19"/>
      <c r="E23" s="19" t="str">
        <f>IF(ABS(E22-(SUM(E9:E21)-E13-E14-E17-E20))&gt;comments!$A$1,'T12.1 - T12.3a'!E22-(SUM(E9:E21)-E13-E14-E17-E20)," ")</f>
        <v xml:space="preserve"> </v>
      </c>
      <c r="F23" s="19"/>
      <c r="G23" s="19" t="str">
        <f>IF(ABS(G22-(SUM(G9:G21)-G13-G14-G17-G20))&gt;comments!$A$1,'T12.1 - T12.3a'!G22-(SUM(G9:G21)-G13-G14-G17-G20)," ")</f>
        <v xml:space="preserve"> </v>
      </c>
      <c r="H23" s="19"/>
      <c r="I23" s="19" t="str">
        <f>IF(ABS(I22-(SUM(I9:I21)-I13-I14-I17-I20))&gt;comments!$A$1,'T12.1 - T12.3a'!I22-(SUM(I9:I21)-I13-I14-I17-I20)," ")</f>
        <v xml:space="preserve"> </v>
      </c>
      <c r="J23" s="19"/>
      <c r="K23" s="19"/>
    </row>
    <row r="24" spans="1:13" ht="6" customHeight="1">
      <c r="A24" s="12"/>
      <c r="C24" s="12"/>
      <c r="D24" s="12"/>
      <c r="G24" s="60"/>
      <c r="H24" s="60"/>
      <c r="J24" s="60"/>
    </row>
    <row r="25" spans="1:13">
      <c r="A25" s="29" t="s">
        <v>25</v>
      </c>
      <c r="C25" s="20">
        <v>2024</v>
      </c>
      <c r="D25" s="12"/>
      <c r="E25" s="34">
        <v>1926</v>
      </c>
      <c r="G25" s="67">
        <v>3396</v>
      </c>
      <c r="H25" s="67"/>
      <c r="I25" s="34">
        <v>3766</v>
      </c>
      <c r="J25" s="34"/>
      <c r="K25" s="34">
        <v>3723</v>
      </c>
      <c r="M25" s="154"/>
    </row>
    <row r="26" spans="1:13" ht="6" customHeight="1" thickBot="1">
      <c r="A26" s="10"/>
      <c r="B26" s="10"/>
      <c r="C26" s="10"/>
      <c r="D26" s="10"/>
      <c r="E26" s="10"/>
      <c r="F26" s="10"/>
      <c r="G26" s="10"/>
      <c r="H26" s="10"/>
      <c r="I26" s="10"/>
      <c r="J26" s="10"/>
      <c r="K26" s="10"/>
      <c r="L26" s="10"/>
      <c r="M26" s="10"/>
    </row>
    <row r="27" spans="1:13">
      <c r="A27" s="48" t="s">
        <v>236</v>
      </c>
      <c r="C27" s="12"/>
      <c r="D27" s="12"/>
      <c r="E27" s="12"/>
      <c r="F27" s="12"/>
    </row>
    <row r="28" spans="1:13">
      <c r="A28" s="48" t="s">
        <v>239</v>
      </c>
      <c r="C28" s="12"/>
      <c r="D28" s="12"/>
      <c r="E28" s="12"/>
      <c r="F28" s="12"/>
    </row>
    <row r="29" spans="1:13">
      <c r="A29" s="48" t="s">
        <v>237</v>
      </c>
      <c r="C29" s="12"/>
      <c r="D29" s="12"/>
      <c r="E29" s="12"/>
      <c r="F29" s="12"/>
    </row>
    <row r="30" spans="1:13">
      <c r="A30" s="48" t="s">
        <v>313</v>
      </c>
      <c r="C30" s="12"/>
      <c r="D30" s="12"/>
      <c r="E30" s="12"/>
      <c r="F30" s="12"/>
    </row>
    <row r="31" spans="1:13">
      <c r="A31" s="149" t="s">
        <v>314</v>
      </c>
      <c r="C31" s="12"/>
      <c r="D31" s="12"/>
      <c r="E31" s="12"/>
      <c r="F31" s="12"/>
    </row>
    <row r="32" spans="1:13">
      <c r="A32" s="48" t="s">
        <v>280</v>
      </c>
      <c r="C32" s="12"/>
      <c r="D32" s="12"/>
      <c r="E32" s="12"/>
      <c r="F32" s="12"/>
    </row>
    <row r="33" spans="1:13">
      <c r="A33" s="48"/>
      <c r="C33" s="12"/>
      <c r="D33" s="12"/>
      <c r="E33" s="12"/>
      <c r="F33" s="12"/>
    </row>
    <row r="34" spans="1:13">
      <c r="A34" s="12"/>
      <c r="C34" s="12"/>
      <c r="D34" s="12"/>
      <c r="E34" s="12"/>
      <c r="F34" s="12"/>
    </row>
    <row r="35" spans="1:13" ht="18">
      <c r="A35" s="39" t="s">
        <v>253</v>
      </c>
      <c r="F35" s="12"/>
    </row>
    <row r="36" spans="1:13" ht="8.1" customHeight="1">
      <c r="A36" s="39"/>
      <c r="F36" s="12"/>
    </row>
    <row r="37" spans="1:13" ht="15" customHeight="1">
      <c r="A37" s="29" t="s">
        <v>235</v>
      </c>
      <c r="C37" s="12"/>
      <c r="D37" s="12"/>
      <c r="E37" s="87"/>
      <c r="F37" s="12"/>
      <c r="G37" s="12"/>
      <c r="H37" s="12"/>
      <c r="I37" s="12"/>
      <c r="J37" s="12"/>
    </row>
    <row r="38" spans="1:13" ht="8.1" customHeight="1" thickBot="1">
      <c r="A38" s="10"/>
      <c r="B38" s="10"/>
      <c r="C38" s="10"/>
      <c r="D38" s="10"/>
      <c r="E38" s="11"/>
      <c r="F38" s="10"/>
      <c r="G38" s="10"/>
      <c r="H38" s="10"/>
      <c r="I38" s="10"/>
      <c r="J38" s="10"/>
      <c r="K38" s="10"/>
      <c r="L38" s="10"/>
      <c r="M38" s="10"/>
    </row>
    <row r="39" spans="1:13" ht="15" customHeight="1">
      <c r="A39" s="12"/>
      <c r="C39" s="58">
        <v>1995</v>
      </c>
      <c r="D39" s="12"/>
      <c r="E39" s="58">
        <v>1998</v>
      </c>
      <c r="F39" s="12"/>
      <c r="G39" s="58">
        <v>2002</v>
      </c>
      <c r="H39" s="12"/>
      <c r="I39" s="58">
        <v>2004</v>
      </c>
      <c r="J39" s="12"/>
      <c r="K39" s="58">
        <v>2005</v>
      </c>
      <c r="M39" s="58">
        <v>2006</v>
      </c>
    </row>
    <row r="40" spans="1:13" ht="15" customHeight="1" thickBot="1">
      <c r="A40" s="11"/>
      <c r="B40" s="11"/>
      <c r="C40" s="13" t="s">
        <v>286</v>
      </c>
      <c r="D40" s="10"/>
      <c r="E40" s="13" t="s">
        <v>287</v>
      </c>
      <c r="F40" s="10"/>
      <c r="G40" s="13" t="s">
        <v>288</v>
      </c>
      <c r="H40" s="13"/>
      <c r="I40" s="13" t="s">
        <v>289</v>
      </c>
      <c r="J40" s="13"/>
      <c r="K40" s="13" t="s">
        <v>312</v>
      </c>
      <c r="L40" s="13"/>
      <c r="M40" s="13" t="s">
        <v>317</v>
      </c>
    </row>
    <row r="41" spans="1:13">
      <c r="F41" s="12"/>
      <c r="G41" s="34"/>
      <c r="J41" s="33"/>
      <c r="M41" s="33" t="s">
        <v>26</v>
      </c>
    </row>
    <row r="42" spans="1:13">
      <c r="A42" s="12" t="s">
        <v>277</v>
      </c>
      <c r="C42" s="16">
        <v>182.77730002860787</v>
      </c>
      <c r="D42" s="12"/>
      <c r="E42" s="21">
        <v>185.79268199878987</v>
      </c>
      <c r="G42" s="50">
        <v>199.23000262222425</v>
      </c>
      <c r="H42" s="50"/>
      <c r="I42" s="50">
        <v>169.22919899481158</v>
      </c>
      <c r="J42" s="50"/>
      <c r="K42" s="50">
        <v>190.96259663561705</v>
      </c>
      <c r="M42" s="154"/>
    </row>
    <row r="43" spans="1:13">
      <c r="A43" s="9" t="s">
        <v>12</v>
      </c>
      <c r="C43" s="16">
        <v>25.536002181955713</v>
      </c>
      <c r="D43" s="12"/>
      <c r="E43" s="21">
        <v>30.095233239209364</v>
      </c>
      <c r="G43" s="50">
        <v>27.598550981025806</v>
      </c>
      <c r="H43" s="50"/>
      <c r="I43" s="50">
        <v>24.827443878913098</v>
      </c>
      <c r="J43" s="50"/>
      <c r="K43" s="50">
        <v>22.822146352382102</v>
      </c>
      <c r="M43" s="154"/>
    </row>
    <row r="44" spans="1:13">
      <c r="A44" s="9" t="s">
        <v>13</v>
      </c>
      <c r="C44" s="16">
        <v>3316.4356439436187</v>
      </c>
      <c r="D44" s="12"/>
      <c r="E44" s="21">
        <v>3737.7596436668014</v>
      </c>
      <c r="G44" s="50">
        <v>3275.2021787175108</v>
      </c>
      <c r="H44" s="50"/>
      <c r="I44" s="50">
        <v>3548.6476102109045</v>
      </c>
      <c r="J44" s="50"/>
      <c r="K44" s="50">
        <v>3595.3511553229228</v>
      </c>
      <c r="M44" s="154"/>
    </row>
    <row r="45" spans="1:13">
      <c r="A45" s="9" t="s">
        <v>14</v>
      </c>
      <c r="C45" s="16">
        <v>1998.7991375553372</v>
      </c>
      <c r="D45" s="12"/>
      <c r="E45" s="21">
        <v>2000.6704022892297</v>
      </c>
      <c r="G45" s="50">
        <v>2058.1865382761648</v>
      </c>
      <c r="H45" s="50"/>
      <c r="I45" s="50">
        <v>2071.6571813111559</v>
      </c>
      <c r="J45" s="50"/>
      <c r="K45" s="50">
        <v>2079.9245901616764</v>
      </c>
      <c r="M45" s="154"/>
    </row>
    <row r="46" spans="1:13" s="24" customFormat="1" hidden="1">
      <c r="A46" s="24" t="s">
        <v>15</v>
      </c>
      <c r="B46" s="18"/>
      <c r="C46" s="17">
        <v>18.866136338290413</v>
      </c>
      <c r="D46" s="18"/>
      <c r="E46" s="63">
        <v>12.999112999193224</v>
      </c>
      <c r="G46" s="107">
        <v>20.230332837819123</v>
      </c>
      <c r="H46" s="107"/>
      <c r="I46" s="107">
        <v>16.582166755655638</v>
      </c>
      <c r="J46" s="107"/>
      <c r="K46" s="107">
        <v>170.67516703111281</v>
      </c>
      <c r="M46" s="155"/>
    </row>
    <row r="47" spans="1:13" s="24" customFormat="1" hidden="1">
      <c r="A47" s="24" t="s">
        <v>16</v>
      </c>
      <c r="B47" s="18"/>
      <c r="C47" s="17">
        <v>141.14759161547153</v>
      </c>
      <c r="D47" s="18"/>
      <c r="E47" s="23">
        <v>179.3665163876563</v>
      </c>
      <c r="G47" s="107">
        <v>162.73221123678499</v>
      </c>
      <c r="H47" s="107"/>
      <c r="I47" s="107">
        <v>155.12224942253897</v>
      </c>
      <c r="J47" s="107"/>
      <c r="K47" s="107">
        <v>407.20550884140567</v>
      </c>
      <c r="M47" s="155"/>
    </row>
    <row r="48" spans="1:13" s="24" customFormat="1">
      <c r="A48" s="9" t="s">
        <v>17</v>
      </c>
      <c r="B48" s="18"/>
      <c r="C48" s="69">
        <v>160.01372795376196</v>
      </c>
      <c r="D48" s="18"/>
      <c r="E48" s="21">
        <v>192.36562938684958</v>
      </c>
      <c r="G48" s="50">
        <v>182.96254407460412</v>
      </c>
      <c r="H48" s="50"/>
      <c r="I48" s="50">
        <v>171.70441617819463</v>
      </c>
      <c r="J48" s="50"/>
      <c r="K48" s="50">
        <v>170.67516703111281</v>
      </c>
      <c r="M48" s="155"/>
    </row>
    <row r="49" spans="1:13">
      <c r="A49" s="9" t="s">
        <v>18</v>
      </c>
      <c r="C49" s="16">
        <v>434.78146840770574</v>
      </c>
      <c r="D49" s="12"/>
      <c r="E49" s="21">
        <v>447.29347478822103</v>
      </c>
      <c r="G49" s="50">
        <v>379.55379716541256</v>
      </c>
      <c r="H49" s="50"/>
      <c r="I49" s="50">
        <v>440.95692428586364</v>
      </c>
      <c r="J49" s="50"/>
      <c r="K49" s="50">
        <v>407.20550884140567</v>
      </c>
      <c r="M49" s="154"/>
    </row>
    <row r="50" spans="1:13" s="24" customFormat="1" hidden="1">
      <c r="A50" s="24" t="s">
        <v>19</v>
      </c>
      <c r="B50" s="18"/>
      <c r="C50" s="17">
        <v>94.870974626279477</v>
      </c>
      <c r="D50" s="18"/>
      <c r="E50" s="63">
        <v>117.03000726099235</v>
      </c>
      <c r="G50" s="107">
        <v>54.650708332948618</v>
      </c>
      <c r="H50" s="107"/>
      <c r="I50" s="107">
        <v>35.433252335960447</v>
      </c>
      <c r="J50" s="107"/>
      <c r="K50" s="107">
        <v>433.3354182062364</v>
      </c>
      <c r="M50" s="155"/>
    </row>
    <row r="51" spans="1:13">
      <c r="A51" s="9" t="s">
        <v>238</v>
      </c>
      <c r="C51" s="16">
        <v>268.0602050359538</v>
      </c>
      <c r="D51" s="12"/>
      <c r="E51" s="21">
        <v>524.51777849939504</v>
      </c>
      <c r="G51" s="50">
        <v>339.30060669405844</v>
      </c>
      <c r="H51" s="50"/>
      <c r="I51" s="50">
        <v>465.12840444325803</v>
      </c>
      <c r="J51" s="50"/>
      <c r="K51" s="50">
        <v>408.10794975808813</v>
      </c>
      <c r="M51" s="154"/>
    </row>
    <row r="52" spans="1:13">
      <c r="A52" s="9" t="s">
        <v>21</v>
      </c>
      <c r="C52" s="16">
        <v>39.147081212391576</v>
      </c>
      <c r="D52" s="12"/>
      <c r="E52" s="21">
        <v>79.189938594191219</v>
      </c>
      <c r="G52" s="50">
        <v>54.960196057430409</v>
      </c>
      <c r="H52" s="50"/>
      <c r="I52" s="50">
        <v>61.013598226411162</v>
      </c>
      <c r="J52" s="50"/>
      <c r="K52" s="50">
        <v>67.539639387730517</v>
      </c>
      <c r="M52" s="154"/>
    </row>
    <row r="53" spans="1:13" s="24" customFormat="1" hidden="1">
      <c r="A53" s="24" t="s">
        <v>22</v>
      </c>
      <c r="B53" s="18"/>
      <c r="C53" s="17">
        <v>375.96298154065465</v>
      </c>
      <c r="D53" s="18"/>
      <c r="E53" s="63">
        <v>235.02336359419124</v>
      </c>
      <c r="G53" s="107">
        <v>361.15991435298463</v>
      </c>
      <c r="H53" s="107"/>
      <c r="I53" s="107">
        <v>343.71031391826176</v>
      </c>
      <c r="J53" s="107"/>
      <c r="K53" s="107">
        <v>0</v>
      </c>
      <c r="M53" s="155"/>
    </row>
    <row r="54" spans="1:13" s="24" customFormat="1">
      <c r="A54" s="9" t="s">
        <v>23</v>
      </c>
      <c r="B54" s="18"/>
      <c r="C54" s="69">
        <v>470.83395616693412</v>
      </c>
      <c r="D54" s="18"/>
      <c r="E54" s="25">
        <v>352.05337085518357</v>
      </c>
      <c r="G54" s="108">
        <v>415.81062268593325</v>
      </c>
      <c r="H54" s="108"/>
      <c r="I54" s="108">
        <v>379.14356625422221</v>
      </c>
      <c r="J54" s="108"/>
      <c r="K54" s="108">
        <v>433.3354182062364</v>
      </c>
      <c r="M54" s="155"/>
    </row>
    <row r="55" spans="1:13">
      <c r="A55" s="9" t="s">
        <v>24</v>
      </c>
      <c r="C55" s="16">
        <v>6896.384522486268</v>
      </c>
      <c r="D55" s="22"/>
      <c r="E55" s="21">
        <v>7549.7381533178695</v>
      </c>
      <c r="G55" s="50">
        <v>6932.8050372743646</v>
      </c>
      <c r="H55" s="50"/>
      <c r="I55" s="50">
        <v>7332.308343783734</v>
      </c>
      <c r="J55" s="50"/>
      <c r="K55" s="50">
        <v>7375.9241716971719</v>
      </c>
      <c r="M55" s="154"/>
    </row>
    <row r="56" spans="1:13" ht="15.75" thickBot="1">
      <c r="A56" s="10"/>
      <c r="B56" s="10"/>
      <c r="C56" s="32" t="str">
        <f>IF(ABS(C55-(SUM(C42:C54)-C46-C47-C50-C53))&gt;comments!$A$1,'T12.1 - T12.3a'!C55-(SUM(C42:C54)-C46-C47-C50-C53)," ")</f>
        <v xml:space="preserve"> </v>
      </c>
      <c r="D56" s="32"/>
      <c r="E56" s="32" t="str">
        <f>IF(ABS(E55-(SUM(E42:E54)-E46-E47-E50-E53))&gt;comments!$A$1,'T12.1 - T12.3a'!E55-(SUM(E42:E54)-E46-E47-E50-E53)," ")</f>
        <v xml:space="preserve"> </v>
      </c>
      <c r="F56" s="32"/>
      <c r="G56" s="32" t="str">
        <f>IF(ABS(G55-(SUM(G42:G54)-G46-G47-G50-G53))&gt;comments!$A$1,'T12.1 - T12.3a'!G55-(SUM(G42:G54)-G46-G47-G50-G53)," ")</f>
        <v xml:space="preserve"> </v>
      </c>
      <c r="H56" s="32"/>
      <c r="I56" s="32" t="str">
        <f>IF(ABS(I55-(SUM(I42:I54)-I46-I47-I50-I53))&gt;comments!$A$1,'T12.1 - T12.3a'!I55-(SUM(I42:I54)-I46-I47-I50-I53)," ")</f>
        <v xml:space="preserve"> </v>
      </c>
      <c r="J56" s="32"/>
      <c r="K56" s="32" t="str">
        <f>IF(ABS(K55-(SUM(K42:K54)-K46-K47-K50-K53))&gt;comments!$A$1,'T12.1 - T12.3a'!K55-(SUM(K42:K54)-K46-K47-K50-K53)," ")</f>
        <v xml:space="preserve"> </v>
      </c>
      <c r="L56" s="32" t="str">
        <f>IF(ABS(L55-(SUM(L42:L54)-L46-L47-L50-L53))&gt;comments!$A$1,'T12.1 - T12.3a'!L55-(SUM(L42:L54)-L46-L47-L50-L53)," ")</f>
        <v xml:space="preserve"> </v>
      </c>
      <c r="M56" s="32" t="str">
        <f>IF(ABS(M55-(SUM(M42:M54)-M46-M47-M50-M53))&gt;comments!$A$1,'T12.1 - T12.3a'!M55-(SUM(M42:M54)-M46-M47-M50-M53)," ")</f>
        <v xml:space="preserve"> </v>
      </c>
    </row>
    <row r="57" spans="1:13">
      <c r="A57" s="48" t="s">
        <v>281</v>
      </c>
      <c r="C57" s="12"/>
      <c r="D57" s="12"/>
      <c r="E57" s="12"/>
      <c r="F57" s="12"/>
    </row>
    <row r="58" spans="1:13">
      <c r="A58" s="48"/>
      <c r="C58" s="12"/>
      <c r="D58" s="12"/>
      <c r="E58" s="12"/>
      <c r="F58" s="12"/>
    </row>
    <row r="59" spans="1:13">
      <c r="A59" s="12"/>
    </row>
    <row r="60" spans="1:13" s="39" customFormat="1" ht="18">
      <c r="A60" s="39" t="s">
        <v>252</v>
      </c>
      <c r="B60" s="40"/>
    </row>
    <row r="61" spans="1:13" ht="8.1" customHeight="1">
      <c r="A61" s="12"/>
      <c r="B61" s="58"/>
      <c r="C61" s="58"/>
      <c r="D61" s="58"/>
      <c r="E61" s="92"/>
      <c r="F61" s="12"/>
      <c r="G61" s="12"/>
      <c r="H61" s="12"/>
      <c r="I61" s="12"/>
      <c r="J61" s="12"/>
    </row>
    <row r="62" spans="1:13" ht="15" customHeight="1">
      <c r="A62" s="29" t="s">
        <v>290</v>
      </c>
      <c r="C62" s="12"/>
      <c r="D62" s="12"/>
      <c r="E62" s="87"/>
      <c r="F62" s="12"/>
      <c r="G62" s="12"/>
      <c r="H62" s="12"/>
      <c r="I62" s="12"/>
      <c r="J62" s="12"/>
    </row>
    <row r="63" spans="1:13" ht="8.1" customHeight="1" thickBot="1">
      <c r="A63" s="10"/>
      <c r="B63" s="10"/>
      <c r="C63" s="10"/>
      <c r="D63" s="10"/>
      <c r="E63" s="11"/>
      <c r="F63" s="10"/>
      <c r="G63" s="10"/>
      <c r="H63" s="10"/>
      <c r="I63" s="10"/>
      <c r="J63" s="10"/>
      <c r="K63" s="10"/>
      <c r="L63" s="10"/>
      <c r="M63" s="10"/>
    </row>
    <row r="64" spans="1:13" ht="15" customHeight="1">
      <c r="A64" s="12"/>
      <c r="C64" s="58">
        <v>1995</v>
      </c>
      <c r="D64" s="12"/>
      <c r="E64" s="58">
        <v>1998</v>
      </c>
      <c r="F64" s="12"/>
      <c r="G64" s="58">
        <v>2002</v>
      </c>
      <c r="H64" s="12"/>
      <c r="I64" s="58">
        <v>2004</v>
      </c>
      <c r="J64" s="12"/>
      <c r="K64" s="58">
        <v>2005</v>
      </c>
      <c r="M64" s="58">
        <v>2006</v>
      </c>
    </row>
    <row r="65" spans="1:13" ht="15" customHeight="1" thickBot="1">
      <c r="A65" s="11"/>
      <c r="B65" s="11"/>
      <c r="C65" s="13" t="s">
        <v>286</v>
      </c>
      <c r="D65" s="10"/>
      <c r="E65" s="13" t="s">
        <v>287</v>
      </c>
      <c r="F65" s="10"/>
      <c r="G65" s="13" t="s">
        <v>288</v>
      </c>
      <c r="H65" s="13"/>
      <c r="I65" s="13" t="s">
        <v>289</v>
      </c>
      <c r="J65" s="13"/>
      <c r="K65" s="13" t="s">
        <v>312</v>
      </c>
      <c r="L65" s="13"/>
      <c r="M65" s="13" t="s">
        <v>317</v>
      </c>
    </row>
    <row r="66" spans="1:13">
      <c r="G66" s="33"/>
      <c r="I66" s="33"/>
      <c r="J66" s="33"/>
      <c r="M66" s="33" t="s">
        <v>26</v>
      </c>
    </row>
    <row r="67" spans="1:13">
      <c r="A67" s="12" t="s">
        <v>277</v>
      </c>
      <c r="C67" s="150">
        <v>0.60798039233824464</v>
      </c>
      <c r="E67" s="27">
        <v>0.61442763403286738</v>
      </c>
      <c r="G67" s="109">
        <v>0.68876828619472397</v>
      </c>
      <c r="H67" s="109"/>
      <c r="I67" s="109">
        <v>0.69891491333366251</v>
      </c>
      <c r="J67" s="109"/>
      <c r="K67" s="109">
        <v>0.67634476231442442</v>
      </c>
      <c r="M67" s="154"/>
    </row>
    <row r="68" spans="1:13">
      <c r="A68" s="9" t="s">
        <v>12</v>
      </c>
      <c r="C68" s="150">
        <v>2.935717607394059</v>
      </c>
      <c r="E68" s="27">
        <v>2.2072965676822216</v>
      </c>
      <c r="G68" s="109">
        <v>3.0039089654690589</v>
      </c>
      <c r="H68" s="109"/>
      <c r="I68" s="109">
        <v>2.4093485251148929</v>
      </c>
      <c r="J68" s="109"/>
      <c r="K68" s="109">
        <v>2.7007184350060625</v>
      </c>
      <c r="M68" s="154"/>
    </row>
    <row r="69" spans="1:13">
      <c r="A69" s="9" t="s">
        <v>13</v>
      </c>
      <c r="C69" s="150">
        <v>8.5430022585124039</v>
      </c>
      <c r="E69" s="27">
        <v>8.6374747184474998</v>
      </c>
      <c r="G69" s="109">
        <v>8.2815888459497131</v>
      </c>
      <c r="H69" s="109"/>
      <c r="I69" s="109">
        <v>8.7283037102837113</v>
      </c>
      <c r="J69" s="109"/>
      <c r="K69" s="109">
        <v>8.7674539018100948</v>
      </c>
      <c r="M69" s="154"/>
    </row>
    <row r="70" spans="1:13">
      <c r="A70" s="9" t="s">
        <v>14</v>
      </c>
      <c r="C70" s="150">
        <v>8.6971973884681191</v>
      </c>
      <c r="E70" s="27">
        <v>9.1174174494392819</v>
      </c>
      <c r="G70" s="109">
        <v>9.6105151076462896</v>
      </c>
      <c r="H70" s="109"/>
      <c r="I70" s="109">
        <v>9.0288643104610209</v>
      </c>
      <c r="J70" s="109"/>
      <c r="K70" s="109">
        <v>9.1412000207181769</v>
      </c>
      <c r="M70" s="154"/>
    </row>
    <row r="71" spans="1:13" s="24" customFormat="1" hidden="1">
      <c r="A71" s="24" t="s">
        <v>15</v>
      </c>
      <c r="B71" s="18"/>
      <c r="C71" s="151">
        <v>14.146729857819903</v>
      </c>
      <c r="E71" s="64">
        <v>10.804960664335667</v>
      </c>
      <c r="G71" s="110">
        <v>8.50081591368847</v>
      </c>
      <c r="H71" s="110"/>
      <c r="I71" s="110">
        <v>21.305890357698292</v>
      </c>
      <c r="J71" s="110"/>
      <c r="K71" s="110">
        <v>15.528722120534198</v>
      </c>
      <c r="M71" s="155"/>
    </row>
    <row r="72" spans="1:13" s="24" customFormat="1" hidden="1">
      <c r="A72" s="24" t="s">
        <v>16</v>
      </c>
      <c r="B72" s="18"/>
      <c r="C72" s="151">
        <v>12.712079054623283</v>
      </c>
      <c r="E72" s="28">
        <v>17.581679723739818</v>
      </c>
      <c r="G72" s="110">
        <v>16.104945447615417</v>
      </c>
      <c r="H72" s="110"/>
      <c r="I72" s="110">
        <v>16.883634417455742</v>
      </c>
      <c r="J72" s="110"/>
      <c r="K72" s="110">
        <v>5.1089235677832487</v>
      </c>
      <c r="M72" s="155"/>
    </row>
    <row r="73" spans="1:13">
      <c r="A73" s="9" t="s">
        <v>17</v>
      </c>
      <c r="C73" s="150">
        <v>12.865914542423873</v>
      </c>
      <c r="E73" s="27">
        <v>16.866828031350856</v>
      </c>
      <c r="G73" s="109">
        <v>14.655413447819322</v>
      </c>
      <c r="H73" s="109"/>
      <c r="I73" s="109">
        <v>17.228987839499613</v>
      </c>
      <c r="J73" s="109"/>
      <c r="K73" s="109">
        <v>15.528722120534198</v>
      </c>
      <c r="M73" s="154"/>
    </row>
    <row r="74" spans="1:13">
      <c r="A74" s="9" t="s">
        <v>18</v>
      </c>
      <c r="C74" s="150">
        <v>5.0400920240903826</v>
      </c>
      <c r="E74" s="27">
        <v>5.4035286084070444</v>
      </c>
      <c r="G74" s="109">
        <v>4.5738110662260238</v>
      </c>
      <c r="H74" s="109"/>
      <c r="I74" s="109">
        <v>5.4328220098387376</v>
      </c>
      <c r="J74" s="109"/>
      <c r="K74" s="109">
        <v>5.1089235677832487</v>
      </c>
      <c r="M74" s="154"/>
    </row>
    <row r="75" spans="1:13" s="24" customFormat="1" hidden="1">
      <c r="A75" s="24" t="s">
        <v>19</v>
      </c>
      <c r="B75" s="18"/>
      <c r="C75" s="151">
        <v>50.349805447470814</v>
      </c>
      <c r="E75" s="64">
        <v>38.741166231505659</v>
      </c>
      <c r="G75" s="110">
        <v>94.338144044321325</v>
      </c>
      <c r="H75" s="110"/>
      <c r="I75" s="110">
        <v>79.386813559322036</v>
      </c>
      <c r="J75" s="110"/>
      <c r="K75" s="110">
        <v>190.0864808575804</v>
      </c>
      <c r="M75" s="155"/>
    </row>
    <row r="76" spans="1:13">
      <c r="A76" s="9" t="s">
        <v>20</v>
      </c>
      <c r="C76" s="150">
        <v>28.663672244600036</v>
      </c>
      <c r="E76" s="27">
        <v>35.998895705521484</v>
      </c>
      <c r="G76" s="109">
        <v>28.547263251694432</v>
      </c>
      <c r="H76" s="109"/>
      <c r="I76" s="109">
        <v>29.166713788294231</v>
      </c>
      <c r="J76" s="109"/>
      <c r="K76" s="109">
        <v>28.852296091224133</v>
      </c>
      <c r="M76" s="154"/>
    </row>
    <row r="77" spans="1:13">
      <c r="A77" s="9" t="s">
        <v>21</v>
      </c>
      <c r="C77" s="150">
        <v>3.1087594611415614</v>
      </c>
      <c r="E77" s="27">
        <v>4.0891569372793928</v>
      </c>
      <c r="G77" s="109">
        <v>3.4683865675571672</v>
      </c>
      <c r="H77" s="109"/>
      <c r="I77" s="109">
        <v>3.8462201705358341</v>
      </c>
      <c r="J77" s="109"/>
      <c r="K77" s="109">
        <v>3.8398847075216893</v>
      </c>
      <c r="M77" s="154"/>
    </row>
    <row r="78" spans="1:13" s="24" customFormat="1" hidden="1">
      <c r="A78" s="24" t="s">
        <v>22</v>
      </c>
      <c r="B78" s="18"/>
      <c r="C78" s="151">
        <v>83.320349619004915</v>
      </c>
      <c r="E78" s="64">
        <v>107.25089382123578</v>
      </c>
      <c r="G78" s="110">
        <v>114.996668540187</v>
      </c>
      <c r="H78" s="110"/>
      <c r="I78" s="110">
        <v>204.40030592046071</v>
      </c>
      <c r="J78" s="110"/>
      <c r="K78" s="110" t="e">
        <v>#DIV/0!</v>
      </c>
      <c r="M78" s="155"/>
    </row>
    <row r="79" spans="1:13">
      <c r="A79" s="9" t="s">
        <v>23</v>
      </c>
      <c r="C79" s="150">
        <v>73.608106398956551</v>
      </c>
      <c r="E79" s="27">
        <v>67.544625472887773</v>
      </c>
      <c r="G79" s="109">
        <v>111.77949613907941</v>
      </c>
      <c r="H79" s="109"/>
      <c r="I79" s="109">
        <v>178.17805034129697</v>
      </c>
      <c r="J79" s="109"/>
      <c r="K79" s="109">
        <v>190.0864808575804</v>
      </c>
      <c r="M79" s="154"/>
    </row>
    <row r="80" spans="1:13">
      <c r="A80" s="9" t="s">
        <v>24</v>
      </c>
      <c r="C80" s="150">
        <v>6.5405946657229217</v>
      </c>
      <c r="E80" s="27">
        <v>6.8539237185989625</v>
      </c>
      <c r="G80" s="109">
        <v>6.698344297907302</v>
      </c>
      <c r="H80" s="109"/>
      <c r="I80" s="109">
        <v>7.2344849247543923</v>
      </c>
      <c r="J80" s="109"/>
      <c r="K80" s="109">
        <v>7.2712082281169614</v>
      </c>
      <c r="M80" s="154"/>
    </row>
    <row r="81" spans="1:13" ht="15.75" thickBot="1">
      <c r="A81" s="10"/>
      <c r="B81" s="10"/>
      <c r="C81" s="10"/>
      <c r="D81" s="10"/>
      <c r="E81" s="10"/>
      <c r="F81" s="10"/>
      <c r="G81" s="10"/>
      <c r="H81" s="10"/>
      <c r="I81" s="10"/>
      <c r="J81" s="10"/>
      <c r="K81" s="10"/>
      <c r="L81" s="10"/>
      <c r="M81" s="10"/>
    </row>
    <row r="82" spans="1:13" ht="16.5" customHeight="1">
      <c r="A82" s="48" t="s">
        <v>281</v>
      </c>
    </row>
  </sheetData>
  <phoneticPr fontId="0" type="noConversion"/>
  <pageMargins left="0.74803149606299213" right="0.74803149606299213" top="0.98425196850393704" bottom="0.39370078740157483" header="0.51181102362204722" footer="0.51181102362204722"/>
  <pageSetup paperSize="9" scale="77" orientation="portrait" r:id="rId1"/>
  <headerFooter alignWithMargins="0">
    <oddHeader>&amp;R&amp;"Arial,Bold"&amp;16PERSONAL AND CROSS-MODAL TRAVEL</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74"/>
  <sheetViews>
    <sheetView zoomScale="75" zoomScaleNormal="75" workbookViewId="0">
      <selection activeCell="P35" sqref="P35"/>
    </sheetView>
  </sheetViews>
  <sheetFormatPr defaultRowHeight="15"/>
  <cols>
    <col min="1" max="1" width="9.140625" style="9"/>
    <col min="2" max="2" width="6.140625" style="9" customWidth="1"/>
    <col min="3" max="3" width="9.140625" style="9"/>
    <col min="4" max="4" width="10.85546875" style="9" customWidth="1"/>
    <col min="5" max="5" width="1.7109375" style="9" customWidth="1"/>
    <col min="6" max="6" width="10.42578125" style="9" customWidth="1"/>
    <col min="7" max="7" width="1.7109375" style="9" customWidth="1"/>
    <col min="8" max="8" width="10.85546875" style="9" customWidth="1"/>
    <col min="9" max="9" width="1.7109375" style="9" customWidth="1"/>
    <col min="10" max="10" width="10.42578125" style="9" customWidth="1"/>
    <col min="11" max="11" width="1.7109375" style="9" customWidth="1"/>
    <col min="12" max="12" width="10.28515625" style="9" customWidth="1"/>
    <col min="13" max="13" width="1.7109375" style="9" customWidth="1"/>
    <col min="14" max="14" width="11.140625" style="9" customWidth="1"/>
    <col min="15" max="15" width="2.140625" style="9" customWidth="1"/>
    <col min="16" max="16" width="10.140625" style="9" customWidth="1"/>
    <col min="17" max="17" width="57.140625" style="9" customWidth="1"/>
    <col min="18" max="16384" width="9.140625" style="9"/>
  </cols>
  <sheetData>
    <row r="1" spans="1:16" ht="9.75" customHeight="1">
      <c r="F1" s="66"/>
    </row>
    <row r="2" spans="1:16" s="39" customFormat="1" ht="18">
      <c r="A2" s="39" t="s">
        <v>283</v>
      </c>
    </row>
    <row r="3" spans="1:16" s="39" customFormat="1" ht="8.1" customHeight="1"/>
    <row r="4" spans="1:16" s="39" customFormat="1" ht="18">
      <c r="A4" s="29" t="s">
        <v>235</v>
      </c>
      <c r="B4" s="12"/>
      <c r="C4" s="12"/>
      <c r="D4" s="12"/>
      <c r="E4" s="12"/>
      <c r="F4" s="87"/>
      <c r="G4" s="12"/>
      <c r="H4" s="12"/>
      <c r="I4" s="12"/>
      <c r="J4" s="12"/>
      <c r="K4" s="12"/>
      <c r="L4" s="9"/>
    </row>
    <row r="5" spans="1:16" s="39" customFormat="1" ht="8.1" customHeight="1" thickBot="1">
      <c r="A5" s="10"/>
      <c r="B5" s="10"/>
      <c r="C5" s="10"/>
      <c r="D5" s="10"/>
      <c r="E5" s="10"/>
      <c r="F5" s="11"/>
      <c r="G5" s="10"/>
      <c r="H5" s="10"/>
      <c r="I5" s="10"/>
      <c r="J5" s="10"/>
      <c r="K5" s="10"/>
      <c r="L5" s="10"/>
      <c r="M5" s="41"/>
      <c r="N5" s="41"/>
      <c r="O5" s="41"/>
      <c r="P5" s="41"/>
    </row>
    <row r="6" spans="1:16" ht="15" customHeight="1">
      <c r="A6" s="12"/>
      <c r="B6" s="12"/>
      <c r="E6" s="12"/>
      <c r="F6" s="58">
        <v>1995</v>
      </c>
      <c r="G6" s="12"/>
      <c r="H6" s="58">
        <v>1998</v>
      </c>
      <c r="I6" s="12"/>
      <c r="J6" s="58">
        <v>2002</v>
      </c>
      <c r="K6" s="12"/>
      <c r="L6" s="58">
        <v>2004</v>
      </c>
      <c r="M6" s="12"/>
      <c r="N6" s="58">
        <v>2005</v>
      </c>
      <c r="O6" s="58"/>
      <c r="P6" s="58">
        <v>2006</v>
      </c>
    </row>
    <row r="7" spans="1:16" ht="15" customHeight="1" thickBot="1">
      <c r="A7" s="11"/>
      <c r="B7" s="11"/>
      <c r="C7" s="10"/>
      <c r="D7" s="10"/>
      <c r="E7" s="13"/>
      <c r="F7" s="13" t="s">
        <v>286</v>
      </c>
      <c r="G7" s="10"/>
      <c r="H7" s="13" t="s">
        <v>287</v>
      </c>
      <c r="I7" s="10"/>
      <c r="J7" s="13" t="s">
        <v>288</v>
      </c>
      <c r="K7" s="13"/>
      <c r="L7" s="13" t="s">
        <v>289</v>
      </c>
      <c r="M7" s="13"/>
      <c r="N7" s="13" t="s">
        <v>311</v>
      </c>
      <c r="O7" s="13"/>
      <c r="P7" s="13" t="s">
        <v>318</v>
      </c>
    </row>
    <row r="8" spans="1:16">
      <c r="I8" s="12"/>
      <c r="J8" s="12"/>
      <c r="K8" s="12"/>
      <c r="L8" s="12"/>
    </row>
    <row r="9" spans="1:16">
      <c r="A9" s="9" t="s">
        <v>27</v>
      </c>
      <c r="C9" s="21"/>
      <c r="E9" s="16"/>
      <c r="F9" s="16">
        <v>177.20955997226494</v>
      </c>
      <c r="G9" s="21"/>
      <c r="H9" s="21">
        <v>177.55941528842274</v>
      </c>
      <c r="I9" s="16"/>
      <c r="J9" s="50">
        <v>173.8974069525876</v>
      </c>
      <c r="L9" s="50">
        <v>169.71569092196441</v>
      </c>
      <c r="N9" s="50">
        <v>158.76595137657327</v>
      </c>
      <c r="P9" s="154"/>
    </row>
    <row r="10" spans="1:16">
      <c r="A10" s="9" t="s">
        <v>28</v>
      </c>
      <c r="C10" s="21"/>
      <c r="E10" s="16"/>
      <c r="F10" s="16">
        <v>38.661624053879763</v>
      </c>
      <c r="G10" s="21"/>
      <c r="H10" s="21">
        <v>33.032603973376361</v>
      </c>
      <c r="I10" s="16"/>
      <c r="J10" s="50">
        <v>28.354570149115922</v>
      </c>
      <c r="L10" s="50">
        <v>34.70306054345177</v>
      </c>
      <c r="N10" s="50">
        <v>36.469451781194579</v>
      </c>
      <c r="P10" s="154"/>
    </row>
    <row r="11" spans="1:16">
      <c r="A11" s="9" t="s">
        <v>29</v>
      </c>
      <c r="C11" s="21"/>
      <c r="E11" s="16"/>
      <c r="F11" s="16">
        <v>72.090211067849125</v>
      </c>
      <c r="G11" s="21"/>
      <c r="H11" s="21">
        <v>70.769954316256545</v>
      </c>
      <c r="I11" s="16"/>
      <c r="J11" s="50">
        <v>81.888917778495909</v>
      </c>
      <c r="L11" s="50">
        <v>64.321967255928413</v>
      </c>
      <c r="N11" s="50">
        <v>61.329294581518276</v>
      </c>
      <c r="P11" s="154"/>
    </row>
    <row r="12" spans="1:16">
      <c r="A12" s="9" t="s">
        <v>30</v>
      </c>
      <c r="C12" s="21"/>
      <c r="E12" s="16"/>
      <c r="F12" s="16">
        <v>35.819972943749178</v>
      </c>
      <c r="G12" s="21"/>
      <c r="H12" s="21">
        <v>25.60517789431222</v>
      </c>
      <c r="I12" s="16"/>
      <c r="J12" s="50">
        <v>31.12144111536864</v>
      </c>
      <c r="L12" s="50">
        <v>29.452022158253342</v>
      </c>
      <c r="N12" s="50">
        <v>27.699403054460305</v>
      </c>
      <c r="P12" s="154"/>
    </row>
    <row r="13" spans="1:16">
      <c r="A13" s="9" t="s">
        <v>31</v>
      </c>
      <c r="C13" s="21"/>
      <c r="E13" s="16"/>
      <c r="F13" s="16">
        <v>231.78872811377204</v>
      </c>
      <c r="G13" s="21"/>
      <c r="H13" s="21">
        <v>249.50404447357803</v>
      </c>
      <c r="I13" s="16"/>
      <c r="J13" s="50">
        <v>207.48162319375834</v>
      </c>
      <c r="L13" s="50">
        <v>206.55420803686465</v>
      </c>
      <c r="N13" s="50">
        <v>216.42856540229687</v>
      </c>
      <c r="P13" s="154"/>
    </row>
    <row r="14" spans="1:16">
      <c r="A14" s="9" t="s">
        <v>278</v>
      </c>
      <c r="C14" s="21"/>
      <c r="E14" s="16"/>
      <c r="F14" s="16">
        <v>88.923454472281904</v>
      </c>
      <c r="G14" s="21"/>
      <c r="H14" s="21">
        <v>80.86484933440903</v>
      </c>
      <c r="I14" s="16"/>
      <c r="J14" s="50">
        <v>98.467998338026874</v>
      </c>
      <c r="L14" s="50">
        <v>104.1783260014161</v>
      </c>
      <c r="N14" s="50">
        <v>100.47476781625029</v>
      </c>
      <c r="P14" s="154"/>
    </row>
    <row r="15" spans="1:16">
      <c r="A15" s="9" t="s">
        <v>279</v>
      </c>
      <c r="C15" s="21"/>
      <c r="E15" s="16"/>
      <c r="F15" s="16">
        <v>101.66310225614221</v>
      </c>
      <c r="G15" s="21"/>
      <c r="H15" s="21">
        <v>114.92831726502622</v>
      </c>
      <c r="I15" s="16"/>
      <c r="J15" s="50">
        <v>106.66350159272426</v>
      </c>
      <c r="L15" s="50">
        <v>102.07161654266248</v>
      </c>
      <c r="N15" s="50">
        <v>106.52061622961827</v>
      </c>
      <c r="P15" s="154"/>
    </row>
    <row r="16" spans="1:16">
      <c r="A16" s="9" t="s">
        <v>32</v>
      </c>
      <c r="C16" s="21"/>
      <c r="E16" s="16"/>
      <c r="F16" s="16">
        <v>139.14609842074896</v>
      </c>
      <c r="G16" s="21"/>
      <c r="H16" s="21">
        <v>136.42081857603873</v>
      </c>
      <c r="I16" s="16"/>
      <c r="J16" s="50">
        <v>119.25932782420017</v>
      </c>
      <c r="L16" s="50">
        <v>118.09661886411385</v>
      </c>
      <c r="N16" s="50">
        <v>118.52942147764253</v>
      </c>
      <c r="P16" s="154"/>
    </row>
    <row r="17" spans="1:16">
      <c r="A17" s="9" t="s">
        <v>33</v>
      </c>
      <c r="C17" s="21"/>
      <c r="E17" s="16"/>
      <c r="F17" s="16">
        <v>36.945509486658558</v>
      </c>
      <c r="G17" s="21"/>
      <c r="H17" s="21">
        <v>41.742234469544172</v>
      </c>
      <c r="I17" s="16"/>
      <c r="J17" s="50">
        <v>43.826388809380916</v>
      </c>
      <c r="L17" s="50">
        <v>36.056444349007002</v>
      </c>
      <c r="N17" s="50">
        <v>36.647204841681159</v>
      </c>
      <c r="P17" s="154"/>
    </row>
    <row r="18" spans="1:16">
      <c r="A18" s="9" t="s">
        <v>34</v>
      </c>
      <c r="C18" s="21"/>
      <c r="E18" s="16"/>
      <c r="F18" s="16">
        <v>60.702117272846294</v>
      </c>
      <c r="G18" s="21"/>
      <c r="H18" s="21">
        <v>78.106676986688186</v>
      </c>
      <c r="I18" s="16"/>
      <c r="J18" s="50">
        <v>71.775604819722091</v>
      </c>
      <c r="L18" s="50">
        <v>73.718036690538923</v>
      </c>
      <c r="N18" s="50">
        <v>65.489584014876286</v>
      </c>
      <c r="P18" s="154"/>
    </row>
    <row r="19" spans="1:16">
      <c r="A19" s="9" t="s">
        <v>35</v>
      </c>
      <c r="C19" s="21"/>
      <c r="E19" s="16"/>
      <c r="F19" s="16">
        <v>21.652167942706694</v>
      </c>
      <c r="G19" s="21"/>
      <c r="H19" s="21">
        <v>27.662436365469951</v>
      </c>
      <c r="I19" s="16"/>
      <c r="J19" s="50">
        <v>28.746605050551683</v>
      </c>
      <c r="L19" s="50">
        <v>30.807524172112405</v>
      </c>
      <c r="N19" s="50">
        <v>34.932815475473063</v>
      </c>
      <c r="P19" s="154"/>
    </row>
    <row r="20" spans="1:16">
      <c r="A20" s="9" t="s">
        <v>36</v>
      </c>
      <c r="C20" s="21"/>
      <c r="E20" s="16"/>
      <c r="F20" s="16">
        <v>49.794626570402016</v>
      </c>
      <c r="G20" s="21"/>
      <c r="H20" s="21">
        <v>65.324331988705111</v>
      </c>
      <c r="I20" s="16"/>
      <c r="J20" s="50">
        <v>43.519564932366926</v>
      </c>
      <c r="L20" s="50">
        <v>43.84615538634754</v>
      </c>
      <c r="N20" s="50">
        <v>51.114179307494972</v>
      </c>
      <c r="P20" s="154"/>
    </row>
    <row r="21" spans="1:16">
      <c r="A21" s="9" t="s">
        <v>37</v>
      </c>
      <c r="C21" s="21"/>
      <c r="E21" s="16"/>
      <c r="F21" s="16">
        <v>1054.3969197573665</v>
      </c>
      <c r="G21" s="21"/>
      <c r="H21" s="21">
        <v>1101.5208609318274</v>
      </c>
      <c r="I21" s="16"/>
      <c r="J21" s="50">
        <v>1035.0029505562993</v>
      </c>
      <c r="L21" s="50">
        <v>1013.5216709226611</v>
      </c>
      <c r="N21" s="50">
        <v>1014.4015546066564</v>
      </c>
      <c r="P21" s="154"/>
    </row>
    <row r="22" spans="1:16" ht="15.75" thickBot="1">
      <c r="A22" s="12"/>
      <c r="B22" s="12"/>
      <c r="C22" s="16"/>
      <c r="D22" s="12"/>
      <c r="E22" s="32"/>
      <c r="F22" s="32" t="str">
        <f>IF(ABS(F21-SUM(F9:F20))&gt;comments!$A$1,'T12.4 - T12.6a'!F21-SUM(F9:F20)," ")</f>
        <v xml:space="preserve"> </v>
      </c>
      <c r="G22" s="32"/>
      <c r="H22" s="32" t="str">
        <f>IF(ABS(H21-SUM(H9:H20))&gt;comments!$A$1,'T12.4 - T12.6a'!H21-SUM(H9:H20)," ")</f>
        <v xml:space="preserve"> </v>
      </c>
      <c r="I22" s="32"/>
      <c r="J22" s="32" t="str">
        <f>IF(ABS(J21-SUM(J9:J20))&gt;comments!$A$1,'T12.4 - T12.6a'!J21-SUM(J9:J20)," ")</f>
        <v xml:space="preserve"> </v>
      </c>
      <c r="K22" s="32"/>
      <c r="L22" s="32" t="str">
        <f>IF(ABS(L21-SUM(L9:L20))&gt;comments!$A$1,'T12.4 - T12.6a'!L21-SUM(L9:L20)," ")</f>
        <v xml:space="preserve"> </v>
      </c>
      <c r="M22" s="32"/>
      <c r="N22" s="32" t="str">
        <f>IF(ABS(N21-SUM(N9:N20))&gt;comments!$A$1,'T12.4 - T12.6a'!N21-SUM(N9:N20)," ")</f>
        <v xml:space="preserve"> </v>
      </c>
      <c r="O22" s="32" t="str">
        <f>IF(ABS(O21-SUM(O9:O20))&gt;comments!$A$1,'T12.4 - T12.6a'!O21-SUM(O9:O20)," ")</f>
        <v xml:space="preserve"> </v>
      </c>
      <c r="P22" s="32" t="str">
        <f>IF(ABS(P21-SUM(P9:P20))&gt;comments!$A$1,'T12.4 - T12.6a'!P21-SUM(P9:P20)," ")</f>
        <v xml:space="preserve"> </v>
      </c>
    </row>
    <row r="23" spans="1:16" ht="6" customHeight="1">
      <c r="A23" s="12"/>
      <c r="B23" s="12"/>
      <c r="C23" s="12"/>
      <c r="D23" s="12"/>
      <c r="E23" s="12"/>
      <c r="F23" s="12"/>
      <c r="G23" s="12"/>
      <c r="H23" s="12"/>
      <c r="I23" s="12"/>
      <c r="J23" s="61"/>
      <c r="L23" s="50"/>
      <c r="N23" s="50"/>
    </row>
    <row r="24" spans="1:16">
      <c r="A24" s="15" t="s">
        <v>25</v>
      </c>
      <c r="C24" s="21"/>
      <c r="E24" s="21"/>
      <c r="F24" s="34">
        <v>2024</v>
      </c>
      <c r="G24" s="34"/>
      <c r="H24" s="34">
        <v>1926</v>
      </c>
      <c r="I24" s="20"/>
      <c r="J24" s="67">
        <v>3396</v>
      </c>
      <c r="L24" s="67">
        <v>3766</v>
      </c>
      <c r="N24" s="67">
        <v>3723</v>
      </c>
      <c r="P24" s="154"/>
    </row>
    <row r="25" spans="1:16" ht="6" customHeight="1" thickBot="1">
      <c r="A25" s="10"/>
      <c r="B25" s="10"/>
      <c r="C25" s="10"/>
      <c r="D25" s="10"/>
      <c r="E25" s="10"/>
      <c r="F25" s="10"/>
      <c r="G25" s="10"/>
      <c r="H25" s="10"/>
      <c r="I25" s="10"/>
      <c r="J25" s="10"/>
      <c r="K25" s="10"/>
      <c r="L25" s="10"/>
      <c r="M25" s="10"/>
      <c r="N25" s="10"/>
      <c r="O25" s="10"/>
      <c r="P25" s="10"/>
    </row>
    <row r="26" spans="1:16" ht="13.5" customHeight="1">
      <c r="A26" s="48" t="s">
        <v>281</v>
      </c>
      <c r="B26" s="12"/>
      <c r="C26" s="12"/>
      <c r="D26" s="12"/>
      <c r="E26" s="12"/>
      <c r="F26" s="12"/>
      <c r="G26" s="12"/>
      <c r="H26" s="12"/>
      <c r="I26" s="12"/>
      <c r="J26" s="12"/>
      <c r="K26" s="12"/>
      <c r="L26" s="12"/>
      <c r="M26" s="12"/>
      <c r="N26" s="12"/>
    </row>
    <row r="27" spans="1:16">
      <c r="A27" s="12"/>
      <c r="B27" s="12"/>
      <c r="C27" s="12"/>
      <c r="D27" s="12"/>
      <c r="E27" s="12"/>
      <c r="F27" s="12"/>
      <c r="G27" s="12"/>
      <c r="H27" s="12"/>
      <c r="I27" s="12"/>
      <c r="K27" s="12"/>
    </row>
    <row r="28" spans="1:16" s="39" customFormat="1" ht="18">
      <c r="A28" s="39" t="s">
        <v>282</v>
      </c>
      <c r="I28" s="40"/>
      <c r="J28" s="9"/>
      <c r="K28" s="12"/>
      <c r="L28" s="9"/>
    </row>
    <row r="29" spans="1:16" s="39" customFormat="1" ht="8.1" customHeight="1">
      <c r="I29" s="40"/>
      <c r="J29" s="9"/>
      <c r="K29" s="12"/>
      <c r="L29" s="9"/>
    </row>
    <row r="30" spans="1:16" s="39" customFormat="1" ht="18">
      <c r="A30" s="29" t="s">
        <v>235</v>
      </c>
      <c r="B30" s="12"/>
      <c r="C30" s="12"/>
      <c r="D30" s="12"/>
      <c r="E30" s="12"/>
      <c r="F30" s="87"/>
      <c r="G30" s="12"/>
      <c r="H30" s="12"/>
      <c r="I30" s="12"/>
      <c r="J30" s="12"/>
      <c r="K30" s="12"/>
      <c r="L30" s="9"/>
    </row>
    <row r="31" spans="1:16" s="39" customFormat="1" ht="8.1" customHeight="1" thickBot="1">
      <c r="A31" s="10"/>
      <c r="B31" s="10"/>
      <c r="C31" s="10"/>
      <c r="D31" s="10"/>
      <c r="E31" s="10"/>
      <c r="F31" s="11"/>
      <c r="G31" s="10"/>
      <c r="H31" s="10"/>
      <c r="I31" s="10"/>
      <c r="J31" s="10"/>
      <c r="K31" s="10"/>
      <c r="L31" s="10"/>
      <c r="M31" s="41"/>
      <c r="N31" s="41"/>
      <c r="O31" s="41"/>
      <c r="P31" s="41"/>
    </row>
    <row r="32" spans="1:16" ht="15" customHeight="1">
      <c r="A32" s="12"/>
      <c r="B32" s="12"/>
      <c r="E32" s="12"/>
      <c r="F32" s="58">
        <v>1995</v>
      </c>
      <c r="G32" s="12"/>
      <c r="H32" s="58">
        <v>1998</v>
      </c>
      <c r="I32" s="12"/>
      <c r="J32" s="58">
        <v>2002</v>
      </c>
      <c r="K32" s="12"/>
      <c r="L32" s="58">
        <v>2004</v>
      </c>
      <c r="M32" s="12"/>
      <c r="N32" s="58">
        <v>2005</v>
      </c>
      <c r="O32" s="58"/>
      <c r="P32" s="58">
        <v>2006</v>
      </c>
    </row>
    <row r="33" spans="1:16" ht="15" customHeight="1" thickBot="1">
      <c r="A33" s="11"/>
      <c r="B33" s="11"/>
      <c r="C33" s="10"/>
      <c r="D33" s="10"/>
      <c r="E33" s="13"/>
      <c r="F33" s="13" t="s">
        <v>286</v>
      </c>
      <c r="G33" s="10"/>
      <c r="H33" s="13" t="s">
        <v>287</v>
      </c>
      <c r="I33" s="10"/>
      <c r="J33" s="13" t="s">
        <v>288</v>
      </c>
      <c r="K33" s="13"/>
      <c r="L33" s="13" t="s">
        <v>289</v>
      </c>
      <c r="M33" s="13"/>
      <c r="N33" s="13" t="s">
        <v>311</v>
      </c>
      <c r="O33" s="13"/>
      <c r="P33" s="13" t="s">
        <v>318</v>
      </c>
    </row>
    <row r="34" spans="1:16">
      <c r="I34" s="12"/>
      <c r="J34" s="65"/>
      <c r="K34" s="20"/>
      <c r="N34" s="65" t="s">
        <v>26</v>
      </c>
    </row>
    <row r="35" spans="1:16">
      <c r="A35" s="9" t="s">
        <v>27</v>
      </c>
      <c r="E35" s="152"/>
      <c r="F35" s="16">
        <v>1400.5298204589867</v>
      </c>
      <c r="G35" s="21"/>
      <c r="H35" s="21">
        <v>1469.5447621621622</v>
      </c>
      <c r="I35" s="16"/>
      <c r="J35" s="50">
        <v>1322.7750386224091</v>
      </c>
      <c r="L35" s="21">
        <v>1368.5121097814356</v>
      </c>
      <c r="N35" s="21">
        <v>1305.9153917767183</v>
      </c>
      <c r="O35" s="36"/>
      <c r="P35" s="156"/>
    </row>
    <row r="36" spans="1:16">
      <c r="A36" s="9" t="s">
        <v>28</v>
      </c>
      <c r="E36" s="152"/>
      <c r="F36" s="16">
        <v>683.2132717795547</v>
      </c>
      <c r="G36" s="21"/>
      <c r="H36" s="21">
        <v>738.41192765227925</v>
      </c>
      <c r="I36" s="16"/>
      <c r="J36" s="50">
        <v>656.19628236923495</v>
      </c>
      <c r="L36" s="21">
        <v>819.911743050155</v>
      </c>
      <c r="N36" s="21">
        <v>815.59540966614452</v>
      </c>
      <c r="O36" s="36"/>
      <c r="P36" s="156"/>
    </row>
    <row r="37" spans="1:16">
      <c r="A37" s="9" t="s">
        <v>29</v>
      </c>
      <c r="E37" s="152"/>
      <c r="F37" s="16">
        <v>177.69946669123391</v>
      </c>
      <c r="G37" s="21"/>
      <c r="H37" s="21">
        <v>230.33105279346512</v>
      </c>
      <c r="I37" s="16"/>
      <c r="J37" s="50">
        <v>208.31287198190296</v>
      </c>
      <c r="L37" s="21">
        <v>219.26832973895281</v>
      </c>
      <c r="N37" s="21">
        <v>223.29978351900002</v>
      </c>
      <c r="O37" s="36"/>
      <c r="P37" s="156"/>
    </row>
    <row r="38" spans="1:16">
      <c r="A38" s="9" t="s">
        <v>30</v>
      </c>
      <c r="E38" s="152"/>
      <c r="F38" s="16">
        <v>73.490255153052075</v>
      </c>
      <c r="G38" s="21"/>
      <c r="H38" s="21">
        <v>62.937517799515938</v>
      </c>
      <c r="I38" s="16"/>
      <c r="J38" s="50">
        <v>54.601683911176778</v>
      </c>
      <c r="L38" s="21">
        <v>63.58325724002647</v>
      </c>
      <c r="N38" s="21">
        <v>57.322160057852244</v>
      </c>
      <c r="O38" s="36"/>
      <c r="P38" s="156"/>
    </row>
    <row r="39" spans="1:16">
      <c r="A39" s="9" t="s">
        <v>31</v>
      </c>
      <c r="E39" s="152"/>
      <c r="F39" s="16">
        <v>978.49161510301269</v>
      </c>
      <c r="G39" s="21"/>
      <c r="H39" s="21">
        <v>1132.3435617991126</v>
      </c>
      <c r="I39" s="16"/>
      <c r="J39" s="50">
        <v>981.57785276764685</v>
      </c>
      <c r="L39" s="21">
        <v>1011.1709438673059</v>
      </c>
      <c r="N39" s="21">
        <v>1033.0670773084939</v>
      </c>
      <c r="O39" s="36"/>
      <c r="P39" s="156"/>
    </row>
    <row r="40" spans="1:16">
      <c r="A40" s="9" t="s">
        <v>278</v>
      </c>
      <c r="E40" s="152"/>
      <c r="F40" s="16">
        <v>504.93829489373883</v>
      </c>
      <c r="G40" s="21"/>
      <c r="H40" s="21">
        <v>471.8042437575636</v>
      </c>
      <c r="I40" s="16"/>
      <c r="J40" s="50">
        <v>516.18965877844983</v>
      </c>
      <c r="L40" s="21">
        <v>587.37246003621465</v>
      </c>
      <c r="N40" s="21">
        <v>555.57106580691823</v>
      </c>
      <c r="O40" s="36"/>
      <c r="P40" s="156"/>
    </row>
    <row r="41" spans="1:16">
      <c r="A41" s="9" t="s">
        <v>279</v>
      </c>
      <c r="E41" s="152"/>
      <c r="F41" s="16">
        <v>472.09520430378649</v>
      </c>
      <c r="G41" s="21"/>
      <c r="H41" s="21">
        <v>598.18524663170638</v>
      </c>
      <c r="I41" s="16"/>
      <c r="J41" s="50">
        <v>501.20879041595492</v>
      </c>
      <c r="L41" s="21">
        <v>506.28432937332428</v>
      </c>
      <c r="N41" s="21">
        <v>537.06228898569202</v>
      </c>
      <c r="O41" s="36"/>
      <c r="P41" s="156"/>
    </row>
    <row r="42" spans="1:16">
      <c r="A42" s="9" t="s">
        <v>32</v>
      </c>
      <c r="E42" s="152"/>
      <c r="F42" s="16">
        <v>1135.2695519038778</v>
      </c>
      <c r="G42" s="21"/>
      <c r="H42" s="21">
        <v>1039.0146181222267</v>
      </c>
      <c r="I42" s="16"/>
      <c r="J42" s="50">
        <v>1029.9341944323903</v>
      </c>
      <c r="L42" s="21">
        <v>1139.8492538739222</v>
      </c>
      <c r="N42" s="21">
        <v>1092.2214405034524</v>
      </c>
      <c r="O42" s="36"/>
      <c r="P42" s="156"/>
    </row>
    <row r="43" spans="1:16">
      <c r="A43" s="9" t="s">
        <v>33</v>
      </c>
      <c r="E43" s="152"/>
      <c r="F43" s="16">
        <v>188.49182501684959</v>
      </c>
      <c r="G43" s="21"/>
      <c r="H43" s="21">
        <v>221.50090507260992</v>
      </c>
      <c r="I43" s="16"/>
      <c r="J43" s="50">
        <v>228.68535157194958</v>
      </c>
      <c r="L43" s="21">
        <v>217.30071091546438</v>
      </c>
      <c r="N43" s="21">
        <v>237.65142796880113</v>
      </c>
      <c r="O43" s="36"/>
      <c r="P43" s="156"/>
    </row>
    <row r="44" spans="1:16">
      <c r="A44" s="9" t="s">
        <v>34</v>
      </c>
      <c r="E44" s="152"/>
      <c r="F44" s="16">
        <v>428.61892830093541</v>
      </c>
      <c r="G44" s="21"/>
      <c r="H44" s="21">
        <v>624.09613444937474</v>
      </c>
      <c r="I44" s="16"/>
      <c r="J44" s="50">
        <v>515.88041176307649</v>
      </c>
      <c r="L44" s="21">
        <v>496.15056363678576</v>
      </c>
      <c r="N44" s="21">
        <v>446.55135825341353</v>
      </c>
      <c r="O44" s="36"/>
      <c r="P44" s="156"/>
    </row>
    <row r="45" spans="1:16">
      <c r="A45" s="9" t="s">
        <v>35</v>
      </c>
      <c r="E45" s="152"/>
      <c r="F45" s="16">
        <v>802.71003537677541</v>
      </c>
      <c r="G45" s="21"/>
      <c r="H45" s="21">
        <v>884.59075038321907</v>
      </c>
      <c r="I45" s="16"/>
      <c r="J45" s="50">
        <v>874.57812869211955</v>
      </c>
      <c r="L45" s="21">
        <v>855.53233578053016</v>
      </c>
      <c r="N45" s="21">
        <v>1023.2394128342432</v>
      </c>
      <c r="O45" s="36"/>
      <c r="P45" s="156"/>
    </row>
    <row r="46" spans="1:16">
      <c r="A46" s="9" t="s">
        <v>36</v>
      </c>
      <c r="E46" s="152"/>
      <c r="F46" s="16">
        <v>50.836278786056823</v>
      </c>
      <c r="G46" s="21"/>
      <c r="H46" s="21">
        <v>76.977380112948765</v>
      </c>
      <c r="I46" s="16"/>
      <c r="J46" s="50">
        <v>42.864852204422697</v>
      </c>
      <c r="L46" s="21">
        <v>47.372351879795254</v>
      </c>
      <c r="N46" s="21">
        <v>48.427444790716102</v>
      </c>
      <c r="O46" s="36"/>
      <c r="P46" s="156"/>
    </row>
    <row r="47" spans="1:16">
      <c r="A47" s="9" t="s">
        <v>37</v>
      </c>
      <c r="E47" s="152"/>
      <c r="F47" s="16">
        <v>6896.3844972046727</v>
      </c>
      <c r="G47" s="21"/>
      <c r="H47" s="21">
        <v>7549.7383110629298</v>
      </c>
      <c r="I47" s="16"/>
      <c r="J47" s="50">
        <v>6932.8054545034856</v>
      </c>
      <c r="L47" s="21">
        <v>7332.3081622230229</v>
      </c>
      <c r="N47" s="21">
        <v>7375.9242165843079</v>
      </c>
      <c r="O47" s="36"/>
      <c r="P47" s="156"/>
    </row>
    <row r="48" spans="1:16" ht="15.75" thickBot="1">
      <c r="A48" s="10"/>
      <c r="B48" s="10"/>
      <c r="C48" s="10"/>
      <c r="D48" s="10"/>
      <c r="E48" s="32"/>
      <c r="F48" s="32" t="str">
        <f>IF(ABS(F47-SUM(F35:F46))&gt;comments!$A$1,'T12.4 - T12.6a'!F47-SUM(F35:F46)," ")</f>
        <v xml:space="preserve"> </v>
      </c>
      <c r="G48" s="32"/>
      <c r="H48" s="32" t="str">
        <f>IF(ABS(H47-SUM(H35:H46))&gt;comments!$A$1,'T12.4 - T12.6a'!H47-SUM(H35:H46)," ")</f>
        <v xml:space="preserve"> </v>
      </c>
      <c r="I48" s="32"/>
      <c r="J48" s="32" t="str">
        <f>IF(ABS(J47-SUM(J35:J46))&gt;comments!$A$1,'T12.4 - T12.6a'!J47-SUM(J35:J46)," ")</f>
        <v xml:space="preserve"> </v>
      </c>
      <c r="K48" s="32"/>
      <c r="L48" s="32" t="str">
        <f>IF(ABS(L47-SUM(L35:L46))&gt;comments!$A$1,'T12.4 - T12.6a'!L47-SUM(L35:L46)," ")</f>
        <v xml:space="preserve"> </v>
      </c>
      <c r="M48" s="32"/>
      <c r="N48" s="32" t="str">
        <f>IF(ABS(N47-SUM(N35:N46))&gt;comments!$A$1,'T12.4 - T12.6a'!N47-SUM(N35:N46)," ")</f>
        <v xml:space="preserve"> </v>
      </c>
      <c r="O48" s="32" t="str">
        <f>IF(ABS(O47-SUM(O35:O46))&gt;comments!$A$1,'T12.4 - T12.6a'!O47-SUM(O35:O46)," ")</f>
        <v xml:space="preserve"> </v>
      </c>
      <c r="P48" s="32" t="str">
        <f>IF(ABS(P47-SUM(P35:P46))&gt;comments!$A$1,'T12.4 - T12.6a'!P47-SUM(P35:P46)," ")</f>
        <v xml:space="preserve"> </v>
      </c>
    </row>
    <row r="49" spans="1:16">
      <c r="A49" s="48" t="s">
        <v>281</v>
      </c>
      <c r="B49" s="12"/>
      <c r="C49" s="12"/>
      <c r="D49" s="12"/>
      <c r="E49" s="12"/>
      <c r="F49" s="12"/>
      <c r="G49" s="12"/>
      <c r="H49" s="12"/>
      <c r="I49" s="12"/>
      <c r="J49" s="12"/>
      <c r="K49" s="24"/>
      <c r="L49" s="12"/>
    </row>
    <row r="50" spans="1:16">
      <c r="A50" s="48"/>
      <c r="B50" s="12"/>
      <c r="C50" s="12"/>
      <c r="D50" s="12"/>
      <c r="E50" s="12"/>
      <c r="F50" s="12"/>
      <c r="G50" s="12"/>
      <c r="H50" s="12"/>
      <c r="I50" s="12"/>
      <c r="J50" s="12"/>
      <c r="K50" s="24"/>
      <c r="L50" s="12"/>
    </row>
    <row r="51" spans="1:16" s="39" customFormat="1" ht="18">
      <c r="A51" s="39" t="s">
        <v>254</v>
      </c>
    </row>
    <row r="52" spans="1:16" s="39" customFormat="1" ht="8.1" customHeight="1"/>
    <row r="53" spans="1:16" s="39" customFormat="1" ht="18">
      <c r="A53" s="29" t="s">
        <v>290</v>
      </c>
      <c r="B53" s="12"/>
      <c r="C53" s="12"/>
      <c r="D53" s="12"/>
      <c r="E53" s="12"/>
      <c r="F53" s="87"/>
      <c r="G53" s="12"/>
      <c r="H53" s="12"/>
      <c r="I53" s="12"/>
      <c r="J53" s="12"/>
      <c r="K53" s="12"/>
      <c r="L53" s="9"/>
    </row>
    <row r="54" spans="1:16" s="39" customFormat="1" ht="8.1" customHeight="1" thickBot="1">
      <c r="A54" s="10"/>
      <c r="B54" s="10"/>
      <c r="C54" s="10"/>
      <c r="D54" s="10"/>
      <c r="E54" s="10"/>
      <c r="F54" s="11"/>
      <c r="G54" s="10"/>
      <c r="H54" s="10"/>
      <c r="I54" s="10"/>
      <c r="J54" s="10"/>
      <c r="K54" s="10"/>
      <c r="L54" s="10"/>
      <c r="M54" s="41"/>
      <c r="N54" s="41"/>
      <c r="O54" s="41"/>
      <c r="P54" s="41"/>
    </row>
    <row r="55" spans="1:16" ht="15" customHeight="1">
      <c r="A55" s="12"/>
      <c r="B55" s="12"/>
      <c r="E55" s="12"/>
      <c r="F55" s="58">
        <v>1995</v>
      </c>
      <c r="G55" s="12"/>
      <c r="H55" s="58">
        <v>1998</v>
      </c>
      <c r="I55" s="12"/>
      <c r="J55" s="58">
        <v>2002</v>
      </c>
      <c r="K55" s="12"/>
      <c r="L55" s="58">
        <v>2004</v>
      </c>
      <c r="M55" s="12"/>
      <c r="N55" s="58">
        <v>2005</v>
      </c>
      <c r="O55" s="58"/>
      <c r="P55" s="58">
        <v>2006</v>
      </c>
    </row>
    <row r="56" spans="1:16" ht="15" customHeight="1" thickBot="1">
      <c r="A56" s="11"/>
      <c r="B56" s="11"/>
      <c r="C56" s="10"/>
      <c r="D56" s="10"/>
      <c r="E56" s="13"/>
      <c r="F56" s="13" t="s">
        <v>286</v>
      </c>
      <c r="G56" s="10"/>
      <c r="H56" s="13" t="s">
        <v>287</v>
      </c>
      <c r="I56" s="10"/>
      <c r="J56" s="13" t="s">
        <v>288</v>
      </c>
      <c r="K56" s="13"/>
      <c r="L56" s="13" t="s">
        <v>289</v>
      </c>
      <c r="M56" s="13"/>
      <c r="N56" s="13" t="s">
        <v>311</v>
      </c>
      <c r="O56" s="13"/>
      <c r="P56" s="13" t="s">
        <v>318</v>
      </c>
    </row>
    <row r="57" spans="1:16">
      <c r="J57" s="33"/>
      <c r="K57" s="33"/>
      <c r="N57" s="33" t="s">
        <v>26</v>
      </c>
    </row>
    <row r="58" spans="1:16">
      <c r="A58" s="9" t="s">
        <v>27</v>
      </c>
      <c r="E58" s="12"/>
      <c r="F58" s="150">
        <v>7.9032407770674649</v>
      </c>
      <c r="G58" s="150"/>
      <c r="H58" s="27">
        <v>8.2763550430433277</v>
      </c>
      <c r="I58" s="62"/>
      <c r="J58" s="109">
        <v>7.6066403852879656</v>
      </c>
      <c r="L58" s="27">
        <v>8.0635567774972561</v>
      </c>
      <c r="N58" s="27">
        <v>8.2254121897915482</v>
      </c>
      <c r="P58" s="154"/>
    </row>
    <row r="59" spans="1:16">
      <c r="A59" s="9" t="s">
        <v>28</v>
      </c>
      <c r="E59" s="12"/>
      <c r="F59" s="150">
        <v>17.671613350422433</v>
      </c>
      <c r="G59" s="150"/>
      <c r="H59" s="27">
        <v>22.354033252946845</v>
      </c>
      <c r="I59" s="62"/>
      <c r="J59" s="109">
        <v>23.142522666304455</v>
      </c>
      <c r="L59" s="27">
        <v>23.626496632005754</v>
      </c>
      <c r="N59" s="27">
        <v>22.363796817113251</v>
      </c>
      <c r="P59" s="154"/>
    </row>
    <row r="60" spans="1:16">
      <c r="A60" s="9" t="s">
        <v>29</v>
      </c>
      <c r="E60" s="12"/>
      <c r="F60" s="150">
        <v>2.4649597228115834</v>
      </c>
      <c r="G60" s="150"/>
      <c r="H60" s="27">
        <v>3.254644644309963</v>
      </c>
      <c r="I60" s="62"/>
      <c r="J60" s="109">
        <v>2.5438469286573731</v>
      </c>
      <c r="L60" s="27">
        <v>3.4089182761857044</v>
      </c>
      <c r="N60" s="27">
        <v>3.6409970967820642</v>
      </c>
      <c r="P60" s="154"/>
    </row>
    <row r="61" spans="1:16">
      <c r="A61" s="9" t="s">
        <v>30</v>
      </c>
      <c r="E61" s="12"/>
      <c r="F61" s="150">
        <v>2.0516557974083174</v>
      </c>
      <c r="G61" s="150"/>
      <c r="H61" s="27">
        <v>2.4579996303597835</v>
      </c>
      <c r="I61" s="62"/>
      <c r="J61" s="109">
        <v>1.7544715782526195</v>
      </c>
      <c r="L61" s="27">
        <v>2.1588757776419278</v>
      </c>
      <c r="N61" s="27">
        <v>2.0694366569976284</v>
      </c>
      <c r="P61" s="154"/>
    </row>
    <row r="62" spans="1:16">
      <c r="A62" s="9" t="s">
        <v>31</v>
      </c>
      <c r="E62" s="12"/>
      <c r="F62" s="150">
        <v>4.2214805830537463</v>
      </c>
      <c r="G62" s="150"/>
      <c r="H62" s="27">
        <v>4.5383775809655278</v>
      </c>
      <c r="I62" s="62"/>
      <c r="J62" s="109">
        <v>4.7309146596129752</v>
      </c>
      <c r="L62" s="27">
        <v>4.8954265007607001</v>
      </c>
      <c r="N62" s="27">
        <v>4.7732473547945542</v>
      </c>
      <c r="P62" s="154"/>
    </row>
    <row r="63" spans="1:16">
      <c r="A63" s="9" t="s">
        <v>278</v>
      </c>
      <c r="E63" s="12"/>
      <c r="F63" s="150">
        <v>5.6783477192862746</v>
      </c>
      <c r="G63" s="150"/>
      <c r="H63" s="27">
        <v>5.8344787338496262</v>
      </c>
      <c r="I63" s="62"/>
      <c r="J63" s="109">
        <v>5.2422072906005752</v>
      </c>
      <c r="L63" s="27">
        <v>5.6381445410077955</v>
      </c>
      <c r="N63" s="27">
        <v>5.5294585683736504</v>
      </c>
      <c r="P63" s="154"/>
    </row>
    <row r="64" spans="1:16">
      <c r="A64" s="9" t="s">
        <v>279</v>
      </c>
      <c r="E64" s="12"/>
      <c r="F64" s="150">
        <v>4.6437221944529412</v>
      </c>
      <c r="G64" s="150"/>
      <c r="H64" s="27">
        <v>5.2048551729186396</v>
      </c>
      <c r="I64" s="62"/>
      <c r="J64" s="109">
        <v>4.698971840712038</v>
      </c>
      <c r="L64" s="27">
        <v>4.960089264009202</v>
      </c>
      <c r="N64" s="27">
        <v>5.0418623924216535</v>
      </c>
      <c r="P64" s="154"/>
    </row>
    <row r="65" spans="1:16">
      <c r="A65" s="9" t="s">
        <v>32</v>
      </c>
      <c r="E65" s="12"/>
      <c r="F65" s="150">
        <v>8.1588313635000969</v>
      </c>
      <c r="G65" s="150"/>
      <c r="H65" s="27">
        <v>7.6162467647347896</v>
      </c>
      <c r="I65" s="62"/>
      <c r="J65" s="109">
        <v>8.6360892118276347</v>
      </c>
      <c r="L65" s="27">
        <v>9.6518364779390762</v>
      </c>
      <c r="N65" s="27">
        <v>9.2147707032339756</v>
      </c>
      <c r="P65" s="154"/>
    </row>
    <row r="66" spans="1:16">
      <c r="A66" s="9" t="s">
        <v>33</v>
      </c>
      <c r="E66" s="12"/>
      <c r="F66" s="150">
        <v>5.101887283078776</v>
      </c>
      <c r="G66" s="150"/>
      <c r="H66" s="27">
        <v>5.3063978938219192</v>
      </c>
      <c r="I66" s="62"/>
      <c r="J66" s="109">
        <v>5.21798299573795</v>
      </c>
      <c r="L66" s="27">
        <v>6.0266816331668842</v>
      </c>
      <c r="N66" s="27">
        <v>6.4848445876151857</v>
      </c>
      <c r="P66" s="154"/>
    </row>
    <row r="67" spans="1:16">
      <c r="A67" s="9" t="s">
        <v>34</v>
      </c>
      <c r="E67" s="12"/>
      <c r="F67" s="150">
        <v>7.0610210575417325</v>
      </c>
      <c r="G67" s="150"/>
      <c r="H67" s="27">
        <v>7.9903045235907317</v>
      </c>
      <c r="I67" s="62"/>
      <c r="J67" s="109">
        <v>7.1874059864602611</v>
      </c>
      <c r="L67" s="27">
        <v>6.7303822227330485</v>
      </c>
      <c r="N67" s="27">
        <v>6.8186623105130293</v>
      </c>
      <c r="P67" s="154"/>
    </row>
    <row r="68" spans="1:16">
      <c r="A68" s="9" t="s">
        <v>35</v>
      </c>
      <c r="E68" s="12"/>
      <c r="F68" s="150">
        <v>37.072963663537436</v>
      </c>
      <c r="G68" s="150"/>
      <c r="H68" s="27">
        <v>31.978049174563044</v>
      </c>
      <c r="I68" s="62"/>
      <c r="J68" s="109">
        <v>30.423701412885112</v>
      </c>
      <c r="L68" s="27">
        <v>27.770239860916035</v>
      </c>
      <c r="N68" s="27">
        <v>29.291638790256609</v>
      </c>
      <c r="P68" s="154"/>
    </row>
    <row r="69" spans="1:16">
      <c r="A69" s="9" t="s">
        <v>36</v>
      </c>
      <c r="E69" s="12"/>
      <c r="F69" s="150">
        <v>1.0209189683184403</v>
      </c>
      <c r="G69" s="150"/>
      <c r="H69" s="27">
        <v>1.1783875589613151</v>
      </c>
      <c r="I69" s="62"/>
      <c r="J69" s="109">
        <v>0.98495589905455838</v>
      </c>
      <c r="L69" s="27">
        <v>1.0804220224641559</v>
      </c>
      <c r="N69" s="27">
        <v>0.94743661048305405</v>
      </c>
      <c r="P69" s="154"/>
    </row>
    <row r="70" spans="1:16">
      <c r="A70" s="9" t="s">
        <v>37</v>
      </c>
      <c r="E70" s="12"/>
      <c r="F70" s="150">
        <v>6.5405962100037627</v>
      </c>
      <c r="G70" s="150"/>
      <c r="H70" s="27">
        <v>6.8539222259270307</v>
      </c>
      <c r="I70" s="62"/>
      <c r="J70" s="109">
        <v>6.6983436624767121</v>
      </c>
      <c r="L70" s="27">
        <v>7.2344858255946756</v>
      </c>
      <c r="N70" s="27">
        <v>7.2712075243658223</v>
      </c>
      <c r="P70" s="154"/>
    </row>
    <row r="71" spans="1:16" ht="15.75" thickBot="1">
      <c r="A71" s="10"/>
      <c r="B71" s="10"/>
      <c r="C71" s="10"/>
      <c r="D71" s="10"/>
      <c r="E71" s="10"/>
      <c r="F71" s="10"/>
      <c r="G71" s="10"/>
      <c r="H71" s="10"/>
      <c r="I71" s="10"/>
      <c r="J71" s="10"/>
      <c r="K71" s="10"/>
      <c r="L71" s="10"/>
      <c r="M71" s="10"/>
      <c r="N71" s="10"/>
      <c r="O71" s="10"/>
      <c r="P71" s="10"/>
    </row>
    <row r="72" spans="1:16" ht="15.75" customHeight="1">
      <c r="A72" s="48" t="s">
        <v>281</v>
      </c>
    </row>
    <row r="73" spans="1:16" ht="6.75" customHeight="1"/>
    <row r="74" spans="1:16" ht="69" customHeight="1"/>
  </sheetData>
  <phoneticPr fontId="0" type="noConversion"/>
  <pageMargins left="0.74803149606299213" right="0.74803149606299213" top="0.79" bottom="0.71" header="0.51181102362204722" footer="0.51181102362204722"/>
  <pageSetup paperSize="9" scale="72" orientation="portrait" horizontalDpi="96" verticalDpi="300" r:id="rId1"/>
  <headerFooter alignWithMargins="0">
    <oddHeader>&amp;R&amp;"Arial,Bold"&amp;14PERSONAL AND CROSS-MODAL TRAVEL</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0"/>
  <sheetViews>
    <sheetView zoomScale="75" zoomScaleNormal="75" workbookViewId="0">
      <selection activeCell="P35" sqref="P35"/>
    </sheetView>
  </sheetViews>
  <sheetFormatPr defaultRowHeight="12.75"/>
  <cols>
    <col min="4" max="4" width="15.42578125" customWidth="1"/>
    <col min="5" max="5" width="11.5703125" customWidth="1"/>
    <col min="6" max="6" width="2.5703125" customWidth="1"/>
    <col min="7" max="7" width="11.5703125" customWidth="1"/>
    <col min="8" max="8" width="2.42578125" customWidth="1"/>
    <col min="9" max="9" width="11.7109375" customWidth="1"/>
    <col min="10" max="10" width="2.5703125" customWidth="1"/>
    <col min="11" max="11" width="10.42578125" customWidth="1"/>
    <col min="12" max="12" width="2.5703125" customWidth="1"/>
    <col min="13" max="13" width="10.5703125" customWidth="1"/>
    <col min="14" max="14" width="2.5703125" customWidth="1"/>
    <col min="15" max="15" width="10.140625" customWidth="1"/>
    <col min="16" max="16" width="23.85546875" customWidth="1"/>
  </cols>
  <sheetData>
    <row r="1" spans="1:15" ht="15.75">
      <c r="E1" s="106"/>
    </row>
    <row r="2" spans="1:15" ht="18">
      <c r="A2" s="39" t="s">
        <v>291</v>
      </c>
      <c r="B2" s="7"/>
      <c r="C2" s="7"/>
      <c r="D2" s="7"/>
      <c r="E2" s="7"/>
      <c r="F2" s="7"/>
      <c r="G2" s="7"/>
      <c r="H2" s="7"/>
      <c r="I2" s="7"/>
      <c r="J2" s="7"/>
      <c r="K2" s="7"/>
    </row>
    <row r="3" spans="1:15" ht="8.1" customHeight="1">
      <c r="A3" s="9"/>
      <c r="B3" s="7"/>
      <c r="C3" s="7"/>
      <c r="D3" s="7"/>
      <c r="E3" s="7"/>
      <c r="F3" s="7"/>
      <c r="G3" s="7"/>
      <c r="H3" s="7"/>
      <c r="I3" s="7"/>
      <c r="J3" s="7"/>
      <c r="K3" s="7"/>
    </row>
    <row r="4" spans="1:15" ht="18">
      <c r="A4" s="29" t="s">
        <v>235</v>
      </c>
      <c r="B4" s="12"/>
      <c r="C4" s="12"/>
      <c r="D4" s="12"/>
      <c r="E4" s="87"/>
      <c r="F4" s="12"/>
      <c r="G4" s="12"/>
      <c r="H4" s="12"/>
      <c r="I4" s="12"/>
      <c r="J4" s="12"/>
      <c r="K4" s="9"/>
      <c r="L4" s="39"/>
      <c r="M4" s="39"/>
    </row>
    <row r="5" spans="1:15" ht="8.1" customHeight="1" thickBot="1">
      <c r="A5" s="10"/>
      <c r="B5" s="10"/>
      <c r="C5" s="10"/>
      <c r="D5" s="10"/>
      <c r="E5" s="11"/>
      <c r="F5" s="10"/>
      <c r="G5" s="10"/>
      <c r="H5" s="10"/>
      <c r="I5" s="10"/>
      <c r="J5" s="10"/>
      <c r="K5" s="10"/>
      <c r="L5" s="41"/>
      <c r="M5" s="41"/>
      <c r="N5" s="41"/>
      <c r="O5" s="41"/>
    </row>
    <row r="6" spans="1:15" ht="15" customHeight="1">
      <c r="A6" s="12"/>
      <c r="B6" s="12"/>
      <c r="C6" s="9"/>
      <c r="D6" s="9"/>
      <c r="E6" s="58">
        <v>1995</v>
      </c>
      <c r="F6" s="12"/>
      <c r="G6" s="58">
        <v>1998</v>
      </c>
      <c r="H6" s="12"/>
      <c r="I6" s="58">
        <v>2002</v>
      </c>
      <c r="J6" s="12"/>
      <c r="K6" s="58">
        <v>2004</v>
      </c>
      <c r="L6" s="12"/>
      <c r="M6" s="58">
        <v>2005</v>
      </c>
      <c r="N6" s="58"/>
      <c r="O6" s="58">
        <v>2006</v>
      </c>
    </row>
    <row r="7" spans="1:15" ht="15" customHeight="1" thickBot="1">
      <c r="A7" s="11"/>
      <c r="B7" s="11"/>
      <c r="C7" s="10"/>
      <c r="D7" s="10"/>
      <c r="E7" s="13" t="s">
        <v>286</v>
      </c>
      <c r="F7" s="10"/>
      <c r="G7" s="13" t="s">
        <v>287</v>
      </c>
      <c r="H7" s="10"/>
      <c r="I7" s="13" t="s">
        <v>288</v>
      </c>
      <c r="J7" s="13"/>
      <c r="K7" s="13" t="s">
        <v>289</v>
      </c>
      <c r="L7" s="13"/>
      <c r="M7" s="13" t="s">
        <v>311</v>
      </c>
      <c r="N7" s="13"/>
      <c r="O7" s="13" t="s">
        <v>318</v>
      </c>
    </row>
    <row r="8" spans="1:15">
      <c r="A8" s="7"/>
      <c r="B8" s="7"/>
      <c r="C8" s="7"/>
      <c r="D8" s="7"/>
      <c r="E8" s="7"/>
      <c r="F8" s="7"/>
      <c r="G8" s="7"/>
      <c r="H8" s="7"/>
      <c r="I8" s="7"/>
      <c r="J8" s="48"/>
      <c r="K8" s="7"/>
    </row>
    <row r="9" spans="1:15" ht="15">
      <c r="A9" s="9" t="s">
        <v>27</v>
      </c>
      <c r="B9" s="9"/>
      <c r="C9" s="21"/>
      <c r="D9" s="9"/>
      <c r="E9" s="16">
        <v>68.296466032608691</v>
      </c>
      <c r="F9" s="21"/>
      <c r="G9" s="21">
        <v>71.154635924195219</v>
      </c>
      <c r="H9" s="12"/>
      <c r="I9" s="16">
        <v>64.699944107773845</v>
      </c>
      <c r="J9" s="9"/>
      <c r="K9" s="16">
        <v>64.643117081784382</v>
      </c>
      <c r="L9" s="9"/>
      <c r="M9" s="16">
        <v>65.521389044806796</v>
      </c>
      <c r="N9" s="125"/>
      <c r="O9" s="163"/>
    </row>
    <row r="10" spans="1:15" ht="15">
      <c r="A10" s="9" t="s">
        <v>28</v>
      </c>
      <c r="B10" s="9"/>
      <c r="C10" s="21"/>
      <c r="D10" s="9"/>
      <c r="E10" s="16">
        <v>20.654876304347823</v>
      </c>
      <c r="F10" s="21"/>
      <c r="G10" s="21">
        <v>19.845108452751813</v>
      </c>
      <c r="H10" s="12"/>
      <c r="I10" s="16">
        <v>15.858136881625441</v>
      </c>
      <c r="J10" s="9"/>
      <c r="K10" s="16">
        <v>21.928857339352099</v>
      </c>
      <c r="L10" s="9"/>
      <c r="M10" s="16">
        <v>23.585536895148564</v>
      </c>
      <c r="N10" s="125"/>
      <c r="O10" s="163"/>
    </row>
    <row r="11" spans="1:15" ht="15">
      <c r="A11" s="9" t="s">
        <v>29</v>
      </c>
      <c r="B11" s="9"/>
      <c r="C11" s="21"/>
      <c r="D11" s="9"/>
      <c r="E11" s="16">
        <v>21.077427554347828</v>
      </c>
      <c r="F11" s="21"/>
      <c r="G11" s="21">
        <v>22.42063765835929</v>
      </c>
      <c r="H11" s="12"/>
      <c r="I11" s="16">
        <v>23.413116943462896</v>
      </c>
      <c r="J11" s="9"/>
      <c r="K11" s="16">
        <v>19.054894816781733</v>
      </c>
      <c r="L11" s="9"/>
      <c r="M11" s="16">
        <v>20.058268304091552</v>
      </c>
      <c r="N11" s="125"/>
      <c r="O11" s="163"/>
    </row>
    <row r="12" spans="1:15" ht="15">
      <c r="A12" s="9" t="s">
        <v>30</v>
      </c>
      <c r="B12" s="9"/>
      <c r="C12" s="21"/>
      <c r="D12" s="9"/>
      <c r="E12" s="16">
        <v>6.9327866847826085</v>
      </c>
      <c r="F12" s="21"/>
      <c r="G12" s="21">
        <v>4.9525058982346843</v>
      </c>
      <c r="H12" s="12"/>
      <c r="I12" s="16">
        <v>5.4868010041224977</v>
      </c>
      <c r="J12" s="9"/>
      <c r="K12" s="16">
        <v>5.11925684811471</v>
      </c>
      <c r="L12" s="9"/>
      <c r="M12" s="16">
        <v>5.2544083977570777</v>
      </c>
      <c r="N12" s="125"/>
      <c r="O12" s="163"/>
    </row>
    <row r="13" spans="1:15" ht="15">
      <c r="A13" s="9" t="s">
        <v>31</v>
      </c>
      <c r="B13" s="9"/>
      <c r="C13" s="21"/>
      <c r="D13" s="9"/>
      <c r="E13" s="16">
        <v>68.030175923913035</v>
      </c>
      <c r="F13" s="21"/>
      <c r="G13" s="21">
        <v>69.47351346313603</v>
      </c>
      <c r="H13" s="12"/>
      <c r="I13" s="16">
        <v>57.452517373380452</v>
      </c>
      <c r="J13" s="9"/>
      <c r="K13" s="16">
        <v>55.959075015932015</v>
      </c>
      <c r="L13" s="9"/>
      <c r="M13" s="16">
        <v>63.314557866584032</v>
      </c>
      <c r="N13" s="125"/>
      <c r="O13" s="163"/>
    </row>
    <row r="14" spans="1:15" ht="15">
      <c r="A14" s="9" t="s">
        <v>278</v>
      </c>
      <c r="B14" s="9"/>
      <c r="C14" s="21"/>
      <c r="D14" s="9"/>
      <c r="E14" s="16">
        <v>23.690713206521739</v>
      </c>
      <c r="F14" s="21"/>
      <c r="G14" s="21">
        <v>21.219685072689515</v>
      </c>
      <c r="H14" s="12"/>
      <c r="I14" s="16">
        <v>25.92646658421673</v>
      </c>
      <c r="J14" s="9"/>
      <c r="K14" s="16">
        <v>26.580001009028145</v>
      </c>
      <c r="L14" s="9"/>
      <c r="M14" s="16">
        <v>27.464029873103875</v>
      </c>
      <c r="N14" s="125"/>
      <c r="O14" s="163"/>
    </row>
    <row r="15" spans="1:15" ht="15">
      <c r="A15" s="9" t="s">
        <v>279</v>
      </c>
      <c r="B15" s="9"/>
      <c r="C15" s="21"/>
      <c r="D15" s="9"/>
      <c r="E15" s="16">
        <v>28.116009836956522</v>
      </c>
      <c r="F15" s="21"/>
      <c r="G15" s="21">
        <v>34.060748276220139</v>
      </c>
      <c r="H15" s="12"/>
      <c r="I15" s="16">
        <v>28.906548038869261</v>
      </c>
      <c r="J15" s="9"/>
      <c r="K15" s="16">
        <v>28.046878085501859</v>
      </c>
      <c r="L15" s="9"/>
      <c r="M15" s="16">
        <v>31.81516694215351</v>
      </c>
      <c r="N15" s="125"/>
      <c r="O15" s="163"/>
    </row>
    <row r="16" spans="1:15" ht="15">
      <c r="A16" s="9" t="s">
        <v>32</v>
      </c>
      <c r="B16" s="9"/>
      <c r="C16" s="21"/>
      <c r="D16" s="9"/>
      <c r="E16" s="16">
        <v>52.150527608695654</v>
      </c>
      <c r="F16" s="21"/>
      <c r="G16" s="21">
        <v>49.084783696780896</v>
      </c>
      <c r="H16" s="12"/>
      <c r="I16" s="16">
        <v>44.387222641342753</v>
      </c>
      <c r="J16" s="9"/>
      <c r="K16" s="16">
        <v>43.147218340414234</v>
      </c>
      <c r="L16" s="9"/>
      <c r="M16" s="16">
        <v>45.607639864093159</v>
      </c>
      <c r="N16" s="125"/>
      <c r="O16" s="163"/>
    </row>
    <row r="17" spans="1:15" ht="15">
      <c r="A17" s="9" t="s">
        <v>33</v>
      </c>
      <c r="B17" s="9"/>
      <c r="C17" s="21"/>
      <c r="D17" s="9"/>
      <c r="E17" s="16">
        <v>11.037128641304347</v>
      </c>
      <c r="F17" s="21"/>
      <c r="G17" s="21">
        <v>12.927570664589824</v>
      </c>
      <c r="H17" s="12"/>
      <c r="I17" s="16">
        <v>13.450651195524145</v>
      </c>
      <c r="J17" s="9"/>
      <c r="K17" s="16">
        <v>10.991991614445034</v>
      </c>
      <c r="L17" s="9"/>
      <c r="M17" s="16">
        <v>12.719276350602916</v>
      </c>
      <c r="N17" s="125"/>
      <c r="O17" s="163"/>
    </row>
    <row r="18" spans="1:15" ht="15">
      <c r="A18" s="9" t="s">
        <v>34</v>
      </c>
      <c r="B18" s="9"/>
      <c r="C18" s="21"/>
      <c r="D18" s="9"/>
      <c r="E18" s="16">
        <v>21.559486413043476</v>
      </c>
      <c r="F18" s="21"/>
      <c r="G18" s="21">
        <v>28.295411542056076</v>
      </c>
      <c r="H18" s="12"/>
      <c r="I18" s="16">
        <v>24.064879737926972</v>
      </c>
      <c r="J18" s="9"/>
      <c r="K18" s="16">
        <v>23.398358029739775</v>
      </c>
      <c r="L18" s="9"/>
      <c r="M18" s="16">
        <v>22.127121412214397</v>
      </c>
      <c r="N18" s="125"/>
      <c r="O18" s="163"/>
    </row>
    <row r="19" spans="1:15" ht="15">
      <c r="A19" s="9" t="s">
        <v>35</v>
      </c>
      <c r="B19" s="9"/>
      <c r="C19" s="21"/>
      <c r="D19" s="9"/>
      <c r="E19" s="16">
        <v>25.410234076086958</v>
      </c>
      <c r="F19" s="21"/>
      <c r="G19" s="21">
        <v>29.051698722741435</v>
      </c>
      <c r="H19" s="12"/>
      <c r="I19" s="16">
        <v>26.0177243786808</v>
      </c>
      <c r="J19" s="9"/>
      <c r="K19" s="16">
        <v>24.608351691449815</v>
      </c>
      <c r="L19" s="9"/>
      <c r="M19" s="16">
        <v>29.743864991362344</v>
      </c>
      <c r="N19" s="125"/>
      <c r="O19" s="163"/>
    </row>
    <row r="20" spans="1:15" ht="15">
      <c r="A20" s="9" t="s">
        <v>36</v>
      </c>
      <c r="B20" s="9"/>
      <c r="C20" s="21"/>
      <c r="D20" s="9"/>
      <c r="E20" s="16">
        <v>20.228168967391301</v>
      </c>
      <c r="F20" s="21"/>
      <c r="G20" s="21">
        <v>23.496248499480789</v>
      </c>
      <c r="H20" s="12"/>
      <c r="I20" s="16">
        <v>16.122544717314486</v>
      </c>
      <c r="J20" s="9"/>
      <c r="K20" s="16">
        <v>15.590822222517259</v>
      </c>
      <c r="L20" s="9"/>
      <c r="M20" s="16">
        <v>18.140936712638535</v>
      </c>
      <c r="N20" s="125"/>
      <c r="O20" s="163"/>
    </row>
    <row r="21" spans="1:15" ht="15">
      <c r="A21" s="9" t="s">
        <v>37</v>
      </c>
      <c r="B21" s="9"/>
      <c r="C21" s="21"/>
      <c r="D21" s="9"/>
      <c r="E21" s="16">
        <v>367.18397548913043</v>
      </c>
      <c r="F21" s="21"/>
      <c r="G21" s="21">
        <v>385.9825253115265</v>
      </c>
      <c r="H21" s="16"/>
      <c r="I21" s="16">
        <v>345.78652801531211</v>
      </c>
      <c r="J21" s="9"/>
      <c r="K21" s="16">
        <v>339.06882901752522</v>
      </c>
      <c r="L21" s="9"/>
      <c r="M21" s="16">
        <v>365.3521916670972</v>
      </c>
      <c r="N21" s="125"/>
      <c r="O21" s="163"/>
    </row>
    <row r="22" spans="1:15" ht="15">
      <c r="A22" s="12"/>
      <c r="B22" s="12"/>
      <c r="C22" s="16"/>
      <c r="D22" s="12"/>
      <c r="E22" s="16"/>
      <c r="F22" s="16"/>
      <c r="G22" s="16"/>
      <c r="H22" s="12"/>
      <c r="I22" s="16"/>
      <c r="J22" s="9"/>
      <c r="K22" s="16"/>
      <c r="L22" s="9"/>
      <c r="M22" s="16"/>
    </row>
    <row r="23" spans="1:15" ht="15">
      <c r="A23" s="15" t="s">
        <v>25</v>
      </c>
      <c r="B23" s="9"/>
      <c r="C23" s="21"/>
      <c r="D23" s="9"/>
      <c r="E23" s="34">
        <v>2024</v>
      </c>
      <c r="F23" s="34"/>
      <c r="G23" s="34">
        <v>1926</v>
      </c>
      <c r="H23" s="12"/>
      <c r="I23" s="20">
        <v>3396</v>
      </c>
      <c r="J23" s="9"/>
      <c r="K23" s="20">
        <v>3766</v>
      </c>
      <c r="L23" s="9"/>
      <c r="M23" s="20">
        <v>3723</v>
      </c>
      <c r="O23" s="163"/>
    </row>
    <row r="24" spans="1:15" ht="5.25" customHeight="1" thickBot="1">
      <c r="A24" s="10"/>
      <c r="B24" s="10"/>
      <c r="C24" s="10"/>
      <c r="D24" s="10"/>
      <c r="E24" s="10"/>
      <c r="F24" s="10"/>
      <c r="G24" s="10"/>
      <c r="H24" s="10"/>
      <c r="I24" s="10"/>
      <c r="J24" s="10"/>
      <c r="K24" s="10"/>
      <c r="L24" s="10"/>
      <c r="M24" s="10"/>
      <c r="N24" s="10"/>
      <c r="O24" s="10"/>
    </row>
    <row r="25" spans="1:15" ht="12.75" customHeight="1">
      <c r="A25" s="48" t="s">
        <v>281</v>
      </c>
      <c r="B25" s="48"/>
      <c r="C25" s="48"/>
      <c r="D25" s="48"/>
      <c r="E25" s="48"/>
      <c r="F25" s="48"/>
      <c r="G25" s="48"/>
      <c r="H25" s="48"/>
      <c r="I25" s="48"/>
      <c r="J25" s="48"/>
      <c r="K25" s="48"/>
    </row>
    <row r="26" spans="1:15" ht="12.75" customHeight="1">
      <c r="A26" s="48"/>
      <c r="B26" s="48"/>
      <c r="C26" s="48"/>
      <c r="D26" s="48"/>
      <c r="E26" s="97"/>
      <c r="F26" s="48"/>
      <c r="G26" s="97"/>
      <c r="H26" s="48"/>
      <c r="I26" s="97"/>
      <c r="J26" s="48"/>
      <c r="K26" s="98"/>
    </row>
    <row r="27" spans="1:15" ht="18">
      <c r="A27" s="39" t="s">
        <v>292</v>
      </c>
      <c r="B27" s="7"/>
      <c r="C27" s="7"/>
      <c r="D27" s="7"/>
      <c r="E27" s="7"/>
      <c r="F27" s="7"/>
      <c r="G27" s="7"/>
      <c r="H27" s="7"/>
      <c r="I27" s="7"/>
      <c r="J27" s="48"/>
      <c r="K27" s="7"/>
    </row>
    <row r="28" spans="1:15" ht="8.1" customHeight="1">
      <c r="A28" s="9"/>
      <c r="B28" s="7"/>
      <c r="C28" s="7"/>
      <c r="D28" s="7"/>
      <c r="E28" s="7"/>
      <c r="F28" s="7"/>
      <c r="G28" s="7"/>
      <c r="H28" s="7"/>
      <c r="I28" s="7"/>
      <c r="J28" s="48"/>
      <c r="K28" s="7"/>
    </row>
    <row r="29" spans="1:15" ht="18">
      <c r="A29" s="29" t="s">
        <v>235</v>
      </c>
      <c r="B29" s="12"/>
      <c r="C29" s="12"/>
      <c r="D29" s="12"/>
      <c r="E29" s="87"/>
      <c r="F29" s="12"/>
      <c r="G29" s="12"/>
      <c r="H29" s="12"/>
      <c r="I29" s="12"/>
      <c r="J29" s="12"/>
      <c r="K29" s="9"/>
      <c r="L29" s="39"/>
      <c r="M29" s="39"/>
    </row>
    <row r="30" spans="1:15" ht="8.1" customHeight="1" thickBot="1">
      <c r="A30" s="10"/>
      <c r="B30" s="10"/>
      <c r="C30" s="10"/>
      <c r="D30" s="10"/>
      <c r="E30" s="11"/>
      <c r="F30" s="10"/>
      <c r="G30" s="10"/>
      <c r="H30" s="10"/>
      <c r="I30" s="10"/>
      <c r="J30" s="10"/>
      <c r="K30" s="10"/>
      <c r="L30" s="41"/>
      <c r="M30" s="41"/>
      <c r="N30" s="41"/>
      <c r="O30" s="41"/>
    </row>
    <row r="31" spans="1:15" ht="15.75">
      <c r="A31" s="12"/>
      <c r="B31" s="12"/>
      <c r="C31" s="9"/>
      <c r="D31" s="9"/>
      <c r="E31" s="58">
        <v>1995</v>
      </c>
      <c r="F31" s="12"/>
      <c r="G31" s="58">
        <v>1998</v>
      </c>
      <c r="H31" s="12"/>
      <c r="I31" s="58">
        <v>2002</v>
      </c>
      <c r="J31" s="12"/>
      <c r="K31" s="58">
        <v>2004</v>
      </c>
      <c r="L31" s="12"/>
      <c r="M31" s="58">
        <v>2005</v>
      </c>
      <c r="N31" s="58"/>
      <c r="O31" s="58">
        <v>2006</v>
      </c>
    </row>
    <row r="32" spans="1:15" ht="16.5" thickBot="1">
      <c r="A32" s="11"/>
      <c r="B32" s="11"/>
      <c r="C32" s="10"/>
      <c r="D32" s="10"/>
      <c r="E32" s="13" t="s">
        <v>286</v>
      </c>
      <c r="F32" s="10"/>
      <c r="G32" s="13" t="s">
        <v>287</v>
      </c>
      <c r="H32" s="10"/>
      <c r="I32" s="13" t="s">
        <v>288</v>
      </c>
      <c r="J32" s="13"/>
      <c r="K32" s="13" t="s">
        <v>289</v>
      </c>
      <c r="L32" s="13"/>
      <c r="M32" s="13" t="s">
        <v>311</v>
      </c>
      <c r="N32" s="13"/>
      <c r="O32" s="13" t="s">
        <v>318</v>
      </c>
    </row>
    <row r="33" spans="1:15" ht="15">
      <c r="A33" s="7"/>
      <c r="B33" s="7"/>
      <c r="C33" s="7"/>
      <c r="D33" s="7"/>
      <c r="E33" s="7"/>
      <c r="F33" s="7"/>
      <c r="G33" s="7"/>
      <c r="H33" s="7"/>
      <c r="I33" s="7"/>
      <c r="J33" s="48"/>
      <c r="M33" s="31" t="s">
        <v>135</v>
      </c>
    </row>
    <row r="34" spans="1:15" ht="15">
      <c r="A34" s="9" t="s">
        <v>27</v>
      </c>
      <c r="B34" s="9"/>
      <c r="C34" s="9"/>
      <c r="D34" s="9"/>
      <c r="E34" s="150">
        <v>23.123966690046888</v>
      </c>
      <c r="F34" s="21"/>
      <c r="G34" s="27">
        <v>24.044222878954702</v>
      </c>
      <c r="H34" s="12"/>
      <c r="I34" s="128">
        <v>22.32348782247708</v>
      </c>
      <c r="J34" s="9"/>
      <c r="K34" s="128">
        <v>22.853438028251876</v>
      </c>
      <c r="L34" s="9"/>
      <c r="M34" s="128">
        <v>24.761501497029972</v>
      </c>
      <c r="O34" s="163"/>
    </row>
    <row r="35" spans="1:15" ht="15">
      <c r="A35" s="9" t="s">
        <v>28</v>
      </c>
      <c r="B35" s="9"/>
      <c r="C35" s="9"/>
      <c r="D35" s="9"/>
      <c r="E35" s="150">
        <v>32.054850477407825</v>
      </c>
      <c r="F35" s="21"/>
      <c r="G35" s="27">
        <v>36.046401552986715</v>
      </c>
      <c r="H35" s="12"/>
      <c r="I35" s="128">
        <v>33.556784951902834</v>
      </c>
      <c r="J35" s="9"/>
      <c r="K35" s="128">
        <v>37.913988557686324</v>
      </c>
      <c r="L35" s="9"/>
      <c r="M35" s="128">
        <v>38.803221452279267</v>
      </c>
      <c r="O35" s="163"/>
    </row>
    <row r="36" spans="1:15" ht="15">
      <c r="A36" s="9" t="s">
        <v>29</v>
      </c>
      <c r="B36" s="9"/>
      <c r="C36" s="9"/>
      <c r="D36" s="9"/>
      <c r="E36" s="150">
        <v>17.542543356831395</v>
      </c>
      <c r="F36" s="21"/>
      <c r="G36" s="27">
        <v>19.008607148309874</v>
      </c>
      <c r="H36" s="12"/>
      <c r="I36" s="128">
        <v>17.154787909245904</v>
      </c>
      <c r="J36" s="9"/>
      <c r="K36" s="128">
        <v>17.774544806098561</v>
      </c>
      <c r="L36" s="9"/>
      <c r="M36" s="128">
        <v>19.623511185927931</v>
      </c>
      <c r="O36" s="163"/>
    </row>
    <row r="37" spans="1:15" ht="15">
      <c r="A37" s="9" t="s">
        <v>30</v>
      </c>
      <c r="B37" s="9"/>
      <c r="C37" s="9"/>
      <c r="D37" s="9"/>
      <c r="E37" s="150">
        <v>11.612716786251664</v>
      </c>
      <c r="F37" s="21"/>
      <c r="G37" s="27">
        <v>11.605088436432547</v>
      </c>
      <c r="H37" s="12"/>
      <c r="I37" s="128">
        <v>10.578175317362719</v>
      </c>
      <c r="J37" s="9"/>
      <c r="K37" s="128">
        <v>10.429009228516026</v>
      </c>
      <c r="L37" s="9"/>
      <c r="M37" s="128">
        <v>11.381635309814344</v>
      </c>
      <c r="N37" s="126"/>
      <c r="O37" s="163"/>
    </row>
    <row r="38" spans="1:15" ht="15">
      <c r="A38" s="9" t="s">
        <v>31</v>
      </c>
      <c r="B38" s="9"/>
      <c r="C38" s="9"/>
      <c r="D38" s="9"/>
      <c r="E38" s="150">
        <v>17.610047687181972</v>
      </c>
      <c r="F38" s="21"/>
      <c r="G38" s="27">
        <v>16.706786523573122</v>
      </c>
      <c r="H38" s="12"/>
      <c r="I38" s="128">
        <v>16.614247514266253</v>
      </c>
      <c r="J38" s="9"/>
      <c r="K38" s="128">
        <v>16.255028318554928</v>
      </c>
      <c r="L38" s="9"/>
      <c r="M38" s="128">
        <v>17.552551184422928</v>
      </c>
      <c r="O38" s="163"/>
    </row>
    <row r="39" spans="1:15" ht="15">
      <c r="A39" s="9" t="s">
        <v>278</v>
      </c>
      <c r="B39" s="9"/>
      <c r="C39" s="9"/>
      <c r="D39" s="9"/>
      <c r="E39" s="150">
        <v>15.985015436331013</v>
      </c>
      <c r="F39" s="21"/>
      <c r="G39" s="27">
        <v>15.7445554507404</v>
      </c>
      <c r="H39" s="12"/>
      <c r="I39" s="128">
        <v>15.79790410395962</v>
      </c>
      <c r="J39" s="9"/>
      <c r="K39" s="128">
        <v>15.30836712158353</v>
      </c>
      <c r="L39" s="9"/>
      <c r="M39" s="128">
        <v>16.400553374752054</v>
      </c>
      <c r="O39" s="163"/>
    </row>
    <row r="40" spans="1:15" ht="15">
      <c r="A40" s="9" t="s">
        <v>279</v>
      </c>
      <c r="B40" s="9"/>
      <c r="C40" s="9"/>
      <c r="D40" s="9"/>
      <c r="E40" s="150">
        <v>16.593636754926685</v>
      </c>
      <c r="F40" s="21"/>
      <c r="G40" s="27">
        <v>17.781909151776198</v>
      </c>
      <c r="H40" s="12"/>
      <c r="I40" s="128">
        <v>16.260415760159727</v>
      </c>
      <c r="J40" s="9"/>
      <c r="K40" s="128">
        <v>16.486587967642823</v>
      </c>
      <c r="L40" s="9"/>
      <c r="M40" s="128">
        <v>17.920568657003638</v>
      </c>
      <c r="O40" s="163"/>
    </row>
    <row r="41" spans="1:15" ht="15">
      <c r="A41" s="9" t="s">
        <v>32</v>
      </c>
      <c r="B41" s="9"/>
      <c r="C41" s="9"/>
      <c r="D41" s="9"/>
      <c r="E41" s="150">
        <v>22.487383347682492</v>
      </c>
      <c r="F41" s="21"/>
      <c r="G41" s="27">
        <v>21.58825209046309</v>
      </c>
      <c r="H41" s="12"/>
      <c r="I41" s="128">
        <v>22.331446999319247</v>
      </c>
      <c r="J41" s="9"/>
      <c r="K41" s="128">
        <v>21.921314304549707</v>
      </c>
      <c r="L41" s="9"/>
      <c r="M41" s="128">
        <v>23.086743845803309</v>
      </c>
      <c r="O41" s="163"/>
    </row>
    <row r="42" spans="1:15" ht="15">
      <c r="A42" s="9" t="s">
        <v>33</v>
      </c>
      <c r="B42" s="9"/>
      <c r="C42" s="9"/>
      <c r="D42" s="9"/>
      <c r="E42" s="150">
        <v>17.92444407127201</v>
      </c>
      <c r="F42" s="21"/>
      <c r="G42" s="27">
        <v>18.582000933402824</v>
      </c>
      <c r="H42" s="12"/>
      <c r="I42" s="128">
        <v>18.414455164024474</v>
      </c>
      <c r="J42" s="9"/>
      <c r="K42" s="128">
        <v>18.291307109567096</v>
      </c>
      <c r="L42" s="9"/>
      <c r="M42" s="128">
        <v>20.824414422138659</v>
      </c>
      <c r="O42" s="163"/>
    </row>
    <row r="43" spans="1:15" ht="15">
      <c r="A43" s="9" t="s">
        <v>34</v>
      </c>
      <c r="B43" s="9"/>
      <c r="C43" s="9"/>
      <c r="D43" s="9"/>
      <c r="E43" s="150">
        <v>21.310116399535492</v>
      </c>
      <c r="F43" s="21"/>
      <c r="G43" s="27">
        <v>21.735973901600115</v>
      </c>
      <c r="H43" s="12"/>
      <c r="I43" s="128">
        <v>20.116762344284332</v>
      </c>
      <c r="J43" s="9"/>
      <c r="K43" s="128">
        <v>19.044206069646524</v>
      </c>
      <c r="L43" s="9"/>
      <c r="M43" s="128">
        <v>20.272342613006774</v>
      </c>
      <c r="O43" s="163"/>
    </row>
    <row r="44" spans="1:15" ht="15">
      <c r="A44" s="9" t="s">
        <v>35</v>
      </c>
      <c r="B44" s="9"/>
      <c r="C44" s="9"/>
      <c r="D44" s="9"/>
      <c r="E44" s="150">
        <v>70.413921072451672</v>
      </c>
      <c r="F44" s="21"/>
      <c r="G44" s="27">
        <v>63.013318868049495</v>
      </c>
      <c r="H44" s="12"/>
      <c r="I44" s="128">
        <v>54.304272103633657</v>
      </c>
      <c r="J44" s="9"/>
      <c r="K44" s="128">
        <v>47.926639389722453</v>
      </c>
      <c r="L44" s="9"/>
      <c r="M44" s="128">
        <v>51.087548346475579</v>
      </c>
      <c r="O44" s="163"/>
    </row>
    <row r="45" spans="1:15" ht="15">
      <c r="A45" s="9" t="s">
        <v>36</v>
      </c>
      <c r="B45" s="9"/>
      <c r="C45" s="9"/>
      <c r="D45" s="9"/>
      <c r="E45" s="150">
        <v>24.373917862954652</v>
      </c>
      <c r="F45" s="21"/>
      <c r="G45" s="27">
        <v>21.581160756647375</v>
      </c>
      <c r="H45" s="12"/>
      <c r="I45" s="128">
        <v>22.227995260113854</v>
      </c>
      <c r="J45" s="9"/>
      <c r="K45" s="128">
        <v>21.334808607696267</v>
      </c>
      <c r="L45" s="9"/>
      <c r="M45" s="128">
        <v>21.294603914313647</v>
      </c>
      <c r="O45" s="163"/>
    </row>
    <row r="46" spans="1:15" ht="15">
      <c r="A46" s="9" t="s">
        <v>37</v>
      </c>
      <c r="B46" s="9"/>
      <c r="C46" s="9"/>
      <c r="D46" s="9"/>
      <c r="E46" s="150">
        <v>20.894445077113385</v>
      </c>
      <c r="F46" s="21"/>
      <c r="G46" s="27">
        <v>21.024523765351443</v>
      </c>
      <c r="H46" s="12"/>
      <c r="I46" s="128">
        <v>20.045538681573234</v>
      </c>
      <c r="J46" s="9"/>
      <c r="K46" s="128">
        <v>20.072713119721655</v>
      </c>
      <c r="L46" s="9"/>
      <c r="M46" s="128">
        <v>21.609915127275166</v>
      </c>
      <c r="O46" s="163"/>
    </row>
    <row r="47" spans="1:15" ht="13.5" thickBot="1">
      <c r="A47" s="100"/>
      <c r="B47" s="100"/>
      <c r="C47" s="100"/>
      <c r="D47" s="100"/>
      <c r="E47" s="100"/>
      <c r="F47" s="100"/>
      <c r="G47" s="100"/>
      <c r="H47" s="100"/>
      <c r="I47" s="101"/>
      <c r="J47" s="100"/>
      <c r="K47" s="100"/>
      <c r="L47" s="100"/>
      <c r="M47" s="100"/>
      <c r="N47" s="100"/>
      <c r="O47" s="100"/>
    </row>
    <row r="48" spans="1:15">
      <c r="A48" s="48" t="s">
        <v>281</v>
      </c>
      <c r="B48" s="48"/>
      <c r="C48" s="48"/>
      <c r="D48" s="48"/>
      <c r="E48" s="48"/>
      <c r="F48" s="48"/>
      <c r="G48" s="48"/>
      <c r="H48" s="48"/>
      <c r="I48" s="99"/>
      <c r="J48" s="48"/>
      <c r="K48" s="48"/>
    </row>
    <row r="50" spans="1:13" ht="18">
      <c r="A50" s="39" t="s">
        <v>293</v>
      </c>
      <c r="B50" s="7"/>
      <c r="C50" s="7"/>
      <c r="D50" s="7"/>
      <c r="E50" s="7"/>
    </row>
    <row r="51" spans="1:13" ht="8.1" customHeight="1">
      <c r="A51" s="9"/>
      <c r="B51" s="7"/>
      <c r="C51" s="7"/>
      <c r="D51" s="7"/>
      <c r="E51" s="7"/>
    </row>
    <row r="52" spans="1:13" ht="15">
      <c r="A52" s="161" t="s">
        <v>319</v>
      </c>
      <c r="B52" s="162"/>
      <c r="C52" s="162"/>
      <c r="D52" s="162"/>
      <c r="E52" s="162"/>
      <c r="F52" s="163"/>
      <c r="G52" s="163"/>
    </row>
    <row r="53" spans="1:13" ht="8.1" customHeight="1" thickBot="1">
      <c r="A53" s="3"/>
      <c r="B53" s="100"/>
      <c r="C53" s="100"/>
      <c r="D53" s="100"/>
      <c r="E53" s="100"/>
      <c r="F53" s="100"/>
      <c r="G53" s="100"/>
      <c r="H53" s="100"/>
      <c r="I53" s="100"/>
    </row>
    <row r="54" spans="1:13" ht="15">
      <c r="A54" s="7"/>
      <c r="B54" s="7"/>
      <c r="C54" s="7"/>
      <c r="D54" s="103"/>
      <c r="G54" s="129"/>
      <c r="H54" s="129"/>
      <c r="I54" s="129"/>
      <c r="J54" s="130" t="s">
        <v>242</v>
      </c>
      <c r="K54" s="129"/>
      <c r="L54" s="129"/>
      <c r="M54" s="129"/>
    </row>
    <row r="55" spans="1:13" ht="49.5" customHeight="1" thickBot="1">
      <c r="A55" s="100"/>
      <c r="B55" s="100"/>
      <c r="C55" s="100"/>
      <c r="D55" s="100"/>
      <c r="E55" s="3"/>
      <c r="F55" s="3"/>
      <c r="G55" s="131" t="s">
        <v>243</v>
      </c>
      <c r="H55" s="132"/>
      <c r="I55" s="131" t="s">
        <v>244</v>
      </c>
      <c r="J55" s="132"/>
      <c r="K55" s="131" t="s">
        <v>245</v>
      </c>
      <c r="L55" s="132"/>
      <c r="M55" s="133" t="s">
        <v>246</v>
      </c>
    </row>
    <row r="56" spans="1:13" ht="15">
      <c r="A56" s="7"/>
      <c r="B56" s="7"/>
      <c r="C56" s="7"/>
      <c r="D56" s="7"/>
      <c r="G56" s="9"/>
      <c r="H56" s="9"/>
      <c r="I56" s="9"/>
      <c r="J56" s="9"/>
      <c r="K56" s="9"/>
      <c r="L56" s="9"/>
      <c r="M56" s="9"/>
    </row>
    <row r="57" spans="1:13" ht="15">
      <c r="A57" s="9" t="s">
        <v>11</v>
      </c>
      <c r="B57" s="9"/>
      <c r="C57" s="7"/>
      <c r="D57" s="7"/>
      <c r="G57" s="157">
        <v>375.49201261008807</v>
      </c>
      <c r="H57" s="154"/>
      <c r="I57" s="157">
        <v>237.02684186150952</v>
      </c>
      <c r="J57" s="154"/>
      <c r="K57" s="157">
        <v>180.54266222328016</v>
      </c>
      <c r="L57" s="158"/>
      <c r="M57" s="157">
        <v>248.36097505122331</v>
      </c>
    </row>
    <row r="58" spans="1:13" ht="15">
      <c r="A58" s="9" t="s">
        <v>13</v>
      </c>
      <c r="B58" s="9"/>
      <c r="C58" s="7"/>
      <c r="D58" s="7"/>
      <c r="G58" s="159">
        <v>12.177262560048039</v>
      </c>
      <c r="H58" s="154"/>
      <c r="I58" s="157">
        <v>447.16485727117072</v>
      </c>
      <c r="J58" s="154"/>
      <c r="K58" s="157">
        <v>614.05306546060467</v>
      </c>
      <c r="L58" s="158"/>
      <c r="M58" s="157">
        <v>407.74083283114379</v>
      </c>
    </row>
    <row r="59" spans="1:13" ht="15">
      <c r="A59" s="9" t="s">
        <v>14</v>
      </c>
      <c r="B59" s="9"/>
      <c r="C59" s="7"/>
      <c r="D59" s="7"/>
      <c r="G59" s="157">
        <v>115.38036178943156</v>
      </c>
      <c r="H59" s="154"/>
      <c r="I59" s="157">
        <v>264.26251705167437</v>
      </c>
      <c r="J59" s="154"/>
      <c r="K59" s="157">
        <v>251.021644370388</v>
      </c>
      <c r="L59" s="158"/>
      <c r="M59" s="157">
        <v>225.32205375436905</v>
      </c>
    </row>
    <row r="60" spans="1:13" ht="15">
      <c r="A60" s="26" t="s">
        <v>247</v>
      </c>
      <c r="B60" s="26"/>
      <c r="C60" s="7"/>
      <c r="D60" s="7"/>
      <c r="G60" s="159">
        <v>23.316108386709367</v>
      </c>
      <c r="H60" s="154"/>
      <c r="I60" s="157">
        <v>21.043254413787299</v>
      </c>
      <c r="J60" s="154"/>
      <c r="K60" s="157">
        <v>14.791410140442752</v>
      </c>
      <c r="L60" s="158"/>
      <c r="M60" s="157">
        <v>19.303563422235229</v>
      </c>
    </row>
    <row r="61" spans="1:13" ht="15">
      <c r="A61" s="9" t="s">
        <v>18</v>
      </c>
      <c r="B61" s="9"/>
      <c r="C61" s="7"/>
      <c r="D61" s="7"/>
      <c r="G61" s="157">
        <v>182.47630229183349</v>
      </c>
      <c r="H61" s="154"/>
      <c r="I61" s="157">
        <v>67.025957560277334</v>
      </c>
      <c r="J61" s="154"/>
      <c r="K61" s="157">
        <v>29.942335158295641</v>
      </c>
      <c r="L61" s="158"/>
      <c r="M61" s="157">
        <v>80.097204841681162</v>
      </c>
    </row>
    <row r="62" spans="1:13" ht="15">
      <c r="A62" s="26" t="s">
        <v>248</v>
      </c>
      <c r="B62" s="26"/>
      <c r="C62" s="7"/>
      <c r="D62" s="7"/>
      <c r="G62" s="157">
        <v>53.068182796236989</v>
      </c>
      <c r="H62" s="154"/>
      <c r="I62" s="157">
        <v>31.254803239116402</v>
      </c>
      <c r="J62" s="154"/>
      <c r="K62" s="157">
        <v>23.839683884789338</v>
      </c>
      <c r="L62" s="158"/>
      <c r="M62" s="157">
        <v>33.576775082215605</v>
      </c>
    </row>
    <row r="63" spans="1:13" ht="15">
      <c r="A63" s="9" t="s">
        <v>24</v>
      </c>
      <c r="B63" s="9"/>
      <c r="C63" s="7"/>
      <c r="D63" s="7"/>
      <c r="G63" s="157">
        <v>761.91023043434745</v>
      </c>
      <c r="H63" s="154"/>
      <c r="I63" s="157">
        <v>1067.7782313975356</v>
      </c>
      <c r="J63" s="154"/>
      <c r="K63" s="157">
        <v>1114.1908012378008</v>
      </c>
      <c r="L63" s="158"/>
      <c r="M63" s="157">
        <v>1014.4014049828683</v>
      </c>
    </row>
    <row r="64" spans="1:13" ht="15">
      <c r="A64" s="12"/>
      <c r="B64" s="12"/>
      <c r="C64" s="48"/>
      <c r="D64" s="48"/>
      <c r="G64" s="50"/>
      <c r="H64" s="12"/>
      <c r="I64" s="50"/>
      <c r="J64" s="12"/>
      <c r="K64" s="50"/>
      <c r="L64" s="50"/>
      <c r="M64" s="50"/>
    </row>
    <row r="65" spans="1:13" ht="4.5" customHeight="1">
      <c r="A65" s="9"/>
      <c r="B65" s="9"/>
      <c r="C65" s="7"/>
      <c r="D65" s="7"/>
      <c r="G65" s="134"/>
      <c r="H65" s="9"/>
      <c r="I65" s="134"/>
      <c r="J65" s="9"/>
      <c r="K65" s="134"/>
      <c r="L65" s="9"/>
      <c r="M65" s="134"/>
    </row>
    <row r="66" spans="1:13" ht="15">
      <c r="A66" s="15" t="s">
        <v>25</v>
      </c>
      <c r="B66" s="9"/>
      <c r="C66" s="7"/>
      <c r="D66" s="7"/>
      <c r="F66" s="2"/>
      <c r="G66" s="160">
        <v>859</v>
      </c>
      <c r="H66" s="9"/>
      <c r="I66" s="160">
        <v>1548</v>
      </c>
      <c r="J66" s="9"/>
      <c r="K66" s="160">
        <v>1316</v>
      </c>
      <c r="L66" s="9"/>
      <c r="M66" s="160">
        <v>3723</v>
      </c>
    </row>
    <row r="67" spans="1:13" ht="4.5" customHeight="1" thickBot="1">
      <c r="A67" s="100"/>
      <c r="B67" s="100"/>
      <c r="C67" s="3"/>
      <c r="D67" s="3"/>
      <c r="E67" s="3"/>
      <c r="F67" s="3"/>
      <c r="G67" s="102"/>
      <c r="H67" s="102"/>
      <c r="I67" s="102"/>
      <c r="J67" s="3"/>
      <c r="K67" s="100"/>
      <c r="L67" s="102"/>
      <c r="M67" s="3"/>
    </row>
    <row r="68" spans="1:13">
      <c r="A68" s="48" t="s">
        <v>281</v>
      </c>
    </row>
    <row r="69" spans="1:13" ht="5.25" customHeight="1"/>
    <row r="70" spans="1:13" ht="118.5" customHeight="1"/>
  </sheetData>
  <phoneticPr fontId="25" type="noConversion"/>
  <pageMargins left="0.55118110236220474" right="0.55118110236220474" top="0.87" bottom="0.73" header="0.51181102362204722" footer="0.51181102362204722"/>
  <pageSetup paperSize="9" scale="75" orientation="portrait" horizontalDpi="300" verticalDpi="300" r:id="rId1"/>
  <headerFooter alignWithMargins="0">
    <oddHeader>&amp;R&amp;"Arial,Bold"&amp;14PERSONAL AND CROSS-MODAL TRAVEL</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87"/>
  <sheetViews>
    <sheetView tabSelected="1" zoomScale="75" zoomScaleNormal="75" workbookViewId="0"/>
  </sheetViews>
  <sheetFormatPr defaultRowHeight="15"/>
  <cols>
    <col min="1" max="1" width="33.85546875" style="9" customWidth="1"/>
    <col min="2" max="2" width="8.42578125" style="9" customWidth="1"/>
    <col min="3" max="3" width="10" style="9" customWidth="1"/>
    <col min="4" max="4" width="10.7109375" style="9" customWidth="1"/>
    <col min="5" max="5" width="10.42578125" style="9" customWidth="1"/>
    <col min="6" max="6" width="9.28515625" style="9" customWidth="1"/>
    <col min="7" max="7" width="8.28515625" style="9" customWidth="1"/>
    <col min="8" max="8" width="11.140625" style="9" customWidth="1"/>
    <col min="9" max="9" width="10.5703125" style="9" customWidth="1"/>
    <col min="10" max="10" width="9.140625" style="9"/>
    <col min="11" max="11" width="14.7109375" style="9" customWidth="1"/>
    <col min="12" max="17" width="7.85546875" style="9" customWidth="1"/>
    <col min="18" max="16384" width="9.140625" style="9"/>
  </cols>
  <sheetData>
    <row r="1" spans="1:1" ht="15.75">
      <c r="A1" s="144" t="s">
        <v>407</v>
      </c>
    </row>
    <row r="2" spans="1:1">
      <c r="A2" s="60"/>
    </row>
    <row r="3" spans="1:1" ht="15.75">
      <c r="A3" s="79" t="s">
        <v>625</v>
      </c>
    </row>
    <row r="4" spans="1:1">
      <c r="A4" s="61"/>
    </row>
    <row r="5" spans="1:1" ht="15.75">
      <c r="A5" s="144" t="s">
        <v>408</v>
      </c>
    </row>
    <row r="6" spans="1:1">
      <c r="A6" s="60"/>
    </row>
    <row r="7" spans="1:1" ht="15.75">
      <c r="A7" s="79" t="s">
        <v>625</v>
      </c>
    </row>
    <row r="8" spans="1:1">
      <c r="A8" s="61"/>
    </row>
    <row r="9" spans="1:1" ht="15.75">
      <c r="A9" s="144" t="s">
        <v>409</v>
      </c>
    </row>
    <row r="10" spans="1:1">
      <c r="A10" s="61"/>
    </row>
    <row r="11" spans="1:1" ht="15.75">
      <c r="A11" s="79" t="s">
        <v>625</v>
      </c>
    </row>
    <row r="12" spans="1:1">
      <c r="A12" s="60"/>
    </row>
    <row r="13" spans="1:1" ht="15.75">
      <c r="A13" s="144" t="s">
        <v>410</v>
      </c>
    </row>
    <row r="14" spans="1:1" ht="15.75">
      <c r="A14" s="79" t="s">
        <v>625</v>
      </c>
    </row>
    <row r="15" spans="1:1">
      <c r="A15" s="60"/>
    </row>
    <row r="16" spans="1:1" ht="15.75">
      <c r="A16" s="144" t="s">
        <v>411</v>
      </c>
    </row>
    <row r="17" spans="1:11" ht="15.75">
      <c r="A17" s="79" t="s">
        <v>625</v>
      </c>
    </row>
    <row r="18" spans="1:11">
      <c r="A18" s="60"/>
    </row>
    <row r="19" spans="1:11" ht="15.75">
      <c r="A19" s="144" t="s">
        <v>412</v>
      </c>
    </row>
    <row r="20" spans="1:11" ht="15.75">
      <c r="A20" s="79" t="s">
        <v>625</v>
      </c>
    </row>
    <row r="21" spans="1:11">
      <c r="A21" s="60"/>
    </row>
    <row r="22" spans="1:11" ht="15.75">
      <c r="A22" s="144" t="s">
        <v>413</v>
      </c>
    </row>
    <row r="23" spans="1:11" ht="15.75">
      <c r="A23" s="79" t="s">
        <v>625</v>
      </c>
    </row>
    <row r="24" spans="1:11">
      <c r="A24" s="60"/>
    </row>
    <row r="25" spans="1:11" ht="15.75">
      <c r="A25" s="144" t="s">
        <v>414</v>
      </c>
    </row>
    <row r="26" spans="1:11" ht="15.75">
      <c r="A26" s="79" t="s">
        <v>625</v>
      </c>
    </row>
    <row r="27" spans="1:11">
      <c r="A27" s="60"/>
    </row>
    <row r="28" spans="1:11" ht="15.75">
      <c r="A28" s="144" t="s">
        <v>415</v>
      </c>
    </row>
    <row r="29" spans="1:11" ht="15.75">
      <c r="A29" s="79" t="s">
        <v>625</v>
      </c>
    </row>
    <row r="31" spans="1:11" ht="18.75" customHeight="1">
      <c r="A31" s="337" t="s">
        <v>580</v>
      </c>
      <c r="B31" s="12"/>
      <c r="C31" s="12"/>
      <c r="D31" s="12"/>
      <c r="E31" s="12"/>
      <c r="F31" s="12"/>
      <c r="G31" s="12"/>
      <c r="H31" s="12"/>
      <c r="I31" s="12"/>
      <c r="J31" s="12"/>
      <c r="K31" s="12"/>
    </row>
    <row r="32" spans="1:11" ht="9.75" customHeight="1">
      <c r="A32" s="337"/>
      <c r="B32" s="12"/>
      <c r="C32" s="12"/>
      <c r="D32" s="12"/>
      <c r="E32" s="12"/>
      <c r="F32" s="12"/>
      <c r="G32" s="12"/>
      <c r="H32" s="12"/>
      <c r="I32" s="12"/>
      <c r="J32" s="12"/>
      <c r="K32" s="12"/>
    </row>
    <row r="33" spans="1:11" ht="15.75">
      <c r="A33" s="184"/>
      <c r="B33" s="169"/>
      <c r="C33" s="661" t="s">
        <v>56</v>
      </c>
      <c r="D33" s="662"/>
      <c r="E33" s="663" t="s">
        <v>61</v>
      </c>
      <c r="F33" s="661"/>
      <c r="G33" s="662"/>
      <c r="H33" s="193"/>
      <c r="I33" s="193"/>
      <c r="J33" s="193"/>
      <c r="K33" s="193"/>
    </row>
    <row r="34" spans="1:11" ht="15.75">
      <c r="A34" s="12"/>
      <c r="B34" s="12"/>
      <c r="C34" s="184"/>
      <c r="D34" s="170"/>
      <c r="E34" s="410"/>
      <c r="F34" s="170"/>
      <c r="G34" s="184"/>
      <c r="H34" s="12"/>
      <c r="I34" s="58"/>
      <c r="J34" s="58"/>
      <c r="K34" s="93"/>
    </row>
    <row r="35" spans="1:11" ht="15.75">
      <c r="A35" s="12" t="s">
        <v>123</v>
      </c>
      <c r="B35" s="77"/>
      <c r="C35" s="93"/>
      <c r="D35" s="93"/>
      <c r="E35" s="411"/>
      <c r="F35" s="93"/>
      <c r="G35" s="93"/>
      <c r="H35" s="93" t="s">
        <v>66</v>
      </c>
      <c r="I35" s="93" t="s">
        <v>39</v>
      </c>
      <c r="J35" s="93" t="s">
        <v>122</v>
      </c>
      <c r="K35" s="93"/>
    </row>
    <row r="36" spans="1:11" ht="15.75">
      <c r="A36" s="12"/>
      <c r="B36" s="93" t="s">
        <v>54</v>
      </c>
      <c r="C36" s="93" t="s">
        <v>57</v>
      </c>
      <c r="D36" s="186" t="s">
        <v>59</v>
      </c>
      <c r="E36" s="411" t="s">
        <v>389</v>
      </c>
      <c r="F36" s="93" t="s">
        <v>389</v>
      </c>
      <c r="G36" s="93" t="s">
        <v>390</v>
      </c>
      <c r="H36" s="93" t="s">
        <v>69</v>
      </c>
      <c r="I36" s="93" t="s">
        <v>88</v>
      </c>
      <c r="J36" s="93" t="s">
        <v>74</v>
      </c>
      <c r="K36" s="197" t="s">
        <v>38</v>
      </c>
    </row>
    <row r="37" spans="1:11" ht="15.75">
      <c r="A37" s="12"/>
      <c r="B37" s="186" t="s">
        <v>55</v>
      </c>
      <c r="C37" s="93" t="s">
        <v>58</v>
      </c>
      <c r="D37" s="185" t="s">
        <v>60</v>
      </c>
      <c r="E37" s="411" t="s">
        <v>62</v>
      </c>
      <c r="F37" s="93" t="s">
        <v>64</v>
      </c>
      <c r="G37" s="93" t="s">
        <v>65</v>
      </c>
      <c r="H37" s="93" t="s">
        <v>73</v>
      </c>
      <c r="I37" s="93" t="s">
        <v>71</v>
      </c>
      <c r="J37" s="93" t="s">
        <v>71</v>
      </c>
      <c r="K37" s="197" t="s">
        <v>154</v>
      </c>
    </row>
    <row r="38" spans="1:11" ht="15.75">
      <c r="A38" s="12"/>
      <c r="B38" s="77"/>
      <c r="C38" s="186"/>
      <c r="D38" s="185"/>
      <c r="E38" s="411" t="s">
        <v>63</v>
      </c>
      <c r="F38" s="93"/>
      <c r="G38" s="186" t="s">
        <v>64</v>
      </c>
      <c r="H38" s="93" t="s">
        <v>68</v>
      </c>
      <c r="I38" s="93" t="s">
        <v>72</v>
      </c>
      <c r="J38" s="93" t="s">
        <v>72</v>
      </c>
      <c r="K38" s="198" t="s">
        <v>82</v>
      </c>
    </row>
    <row r="39" spans="1:11" ht="15.75">
      <c r="A39" s="46"/>
      <c r="B39" s="74"/>
      <c r="C39" s="191"/>
      <c r="D39" s="192"/>
      <c r="E39" s="412"/>
      <c r="F39" s="192"/>
      <c r="G39" s="191"/>
      <c r="H39" s="190" t="s">
        <v>67</v>
      </c>
      <c r="I39" s="190" t="s">
        <v>70</v>
      </c>
      <c r="J39" s="190" t="s">
        <v>70</v>
      </c>
      <c r="K39" s="190"/>
    </row>
    <row r="40" spans="1:11" ht="3.75" customHeight="1">
      <c r="A40" s="12"/>
      <c r="B40" s="12"/>
      <c r="C40" s="188"/>
      <c r="D40" s="188"/>
      <c r="E40" s="183"/>
      <c r="F40" s="93"/>
      <c r="G40" s="189"/>
      <c r="H40" s="189"/>
      <c r="I40" s="189"/>
      <c r="J40" s="189"/>
      <c r="K40" s="58"/>
    </row>
    <row r="41" spans="1:11" ht="15.75" customHeight="1">
      <c r="A41" s="182"/>
      <c r="B41" s="182"/>
      <c r="C41" s="182"/>
      <c r="D41" s="182"/>
      <c r="E41" s="182"/>
      <c r="F41" s="659" t="s">
        <v>324</v>
      </c>
      <c r="G41" s="659"/>
      <c r="H41" s="659"/>
      <c r="I41" s="659"/>
      <c r="J41" s="659"/>
      <c r="K41" s="659"/>
    </row>
    <row r="42" spans="1:11" ht="15.75">
      <c r="A42" s="378" t="s">
        <v>628</v>
      </c>
      <c r="B42" s="9">
        <v>42</v>
      </c>
      <c r="C42" s="9">
        <v>13</v>
      </c>
      <c r="D42" s="9">
        <v>6</v>
      </c>
      <c r="E42" s="9">
        <v>1</v>
      </c>
      <c r="F42" s="9">
        <v>0</v>
      </c>
      <c r="G42" s="9">
        <v>2</v>
      </c>
      <c r="H42" s="9">
        <v>4</v>
      </c>
      <c r="I42" s="400">
        <v>68</v>
      </c>
      <c r="J42" s="379">
        <v>32</v>
      </c>
      <c r="K42" s="381">
        <v>9838</v>
      </c>
    </row>
    <row r="43" spans="1:11" ht="15.75">
      <c r="A43" s="378" t="s">
        <v>325</v>
      </c>
      <c r="B43" s="378"/>
      <c r="C43" s="378"/>
      <c r="D43" s="378"/>
      <c r="E43" s="378"/>
      <c r="F43" s="378"/>
      <c r="G43" s="378"/>
      <c r="H43" s="378"/>
      <c r="I43" s="400"/>
      <c r="J43" s="378"/>
      <c r="K43" s="381"/>
    </row>
    <row r="44" spans="1:11">
      <c r="A44" s="382" t="s">
        <v>326</v>
      </c>
      <c r="B44" s="9">
        <v>49</v>
      </c>
      <c r="C44" s="9">
        <v>14</v>
      </c>
      <c r="D44" s="9">
        <v>6</v>
      </c>
      <c r="E44" s="9">
        <v>1</v>
      </c>
      <c r="F44" s="9">
        <v>0</v>
      </c>
      <c r="G44" s="9">
        <v>1</v>
      </c>
      <c r="H44" s="9">
        <v>4</v>
      </c>
      <c r="I44" s="400">
        <v>76</v>
      </c>
      <c r="J44" s="379">
        <v>24</v>
      </c>
      <c r="K44" s="381">
        <v>4405</v>
      </c>
    </row>
    <row r="45" spans="1:11">
      <c r="A45" s="382" t="s">
        <v>327</v>
      </c>
      <c r="B45" s="9">
        <v>36</v>
      </c>
      <c r="C45" s="9">
        <v>13</v>
      </c>
      <c r="D45" s="9">
        <v>5</v>
      </c>
      <c r="E45" s="9">
        <v>1</v>
      </c>
      <c r="F45" s="9">
        <v>1</v>
      </c>
      <c r="G45" s="9">
        <v>2</v>
      </c>
      <c r="H45" s="9">
        <v>5</v>
      </c>
      <c r="I45" s="400">
        <v>61</v>
      </c>
      <c r="J45" s="379">
        <v>39</v>
      </c>
      <c r="K45" s="381">
        <v>5433</v>
      </c>
    </row>
    <row r="46" spans="1:11" ht="15.75">
      <c r="A46" s="378" t="s">
        <v>75</v>
      </c>
      <c r="B46" s="378"/>
      <c r="C46" s="378"/>
      <c r="D46" s="378"/>
      <c r="E46" s="378"/>
      <c r="F46" s="378"/>
      <c r="G46" s="378"/>
      <c r="H46" s="378"/>
      <c r="I46" s="400"/>
      <c r="J46" s="378"/>
      <c r="K46" s="381"/>
    </row>
    <row r="47" spans="1:11">
      <c r="A47" s="382" t="s">
        <v>328</v>
      </c>
      <c r="B47" s="9">
        <v>17</v>
      </c>
      <c r="C47" s="9">
        <v>2</v>
      </c>
      <c r="D47" s="35" t="s">
        <v>595</v>
      </c>
      <c r="E47" s="35" t="s">
        <v>595</v>
      </c>
      <c r="F47" s="35">
        <v>0</v>
      </c>
      <c r="G47" s="35">
        <v>2</v>
      </c>
      <c r="H47" s="35" t="s">
        <v>595</v>
      </c>
      <c r="I47" s="400">
        <v>26</v>
      </c>
      <c r="J47" s="379">
        <v>74</v>
      </c>
      <c r="K47" s="381">
        <v>211</v>
      </c>
    </row>
    <row r="48" spans="1:11">
      <c r="A48" s="382" t="s">
        <v>329</v>
      </c>
      <c r="B48" s="9">
        <v>34</v>
      </c>
      <c r="C48" s="9">
        <v>8</v>
      </c>
      <c r="D48" s="9">
        <v>3</v>
      </c>
      <c r="E48" s="9">
        <v>1</v>
      </c>
      <c r="F48" s="9">
        <v>1</v>
      </c>
      <c r="G48" s="9">
        <v>2</v>
      </c>
      <c r="H48" s="9">
        <v>6</v>
      </c>
      <c r="I48" s="400">
        <v>56</v>
      </c>
      <c r="J48" s="379">
        <v>44</v>
      </c>
      <c r="K48" s="381">
        <v>1201</v>
      </c>
    </row>
    <row r="49" spans="1:11">
      <c r="A49" s="382" t="s">
        <v>330</v>
      </c>
      <c r="B49" s="9">
        <v>51</v>
      </c>
      <c r="C49" s="9">
        <v>11</v>
      </c>
      <c r="D49" s="9">
        <v>6</v>
      </c>
      <c r="E49" s="9">
        <v>0</v>
      </c>
      <c r="F49" s="9">
        <v>0</v>
      </c>
      <c r="G49" s="9">
        <v>2</v>
      </c>
      <c r="H49" s="9">
        <v>4</v>
      </c>
      <c r="I49" s="400">
        <v>74</v>
      </c>
      <c r="J49" s="379">
        <v>26</v>
      </c>
      <c r="K49" s="381">
        <v>1337</v>
      </c>
    </row>
    <row r="50" spans="1:11">
      <c r="A50" s="382" t="s">
        <v>331</v>
      </c>
      <c r="B50" s="9">
        <v>57</v>
      </c>
      <c r="C50" s="9">
        <v>13</v>
      </c>
      <c r="D50" s="9">
        <v>5</v>
      </c>
      <c r="E50" s="9">
        <v>1</v>
      </c>
      <c r="F50" s="9">
        <v>0</v>
      </c>
      <c r="G50" s="9">
        <v>1</v>
      </c>
      <c r="H50" s="9">
        <v>3</v>
      </c>
      <c r="I50" s="400">
        <v>80</v>
      </c>
      <c r="J50" s="379">
        <v>20</v>
      </c>
      <c r="K50" s="381">
        <v>1632</v>
      </c>
    </row>
    <row r="51" spans="1:11">
      <c r="A51" s="382" t="s">
        <v>332</v>
      </c>
      <c r="B51" s="9">
        <v>52</v>
      </c>
      <c r="C51" s="9">
        <v>13</v>
      </c>
      <c r="D51" s="9">
        <v>7</v>
      </c>
      <c r="E51" s="9">
        <v>1</v>
      </c>
      <c r="F51" s="35" t="s">
        <v>595</v>
      </c>
      <c r="G51" s="35">
        <v>1</v>
      </c>
      <c r="H51" s="35">
        <v>4</v>
      </c>
      <c r="I51" s="400">
        <v>80</v>
      </c>
      <c r="J51" s="379">
        <v>20</v>
      </c>
      <c r="K51" s="381">
        <v>1754</v>
      </c>
    </row>
    <row r="52" spans="1:11">
      <c r="A52" s="382" t="s">
        <v>333</v>
      </c>
      <c r="B52" s="9">
        <v>39</v>
      </c>
      <c r="C52" s="9">
        <v>20</v>
      </c>
      <c r="D52" s="9">
        <v>7</v>
      </c>
      <c r="E52" s="9">
        <v>1</v>
      </c>
      <c r="F52" s="35">
        <v>1</v>
      </c>
      <c r="G52" s="35">
        <v>1</v>
      </c>
      <c r="H52" s="35">
        <v>5</v>
      </c>
      <c r="I52" s="400">
        <v>74</v>
      </c>
      <c r="J52" s="379">
        <v>26</v>
      </c>
      <c r="K52" s="381">
        <v>1703</v>
      </c>
    </row>
    <row r="53" spans="1:11">
      <c r="A53" s="382" t="s">
        <v>334</v>
      </c>
      <c r="B53" s="9">
        <v>22</v>
      </c>
      <c r="C53" s="9">
        <v>21</v>
      </c>
      <c r="D53" s="9">
        <v>8</v>
      </c>
      <c r="E53" s="9">
        <v>1</v>
      </c>
      <c r="F53" s="35">
        <v>1</v>
      </c>
      <c r="G53" s="35">
        <v>3</v>
      </c>
      <c r="H53" s="35">
        <v>5</v>
      </c>
      <c r="I53" s="400">
        <v>60</v>
      </c>
      <c r="J53" s="379">
        <v>40</v>
      </c>
      <c r="K53" s="381">
        <v>1286</v>
      </c>
    </row>
    <row r="54" spans="1:11">
      <c r="A54" s="382" t="s">
        <v>335</v>
      </c>
      <c r="B54" s="9">
        <v>13</v>
      </c>
      <c r="C54" s="9">
        <v>12</v>
      </c>
      <c r="D54" s="9">
        <v>7</v>
      </c>
      <c r="E54" s="9">
        <v>1</v>
      </c>
      <c r="F54" s="35" t="s">
        <v>595</v>
      </c>
      <c r="G54" s="35">
        <v>1</v>
      </c>
      <c r="H54" s="35">
        <v>7</v>
      </c>
      <c r="I54" s="400">
        <v>41</v>
      </c>
      <c r="J54" s="379">
        <v>59</v>
      </c>
      <c r="K54" s="381">
        <v>714</v>
      </c>
    </row>
    <row r="55" spans="1:11" ht="15.75">
      <c r="A55" s="378" t="s">
        <v>155</v>
      </c>
      <c r="B55" s="378"/>
      <c r="C55" s="378"/>
      <c r="D55" s="378"/>
      <c r="E55" s="378"/>
      <c r="F55" s="565"/>
      <c r="G55" s="565"/>
      <c r="H55" s="565"/>
      <c r="I55" s="380"/>
      <c r="J55" s="378"/>
      <c r="K55" s="381"/>
    </row>
    <row r="56" spans="1:11">
      <c r="A56" s="382" t="s">
        <v>336</v>
      </c>
      <c r="B56" s="9">
        <v>67</v>
      </c>
      <c r="C56" s="9">
        <v>16</v>
      </c>
      <c r="D56" s="9">
        <v>7</v>
      </c>
      <c r="E56" s="9">
        <v>1</v>
      </c>
      <c r="F56" s="35" t="s">
        <v>595</v>
      </c>
      <c r="G56" s="35">
        <v>1</v>
      </c>
      <c r="H56" s="35">
        <v>2</v>
      </c>
      <c r="I56" s="400">
        <v>93</v>
      </c>
      <c r="J56" s="379">
        <v>7</v>
      </c>
      <c r="K56" s="381">
        <v>602</v>
      </c>
    </row>
    <row r="57" spans="1:11">
      <c r="A57" s="382" t="s">
        <v>337</v>
      </c>
      <c r="B57" s="9">
        <v>62</v>
      </c>
      <c r="C57" s="9">
        <v>11</v>
      </c>
      <c r="D57" s="9">
        <v>5</v>
      </c>
      <c r="E57" s="9">
        <v>1</v>
      </c>
      <c r="F57" s="35">
        <v>0</v>
      </c>
      <c r="G57" s="35">
        <v>1</v>
      </c>
      <c r="H57" s="35">
        <v>3</v>
      </c>
      <c r="I57" s="400">
        <v>84</v>
      </c>
      <c r="J57" s="379">
        <v>16</v>
      </c>
      <c r="K57" s="381">
        <v>3249</v>
      </c>
    </row>
    <row r="58" spans="1:11">
      <c r="A58" s="382" t="s">
        <v>338</v>
      </c>
      <c r="B58" s="9">
        <v>45</v>
      </c>
      <c r="C58" s="9">
        <v>13</v>
      </c>
      <c r="D58" s="9">
        <v>3</v>
      </c>
      <c r="E58" s="9">
        <v>1</v>
      </c>
      <c r="F58" s="35" t="s">
        <v>595</v>
      </c>
      <c r="G58" s="35">
        <v>1</v>
      </c>
      <c r="H58" s="35">
        <v>4</v>
      </c>
      <c r="I58" s="400">
        <v>67</v>
      </c>
      <c r="J58" s="379">
        <v>33</v>
      </c>
      <c r="K58" s="381">
        <v>993</v>
      </c>
    </row>
    <row r="59" spans="1:11" ht="17.25" customHeight="1">
      <c r="A59" s="382" t="s">
        <v>339</v>
      </c>
      <c r="B59" s="9">
        <v>32</v>
      </c>
      <c r="C59" s="9">
        <v>13</v>
      </c>
      <c r="D59" s="9">
        <v>4</v>
      </c>
      <c r="E59" s="9">
        <v>1</v>
      </c>
      <c r="F59" s="35">
        <v>0</v>
      </c>
      <c r="G59" s="35">
        <v>1</v>
      </c>
      <c r="H59" s="35">
        <v>3</v>
      </c>
      <c r="I59" s="400">
        <v>55</v>
      </c>
      <c r="J59" s="379">
        <v>45</v>
      </c>
      <c r="K59" s="381">
        <v>538</v>
      </c>
    </row>
    <row r="60" spans="1:11">
      <c r="A60" s="382" t="s">
        <v>340</v>
      </c>
      <c r="B60" s="9">
        <v>24</v>
      </c>
      <c r="C60" s="9">
        <v>20</v>
      </c>
      <c r="D60" s="9">
        <v>8</v>
      </c>
      <c r="E60" s="9">
        <v>1</v>
      </c>
      <c r="F60" s="35">
        <v>1</v>
      </c>
      <c r="G60" s="35">
        <v>2</v>
      </c>
      <c r="H60" s="35">
        <v>5</v>
      </c>
      <c r="I60" s="400">
        <v>62</v>
      </c>
      <c r="J60" s="379">
        <v>38</v>
      </c>
      <c r="K60" s="381">
        <v>3128</v>
      </c>
    </row>
    <row r="61" spans="1:11">
      <c r="A61" s="382" t="s">
        <v>341</v>
      </c>
      <c r="B61" s="9">
        <v>11</v>
      </c>
      <c r="C61" s="9">
        <v>6</v>
      </c>
      <c r="D61" s="9">
        <v>3</v>
      </c>
      <c r="E61" s="35" t="s">
        <v>595</v>
      </c>
      <c r="F61" s="35" t="s">
        <v>595</v>
      </c>
      <c r="G61" s="35">
        <v>2</v>
      </c>
      <c r="H61" s="35">
        <v>9</v>
      </c>
      <c r="I61" s="400">
        <v>32</v>
      </c>
      <c r="J61" s="379">
        <v>68</v>
      </c>
      <c r="K61" s="381">
        <v>475</v>
      </c>
    </row>
    <row r="62" spans="1:11">
      <c r="A62" s="382" t="s">
        <v>342</v>
      </c>
      <c r="B62" s="9">
        <v>13</v>
      </c>
      <c r="C62" s="9">
        <v>6</v>
      </c>
      <c r="D62" s="9">
        <v>4</v>
      </c>
      <c r="E62" s="9">
        <v>2</v>
      </c>
      <c r="F62" s="35">
        <v>2</v>
      </c>
      <c r="G62" s="35">
        <v>5</v>
      </c>
      <c r="H62" s="35">
        <v>9</v>
      </c>
      <c r="I62" s="400">
        <v>41</v>
      </c>
      <c r="J62" s="379">
        <v>59</v>
      </c>
      <c r="K62" s="381">
        <v>278</v>
      </c>
    </row>
    <row r="63" spans="1:11">
      <c r="A63" s="382" t="s">
        <v>343</v>
      </c>
      <c r="B63" s="9">
        <v>11</v>
      </c>
      <c r="C63" s="9">
        <v>9</v>
      </c>
      <c r="D63" s="9">
        <v>5</v>
      </c>
      <c r="E63" s="35" t="s">
        <v>595</v>
      </c>
      <c r="F63" s="35">
        <v>0</v>
      </c>
      <c r="G63" s="35">
        <v>3</v>
      </c>
      <c r="H63" s="35">
        <v>11</v>
      </c>
      <c r="I63" s="400">
        <v>40</v>
      </c>
      <c r="J63" s="379">
        <v>60</v>
      </c>
      <c r="K63" s="381">
        <v>455</v>
      </c>
    </row>
    <row r="64" spans="1:11" ht="15.75" customHeight="1">
      <c r="A64" s="660" t="s">
        <v>152</v>
      </c>
      <c r="B64" s="660"/>
      <c r="C64" s="660"/>
      <c r="D64" s="660"/>
      <c r="E64" s="660"/>
      <c r="F64" s="565"/>
      <c r="G64" s="565"/>
      <c r="H64" s="565"/>
      <c r="I64" s="380"/>
      <c r="J64" s="379"/>
      <c r="K64" s="381"/>
    </row>
    <row r="65" spans="1:12">
      <c r="A65" s="382" t="s">
        <v>344</v>
      </c>
      <c r="B65" s="9">
        <v>18</v>
      </c>
      <c r="C65" s="9">
        <v>11</v>
      </c>
      <c r="D65" s="9">
        <v>5</v>
      </c>
      <c r="E65" s="9">
        <v>1</v>
      </c>
      <c r="F65" s="35">
        <v>1</v>
      </c>
      <c r="G65" s="35">
        <v>3</v>
      </c>
      <c r="H65" s="35">
        <v>8</v>
      </c>
      <c r="I65" s="400">
        <v>47</v>
      </c>
      <c r="J65" s="379">
        <v>53</v>
      </c>
      <c r="K65" s="381">
        <v>1316</v>
      </c>
    </row>
    <row r="66" spans="1:12">
      <c r="A66" s="382" t="s">
        <v>345</v>
      </c>
      <c r="B66" s="9">
        <v>25</v>
      </c>
      <c r="C66" s="9">
        <v>10</v>
      </c>
      <c r="D66" s="9">
        <v>7</v>
      </c>
      <c r="E66" s="9">
        <v>1</v>
      </c>
      <c r="F66" s="35">
        <v>0</v>
      </c>
      <c r="G66" s="35">
        <v>2</v>
      </c>
      <c r="H66" s="35">
        <v>7</v>
      </c>
      <c r="I66" s="400">
        <v>52</v>
      </c>
      <c r="J66" s="379">
        <v>48</v>
      </c>
      <c r="K66" s="381">
        <v>1852</v>
      </c>
    </row>
    <row r="67" spans="1:12">
      <c r="A67" s="382" t="s">
        <v>346</v>
      </c>
      <c r="B67" s="9">
        <v>32</v>
      </c>
      <c r="C67" s="9">
        <v>13</v>
      </c>
      <c r="D67" s="9">
        <v>5</v>
      </c>
      <c r="E67" s="9">
        <v>1</v>
      </c>
      <c r="F67" s="35">
        <v>1</v>
      </c>
      <c r="G67" s="35">
        <v>2</v>
      </c>
      <c r="H67" s="35">
        <v>5</v>
      </c>
      <c r="I67" s="400">
        <v>58</v>
      </c>
      <c r="J67" s="379">
        <v>42</v>
      </c>
      <c r="K67" s="381">
        <v>1516</v>
      </c>
    </row>
    <row r="68" spans="1:12">
      <c r="A68" s="382" t="s">
        <v>347</v>
      </c>
      <c r="B68" s="9">
        <v>39</v>
      </c>
      <c r="C68" s="9">
        <v>13</v>
      </c>
      <c r="D68" s="9">
        <v>5</v>
      </c>
      <c r="E68" s="9">
        <v>2</v>
      </c>
      <c r="F68" s="35">
        <v>0</v>
      </c>
      <c r="G68" s="35">
        <v>2</v>
      </c>
      <c r="H68" s="35">
        <v>4</v>
      </c>
      <c r="I68" s="400">
        <v>65</v>
      </c>
      <c r="J68" s="379">
        <v>35</v>
      </c>
      <c r="K68" s="381">
        <v>1170</v>
      </c>
    </row>
    <row r="69" spans="1:12" ht="15" customHeight="1">
      <c r="A69" s="382" t="s">
        <v>348</v>
      </c>
      <c r="B69" s="9">
        <v>46</v>
      </c>
      <c r="C69" s="9">
        <v>15</v>
      </c>
      <c r="D69" s="9">
        <v>6</v>
      </c>
      <c r="E69" s="9">
        <v>2</v>
      </c>
      <c r="F69" s="35">
        <v>1</v>
      </c>
      <c r="G69" s="35">
        <v>1</v>
      </c>
      <c r="H69" s="35">
        <v>3</v>
      </c>
      <c r="I69" s="400">
        <v>75</v>
      </c>
      <c r="J69" s="379">
        <v>25</v>
      </c>
      <c r="K69" s="381">
        <v>896</v>
      </c>
    </row>
    <row r="70" spans="1:12" ht="15" customHeight="1">
      <c r="A70" s="382" t="s">
        <v>349</v>
      </c>
      <c r="B70" s="9">
        <v>57</v>
      </c>
      <c r="C70" s="9">
        <v>14</v>
      </c>
      <c r="D70" s="9">
        <v>5</v>
      </c>
      <c r="E70" s="35" t="s">
        <v>595</v>
      </c>
      <c r="F70" s="35">
        <v>0</v>
      </c>
      <c r="G70" s="35">
        <v>1</v>
      </c>
      <c r="H70" s="35">
        <v>3</v>
      </c>
      <c r="I70" s="400">
        <v>81</v>
      </c>
      <c r="J70" s="379">
        <v>19</v>
      </c>
      <c r="K70" s="381">
        <v>1232</v>
      </c>
    </row>
    <row r="71" spans="1:12" ht="15" customHeight="1">
      <c r="A71" s="382" t="s">
        <v>350</v>
      </c>
      <c r="B71" s="9">
        <v>65</v>
      </c>
      <c r="C71" s="9">
        <v>15</v>
      </c>
      <c r="D71" s="9">
        <v>6</v>
      </c>
      <c r="E71" s="9">
        <v>1</v>
      </c>
      <c r="F71" s="35" t="s">
        <v>595</v>
      </c>
      <c r="G71" s="35">
        <v>1</v>
      </c>
      <c r="H71" s="35">
        <v>2</v>
      </c>
      <c r="I71" s="400">
        <v>90</v>
      </c>
      <c r="J71" s="379">
        <v>10</v>
      </c>
      <c r="K71" s="381">
        <v>1556</v>
      </c>
    </row>
    <row r="72" spans="1:12" ht="15.75" customHeight="1">
      <c r="A72" s="660" t="s">
        <v>351</v>
      </c>
      <c r="B72" s="660"/>
      <c r="C72" s="660"/>
      <c r="D72" s="660"/>
      <c r="E72" s="660"/>
      <c r="F72" s="566"/>
      <c r="G72" s="566"/>
      <c r="H72" s="566"/>
      <c r="I72" s="400"/>
      <c r="J72" s="379"/>
      <c r="K72" s="381"/>
      <c r="L72" s="12"/>
    </row>
    <row r="73" spans="1:12">
      <c r="A73" s="382" t="s">
        <v>391</v>
      </c>
      <c r="B73" s="12">
        <v>27</v>
      </c>
      <c r="C73" s="9">
        <v>8</v>
      </c>
      <c r="D73" s="9">
        <v>3</v>
      </c>
      <c r="E73" s="9">
        <v>0</v>
      </c>
      <c r="F73" s="35" t="s">
        <v>595</v>
      </c>
      <c r="G73" s="35">
        <v>1</v>
      </c>
      <c r="H73" s="35">
        <v>5</v>
      </c>
      <c r="I73" s="400">
        <v>44</v>
      </c>
      <c r="J73" s="379">
        <v>56</v>
      </c>
      <c r="K73" s="381">
        <v>1874</v>
      </c>
    </row>
    <row r="74" spans="1:12">
      <c r="A74" s="384">
        <v>2</v>
      </c>
      <c r="B74" s="12">
        <v>36</v>
      </c>
      <c r="C74" s="9">
        <v>11</v>
      </c>
      <c r="D74" s="9">
        <v>5</v>
      </c>
      <c r="E74" s="9">
        <v>1</v>
      </c>
      <c r="F74" s="35">
        <v>1</v>
      </c>
      <c r="G74" s="35">
        <v>2</v>
      </c>
      <c r="H74" s="35">
        <v>5</v>
      </c>
      <c r="I74" s="400">
        <v>61</v>
      </c>
      <c r="J74" s="379">
        <v>39</v>
      </c>
      <c r="K74" s="381">
        <v>2012</v>
      </c>
    </row>
    <row r="75" spans="1:12">
      <c r="A75" s="384">
        <v>3</v>
      </c>
      <c r="B75" s="12">
        <v>46</v>
      </c>
      <c r="C75" s="9">
        <v>14</v>
      </c>
      <c r="D75" s="9">
        <v>6</v>
      </c>
      <c r="E75" s="9">
        <v>1</v>
      </c>
      <c r="F75" s="35">
        <v>1</v>
      </c>
      <c r="G75" s="35">
        <v>2</v>
      </c>
      <c r="H75" s="35">
        <v>4</v>
      </c>
      <c r="I75" s="400">
        <v>73</v>
      </c>
      <c r="J75" s="379">
        <v>27</v>
      </c>
      <c r="K75" s="381">
        <v>2125</v>
      </c>
    </row>
    <row r="76" spans="1:12">
      <c r="A76" s="384">
        <v>4</v>
      </c>
      <c r="B76" s="12">
        <v>51</v>
      </c>
      <c r="C76" s="9">
        <v>15</v>
      </c>
      <c r="D76" s="9">
        <v>7</v>
      </c>
      <c r="E76" s="9">
        <v>1</v>
      </c>
      <c r="F76" s="35">
        <v>0</v>
      </c>
      <c r="G76" s="35">
        <v>1</v>
      </c>
      <c r="H76" s="35">
        <v>4</v>
      </c>
      <c r="I76" s="400">
        <v>79</v>
      </c>
      <c r="J76" s="379">
        <v>21</v>
      </c>
      <c r="K76" s="381">
        <v>2080</v>
      </c>
    </row>
    <row r="77" spans="1:12" ht="15" customHeight="1">
      <c r="A77" s="382" t="s">
        <v>392</v>
      </c>
      <c r="B77" s="12">
        <v>50</v>
      </c>
      <c r="C77" s="9">
        <v>19</v>
      </c>
      <c r="D77" s="9">
        <v>7</v>
      </c>
      <c r="E77" s="9">
        <v>1</v>
      </c>
      <c r="F77" s="35">
        <v>1</v>
      </c>
      <c r="G77" s="35">
        <v>2</v>
      </c>
      <c r="H77" s="35">
        <v>4</v>
      </c>
      <c r="I77" s="400">
        <v>84</v>
      </c>
      <c r="J77" s="379">
        <v>16</v>
      </c>
      <c r="K77" s="381">
        <v>1747</v>
      </c>
    </row>
    <row r="78" spans="1:12" ht="15" customHeight="1">
      <c r="A78" s="378" t="s">
        <v>354</v>
      </c>
      <c r="B78" s="383"/>
      <c r="C78" s="383"/>
      <c r="D78" s="383"/>
      <c r="E78" s="383"/>
      <c r="F78" s="566"/>
      <c r="G78" s="566"/>
      <c r="H78" s="566"/>
      <c r="I78" s="400"/>
      <c r="J78" s="379"/>
      <c r="K78" s="381"/>
      <c r="L78" s="12"/>
    </row>
    <row r="79" spans="1:12" ht="15" customHeight="1">
      <c r="A79" s="382" t="s">
        <v>355</v>
      </c>
      <c r="B79" s="12">
        <v>34</v>
      </c>
      <c r="C79" s="9">
        <v>12</v>
      </c>
      <c r="D79" s="9">
        <v>6</v>
      </c>
      <c r="E79" s="9">
        <v>1</v>
      </c>
      <c r="F79" s="35">
        <v>1</v>
      </c>
      <c r="G79" s="35">
        <v>2</v>
      </c>
      <c r="H79" s="35">
        <v>6</v>
      </c>
      <c r="I79" s="400">
        <v>61</v>
      </c>
      <c r="J79" s="379">
        <v>39</v>
      </c>
      <c r="K79" s="381">
        <v>3279</v>
      </c>
    </row>
    <row r="80" spans="1:12" ht="15" customHeight="1">
      <c r="A80" s="382" t="s">
        <v>356</v>
      </c>
      <c r="B80" s="12">
        <v>42</v>
      </c>
      <c r="C80" s="9">
        <v>13</v>
      </c>
      <c r="D80" s="9">
        <v>4</v>
      </c>
      <c r="E80" s="9">
        <v>1</v>
      </c>
      <c r="F80" s="35">
        <v>0</v>
      </c>
      <c r="G80" s="35">
        <v>1</v>
      </c>
      <c r="H80" s="35">
        <v>4</v>
      </c>
      <c r="I80" s="400">
        <v>66</v>
      </c>
      <c r="J80" s="379">
        <v>34</v>
      </c>
      <c r="K80" s="381">
        <v>2977</v>
      </c>
    </row>
    <row r="81" spans="1:11" ht="15" customHeight="1">
      <c r="A81" s="382" t="s">
        <v>357</v>
      </c>
      <c r="B81" s="9">
        <v>47</v>
      </c>
      <c r="C81" s="9">
        <v>15</v>
      </c>
      <c r="D81" s="9">
        <v>5</v>
      </c>
      <c r="E81" s="9">
        <v>1</v>
      </c>
      <c r="F81" s="35" t="s">
        <v>595</v>
      </c>
      <c r="G81" s="35">
        <v>1</v>
      </c>
      <c r="H81" s="35">
        <v>4</v>
      </c>
      <c r="I81" s="400">
        <v>73</v>
      </c>
      <c r="J81" s="379">
        <v>27</v>
      </c>
      <c r="K81" s="381">
        <v>899</v>
      </c>
    </row>
    <row r="82" spans="1:11" ht="15" customHeight="1">
      <c r="A82" s="382" t="s">
        <v>358</v>
      </c>
      <c r="B82" s="9">
        <v>43</v>
      </c>
      <c r="C82" s="9">
        <v>14</v>
      </c>
      <c r="D82" s="9">
        <v>7</v>
      </c>
      <c r="E82" s="9">
        <v>1</v>
      </c>
      <c r="F82" s="35" t="s">
        <v>595</v>
      </c>
      <c r="G82" s="35">
        <v>1</v>
      </c>
      <c r="H82" s="35">
        <v>3</v>
      </c>
      <c r="I82" s="400">
        <v>71</v>
      </c>
      <c r="J82" s="379">
        <v>29</v>
      </c>
      <c r="K82" s="381">
        <v>608</v>
      </c>
    </row>
    <row r="83" spans="1:11" ht="15" customHeight="1">
      <c r="A83" s="382" t="s">
        <v>359</v>
      </c>
      <c r="B83" s="9">
        <v>57</v>
      </c>
      <c r="C83" s="9">
        <v>16</v>
      </c>
      <c r="D83" s="9">
        <v>7</v>
      </c>
      <c r="E83" s="9">
        <v>1</v>
      </c>
      <c r="F83" s="35" t="s">
        <v>595</v>
      </c>
      <c r="G83" s="35">
        <v>1</v>
      </c>
      <c r="H83" s="35">
        <v>3</v>
      </c>
      <c r="I83" s="400">
        <v>85</v>
      </c>
      <c r="J83" s="379">
        <v>15</v>
      </c>
      <c r="K83" s="381">
        <v>1048</v>
      </c>
    </row>
    <row r="84" spans="1:11" ht="15" customHeight="1">
      <c r="A84" s="385" t="s">
        <v>360</v>
      </c>
      <c r="B84" s="46">
        <v>58</v>
      </c>
      <c r="C84" s="46">
        <v>16</v>
      </c>
      <c r="D84" s="46">
        <v>8</v>
      </c>
      <c r="E84" s="46">
        <v>1</v>
      </c>
      <c r="F84" s="171">
        <v>0</v>
      </c>
      <c r="G84" s="171">
        <v>1</v>
      </c>
      <c r="H84" s="171">
        <v>2</v>
      </c>
      <c r="I84" s="478">
        <v>87</v>
      </c>
      <c r="J84" s="479">
        <v>13</v>
      </c>
      <c r="K84" s="480">
        <v>1027</v>
      </c>
    </row>
    <row r="85" spans="1:11" ht="15" customHeight="1">
      <c r="A85" s="179" t="s">
        <v>622</v>
      </c>
      <c r="B85" s="12"/>
      <c r="C85" s="12"/>
      <c r="D85" s="12"/>
      <c r="E85" s="12"/>
      <c r="F85" s="87"/>
      <c r="G85" s="87"/>
      <c r="H85" s="87"/>
      <c r="I85" s="601"/>
      <c r="J85" s="481"/>
      <c r="K85" s="474"/>
    </row>
    <row r="86" spans="1:11" s="7" customFormat="1" ht="15" customHeight="1">
      <c r="A86" s="658" t="s">
        <v>361</v>
      </c>
      <c r="B86" s="658"/>
      <c r="C86" s="658"/>
      <c r="D86" s="658"/>
      <c r="E86" s="658"/>
      <c r="F86" s="658"/>
      <c r="G86" s="658"/>
      <c r="J86" s="166"/>
    </row>
    <row r="87" spans="1:11">
      <c r="A87" s="1" t="s">
        <v>599</v>
      </c>
      <c r="B87" s="12"/>
      <c r="C87" s="12"/>
      <c r="D87" s="12"/>
      <c r="E87" s="12"/>
      <c r="F87" s="12"/>
      <c r="G87" s="12"/>
      <c r="H87" s="29"/>
      <c r="I87" s="29"/>
      <c r="J87" s="29"/>
    </row>
  </sheetData>
  <mergeCells count="6">
    <mergeCell ref="A86:G86"/>
    <mergeCell ref="F41:K41"/>
    <mergeCell ref="A72:E72"/>
    <mergeCell ref="C33:D33"/>
    <mergeCell ref="E33:G33"/>
    <mergeCell ref="A64:E64"/>
  </mergeCells>
  <phoneticPr fontId="0" type="noConversion"/>
  <pageMargins left="0.74803149606299213" right="0.55118110236220474" top="0.98425196850393704" bottom="0.98425196850393704" header="0.51181102362204722" footer="0.51181102362204722"/>
  <pageSetup paperSize="9" scale="54" orientation="portrait" horizontalDpi="4294967292" verticalDpi="300" r:id="rId1"/>
  <headerFooter alignWithMargins="0">
    <oddHeader>&amp;R&amp;"Arial,Bold"&amp;16PERSONAL AND CROSS-MODAL TRAVEL</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zoomScale="75" zoomScaleNormal="75" workbookViewId="0"/>
  </sheetViews>
  <sheetFormatPr defaultRowHeight="15"/>
  <cols>
    <col min="1" max="1" width="33.85546875" style="9" customWidth="1"/>
    <col min="2" max="2" width="8.5703125" style="9" customWidth="1"/>
    <col min="3" max="3" width="8.140625" style="9" customWidth="1"/>
    <col min="4" max="4" width="7.42578125" style="9" customWidth="1"/>
    <col min="5" max="5" width="7.85546875" style="9" customWidth="1"/>
    <col min="6" max="6" width="7.7109375" style="9" customWidth="1"/>
    <col min="7" max="7" width="9.85546875" style="9" customWidth="1"/>
    <col min="8" max="8" width="8" style="9" customWidth="1"/>
    <col min="9" max="9" width="6.5703125" style="9" customWidth="1"/>
    <col min="10" max="11" width="7.42578125" style="9" customWidth="1"/>
    <col min="12" max="12" width="11.7109375" style="9" customWidth="1"/>
    <col min="13" max="13" width="10.5703125" style="9" customWidth="1"/>
    <col min="14" max="16384" width="9.140625" style="9"/>
  </cols>
  <sheetData>
    <row r="1" spans="1:18" ht="18.75">
      <c r="A1" s="58" t="s">
        <v>596</v>
      </c>
      <c r="B1" s="12"/>
      <c r="C1" s="12"/>
      <c r="D1" s="12"/>
      <c r="E1" s="12"/>
      <c r="F1" s="12"/>
      <c r="G1" s="12"/>
      <c r="H1" s="12"/>
      <c r="I1" s="12"/>
      <c r="J1" s="12" t="s">
        <v>123</v>
      </c>
      <c r="L1" s="12"/>
    </row>
    <row r="2" spans="1:18" ht="15.75">
      <c r="A2" s="170"/>
      <c r="B2" s="664" t="s">
        <v>76</v>
      </c>
      <c r="C2" s="664"/>
      <c r="D2" s="664"/>
      <c r="E2" s="664"/>
      <c r="F2" s="665"/>
      <c r="G2" s="199" t="s">
        <v>83</v>
      </c>
      <c r="H2" s="667" t="s">
        <v>81</v>
      </c>
      <c r="I2" s="668"/>
      <c r="J2" s="668"/>
      <c r="K2" s="668"/>
      <c r="L2" s="668"/>
      <c r="M2" s="196" t="s">
        <v>83</v>
      </c>
      <c r="N2" s="344"/>
      <c r="O2" s="93"/>
      <c r="P2" s="343"/>
      <c r="Q2" s="343"/>
      <c r="R2" s="343"/>
    </row>
    <row r="3" spans="1:18" ht="18.75">
      <c r="A3" s="58"/>
      <c r="B3" s="666"/>
      <c r="C3" s="666"/>
      <c r="D3" s="666"/>
      <c r="E3" s="666"/>
      <c r="F3" s="666"/>
      <c r="G3" s="54" t="s">
        <v>187</v>
      </c>
      <c r="H3" s="669" t="s">
        <v>551</v>
      </c>
      <c r="I3" s="670"/>
      <c r="J3" s="670"/>
      <c r="K3" s="670"/>
      <c r="L3" s="670"/>
      <c r="M3" s="197" t="s">
        <v>187</v>
      </c>
      <c r="N3" s="93"/>
      <c r="O3" s="93"/>
      <c r="P3" s="93"/>
      <c r="Q3" s="93"/>
      <c r="R3" s="93"/>
    </row>
    <row r="4" spans="1:18" ht="15.75">
      <c r="A4" s="58"/>
      <c r="B4" s="671"/>
      <c r="C4" s="671"/>
      <c r="D4" s="671"/>
      <c r="E4" s="671"/>
      <c r="F4" s="672"/>
      <c r="G4" s="200" t="s">
        <v>82</v>
      </c>
      <c r="H4" s="510"/>
      <c r="I4" s="509"/>
      <c r="J4" s="195"/>
      <c r="K4" s="195"/>
      <c r="L4" s="46"/>
      <c r="M4" s="197" t="s">
        <v>82</v>
      </c>
      <c r="P4" s="12"/>
    </row>
    <row r="5" spans="1:18" ht="15.75">
      <c r="A5" s="58"/>
      <c r="B5" s="673" t="s">
        <v>77</v>
      </c>
      <c r="C5" s="675" t="s">
        <v>78</v>
      </c>
      <c r="D5" s="677" t="s">
        <v>79</v>
      </c>
      <c r="E5" s="677" t="s">
        <v>80</v>
      </c>
      <c r="F5" s="199" t="s">
        <v>125</v>
      </c>
      <c r="G5" s="12"/>
      <c r="H5" s="679" t="s">
        <v>77</v>
      </c>
      <c r="I5" s="675" t="s">
        <v>78</v>
      </c>
      <c r="J5" s="677" t="s">
        <v>79</v>
      </c>
      <c r="K5" s="677" t="s">
        <v>80</v>
      </c>
      <c r="L5" s="199" t="s">
        <v>125</v>
      </c>
    </row>
    <row r="6" spans="1:18" ht="15.75">
      <c r="A6" s="195"/>
      <c r="B6" s="674"/>
      <c r="C6" s="676"/>
      <c r="D6" s="678"/>
      <c r="E6" s="678"/>
      <c r="F6" s="190" t="s">
        <v>124</v>
      </c>
      <c r="G6" s="12"/>
      <c r="H6" s="680"/>
      <c r="I6" s="676"/>
      <c r="J6" s="678"/>
      <c r="K6" s="678"/>
      <c r="L6" s="190" t="s">
        <v>124</v>
      </c>
    </row>
    <row r="7" spans="1:18">
      <c r="B7" s="12"/>
      <c r="C7" s="12"/>
      <c r="D7" s="12"/>
      <c r="E7" s="12"/>
      <c r="F7" s="12"/>
      <c r="G7" s="12"/>
      <c r="H7" s="502"/>
      <c r="J7" s="49"/>
      <c r="K7" s="49"/>
      <c r="L7" s="681" t="s">
        <v>89</v>
      </c>
      <c r="M7" s="682"/>
      <c r="N7" s="49"/>
      <c r="O7" s="49"/>
    </row>
    <row r="8" spans="1:18" ht="6" customHeight="1">
      <c r="B8" s="12"/>
      <c r="C8" s="12"/>
      <c r="D8" s="12"/>
      <c r="E8" s="12"/>
      <c r="F8" s="12"/>
      <c r="G8" s="12"/>
      <c r="H8" s="502"/>
      <c r="J8" s="31"/>
      <c r="L8" s="47"/>
    </row>
    <row r="9" spans="1:18" ht="15.75">
      <c r="A9" s="377" t="s">
        <v>539</v>
      </c>
      <c r="B9" s="481">
        <v>34</v>
      </c>
      <c r="C9" s="481">
        <v>20</v>
      </c>
      <c r="D9" s="481">
        <v>23</v>
      </c>
      <c r="E9" s="481">
        <v>23</v>
      </c>
      <c r="F9" s="481">
        <v>66</v>
      </c>
      <c r="G9" s="506">
        <v>9841</v>
      </c>
      <c r="H9" s="503">
        <v>45</v>
      </c>
      <c r="I9" s="379">
        <v>19</v>
      </c>
      <c r="J9" s="379">
        <v>17</v>
      </c>
      <c r="K9" s="481">
        <v>19</v>
      </c>
      <c r="L9" s="474">
        <v>55</v>
      </c>
      <c r="M9" s="506">
        <v>9805</v>
      </c>
    </row>
    <row r="10" spans="1:18" ht="15.75">
      <c r="A10" s="377" t="s">
        <v>325</v>
      </c>
      <c r="B10" s="475"/>
      <c r="C10" s="475"/>
      <c r="D10" s="475"/>
      <c r="E10" s="475"/>
      <c r="F10" s="481"/>
      <c r="G10" s="507"/>
      <c r="H10" s="504"/>
      <c r="I10" s="482"/>
      <c r="J10" s="482"/>
      <c r="K10" s="481"/>
      <c r="L10" s="483"/>
      <c r="M10" s="507"/>
    </row>
    <row r="11" spans="1:18">
      <c r="A11" s="386" t="s">
        <v>326</v>
      </c>
      <c r="B11" s="481">
        <v>34</v>
      </c>
      <c r="C11" s="481">
        <v>19</v>
      </c>
      <c r="D11" s="481">
        <v>23</v>
      </c>
      <c r="E11" s="481">
        <v>24</v>
      </c>
      <c r="F11" s="481">
        <v>66</v>
      </c>
      <c r="G11" s="506">
        <v>4383</v>
      </c>
      <c r="H11" s="503">
        <v>44</v>
      </c>
      <c r="I11" s="379">
        <v>20</v>
      </c>
      <c r="J11" s="379">
        <v>16</v>
      </c>
      <c r="K11" s="481">
        <v>20</v>
      </c>
      <c r="L11" s="474">
        <v>56</v>
      </c>
      <c r="M11" s="506">
        <v>4369</v>
      </c>
    </row>
    <row r="12" spans="1:18">
      <c r="A12" s="386" t="s">
        <v>327</v>
      </c>
      <c r="B12" s="481">
        <v>35</v>
      </c>
      <c r="C12" s="481">
        <v>20</v>
      </c>
      <c r="D12" s="481">
        <v>24</v>
      </c>
      <c r="E12" s="481">
        <v>21</v>
      </c>
      <c r="F12" s="481">
        <v>65</v>
      </c>
      <c r="G12" s="506">
        <v>5458</v>
      </c>
      <c r="H12" s="503">
        <v>46</v>
      </c>
      <c r="I12" s="379">
        <v>18</v>
      </c>
      <c r="J12" s="379">
        <v>17</v>
      </c>
      <c r="K12" s="481">
        <v>19</v>
      </c>
      <c r="L12" s="474">
        <v>54</v>
      </c>
      <c r="M12" s="506">
        <v>5436</v>
      </c>
    </row>
    <row r="13" spans="1:18" ht="15.75">
      <c r="A13" s="377" t="s">
        <v>75</v>
      </c>
      <c r="B13" s="475"/>
      <c r="C13" s="475"/>
      <c r="D13" s="475"/>
      <c r="E13" s="475"/>
      <c r="F13" s="481"/>
      <c r="G13" s="507"/>
      <c r="H13" s="504"/>
      <c r="I13" s="482"/>
      <c r="J13" s="482"/>
      <c r="K13" s="481"/>
      <c r="M13" s="507"/>
    </row>
    <row r="14" spans="1:18">
      <c r="A14" s="386" t="s">
        <v>362</v>
      </c>
      <c r="B14" s="481">
        <v>18</v>
      </c>
      <c r="C14" s="481">
        <v>19</v>
      </c>
      <c r="D14" s="481">
        <v>34</v>
      </c>
      <c r="E14" s="481">
        <v>29</v>
      </c>
      <c r="F14" s="481">
        <v>82</v>
      </c>
      <c r="G14" s="506">
        <v>272</v>
      </c>
      <c r="H14" s="503">
        <v>39</v>
      </c>
      <c r="I14" s="379">
        <v>21</v>
      </c>
      <c r="J14" s="379">
        <v>22</v>
      </c>
      <c r="K14" s="481">
        <v>19</v>
      </c>
      <c r="L14" s="484">
        <v>61</v>
      </c>
      <c r="M14" s="506">
        <v>272</v>
      </c>
    </row>
    <row r="15" spans="1:18">
      <c r="A15" s="386" t="s">
        <v>329</v>
      </c>
      <c r="B15" s="481">
        <v>22</v>
      </c>
      <c r="C15" s="481">
        <v>18</v>
      </c>
      <c r="D15" s="481">
        <v>28</v>
      </c>
      <c r="E15" s="481">
        <v>31</v>
      </c>
      <c r="F15" s="481">
        <v>78</v>
      </c>
      <c r="G15" s="506">
        <v>1148</v>
      </c>
      <c r="H15" s="503">
        <v>43</v>
      </c>
      <c r="I15" s="379">
        <v>21</v>
      </c>
      <c r="J15" s="379">
        <v>19</v>
      </c>
      <c r="K15" s="481">
        <v>18</v>
      </c>
      <c r="L15" s="474">
        <v>57</v>
      </c>
      <c r="M15" s="506">
        <v>1137</v>
      </c>
    </row>
    <row r="16" spans="1:18">
      <c r="A16" s="386" t="s">
        <v>330</v>
      </c>
      <c r="B16" s="481">
        <v>29</v>
      </c>
      <c r="C16" s="481">
        <v>20</v>
      </c>
      <c r="D16" s="481">
        <v>24</v>
      </c>
      <c r="E16" s="481">
        <v>27</v>
      </c>
      <c r="F16" s="481">
        <v>71</v>
      </c>
      <c r="G16" s="506">
        <v>1458</v>
      </c>
      <c r="H16" s="503">
        <v>39</v>
      </c>
      <c r="I16" s="379">
        <v>22</v>
      </c>
      <c r="J16" s="379">
        <v>18</v>
      </c>
      <c r="K16" s="481">
        <v>21</v>
      </c>
      <c r="L16" s="474">
        <v>61</v>
      </c>
      <c r="M16" s="506">
        <v>1448</v>
      </c>
    </row>
    <row r="17" spans="1:13">
      <c r="A17" s="386" t="s">
        <v>331</v>
      </c>
      <c r="B17" s="481">
        <v>35</v>
      </c>
      <c r="C17" s="481">
        <v>24</v>
      </c>
      <c r="D17" s="481">
        <v>21</v>
      </c>
      <c r="E17" s="481">
        <v>20</v>
      </c>
      <c r="F17" s="481">
        <v>65</v>
      </c>
      <c r="G17" s="506">
        <v>1617</v>
      </c>
      <c r="H17" s="503">
        <v>41</v>
      </c>
      <c r="I17" s="379">
        <v>21</v>
      </c>
      <c r="J17" s="379">
        <v>17</v>
      </c>
      <c r="K17" s="481">
        <v>21</v>
      </c>
      <c r="L17" s="474">
        <v>59</v>
      </c>
      <c r="M17" s="506">
        <v>1612</v>
      </c>
    </row>
    <row r="18" spans="1:13">
      <c r="A18" s="386" t="s">
        <v>332</v>
      </c>
      <c r="B18" s="481">
        <v>36</v>
      </c>
      <c r="C18" s="481">
        <v>21</v>
      </c>
      <c r="D18" s="481">
        <v>23</v>
      </c>
      <c r="E18" s="481">
        <v>20</v>
      </c>
      <c r="F18" s="481">
        <v>64</v>
      </c>
      <c r="G18" s="506">
        <v>1629</v>
      </c>
      <c r="H18" s="503">
        <v>43</v>
      </c>
      <c r="I18" s="379">
        <v>19</v>
      </c>
      <c r="J18" s="379">
        <v>16</v>
      </c>
      <c r="K18" s="481">
        <v>22</v>
      </c>
      <c r="L18" s="474">
        <v>57</v>
      </c>
      <c r="M18" s="506">
        <v>1630</v>
      </c>
    </row>
    <row r="19" spans="1:13">
      <c r="A19" s="386" t="s">
        <v>333</v>
      </c>
      <c r="B19" s="481">
        <v>39</v>
      </c>
      <c r="C19" s="481">
        <v>19</v>
      </c>
      <c r="D19" s="481">
        <v>21</v>
      </c>
      <c r="E19" s="481">
        <v>20</v>
      </c>
      <c r="F19" s="481">
        <v>61</v>
      </c>
      <c r="G19" s="506">
        <v>1745</v>
      </c>
      <c r="H19" s="503">
        <v>47</v>
      </c>
      <c r="I19" s="379">
        <v>16</v>
      </c>
      <c r="J19" s="379">
        <v>16</v>
      </c>
      <c r="K19" s="481">
        <v>20</v>
      </c>
      <c r="L19" s="474">
        <v>53</v>
      </c>
      <c r="M19" s="506">
        <v>1740</v>
      </c>
    </row>
    <row r="20" spans="1:13">
      <c r="A20" s="386" t="s">
        <v>334</v>
      </c>
      <c r="B20" s="481">
        <v>46</v>
      </c>
      <c r="C20" s="481">
        <v>19</v>
      </c>
      <c r="D20" s="481">
        <v>19</v>
      </c>
      <c r="E20" s="481">
        <v>15</v>
      </c>
      <c r="F20" s="481">
        <v>54</v>
      </c>
      <c r="G20" s="506">
        <v>1257</v>
      </c>
      <c r="H20" s="503">
        <v>57</v>
      </c>
      <c r="I20" s="379">
        <v>15</v>
      </c>
      <c r="J20" s="379">
        <v>12</v>
      </c>
      <c r="K20" s="481">
        <v>16</v>
      </c>
      <c r="L20" s="474">
        <v>43</v>
      </c>
      <c r="M20" s="506">
        <v>1252</v>
      </c>
    </row>
    <row r="21" spans="1:13">
      <c r="A21" s="386" t="s">
        <v>335</v>
      </c>
      <c r="B21" s="481">
        <v>65</v>
      </c>
      <c r="C21" s="481">
        <v>11</v>
      </c>
      <c r="D21" s="481">
        <v>13</v>
      </c>
      <c r="E21" s="481">
        <v>12</v>
      </c>
      <c r="F21" s="481">
        <v>35</v>
      </c>
      <c r="G21" s="506">
        <v>715</v>
      </c>
      <c r="H21" s="503">
        <v>76</v>
      </c>
      <c r="I21" s="379">
        <v>9</v>
      </c>
      <c r="J21" s="379">
        <v>7</v>
      </c>
      <c r="K21" s="481">
        <v>8</v>
      </c>
      <c r="L21" s="474">
        <v>24</v>
      </c>
      <c r="M21" s="506">
        <v>714</v>
      </c>
    </row>
    <row r="22" spans="1:13" ht="15.75">
      <c r="A22" s="377" t="s">
        <v>155</v>
      </c>
      <c r="B22" s="475"/>
      <c r="C22" s="475"/>
      <c r="D22" s="475"/>
      <c r="E22" s="475"/>
      <c r="F22" s="481"/>
      <c r="G22" s="507"/>
      <c r="H22" s="504"/>
      <c r="I22" s="482"/>
      <c r="J22" s="482"/>
      <c r="K22" s="481"/>
      <c r="L22" s="474"/>
      <c r="M22" s="507"/>
    </row>
    <row r="23" spans="1:13">
      <c r="A23" s="386" t="s">
        <v>336</v>
      </c>
      <c r="B23" s="481">
        <v>38</v>
      </c>
      <c r="C23" s="481">
        <v>19</v>
      </c>
      <c r="D23" s="481">
        <v>21</v>
      </c>
      <c r="E23" s="481">
        <v>22</v>
      </c>
      <c r="F23" s="481">
        <v>62</v>
      </c>
      <c r="G23" s="506">
        <v>579</v>
      </c>
      <c r="H23" s="503">
        <v>36</v>
      </c>
      <c r="I23" s="379">
        <v>23</v>
      </c>
      <c r="J23" s="379">
        <v>17</v>
      </c>
      <c r="K23" s="481">
        <v>24</v>
      </c>
      <c r="L23" s="474">
        <v>64</v>
      </c>
      <c r="M23" s="506">
        <v>579</v>
      </c>
    </row>
    <row r="24" spans="1:13">
      <c r="A24" s="386" t="s">
        <v>337</v>
      </c>
      <c r="B24" s="481">
        <v>32</v>
      </c>
      <c r="C24" s="481">
        <v>23</v>
      </c>
      <c r="D24" s="481">
        <v>23</v>
      </c>
      <c r="E24" s="481">
        <v>22</v>
      </c>
      <c r="F24" s="481">
        <v>68</v>
      </c>
      <c r="G24" s="506">
        <v>3115</v>
      </c>
      <c r="H24" s="503">
        <v>41</v>
      </c>
      <c r="I24" s="379">
        <v>23</v>
      </c>
      <c r="J24" s="379">
        <v>18</v>
      </c>
      <c r="K24" s="481">
        <v>18</v>
      </c>
      <c r="L24" s="474">
        <v>59</v>
      </c>
      <c r="M24" s="506">
        <v>3099</v>
      </c>
    </row>
    <row r="25" spans="1:13">
      <c r="A25" s="386" t="s">
        <v>338</v>
      </c>
      <c r="B25" s="481">
        <v>29</v>
      </c>
      <c r="C25" s="481">
        <v>20</v>
      </c>
      <c r="D25" s="481">
        <v>28</v>
      </c>
      <c r="E25" s="481">
        <v>23</v>
      </c>
      <c r="F25" s="481">
        <v>71</v>
      </c>
      <c r="G25" s="506">
        <v>1009</v>
      </c>
      <c r="H25" s="503">
        <v>40</v>
      </c>
      <c r="I25" s="379">
        <v>19</v>
      </c>
      <c r="J25" s="379">
        <v>19</v>
      </c>
      <c r="K25" s="481">
        <v>21</v>
      </c>
      <c r="L25" s="474">
        <v>60</v>
      </c>
      <c r="M25" s="506">
        <v>1007</v>
      </c>
    </row>
    <row r="26" spans="1:13">
      <c r="A26" s="386" t="s">
        <v>363</v>
      </c>
      <c r="B26" s="481">
        <v>20</v>
      </c>
      <c r="C26" s="481">
        <v>22</v>
      </c>
      <c r="D26" s="481">
        <v>24</v>
      </c>
      <c r="E26" s="481">
        <v>33</v>
      </c>
      <c r="F26" s="481">
        <v>80</v>
      </c>
      <c r="G26" s="506">
        <v>475</v>
      </c>
      <c r="H26" s="503">
        <v>35</v>
      </c>
      <c r="I26" s="379">
        <v>15</v>
      </c>
      <c r="J26" s="379">
        <v>18</v>
      </c>
      <c r="K26" s="481">
        <v>32</v>
      </c>
      <c r="L26" s="474">
        <v>65</v>
      </c>
      <c r="M26" s="506">
        <v>472</v>
      </c>
    </row>
    <row r="27" spans="1:13">
      <c r="A27" s="386" t="s">
        <v>340</v>
      </c>
      <c r="B27" s="481">
        <v>46</v>
      </c>
      <c r="C27" s="481">
        <v>18</v>
      </c>
      <c r="D27" s="481">
        <v>19</v>
      </c>
      <c r="E27" s="481">
        <v>17</v>
      </c>
      <c r="F27" s="481">
        <v>54</v>
      </c>
      <c r="G27" s="506">
        <v>3188</v>
      </c>
      <c r="H27" s="503">
        <v>56</v>
      </c>
      <c r="I27" s="379">
        <v>14</v>
      </c>
      <c r="J27" s="379">
        <v>13</v>
      </c>
      <c r="K27" s="481">
        <v>17</v>
      </c>
      <c r="L27" s="474">
        <v>44</v>
      </c>
      <c r="M27" s="506">
        <v>3179</v>
      </c>
    </row>
    <row r="28" spans="1:13">
      <c r="A28" s="386" t="s">
        <v>364</v>
      </c>
      <c r="B28" s="481">
        <v>23</v>
      </c>
      <c r="C28" s="481">
        <v>16</v>
      </c>
      <c r="D28" s="481">
        <v>28</v>
      </c>
      <c r="E28" s="481">
        <v>33</v>
      </c>
      <c r="F28" s="481">
        <v>77</v>
      </c>
      <c r="G28" s="506">
        <v>486</v>
      </c>
      <c r="H28" s="503">
        <v>38</v>
      </c>
      <c r="I28" s="379">
        <v>15</v>
      </c>
      <c r="J28" s="379">
        <v>22</v>
      </c>
      <c r="K28" s="481">
        <v>25</v>
      </c>
      <c r="L28" s="474">
        <v>62</v>
      </c>
      <c r="M28" s="506">
        <v>482</v>
      </c>
    </row>
    <row r="29" spans="1:13">
      <c r="A29" s="386" t="s">
        <v>342</v>
      </c>
      <c r="B29" s="481">
        <v>14</v>
      </c>
      <c r="C29" s="481">
        <v>11</v>
      </c>
      <c r="D29" s="481">
        <v>37</v>
      </c>
      <c r="E29" s="481">
        <v>38</v>
      </c>
      <c r="F29" s="481">
        <v>86</v>
      </c>
      <c r="G29" s="506">
        <v>312</v>
      </c>
      <c r="H29" s="503">
        <v>36</v>
      </c>
      <c r="I29" s="379">
        <v>22</v>
      </c>
      <c r="J29" s="379">
        <v>24</v>
      </c>
      <c r="K29" s="481">
        <v>18</v>
      </c>
      <c r="L29" s="474">
        <v>64</v>
      </c>
      <c r="M29" s="506">
        <v>312</v>
      </c>
    </row>
    <row r="30" spans="1:13">
      <c r="A30" s="386" t="s">
        <v>343</v>
      </c>
      <c r="B30" s="481">
        <v>62</v>
      </c>
      <c r="C30" s="481">
        <v>12</v>
      </c>
      <c r="D30" s="481">
        <v>15</v>
      </c>
      <c r="E30" s="481">
        <v>11</v>
      </c>
      <c r="F30" s="481">
        <v>38</v>
      </c>
      <c r="G30" s="506">
        <v>504</v>
      </c>
      <c r="H30" s="503">
        <v>71</v>
      </c>
      <c r="I30" s="379">
        <v>6</v>
      </c>
      <c r="J30" s="379">
        <v>10</v>
      </c>
      <c r="K30" s="481">
        <v>13</v>
      </c>
      <c r="L30" s="474">
        <v>29</v>
      </c>
      <c r="M30" s="506">
        <v>503</v>
      </c>
    </row>
    <row r="31" spans="1:13" ht="31.5">
      <c r="A31" s="377" t="s">
        <v>152</v>
      </c>
      <c r="B31" s="485"/>
      <c r="C31" s="485"/>
      <c r="D31" s="481"/>
      <c r="E31" s="481"/>
      <c r="F31" s="481"/>
      <c r="G31" s="506"/>
      <c r="H31" s="503"/>
      <c r="I31" s="379"/>
      <c r="J31" s="379"/>
      <c r="K31" s="481"/>
      <c r="L31" s="474"/>
      <c r="M31" s="506"/>
    </row>
    <row r="32" spans="1:13">
      <c r="A32" s="386" t="s">
        <v>344</v>
      </c>
      <c r="B32" s="481">
        <v>32</v>
      </c>
      <c r="C32" s="481">
        <v>15</v>
      </c>
      <c r="D32" s="481">
        <v>23</v>
      </c>
      <c r="E32" s="481">
        <v>30</v>
      </c>
      <c r="F32" s="481">
        <v>68</v>
      </c>
      <c r="G32" s="506">
        <v>1399</v>
      </c>
      <c r="H32" s="503">
        <v>49</v>
      </c>
      <c r="I32" s="379">
        <v>13</v>
      </c>
      <c r="J32" s="379">
        <v>14</v>
      </c>
      <c r="K32" s="481">
        <v>24</v>
      </c>
      <c r="L32" s="474">
        <v>51</v>
      </c>
      <c r="M32" s="506">
        <v>1391</v>
      </c>
    </row>
    <row r="33" spans="1:16">
      <c r="A33" s="386" t="s">
        <v>345</v>
      </c>
      <c r="B33" s="481">
        <v>35</v>
      </c>
      <c r="C33" s="481">
        <v>18</v>
      </c>
      <c r="D33" s="481">
        <v>22</v>
      </c>
      <c r="E33" s="481">
        <v>25</v>
      </c>
      <c r="F33" s="481">
        <v>65</v>
      </c>
      <c r="G33" s="506">
        <v>1863</v>
      </c>
      <c r="H33" s="503">
        <v>51</v>
      </c>
      <c r="I33" s="379">
        <v>15</v>
      </c>
      <c r="J33" s="379">
        <v>15</v>
      </c>
      <c r="K33" s="481">
        <v>19</v>
      </c>
      <c r="L33" s="474">
        <v>49</v>
      </c>
      <c r="M33" s="506">
        <v>1865</v>
      </c>
    </row>
    <row r="34" spans="1:16">
      <c r="A34" s="386" t="s">
        <v>346</v>
      </c>
      <c r="B34" s="481">
        <v>38</v>
      </c>
      <c r="C34" s="481">
        <v>18</v>
      </c>
      <c r="D34" s="481">
        <v>21</v>
      </c>
      <c r="E34" s="481">
        <v>23</v>
      </c>
      <c r="F34" s="481">
        <v>62</v>
      </c>
      <c r="G34" s="506">
        <v>1525</v>
      </c>
      <c r="H34" s="503">
        <v>49</v>
      </c>
      <c r="I34" s="379">
        <v>18</v>
      </c>
      <c r="J34" s="379">
        <v>15</v>
      </c>
      <c r="K34" s="481">
        <v>18</v>
      </c>
      <c r="L34" s="474">
        <v>51</v>
      </c>
      <c r="M34" s="506">
        <v>1522</v>
      </c>
    </row>
    <row r="35" spans="1:16">
      <c r="A35" s="386" t="s">
        <v>347</v>
      </c>
      <c r="B35" s="481">
        <v>36</v>
      </c>
      <c r="C35" s="481">
        <v>20</v>
      </c>
      <c r="D35" s="481">
        <v>22</v>
      </c>
      <c r="E35" s="481">
        <v>22</v>
      </c>
      <c r="F35" s="481">
        <v>64</v>
      </c>
      <c r="G35" s="506">
        <v>1260</v>
      </c>
      <c r="H35" s="503">
        <v>46</v>
      </c>
      <c r="I35" s="379">
        <v>18</v>
      </c>
      <c r="J35" s="379">
        <v>16</v>
      </c>
      <c r="K35" s="481">
        <v>20</v>
      </c>
      <c r="L35" s="474">
        <v>54</v>
      </c>
      <c r="M35" s="506">
        <v>1259</v>
      </c>
    </row>
    <row r="36" spans="1:16">
      <c r="A36" s="386" t="s">
        <v>348</v>
      </c>
      <c r="B36" s="481">
        <v>34</v>
      </c>
      <c r="C36" s="481">
        <v>20</v>
      </c>
      <c r="D36" s="481">
        <v>25</v>
      </c>
      <c r="E36" s="481">
        <v>21</v>
      </c>
      <c r="F36" s="481">
        <v>66</v>
      </c>
      <c r="G36" s="506">
        <v>901</v>
      </c>
      <c r="H36" s="503">
        <v>45</v>
      </c>
      <c r="I36" s="379">
        <v>20</v>
      </c>
      <c r="J36" s="379">
        <v>16</v>
      </c>
      <c r="K36" s="481">
        <v>19</v>
      </c>
      <c r="L36" s="474">
        <v>55</v>
      </c>
      <c r="M36" s="506">
        <v>891</v>
      </c>
    </row>
    <row r="37" spans="1:16">
      <c r="A37" s="386" t="s">
        <v>349</v>
      </c>
      <c r="B37" s="481">
        <v>34</v>
      </c>
      <c r="C37" s="481">
        <v>22</v>
      </c>
      <c r="D37" s="481">
        <v>24</v>
      </c>
      <c r="E37" s="481">
        <v>20</v>
      </c>
      <c r="F37" s="481">
        <v>66</v>
      </c>
      <c r="G37" s="506">
        <v>1181</v>
      </c>
      <c r="H37" s="503">
        <v>40</v>
      </c>
      <c r="I37" s="379">
        <v>23</v>
      </c>
      <c r="J37" s="379">
        <v>18</v>
      </c>
      <c r="K37" s="481">
        <v>19</v>
      </c>
      <c r="L37" s="474">
        <v>60</v>
      </c>
      <c r="M37" s="506">
        <v>1181</v>
      </c>
    </row>
    <row r="38" spans="1:16" ht="15" customHeight="1">
      <c r="A38" s="386" t="s">
        <v>350</v>
      </c>
      <c r="B38" s="481">
        <v>32</v>
      </c>
      <c r="C38" s="481">
        <v>25</v>
      </c>
      <c r="D38" s="481">
        <v>25</v>
      </c>
      <c r="E38" s="481">
        <v>19</v>
      </c>
      <c r="F38" s="481">
        <v>68</v>
      </c>
      <c r="G38" s="506">
        <v>1375</v>
      </c>
      <c r="H38" s="503">
        <v>37</v>
      </c>
      <c r="I38" s="379">
        <v>24</v>
      </c>
      <c r="J38" s="379">
        <v>20</v>
      </c>
      <c r="K38" s="481">
        <v>19</v>
      </c>
      <c r="L38" s="474">
        <v>63</v>
      </c>
      <c r="M38" s="506">
        <v>1368</v>
      </c>
    </row>
    <row r="39" spans="1:16" ht="33.75" customHeight="1">
      <c r="A39" s="377" t="s">
        <v>351</v>
      </c>
      <c r="B39" s="485"/>
      <c r="C39" s="485"/>
      <c r="D39" s="485"/>
      <c r="E39" s="475"/>
      <c r="F39" s="481"/>
      <c r="G39" s="507"/>
      <c r="H39" s="504"/>
      <c r="I39" s="482"/>
      <c r="J39" s="482"/>
      <c r="K39" s="481"/>
      <c r="L39" s="474"/>
    </row>
    <row r="40" spans="1:16" ht="15" customHeight="1">
      <c r="A40" s="386" t="s">
        <v>352</v>
      </c>
      <c r="B40" s="481">
        <v>32</v>
      </c>
      <c r="C40" s="481">
        <v>19</v>
      </c>
      <c r="D40" s="481">
        <v>24</v>
      </c>
      <c r="E40" s="481">
        <v>25</v>
      </c>
      <c r="F40" s="481">
        <v>68</v>
      </c>
      <c r="G40" s="506">
        <v>1869</v>
      </c>
      <c r="H40" s="503">
        <v>50</v>
      </c>
      <c r="I40" s="379">
        <v>17</v>
      </c>
      <c r="J40" s="379">
        <v>17</v>
      </c>
      <c r="K40" s="481">
        <v>17</v>
      </c>
      <c r="L40" s="474">
        <v>50</v>
      </c>
      <c r="M40" s="507">
        <v>1854</v>
      </c>
      <c r="P40" s="578" t="s">
        <v>600</v>
      </c>
    </row>
    <row r="41" spans="1:16" ht="15" customHeight="1">
      <c r="A41" s="387">
        <v>2</v>
      </c>
      <c r="B41" s="481">
        <v>34</v>
      </c>
      <c r="C41" s="481">
        <v>19</v>
      </c>
      <c r="D41" s="481">
        <v>23</v>
      </c>
      <c r="E41" s="481">
        <v>23</v>
      </c>
      <c r="F41" s="481">
        <v>66</v>
      </c>
      <c r="G41" s="506">
        <v>2060</v>
      </c>
      <c r="H41" s="503">
        <v>48</v>
      </c>
      <c r="I41" s="379">
        <v>17</v>
      </c>
      <c r="J41" s="379">
        <v>15</v>
      </c>
      <c r="K41" s="481">
        <v>21</v>
      </c>
      <c r="L41" s="474">
        <v>52</v>
      </c>
      <c r="M41" s="506">
        <v>2056</v>
      </c>
      <c r="P41" s="578"/>
    </row>
    <row r="42" spans="1:16" ht="15" customHeight="1">
      <c r="A42" s="387">
        <v>3</v>
      </c>
      <c r="B42" s="481">
        <v>35</v>
      </c>
      <c r="C42" s="481">
        <v>19</v>
      </c>
      <c r="D42" s="481">
        <v>23</v>
      </c>
      <c r="E42" s="481">
        <v>22</v>
      </c>
      <c r="F42" s="481">
        <v>65</v>
      </c>
      <c r="G42" s="506">
        <v>2137</v>
      </c>
      <c r="H42" s="503">
        <v>46</v>
      </c>
      <c r="I42" s="379">
        <v>17</v>
      </c>
      <c r="J42" s="379">
        <v>17</v>
      </c>
      <c r="K42" s="481">
        <v>20</v>
      </c>
      <c r="L42" s="474">
        <v>54</v>
      </c>
      <c r="M42" s="506">
        <v>2130</v>
      </c>
    </row>
    <row r="43" spans="1:16" ht="15" customHeight="1">
      <c r="A43" s="387">
        <v>4</v>
      </c>
      <c r="B43" s="481">
        <v>38</v>
      </c>
      <c r="C43" s="481">
        <v>19</v>
      </c>
      <c r="D43" s="481">
        <v>23</v>
      </c>
      <c r="E43" s="481">
        <v>20</v>
      </c>
      <c r="F43" s="481">
        <v>62</v>
      </c>
      <c r="G43" s="506">
        <v>2109</v>
      </c>
      <c r="H43" s="503">
        <v>41</v>
      </c>
      <c r="I43" s="379">
        <v>20</v>
      </c>
      <c r="J43" s="379">
        <v>17</v>
      </c>
      <c r="K43" s="481">
        <v>23</v>
      </c>
      <c r="L43" s="474">
        <v>59</v>
      </c>
      <c r="M43" s="506">
        <v>2104</v>
      </c>
    </row>
    <row r="44" spans="1:16" ht="15" customHeight="1">
      <c r="A44" s="386" t="s">
        <v>353</v>
      </c>
      <c r="B44" s="481">
        <v>31</v>
      </c>
      <c r="C44" s="481">
        <v>24</v>
      </c>
      <c r="D44" s="481">
        <v>23</v>
      </c>
      <c r="E44" s="481">
        <v>23</v>
      </c>
      <c r="F44" s="481">
        <v>69</v>
      </c>
      <c r="G44" s="506">
        <v>1666</v>
      </c>
      <c r="H44" s="503">
        <v>42</v>
      </c>
      <c r="I44" s="379">
        <v>24</v>
      </c>
      <c r="J44" s="379">
        <v>17</v>
      </c>
      <c r="K44" s="481">
        <v>17</v>
      </c>
      <c r="L44" s="474">
        <v>58</v>
      </c>
      <c r="M44" s="506">
        <v>1661</v>
      </c>
    </row>
    <row r="45" spans="1:16" ht="15" customHeight="1">
      <c r="A45" s="399" t="s">
        <v>365</v>
      </c>
      <c r="B45" s="475"/>
      <c r="C45" s="475"/>
      <c r="D45" s="475"/>
      <c r="E45" s="475"/>
      <c r="F45" s="481"/>
      <c r="G45" s="507"/>
      <c r="H45" s="504"/>
      <c r="I45" s="482"/>
      <c r="J45" s="482"/>
      <c r="K45" s="481"/>
      <c r="L45" s="474"/>
    </row>
    <row r="46" spans="1:16" ht="15" customHeight="1">
      <c r="A46" s="500" t="s">
        <v>355</v>
      </c>
      <c r="B46" s="481">
        <v>27</v>
      </c>
      <c r="C46" s="481">
        <v>19</v>
      </c>
      <c r="D46" s="481">
        <v>25</v>
      </c>
      <c r="E46" s="481">
        <v>28</v>
      </c>
      <c r="F46" s="481">
        <v>73</v>
      </c>
      <c r="G46" s="506">
        <v>3252</v>
      </c>
      <c r="H46" s="503">
        <v>48</v>
      </c>
      <c r="I46" s="379">
        <v>19</v>
      </c>
      <c r="J46" s="379">
        <v>16</v>
      </c>
      <c r="K46" s="481">
        <v>16</v>
      </c>
      <c r="L46" s="474">
        <v>52</v>
      </c>
      <c r="M46" s="507">
        <v>3204</v>
      </c>
    </row>
    <row r="47" spans="1:16" ht="15" customHeight="1">
      <c r="A47" s="500" t="s">
        <v>356</v>
      </c>
      <c r="B47" s="481">
        <v>38</v>
      </c>
      <c r="C47" s="481">
        <v>23</v>
      </c>
      <c r="D47" s="481">
        <v>23</v>
      </c>
      <c r="E47" s="481">
        <v>17</v>
      </c>
      <c r="F47" s="481">
        <v>62</v>
      </c>
      <c r="G47" s="506">
        <v>2975</v>
      </c>
      <c r="H47" s="503">
        <v>48</v>
      </c>
      <c r="I47" s="379">
        <v>17</v>
      </c>
      <c r="J47" s="379">
        <v>17</v>
      </c>
      <c r="K47" s="481">
        <v>18</v>
      </c>
      <c r="L47" s="474">
        <v>52</v>
      </c>
      <c r="M47" s="506">
        <v>2977</v>
      </c>
    </row>
    <row r="48" spans="1:16" ht="15" customHeight="1">
      <c r="A48" s="500" t="s">
        <v>357</v>
      </c>
      <c r="B48" s="481">
        <v>33</v>
      </c>
      <c r="C48" s="481">
        <v>22</v>
      </c>
      <c r="D48" s="481">
        <v>24</v>
      </c>
      <c r="E48" s="481">
        <v>20</v>
      </c>
      <c r="F48" s="481">
        <v>67</v>
      </c>
      <c r="G48" s="506">
        <v>889</v>
      </c>
      <c r="H48" s="503">
        <v>41</v>
      </c>
      <c r="I48" s="379">
        <v>25</v>
      </c>
      <c r="J48" s="379">
        <v>16</v>
      </c>
      <c r="K48" s="481">
        <v>18</v>
      </c>
      <c r="L48" s="474">
        <v>59</v>
      </c>
      <c r="M48" s="506">
        <v>890</v>
      </c>
    </row>
    <row r="49" spans="1:13" ht="15" customHeight="1">
      <c r="A49" s="500" t="s">
        <v>358</v>
      </c>
      <c r="B49" s="481">
        <v>34</v>
      </c>
      <c r="C49" s="481">
        <v>16</v>
      </c>
      <c r="D49" s="481">
        <v>25</v>
      </c>
      <c r="E49" s="481">
        <v>26</v>
      </c>
      <c r="F49" s="481">
        <v>66</v>
      </c>
      <c r="G49" s="506">
        <v>586</v>
      </c>
      <c r="H49" s="503">
        <v>45</v>
      </c>
      <c r="I49" s="379">
        <v>17</v>
      </c>
      <c r="J49" s="379">
        <v>14</v>
      </c>
      <c r="K49" s="481">
        <v>23</v>
      </c>
      <c r="L49" s="474">
        <v>55</v>
      </c>
      <c r="M49" s="506">
        <v>589</v>
      </c>
    </row>
    <row r="50" spans="1:13" ht="15" customHeight="1">
      <c r="A50" s="500" t="s">
        <v>359</v>
      </c>
      <c r="B50" s="481">
        <v>45</v>
      </c>
      <c r="C50" s="481">
        <v>16</v>
      </c>
      <c r="D50" s="481">
        <v>20</v>
      </c>
      <c r="E50" s="481">
        <v>19</v>
      </c>
      <c r="F50" s="481">
        <v>55</v>
      </c>
      <c r="G50" s="506">
        <v>1047</v>
      </c>
      <c r="H50" s="503">
        <v>36</v>
      </c>
      <c r="I50" s="481">
        <v>18</v>
      </c>
      <c r="J50" s="481">
        <v>19</v>
      </c>
      <c r="K50" s="481">
        <v>26</v>
      </c>
      <c r="L50" s="474">
        <v>64</v>
      </c>
      <c r="M50" s="506">
        <v>1052</v>
      </c>
    </row>
    <row r="51" spans="1:13" ht="15" customHeight="1">
      <c r="A51" s="500" t="s">
        <v>360</v>
      </c>
      <c r="B51" s="481">
        <v>44</v>
      </c>
      <c r="C51" s="481">
        <v>16</v>
      </c>
      <c r="D51" s="481">
        <v>16</v>
      </c>
      <c r="E51" s="481">
        <v>24</v>
      </c>
      <c r="F51" s="481">
        <v>56</v>
      </c>
      <c r="G51" s="506">
        <v>1092</v>
      </c>
      <c r="H51" s="503">
        <v>37</v>
      </c>
      <c r="I51" s="481">
        <v>19</v>
      </c>
      <c r="J51" s="481">
        <v>14</v>
      </c>
      <c r="K51" s="481">
        <v>29</v>
      </c>
      <c r="L51" s="474">
        <v>63</v>
      </c>
      <c r="M51" s="506">
        <v>1093</v>
      </c>
    </row>
    <row r="52" spans="1:13" ht="19.5" customHeight="1">
      <c r="A52" s="399" t="s">
        <v>601</v>
      </c>
      <c r="B52" s="481"/>
      <c r="C52" s="481"/>
      <c r="D52" s="481"/>
      <c r="E52" s="481"/>
      <c r="F52" s="481"/>
      <c r="G52" s="506"/>
      <c r="H52" s="502"/>
      <c r="M52" s="506"/>
    </row>
    <row r="53" spans="1:13" ht="15" customHeight="1">
      <c r="A53" s="500" t="s">
        <v>546</v>
      </c>
      <c r="B53" s="481">
        <v>42</v>
      </c>
      <c r="C53" s="481">
        <v>24</v>
      </c>
      <c r="D53" s="481">
        <v>20</v>
      </c>
      <c r="E53" s="481">
        <v>15</v>
      </c>
      <c r="F53" s="481">
        <v>58</v>
      </c>
      <c r="G53" s="506">
        <v>3878</v>
      </c>
      <c r="H53" s="503">
        <v>42</v>
      </c>
      <c r="I53" s="481">
        <v>22</v>
      </c>
      <c r="J53" s="481">
        <v>16</v>
      </c>
      <c r="K53" s="481">
        <v>20</v>
      </c>
      <c r="L53" s="474">
        <v>58</v>
      </c>
      <c r="M53" s="506">
        <v>3882</v>
      </c>
    </row>
    <row r="54" spans="1:13" ht="15" customHeight="1">
      <c r="A54" s="500" t="s">
        <v>547</v>
      </c>
      <c r="B54" s="481">
        <v>33</v>
      </c>
      <c r="C54" s="481">
        <v>22</v>
      </c>
      <c r="D54" s="481">
        <v>28</v>
      </c>
      <c r="E54" s="481">
        <v>18</v>
      </c>
      <c r="F54" s="481">
        <v>67</v>
      </c>
      <c r="G54" s="506">
        <v>1370</v>
      </c>
      <c r="H54" s="503">
        <v>38</v>
      </c>
      <c r="I54" s="481">
        <v>21</v>
      </c>
      <c r="J54" s="481">
        <v>22</v>
      </c>
      <c r="K54" s="481">
        <v>19</v>
      </c>
      <c r="L54" s="474">
        <v>62</v>
      </c>
      <c r="M54" s="506">
        <v>1356</v>
      </c>
    </row>
    <row r="55" spans="1:13" ht="15" customHeight="1">
      <c r="A55" s="500" t="s">
        <v>548</v>
      </c>
      <c r="B55" s="481">
        <v>34</v>
      </c>
      <c r="C55" s="481">
        <v>17</v>
      </c>
      <c r="D55" s="481">
        <v>23</v>
      </c>
      <c r="E55" s="481">
        <v>26</v>
      </c>
      <c r="F55" s="481">
        <v>66</v>
      </c>
      <c r="G55" s="506">
        <v>573</v>
      </c>
      <c r="H55" s="503">
        <v>46</v>
      </c>
      <c r="I55" s="481">
        <v>22</v>
      </c>
      <c r="J55" s="481">
        <v>15</v>
      </c>
      <c r="K55" s="481">
        <v>17</v>
      </c>
      <c r="L55" s="474">
        <v>54</v>
      </c>
      <c r="M55" s="506">
        <v>575</v>
      </c>
    </row>
    <row r="56" spans="1:13" ht="15" customHeight="1">
      <c r="A56" s="500" t="s">
        <v>549</v>
      </c>
      <c r="B56" s="481">
        <v>25</v>
      </c>
      <c r="C56" s="481">
        <v>11</v>
      </c>
      <c r="D56" s="481">
        <v>25</v>
      </c>
      <c r="E56" s="481">
        <v>38</v>
      </c>
      <c r="F56" s="481">
        <v>75</v>
      </c>
      <c r="G56" s="506">
        <v>259</v>
      </c>
      <c r="H56" s="503">
        <v>49</v>
      </c>
      <c r="I56" s="481">
        <v>17</v>
      </c>
      <c r="J56" s="481">
        <v>18</v>
      </c>
      <c r="K56" s="481">
        <v>15</v>
      </c>
      <c r="L56" s="474">
        <v>51</v>
      </c>
      <c r="M56" s="506">
        <v>259</v>
      </c>
    </row>
    <row r="57" spans="1:13" ht="15" customHeight="1">
      <c r="A57" s="501" t="s">
        <v>550</v>
      </c>
      <c r="B57" s="479">
        <v>27</v>
      </c>
      <c r="C57" s="479">
        <v>12</v>
      </c>
      <c r="D57" s="479">
        <v>25</v>
      </c>
      <c r="E57" s="479">
        <v>37</v>
      </c>
      <c r="F57" s="479">
        <v>73</v>
      </c>
      <c r="G57" s="508">
        <v>486</v>
      </c>
      <c r="H57" s="505">
        <v>46</v>
      </c>
      <c r="I57" s="479">
        <v>15</v>
      </c>
      <c r="J57" s="479">
        <v>17</v>
      </c>
      <c r="K57" s="479">
        <v>22</v>
      </c>
      <c r="L57" s="480">
        <v>54</v>
      </c>
      <c r="M57" s="508">
        <v>487</v>
      </c>
    </row>
    <row r="58" spans="1:13" ht="15" customHeight="1">
      <c r="A58" s="179" t="s">
        <v>622</v>
      </c>
      <c r="B58" s="481"/>
      <c r="C58" s="481"/>
      <c r="D58" s="481"/>
      <c r="E58" s="481"/>
      <c r="F58" s="481"/>
      <c r="G58" s="506"/>
      <c r="H58" s="481"/>
      <c r="I58" s="481"/>
      <c r="J58" s="481"/>
      <c r="K58" s="481"/>
      <c r="L58" s="474"/>
      <c r="M58" s="506"/>
    </row>
    <row r="59" spans="1:13" s="179" customFormat="1" ht="15" customHeight="1">
      <c r="A59" s="1" t="s">
        <v>127</v>
      </c>
      <c r="B59" s="1"/>
      <c r="C59" s="567"/>
      <c r="D59" s="567"/>
      <c r="E59" s="567"/>
      <c r="F59" s="567"/>
      <c r="G59" s="168"/>
      <c r="H59" s="165"/>
      <c r="I59" s="165"/>
      <c r="J59" s="165"/>
      <c r="K59" s="167"/>
    </row>
    <row r="60" spans="1:13">
      <c r="A60" s="568" t="s">
        <v>680</v>
      </c>
    </row>
    <row r="61" spans="1:13">
      <c r="A61" s="179" t="s">
        <v>602</v>
      </c>
    </row>
  </sheetData>
  <mergeCells count="13">
    <mergeCell ref="J5:J6"/>
    <mergeCell ref="K5:K6"/>
    <mergeCell ref="L7:M7"/>
    <mergeCell ref="B2:F3"/>
    <mergeCell ref="H2:L2"/>
    <mergeCell ref="H3:L3"/>
    <mergeCell ref="B4:F4"/>
    <mergeCell ref="B5:B6"/>
    <mergeCell ref="C5:C6"/>
    <mergeCell ref="D5:D6"/>
    <mergeCell ref="E5:E6"/>
    <mergeCell ref="H5:H6"/>
    <mergeCell ref="I5:I6"/>
  </mergeCells>
  <pageMargins left="0.54" right="0.5" top="1" bottom="1" header="0.5" footer="0.5"/>
  <pageSetup paperSize="9" scale="70" orientation="portrait" verticalDpi="300" r:id="rId1"/>
  <headerFooter alignWithMargins="0">
    <oddHeader>&amp;R&amp;"Arial,Bold"&amp;14PERSONAL AND CROSS-MODAL TRAVEL</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2"/>
  <sheetViews>
    <sheetView zoomScale="75" zoomScaleNormal="75" workbookViewId="0"/>
  </sheetViews>
  <sheetFormatPr defaultRowHeight="12.75"/>
  <cols>
    <col min="2" max="2" width="32.42578125" customWidth="1"/>
    <col min="3" max="5" width="8.5703125" hidden="1" customWidth="1"/>
    <col min="6" max="6" width="10.140625" hidden="1" customWidth="1"/>
    <col min="7" max="13" width="10.42578125" customWidth="1"/>
    <col min="14" max="16" width="10.7109375" customWidth="1"/>
  </cols>
  <sheetData>
    <row r="1" spans="1:17" s="7" customFormat="1" ht="21" customHeight="1">
      <c r="A1" s="337" t="s">
        <v>422</v>
      </c>
      <c r="B1" s="12"/>
      <c r="C1" s="12"/>
      <c r="D1" s="12"/>
      <c r="E1" s="12"/>
      <c r="F1" s="12"/>
      <c r="G1" s="12"/>
      <c r="H1" s="336"/>
      <c r="K1" s="12"/>
      <c r="L1" s="12"/>
      <c r="M1" s="9"/>
      <c r="N1" s="9"/>
    </row>
    <row r="2" spans="1:17" ht="21.75" customHeight="1">
      <c r="A2" s="202"/>
      <c r="B2" s="202"/>
      <c r="C2" s="181">
        <v>1999</v>
      </c>
      <c r="D2" s="181">
        <v>2000</v>
      </c>
      <c r="E2" s="181">
        <v>2001</v>
      </c>
      <c r="F2" s="181">
        <v>2002</v>
      </c>
      <c r="G2" s="181">
        <v>2003</v>
      </c>
      <c r="H2" s="181">
        <v>2004</v>
      </c>
      <c r="I2" s="181">
        <v>2005</v>
      </c>
      <c r="J2" s="181">
        <v>2006</v>
      </c>
      <c r="K2" s="181">
        <v>2007</v>
      </c>
      <c r="L2" s="181">
        <v>2008</v>
      </c>
      <c r="M2" s="181">
        <v>2009</v>
      </c>
      <c r="N2" s="181">
        <v>2010</v>
      </c>
      <c r="O2" s="181">
        <v>2011</v>
      </c>
      <c r="P2" s="181">
        <v>2012</v>
      </c>
      <c r="Q2" s="181">
        <v>2013</v>
      </c>
    </row>
    <row r="3" spans="1:17" ht="15">
      <c r="A3" s="88"/>
      <c r="B3" s="88"/>
      <c r="C3" s="88"/>
      <c r="D3" s="88"/>
      <c r="E3" s="88"/>
      <c r="F3" s="88"/>
      <c r="G3" s="88"/>
      <c r="H3" s="88"/>
      <c r="I3" s="88"/>
      <c r="J3" s="201"/>
      <c r="K3" s="201"/>
      <c r="L3" s="201"/>
      <c r="M3" s="201"/>
      <c r="N3" s="201"/>
      <c r="Q3" s="201" t="s">
        <v>299</v>
      </c>
    </row>
    <row r="4" spans="1:17" ht="15.75">
      <c r="A4" s="106" t="s">
        <v>256</v>
      </c>
      <c r="B4" s="9"/>
      <c r="C4" s="119">
        <v>44.2</v>
      </c>
      <c r="D4" s="119">
        <v>44.7</v>
      </c>
      <c r="E4" s="119">
        <v>45.8</v>
      </c>
      <c r="F4" s="139">
        <v>45.5</v>
      </c>
      <c r="G4" s="119">
        <v>43.3</v>
      </c>
      <c r="H4" s="119">
        <v>41.4</v>
      </c>
      <c r="I4" s="119">
        <v>41.8</v>
      </c>
      <c r="J4" s="119">
        <v>40.9</v>
      </c>
      <c r="K4" s="119">
        <v>45.2</v>
      </c>
      <c r="L4" s="323">
        <v>44.9</v>
      </c>
      <c r="M4" s="323">
        <v>43.4</v>
      </c>
      <c r="N4" s="323">
        <v>41.4</v>
      </c>
      <c r="O4" s="323">
        <v>40.700000000000003</v>
      </c>
      <c r="P4" s="323">
        <v>42</v>
      </c>
      <c r="Q4" s="323">
        <v>41.9</v>
      </c>
    </row>
    <row r="5" spans="1:17" ht="3.75" customHeight="1">
      <c r="A5" s="9"/>
      <c r="B5" s="9"/>
      <c r="C5" s="119"/>
      <c r="D5" s="119"/>
      <c r="E5" s="119"/>
      <c r="F5" s="139"/>
      <c r="G5" s="119"/>
      <c r="H5" s="119"/>
      <c r="I5" s="119"/>
      <c r="J5" s="119"/>
      <c r="K5" s="119"/>
      <c r="L5" s="323"/>
      <c r="M5" s="323"/>
      <c r="N5" s="323"/>
      <c r="O5" s="323"/>
      <c r="P5" s="323"/>
    </row>
    <row r="6" spans="1:17" ht="15.75">
      <c r="A6" s="106" t="s">
        <v>262</v>
      </c>
      <c r="B6" s="9"/>
      <c r="C6" s="119"/>
      <c r="D6" s="119"/>
      <c r="E6" s="119"/>
      <c r="F6" s="139"/>
      <c r="G6" s="119"/>
      <c r="H6" s="119"/>
      <c r="I6" s="119"/>
      <c r="J6" s="119"/>
      <c r="K6" s="119"/>
      <c r="L6" s="323"/>
      <c r="M6" s="323"/>
      <c r="N6" s="323"/>
      <c r="O6" s="323"/>
      <c r="P6" s="323"/>
    </row>
    <row r="7" spans="1:17" ht="15">
      <c r="A7" s="112" t="s">
        <v>257</v>
      </c>
      <c r="B7" s="9"/>
      <c r="C7" s="119">
        <v>7.6</v>
      </c>
      <c r="D7" s="119">
        <v>7.9</v>
      </c>
      <c r="E7" s="119">
        <v>8</v>
      </c>
      <c r="F7" s="139">
        <v>8</v>
      </c>
      <c r="G7" s="119">
        <v>10.199999999999999</v>
      </c>
      <c r="H7" s="119">
        <v>11.2</v>
      </c>
      <c r="I7" s="119">
        <v>11.2</v>
      </c>
      <c r="J7" s="119">
        <v>11.6</v>
      </c>
      <c r="K7" s="119">
        <v>10</v>
      </c>
      <c r="L7" s="323">
        <v>10.4</v>
      </c>
      <c r="M7" s="323">
        <v>11.9</v>
      </c>
      <c r="N7" s="323">
        <v>12.8</v>
      </c>
      <c r="O7" s="323">
        <v>13.3</v>
      </c>
      <c r="P7" s="323">
        <v>13.1</v>
      </c>
      <c r="Q7" s="323">
        <v>13.3</v>
      </c>
    </row>
    <row r="8" spans="1:17" ht="15">
      <c r="A8" s="112" t="s">
        <v>258</v>
      </c>
      <c r="B8" s="9"/>
      <c r="C8" s="119">
        <v>4.5</v>
      </c>
      <c r="D8" s="119">
        <v>4.2</v>
      </c>
      <c r="E8" s="119">
        <v>3.9</v>
      </c>
      <c r="F8" s="139">
        <v>4.2</v>
      </c>
      <c r="G8" s="119">
        <v>5.5</v>
      </c>
      <c r="H8" s="119">
        <v>5.7</v>
      </c>
      <c r="I8" s="119">
        <v>5.8</v>
      </c>
      <c r="J8" s="119">
        <v>6.7</v>
      </c>
      <c r="K8" s="119">
        <v>5.0999999999999996</v>
      </c>
      <c r="L8" s="323">
        <v>5.6</v>
      </c>
      <c r="M8" s="323">
        <v>5.6</v>
      </c>
      <c r="N8" s="323">
        <v>6</v>
      </c>
      <c r="O8" s="323">
        <v>6.2</v>
      </c>
      <c r="P8" s="323">
        <v>6</v>
      </c>
      <c r="Q8" s="323">
        <v>5.6</v>
      </c>
    </row>
    <row r="9" spans="1:17" ht="15.75">
      <c r="A9" s="106" t="s">
        <v>263</v>
      </c>
      <c r="B9" s="9"/>
      <c r="C9" s="119"/>
      <c r="D9" s="119"/>
      <c r="E9" s="119"/>
      <c r="F9" s="139"/>
      <c r="G9" s="119"/>
      <c r="H9" s="119"/>
      <c r="I9" s="119"/>
      <c r="J9" s="119"/>
      <c r="K9" s="119"/>
      <c r="L9" s="323"/>
      <c r="M9" s="323" t="s">
        <v>123</v>
      </c>
      <c r="N9" s="323"/>
      <c r="O9" s="323"/>
      <c r="P9" s="323"/>
    </row>
    <row r="10" spans="1:17" ht="15">
      <c r="A10" s="112" t="s">
        <v>259</v>
      </c>
      <c r="B10" s="9"/>
      <c r="C10" s="119">
        <v>1</v>
      </c>
      <c r="D10" s="119">
        <v>0.9</v>
      </c>
      <c r="E10" s="119">
        <v>1</v>
      </c>
      <c r="F10" s="139">
        <v>0.9</v>
      </c>
      <c r="G10" s="119">
        <v>0.7</v>
      </c>
      <c r="H10" s="119">
        <v>0.8</v>
      </c>
      <c r="I10" s="119">
        <v>0.8</v>
      </c>
      <c r="J10" s="119">
        <v>1</v>
      </c>
      <c r="K10" s="119">
        <v>0.9</v>
      </c>
      <c r="L10" s="323">
        <v>1</v>
      </c>
      <c r="M10" s="323">
        <v>0.9</v>
      </c>
      <c r="N10" s="323">
        <v>0.9</v>
      </c>
      <c r="O10" s="323">
        <v>0.9</v>
      </c>
      <c r="P10" s="323">
        <v>0.8</v>
      </c>
      <c r="Q10" s="323">
        <v>1</v>
      </c>
    </row>
    <row r="11" spans="1:17" ht="15">
      <c r="A11" s="112" t="s">
        <v>260</v>
      </c>
      <c r="B11" s="9"/>
      <c r="C11" s="119">
        <v>0.5</v>
      </c>
      <c r="D11" s="119">
        <v>0.5</v>
      </c>
      <c r="E11" s="119">
        <v>0.6</v>
      </c>
      <c r="F11" s="139">
        <v>0.4</v>
      </c>
      <c r="G11" s="119">
        <v>0.4</v>
      </c>
      <c r="H11" s="119">
        <v>0.6</v>
      </c>
      <c r="I11" s="119">
        <v>0.5</v>
      </c>
      <c r="J11" s="119">
        <v>0.5</v>
      </c>
      <c r="K11" s="119">
        <v>0.6</v>
      </c>
      <c r="L11" s="323">
        <v>0.4</v>
      </c>
      <c r="M11" s="323">
        <v>0.4</v>
      </c>
      <c r="N11" s="323">
        <v>0.4</v>
      </c>
      <c r="O11" s="323">
        <v>0.4</v>
      </c>
      <c r="P11" s="323">
        <v>0.3</v>
      </c>
      <c r="Q11" s="323">
        <v>0.5</v>
      </c>
    </row>
    <row r="12" spans="1:17" ht="15">
      <c r="A12" s="112" t="s">
        <v>261</v>
      </c>
      <c r="B12" s="9"/>
      <c r="C12" s="119">
        <v>1.7</v>
      </c>
      <c r="D12" s="119">
        <v>1.8</v>
      </c>
      <c r="E12" s="119">
        <v>1.9</v>
      </c>
      <c r="F12" s="139">
        <v>2.1</v>
      </c>
      <c r="G12" s="119">
        <v>1.7</v>
      </c>
      <c r="H12" s="119">
        <v>1.6</v>
      </c>
      <c r="I12" s="119">
        <v>1.4</v>
      </c>
      <c r="J12" s="119">
        <v>1.4</v>
      </c>
      <c r="K12" s="119">
        <v>1.7</v>
      </c>
      <c r="L12" s="323">
        <v>1.3</v>
      </c>
      <c r="M12" s="323">
        <v>1.6</v>
      </c>
      <c r="N12" s="323">
        <v>1.8</v>
      </c>
      <c r="O12" s="323">
        <v>1.7</v>
      </c>
      <c r="P12" s="323">
        <v>1.7</v>
      </c>
      <c r="Q12" s="323">
        <v>1.6</v>
      </c>
    </row>
    <row r="13" spans="1:17" ht="3.75" customHeight="1">
      <c r="A13" s="9"/>
      <c r="B13" s="9"/>
      <c r="C13" s="119"/>
      <c r="D13" s="119"/>
      <c r="E13" s="119"/>
      <c r="F13" s="139"/>
      <c r="G13" s="119"/>
      <c r="H13" s="119"/>
      <c r="I13" s="119"/>
      <c r="J13" s="119"/>
      <c r="K13" s="119"/>
      <c r="L13" s="323"/>
      <c r="M13" s="323"/>
      <c r="N13" s="323"/>
      <c r="O13" s="323"/>
      <c r="P13" s="323"/>
    </row>
    <row r="14" spans="1:17" ht="15.75">
      <c r="A14" s="106" t="s">
        <v>264</v>
      </c>
      <c r="B14" s="113"/>
      <c r="C14" s="119">
        <v>4</v>
      </c>
      <c r="D14" s="119">
        <v>4</v>
      </c>
      <c r="E14" s="119">
        <v>3.5</v>
      </c>
      <c r="F14" s="139">
        <v>3.5</v>
      </c>
      <c r="G14" s="119">
        <v>4.0999999999999996</v>
      </c>
      <c r="H14" s="119">
        <v>4.5</v>
      </c>
      <c r="I14" s="119">
        <v>4.0999999999999996</v>
      </c>
      <c r="J14" s="119">
        <v>4.4000000000000004</v>
      </c>
      <c r="K14" s="119">
        <v>3.5</v>
      </c>
      <c r="L14" s="323">
        <v>4</v>
      </c>
      <c r="M14" s="323">
        <v>4.2</v>
      </c>
      <c r="N14" s="323">
        <v>4.3</v>
      </c>
      <c r="O14" s="323">
        <v>4.0999999999999996</v>
      </c>
      <c r="P14" s="323">
        <v>4.5</v>
      </c>
      <c r="Q14" s="323">
        <v>4.5</v>
      </c>
    </row>
    <row r="15" spans="1:17" ht="8.25" customHeight="1">
      <c r="A15" s="9"/>
      <c r="B15" s="9"/>
      <c r="C15" s="35"/>
      <c r="D15" s="35"/>
      <c r="E15" s="35"/>
      <c r="F15" s="118"/>
      <c r="G15" s="35"/>
      <c r="H15" s="35"/>
      <c r="I15" s="35"/>
      <c r="J15" s="35"/>
      <c r="K15" s="35"/>
      <c r="L15" s="324"/>
      <c r="M15" s="324"/>
      <c r="N15" s="388"/>
      <c r="O15" s="388"/>
      <c r="P15" s="388"/>
    </row>
    <row r="16" spans="1:17" ht="15.75">
      <c r="A16" s="37" t="s">
        <v>265</v>
      </c>
      <c r="B16" s="9"/>
      <c r="C16" s="116">
        <f>100-C18</f>
        <v>63.5</v>
      </c>
      <c r="D16" s="116">
        <f t="shared" ref="D16:I16" si="0">100-D18</f>
        <v>64</v>
      </c>
      <c r="E16" s="116">
        <f t="shared" si="0"/>
        <v>64.7</v>
      </c>
      <c r="F16" s="117">
        <f t="shared" si="0"/>
        <v>64.599999999999994</v>
      </c>
      <c r="G16" s="116">
        <f t="shared" si="0"/>
        <v>65.8</v>
      </c>
      <c r="H16" s="116">
        <f t="shared" si="0"/>
        <v>65.8</v>
      </c>
      <c r="I16" s="116">
        <f t="shared" si="0"/>
        <v>65.599999999999994</v>
      </c>
      <c r="J16" s="116">
        <f t="shared" ref="J16:Q16" si="1">100-J18</f>
        <v>66.400000000000006</v>
      </c>
      <c r="K16" s="116">
        <f t="shared" si="1"/>
        <v>67</v>
      </c>
      <c r="L16" s="116">
        <f t="shared" si="1"/>
        <v>67.599999999999994</v>
      </c>
      <c r="M16" s="116">
        <f t="shared" si="1"/>
        <v>68</v>
      </c>
      <c r="N16" s="389">
        <f t="shared" si="1"/>
        <v>67.599999999999994</v>
      </c>
      <c r="O16" s="389">
        <f t="shared" si="1"/>
        <v>67.3</v>
      </c>
      <c r="P16" s="389">
        <f t="shared" si="1"/>
        <v>68.3</v>
      </c>
      <c r="Q16" s="389">
        <f t="shared" si="1"/>
        <v>68.400000000000006</v>
      </c>
    </row>
    <row r="17" spans="1:17" ht="3.75" customHeight="1">
      <c r="A17" s="9"/>
      <c r="B17" s="9"/>
      <c r="C17" s="35"/>
      <c r="D17" s="35"/>
      <c r="E17" s="35"/>
      <c r="F17" s="118"/>
      <c r="G17" s="35"/>
      <c r="H17" s="35"/>
      <c r="I17" s="35"/>
      <c r="J17" s="35"/>
      <c r="K17" s="35"/>
      <c r="L17" s="324"/>
      <c r="M17" s="324"/>
      <c r="N17" s="388"/>
      <c r="O17" s="388"/>
      <c r="P17" s="388"/>
    </row>
    <row r="18" spans="1:17" ht="15.75">
      <c r="A18" s="37" t="s">
        <v>266</v>
      </c>
      <c r="B18" s="9"/>
      <c r="C18" s="119">
        <v>36.5</v>
      </c>
      <c r="D18" s="119">
        <v>36</v>
      </c>
      <c r="E18" s="119">
        <v>35.299999999999997</v>
      </c>
      <c r="F18" s="139">
        <v>35.4</v>
      </c>
      <c r="G18" s="119">
        <v>34.200000000000003</v>
      </c>
      <c r="H18" s="119">
        <v>34.200000000000003</v>
      </c>
      <c r="I18" s="119">
        <v>34.4</v>
      </c>
      <c r="J18" s="119">
        <v>33.6</v>
      </c>
      <c r="K18" s="119">
        <v>33</v>
      </c>
      <c r="L18" s="323">
        <v>32.4</v>
      </c>
      <c r="M18" s="323">
        <v>32</v>
      </c>
      <c r="N18" s="323">
        <v>32.4</v>
      </c>
      <c r="O18" s="323">
        <v>32.700000000000003</v>
      </c>
      <c r="P18" s="323">
        <v>31.7</v>
      </c>
      <c r="Q18" s="323">
        <v>31.6</v>
      </c>
    </row>
    <row r="19" spans="1:17" ht="3.75" customHeight="1">
      <c r="A19" s="9"/>
      <c r="B19" s="9"/>
      <c r="C19" s="9"/>
      <c r="D19" s="9"/>
      <c r="E19" s="9"/>
      <c r="F19" s="111"/>
      <c r="G19" s="9"/>
      <c r="H19" s="9"/>
      <c r="I19" s="9"/>
      <c r="J19" s="9"/>
      <c r="K19" s="9"/>
      <c r="L19" s="60"/>
      <c r="M19" s="60"/>
      <c r="N19" s="390"/>
      <c r="O19" s="390"/>
      <c r="P19" s="390"/>
    </row>
    <row r="20" spans="1:17" ht="15.75">
      <c r="A20" s="58" t="s">
        <v>393</v>
      </c>
      <c r="B20" s="12"/>
      <c r="C20" s="203">
        <v>13660</v>
      </c>
      <c r="D20" s="203">
        <v>14440</v>
      </c>
      <c r="E20" s="203">
        <v>14527</v>
      </c>
      <c r="F20" s="114">
        <v>13936</v>
      </c>
      <c r="G20" s="203">
        <v>13850</v>
      </c>
      <c r="H20" s="203">
        <v>14660</v>
      </c>
      <c r="I20" s="203">
        <v>13968</v>
      </c>
      <c r="J20" s="203">
        <v>14075</v>
      </c>
      <c r="K20" s="203">
        <v>12152</v>
      </c>
      <c r="L20" s="325">
        <v>12263</v>
      </c>
      <c r="M20" s="325">
        <v>12447</v>
      </c>
      <c r="N20" s="391">
        <v>12361</v>
      </c>
      <c r="O20" s="391">
        <v>12801</v>
      </c>
      <c r="P20" s="391">
        <v>9828</v>
      </c>
      <c r="Q20" s="609">
        <v>9838</v>
      </c>
    </row>
    <row r="21" spans="1:17" ht="3.75" customHeight="1">
      <c r="A21" s="177"/>
      <c r="B21" s="177"/>
      <c r="C21" s="177"/>
      <c r="D21" s="177"/>
      <c r="E21" s="177"/>
      <c r="F21" s="177"/>
      <c r="G21" s="177"/>
      <c r="H21" s="177"/>
      <c r="I21" s="177"/>
      <c r="J21" s="177"/>
      <c r="K21" s="177"/>
      <c r="L21" s="177"/>
      <c r="M21" s="177"/>
      <c r="N21" s="392"/>
      <c r="O21" s="392"/>
      <c r="P21" s="392"/>
      <c r="Q21" s="392"/>
    </row>
    <row r="22" spans="1:17" ht="12.75" customHeight="1">
      <c r="A22" s="179" t="s">
        <v>622</v>
      </c>
      <c r="B22" s="85"/>
      <c r="C22" s="85"/>
      <c r="D22" s="85"/>
      <c r="E22" s="85"/>
      <c r="F22" s="85"/>
      <c r="G22" s="85"/>
      <c r="H22" s="85"/>
      <c r="I22" s="85"/>
      <c r="J22" s="85"/>
      <c r="K22" s="85"/>
      <c r="L22" s="85"/>
      <c r="M22" s="85"/>
      <c r="N22" s="605"/>
      <c r="O22" s="605"/>
      <c r="P22" s="605"/>
      <c r="Q22" s="605"/>
    </row>
    <row r="23" spans="1:17">
      <c r="A23" s="1" t="s">
        <v>121</v>
      </c>
      <c r="N23" s="393"/>
      <c r="O23" s="393"/>
    </row>
    <row r="24" spans="1:17">
      <c r="A24" s="7" t="s">
        <v>388</v>
      </c>
      <c r="N24" s="393"/>
      <c r="O24" s="393"/>
    </row>
    <row r="25" spans="1:17">
      <c r="A25" s="48" t="s">
        <v>250</v>
      </c>
      <c r="N25" s="393"/>
      <c r="O25" s="393"/>
    </row>
    <row r="26" spans="1:17">
      <c r="A26" t="s">
        <v>249</v>
      </c>
      <c r="N26" s="393"/>
      <c r="O26" s="393"/>
    </row>
    <row r="27" spans="1:17" ht="21" customHeight="1">
      <c r="N27" s="393"/>
      <c r="O27" s="393"/>
    </row>
    <row r="28" spans="1:17" s="7" customFormat="1" ht="19.5">
      <c r="A28" s="337" t="s">
        <v>597</v>
      </c>
      <c r="B28" s="12"/>
      <c r="C28" s="12"/>
      <c r="D28" s="12"/>
      <c r="E28" s="12"/>
      <c r="F28" s="12"/>
      <c r="G28" s="12"/>
      <c r="H28" s="12"/>
      <c r="I28" s="12"/>
      <c r="J28" s="12"/>
      <c r="K28" s="12"/>
      <c r="L28" s="12"/>
      <c r="M28" s="9"/>
      <c r="N28" s="390"/>
      <c r="O28" s="390"/>
    </row>
    <row r="29" spans="1:17" ht="21.75" customHeight="1">
      <c r="A29" s="202"/>
      <c r="B29" s="202"/>
      <c r="C29" s="181">
        <v>1999</v>
      </c>
      <c r="D29" s="181">
        <v>2000</v>
      </c>
      <c r="E29" s="181">
        <v>2001</v>
      </c>
      <c r="G29" s="181">
        <v>2002</v>
      </c>
      <c r="H29" s="181">
        <v>2003</v>
      </c>
      <c r="I29" s="181">
        <v>2004</v>
      </c>
      <c r="J29" s="181">
        <v>2005</v>
      </c>
      <c r="K29" s="181">
        <v>2006</v>
      </c>
      <c r="L29" s="181">
        <v>2007</v>
      </c>
      <c r="M29" s="208">
        <v>2008</v>
      </c>
      <c r="N29" s="208">
        <v>2009</v>
      </c>
      <c r="O29" s="394">
        <v>2010</v>
      </c>
      <c r="P29" s="394">
        <v>2011</v>
      </c>
      <c r="Q29" s="394">
        <v>2012</v>
      </c>
    </row>
    <row r="30" spans="1:17" ht="15">
      <c r="A30" s="88"/>
      <c r="B30" s="88"/>
      <c r="C30" s="88"/>
      <c r="D30" s="88"/>
      <c r="E30" s="88"/>
      <c r="G30" s="88"/>
      <c r="H30" s="88"/>
      <c r="I30" s="88"/>
      <c r="J30" s="88"/>
      <c r="K30" s="307"/>
      <c r="L30" s="307"/>
      <c r="M30" s="307"/>
      <c r="N30" s="327"/>
      <c r="O30" s="395"/>
      <c r="Q30" s="395" t="s">
        <v>299</v>
      </c>
    </row>
    <row r="31" spans="1:17" ht="15.75">
      <c r="A31" s="37" t="s">
        <v>386</v>
      </c>
      <c r="B31" s="9"/>
      <c r="C31" s="9"/>
      <c r="D31" s="9"/>
      <c r="E31" s="9"/>
      <c r="G31" s="9"/>
      <c r="H31" s="9"/>
      <c r="I31" s="9"/>
      <c r="J31" s="9"/>
      <c r="K31" s="9"/>
      <c r="L31" s="9"/>
      <c r="M31" s="88"/>
      <c r="N31" s="81"/>
      <c r="O31" s="396"/>
      <c r="P31" s="396"/>
    </row>
    <row r="32" spans="1:17" ht="15">
      <c r="A32" s="112" t="s">
        <v>267</v>
      </c>
      <c r="B32" s="9"/>
      <c r="C32" s="119">
        <v>47.6</v>
      </c>
      <c r="D32" s="119">
        <v>46.4</v>
      </c>
      <c r="E32" s="119">
        <v>44.9</v>
      </c>
      <c r="G32" s="517">
        <v>45.1</v>
      </c>
      <c r="H32" s="517">
        <v>45.6</v>
      </c>
      <c r="I32" s="517">
        <v>45.8</v>
      </c>
      <c r="J32" s="517">
        <v>46</v>
      </c>
      <c r="K32" s="517">
        <v>46</v>
      </c>
      <c r="L32" s="517">
        <v>48</v>
      </c>
      <c r="M32" s="511">
        <v>47.5</v>
      </c>
      <c r="N32" s="511">
        <v>41</v>
      </c>
      <c r="O32" s="511">
        <v>38</v>
      </c>
      <c r="P32" s="511">
        <v>36.9</v>
      </c>
      <c r="Q32" s="511">
        <v>34</v>
      </c>
    </row>
    <row r="33" spans="1:17" ht="15">
      <c r="A33" s="112" t="s">
        <v>78</v>
      </c>
      <c r="B33" s="9"/>
      <c r="C33" s="119">
        <v>18.7</v>
      </c>
      <c r="D33" s="119">
        <v>18.3</v>
      </c>
      <c r="E33" s="119">
        <v>19.100000000000001</v>
      </c>
      <c r="G33" s="517">
        <v>18.3</v>
      </c>
      <c r="H33" s="517">
        <v>17.5</v>
      </c>
      <c r="I33" s="517">
        <v>16.8</v>
      </c>
      <c r="J33" s="517">
        <v>15.3</v>
      </c>
      <c r="K33" s="517">
        <v>15.8</v>
      </c>
      <c r="L33" s="517">
        <v>17.899999999999999</v>
      </c>
      <c r="M33" s="511">
        <v>17.2</v>
      </c>
      <c r="N33" s="511">
        <v>17.5</v>
      </c>
      <c r="O33" s="511">
        <v>18.899999999999999</v>
      </c>
      <c r="P33" s="511">
        <v>19.100000000000001</v>
      </c>
      <c r="Q33" s="511">
        <v>20</v>
      </c>
    </row>
    <row r="34" spans="1:17" ht="15">
      <c r="A34" s="112" t="s">
        <v>79</v>
      </c>
      <c r="B34" s="9"/>
      <c r="C34" s="119">
        <v>18.2</v>
      </c>
      <c r="D34" s="119">
        <v>20.5</v>
      </c>
      <c r="E34" s="119">
        <v>21.6</v>
      </c>
      <c r="G34" s="517">
        <v>22.1</v>
      </c>
      <c r="H34" s="517">
        <v>21.9</v>
      </c>
      <c r="I34" s="517">
        <v>21.3</v>
      </c>
      <c r="J34" s="517">
        <v>22</v>
      </c>
      <c r="K34" s="517">
        <v>21.3</v>
      </c>
      <c r="L34" s="517">
        <v>19.8</v>
      </c>
      <c r="M34" s="511">
        <v>21.7</v>
      </c>
      <c r="N34" s="511">
        <v>22.4</v>
      </c>
      <c r="O34" s="511">
        <v>24.3</v>
      </c>
      <c r="P34" s="511">
        <v>24.4</v>
      </c>
      <c r="Q34" s="511">
        <v>23</v>
      </c>
    </row>
    <row r="35" spans="1:17" ht="15">
      <c r="A35" s="112" t="s">
        <v>80</v>
      </c>
      <c r="B35" s="9"/>
      <c r="C35" s="119">
        <v>15.4</v>
      </c>
      <c r="D35" s="119">
        <v>14.7</v>
      </c>
      <c r="E35" s="119">
        <v>14.5</v>
      </c>
      <c r="G35" s="517">
        <v>14.6</v>
      </c>
      <c r="H35" s="517">
        <v>15</v>
      </c>
      <c r="I35" s="517">
        <v>16</v>
      </c>
      <c r="J35" s="517">
        <v>16.7</v>
      </c>
      <c r="K35" s="517">
        <v>17</v>
      </c>
      <c r="L35" s="517">
        <v>14.3</v>
      </c>
      <c r="M35" s="511">
        <v>13.6</v>
      </c>
      <c r="N35" s="511">
        <v>19.100000000000001</v>
      </c>
      <c r="O35" s="511">
        <v>18.8</v>
      </c>
      <c r="P35" s="511">
        <v>19.600000000000001</v>
      </c>
      <c r="Q35" s="511">
        <v>23</v>
      </c>
    </row>
    <row r="36" spans="1:17" ht="15">
      <c r="A36" s="112" t="s">
        <v>268</v>
      </c>
      <c r="B36" s="9"/>
      <c r="C36" s="116">
        <f>100-C32</f>
        <v>52.4</v>
      </c>
      <c r="D36" s="116">
        <f>100-D32</f>
        <v>53.6</v>
      </c>
      <c r="E36" s="116">
        <f>100-E32</f>
        <v>55.1</v>
      </c>
      <c r="G36" s="518">
        <f t="shared" ref="G36:Q36" si="2">100-G32</f>
        <v>54.9</v>
      </c>
      <c r="H36" s="518">
        <f t="shared" si="2"/>
        <v>54.4</v>
      </c>
      <c r="I36" s="518">
        <f t="shared" si="2"/>
        <v>54.2</v>
      </c>
      <c r="J36" s="518">
        <f t="shared" si="2"/>
        <v>54</v>
      </c>
      <c r="K36" s="518">
        <f t="shared" si="2"/>
        <v>54</v>
      </c>
      <c r="L36" s="518">
        <f t="shared" si="2"/>
        <v>52</v>
      </c>
      <c r="M36" s="518">
        <f t="shared" si="2"/>
        <v>52.5</v>
      </c>
      <c r="N36" s="518">
        <f t="shared" si="2"/>
        <v>59</v>
      </c>
      <c r="O36" s="512">
        <f t="shared" si="2"/>
        <v>62</v>
      </c>
      <c r="P36" s="512">
        <f t="shared" si="2"/>
        <v>63.1</v>
      </c>
      <c r="Q36" s="512">
        <f t="shared" si="2"/>
        <v>66</v>
      </c>
    </row>
    <row r="37" spans="1:17" ht="15.75">
      <c r="A37" s="514" t="s">
        <v>393</v>
      </c>
      <c r="B37" s="515"/>
      <c r="C37" s="516"/>
      <c r="D37" s="516"/>
      <c r="E37" s="516"/>
      <c r="G37" s="67">
        <v>13984</v>
      </c>
      <c r="H37" s="67">
        <v>13927</v>
      </c>
      <c r="I37" s="67">
        <v>14715</v>
      </c>
      <c r="J37" s="67">
        <v>6992</v>
      </c>
      <c r="K37" s="67">
        <v>7111</v>
      </c>
      <c r="L37" s="67">
        <v>6116</v>
      </c>
      <c r="M37" s="67">
        <v>6197</v>
      </c>
      <c r="N37" s="67">
        <v>6137</v>
      </c>
      <c r="O37" s="67">
        <v>6178</v>
      </c>
      <c r="P37" s="67">
        <v>6381</v>
      </c>
      <c r="Q37" s="67">
        <v>9841</v>
      </c>
    </row>
    <row r="38" spans="1:17" ht="4.5" customHeight="1">
      <c r="A38" s="115"/>
      <c r="B38" s="9"/>
      <c r="C38" s="120"/>
      <c r="D38" s="120"/>
      <c r="E38" s="120"/>
      <c r="G38" s="120"/>
      <c r="H38" s="120"/>
      <c r="I38" s="120"/>
      <c r="J38" s="120"/>
      <c r="K38" s="120"/>
      <c r="L38" s="88"/>
      <c r="M38" s="81"/>
      <c r="N38" s="81"/>
      <c r="O38" s="396"/>
      <c r="P38" s="396"/>
    </row>
    <row r="39" spans="1:17" ht="18.75">
      <c r="A39" s="106" t="s">
        <v>387</v>
      </c>
      <c r="B39" s="9"/>
      <c r="C39" s="120"/>
      <c r="D39" s="120"/>
      <c r="E39" s="120"/>
      <c r="G39" s="120"/>
      <c r="H39" s="120"/>
      <c r="I39" s="120"/>
      <c r="J39" s="120"/>
      <c r="K39" s="120"/>
      <c r="L39" s="88"/>
      <c r="M39" s="81"/>
      <c r="N39" s="81"/>
      <c r="O39" s="396"/>
      <c r="P39" s="396"/>
    </row>
    <row r="40" spans="1:17" ht="15">
      <c r="A40" s="112" t="s">
        <v>267</v>
      </c>
      <c r="B40" s="9"/>
      <c r="C40" s="119">
        <v>60.3</v>
      </c>
      <c r="D40" s="119">
        <v>58.6</v>
      </c>
      <c r="E40" s="119">
        <v>57.1</v>
      </c>
      <c r="G40" s="517">
        <v>59.3</v>
      </c>
      <c r="H40" s="517">
        <v>56.1</v>
      </c>
      <c r="I40" s="517">
        <v>56.1</v>
      </c>
      <c r="J40" s="517">
        <v>53.9</v>
      </c>
      <c r="K40" s="517">
        <v>53.3</v>
      </c>
      <c r="L40" s="517">
        <v>53.1</v>
      </c>
      <c r="M40" s="511">
        <v>54.9</v>
      </c>
      <c r="N40" s="511">
        <v>51.6</v>
      </c>
      <c r="O40" s="511">
        <v>48.7</v>
      </c>
      <c r="P40" s="511">
        <v>46</v>
      </c>
      <c r="Q40" s="511">
        <v>45</v>
      </c>
    </row>
    <row r="41" spans="1:17" ht="15">
      <c r="A41" s="112" t="s">
        <v>78</v>
      </c>
      <c r="B41" s="9"/>
      <c r="C41" s="119">
        <v>15.9</v>
      </c>
      <c r="D41" s="119">
        <v>16.899999999999999</v>
      </c>
      <c r="E41" s="119">
        <v>18.2</v>
      </c>
      <c r="G41" s="517">
        <v>18</v>
      </c>
      <c r="H41" s="517">
        <v>17.8</v>
      </c>
      <c r="I41" s="517">
        <v>16.399999999999999</v>
      </c>
      <c r="J41" s="517">
        <v>16.899999999999999</v>
      </c>
      <c r="K41" s="517">
        <v>16.5</v>
      </c>
      <c r="L41" s="517">
        <v>17.600000000000001</v>
      </c>
      <c r="M41" s="511">
        <v>18.399999999999999</v>
      </c>
      <c r="N41" s="511">
        <v>19.100000000000001</v>
      </c>
      <c r="O41" s="511">
        <v>17.7</v>
      </c>
      <c r="P41" s="511">
        <v>18.899999999999999</v>
      </c>
      <c r="Q41" s="511">
        <v>19</v>
      </c>
    </row>
    <row r="42" spans="1:17" ht="15">
      <c r="A42" s="112" t="s">
        <v>79</v>
      </c>
      <c r="B42" s="9"/>
      <c r="C42" s="119">
        <v>10.5</v>
      </c>
      <c r="D42" s="119">
        <v>11.7</v>
      </c>
      <c r="E42" s="119">
        <v>12.1</v>
      </c>
      <c r="G42" s="517">
        <v>10.7</v>
      </c>
      <c r="H42" s="517">
        <v>12.4</v>
      </c>
      <c r="I42" s="517">
        <v>13.3</v>
      </c>
      <c r="J42" s="517">
        <v>14.2</v>
      </c>
      <c r="K42" s="517">
        <v>13.7</v>
      </c>
      <c r="L42" s="517">
        <v>13.7</v>
      </c>
      <c r="M42" s="511">
        <v>13</v>
      </c>
      <c r="N42" s="511">
        <v>13.1</v>
      </c>
      <c r="O42" s="511">
        <v>16.5</v>
      </c>
      <c r="P42" s="511">
        <v>16.7</v>
      </c>
      <c r="Q42" s="511">
        <v>17</v>
      </c>
    </row>
    <row r="43" spans="1:17" ht="15">
      <c r="A43" s="112" t="s">
        <v>80</v>
      </c>
      <c r="B43" s="9"/>
      <c r="C43" s="119">
        <v>13.2</v>
      </c>
      <c r="D43" s="119">
        <v>12.8</v>
      </c>
      <c r="E43" s="119">
        <v>12.6</v>
      </c>
      <c r="G43" s="517">
        <v>12.1</v>
      </c>
      <c r="H43" s="517">
        <v>13.7</v>
      </c>
      <c r="I43" s="517">
        <v>14.2</v>
      </c>
      <c r="J43" s="517">
        <v>15.1</v>
      </c>
      <c r="K43" s="517">
        <v>16.399999999999999</v>
      </c>
      <c r="L43" s="517">
        <v>15.5</v>
      </c>
      <c r="M43" s="511">
        <v>13.7</v>
      </c>
      <c r="N43" s="511">
        <v>16.100000000000001</v>
      </c>
      <c r="O43" s="511">
        <v>17.2</v>
      </c>
      <c r="P43" s="511">
        <v>18.5</v>
      </c>
      <c r="Q43" s="511">
        <v>19</v>
      </c>
    </row>
    <row r="44" spans="1:17" ht="15">
      <c r="A44" s="112" t="s">
        <v>268</v>
      </c>
      <c r="B44" s="9"/>
      <c r="C44" s="123">
        <f>100-C40</f>
        <v>39.700000000000003</v>
      </c>
      <c r="D44" s="123">
        <f>100-D40</f>
        <v>41.4</v>
      </c>
      <c r="E44" s="123">
        <f>100-E40</f>
        <v>42.9</v>
      </c>
      <c r="G44" s="519">
        <f t="shared" ref="G44:Q44" si="3">100-G40</f>
        <v>40.700000000000003</v>
      </c>
      <c r="H44" s="519">
        <f t="shared" si="3"/>
        <v>43.9</v>
      </c>
      <c r="I44" s="519">
        <f t="shared" si="3"/>
        <v>43.9</v>
      </c>
      <c r="J44" s="519">
        <f t="shared" si="3"/>
        <v>46.1</v>
      </c>
      <c r="K44" s="519">
        <f t="shared" si="3"/>
        <v>46.7</v>
      </c>
      <c r="L44" s="519">
        <f t="shared" si="3"/>
        <v>46.9</v>
      </c>
      <c r="M44" s="519">
        <f t="shared" si="3"/>
        <v>45.1</v>
      </c>
      <c r="N44" s="519">
        <f t="shared" si="3"/>
        <v>48.4</v>
      </c>
      <c r="O44" s="513">
        <f t="shared" si="3"/>
        <v>51.3</v>
      </c>
      <c r="P44" s="513">
        <f t="shared" si="3"/>
        <v>54</v>
      </c>
      <c r="Q44" s="513">
        <f t="shared" si="3"/>
        <v>55</v>
      </c>
    </row>
    <row r="45" spans="1:17" ht="4.5" customHeight="1">
      <c r="A45" s="9"/>
      <c r="B45" s="9"/>
      <c r="C45" s="9"/>
      <c r="D45" s="9"/>
      <c r="E45" s="9"/>
      <c r="G45" s="9"/>
      <c r="H45" s="9"/>
      <c r="I45" s="9"/>
      <c r="J45" s="9"/>
      <c r="K45" s="9"/>
      <c r="L45" s="88"/>
      <c r="M45" s="326"/>
      <c r="N45" s="326"/>
      <c r="O45" s="393"/>
      <c r="P45" s="393"/>
    </row>
    <row r="46" spans="1:17" ht="15.75">
      <c r="A46" s="58" t="s">
        <v>393</v>
      </c>
      <c r="B46" s="12"/>
      <c r="C46" s="203">
        <v>13757</v>
      </c>
      <c r="D46" s="203">
        <v>14516</v>
      </c>
      <c r="E46" s="203">
        <v>14643</v>
      </c>
      <c r="G46" s="203">
        <v>14041</v>
      </c>
      <c r="H46" s="203">
        <v>13925</v>
      </c>
      <c r="I46" s="203">
        <v>14713</v>
      </c>
      <c r="J46" s="203">
        <v>6993</v>
      </c>
      <c r="K46" s="203">
        <v>7111</v>
      </c>
      <c r="L46" s="203">
        <v>6121</v>
      </c>
      <c r="M46" s="328">
        <v>6209</v>
      </c>
      <c r="N46" s="328">
        <v>6119</v>
      </c>
      <c r="O46" s="397">
        <v>6136</v>
      </c>
      <c r="P46" s="397">
        <v>6372</v>
      </c>
      <c r="Q46" s="397">
        <v>9805</v>
      </c>
    </row>
    <row r="47" spans="1:17" ht="4.5" customHeight="1">
      <c r="A47" s="204"/>
      <c r="B47" s="205"/>
      <c r="C47" s="205"/>
      <c r="D47" s="205"/>
      <c r="E47" s="205"/>
      <c r="G47" s="206"/>
      <c r="H47" s="205"/>
      <c r="I47" s="205"/>
      <c r="J47" s="205"/>
      <c r="K47" s="205"/>
      <c r="L47" s="206"/>
      <c r="M47" s="207"/>
      <c r="N47" s="207"/>
      <c r="O47" s="207"/>
      <c r="P47" s="207"/>
      <c r="Q47" s="207"/>
    </row>
    <row r="48" spans="1:17" ht="13.5" customHeight="1">
      <c r="A48" s="179" t="s">
        <v>622</v>
      </c>
      <c r="B48" s="61"/>
      <c r="C48" s="61"/>
      <c r="D48" s="61"/>
      <c r="E48" s="61"/>
      <c r="G48" s="357"/>
      <c r="H48" s="61"/>
      <c r="I48" s="61"/>
      <c r="J48" s="61"/>
      <c r="K48" s="61"/>
      <c r="L48" s="357"/>
      <c r="M48" s="325"/>
      <c r="N48" s="325"/>
      <c r="O48" s="325"/>
      <c r="P48" s="325"/>
      <c r="Q48" s="325"/>
    </row>
    <row r="49" spans="1:16" ht="15">
      <c r="A49" s="1" t="s">
        <v>127</v>
      </c>
      <c r="B49" s="12"/>
      <c r="C49" s="45"/>
      <c r="D49" s="45"/>
      <c r="E49" s="45"/>
      <c r="F49" s="45"/>
      <c r="G49" s="12"/>
      <c r="H49" s="45"/>
      <c r="I49" s="45"/>
      <c r="J49" s="45"/>
      <c r="K49" s="9"/>
      <c r="L49" s="9"/>
      <c r="N49" s="326"/>
    </row>
    <row r="50" spans="1:16" ht="15">
      <c r="A50" s="568" t="s">
        <v>680</v>
      </c>
      <c r="B50" s="12"/>
      <c r="C50" s="45"/>
      <c r="D50" s="45"/>
      <c r="E50" s="45"/>
      <c r="F50" s="45"/>
      <c r="G50" s="12"/>
      <c r="H50" s="45"/>
      <c r="I50" s="45"/>
      <c r="J50" s="45"/>
      <c r="K50" s="9"/>
      <c r="L50" s="9"/>
      <c r="N50" s="326"/>
    </row>
    <row r="51" spans="1:16" ht="15">
      <c r="A51" s="1" t="s">
        <v>275</v>
      </c>
      <c r="B51" s="12"/>
      <c r="C51" s="45"/>
      <c r="D51" s="45"/>
      <c r="E51" s="45"/>
      <c r="F51" s="45"/>
      <c r="G51" s="12"/>
      <c r="H51" s="45"/>
      <c r="I51" s="45"/>
      <c r="J51" s="45"/>
      <c r="K51" s="9"/>
      <c r="L51" s="9"/>
      <c r="N51" s="326"/>
    </row>
    <row r="52" spans="1:16" ht="16.5" customHeight="1">
      <c r="N52" s="326"/>
    </row>
    <row r="53" spans="1:16" s="7" customFormat="1" ht="16.5">
      <c r="A53" s="350"/>
      <c r="B53" s="61"/>
      <c r="C53" s="61"/>
      <c r="D53" s="61"/>
      <c r="E53" s="61"/>
      <c r="F53" s="61"/>
      <c r="G53" s="61"/>
      <c r="H53" s="61"/>
      <c r="I53" s="61"/>
      <c r="J53" s="61"/>
      <c r="K53" s="61"/>
      <c r="L53" s="61"/>
      <c r="M53" s="61"/>
      <c r="N53" s="61"/>
    </row>
    <row r="54" spans="1:16" ht="24.75" customHeight="1">
      <c r="A54" s="61"/>
      <c r="B54" s="61"/>
      <c r="C54" s="79"/>
      <c r="D54" s="79"/>
      <c r="E54" s="79"/>
      <c r="F54" s="79"/>
      <c r="G54" s="79"/>
      <c r="H54" s="79"/>
      <c r="I54" s="79"/>
      <c r="J54" s="79"/>
      <c r="K54" s="79"/>
      <c r="L54" s="79"/>
      <c r="M54" s="79"/>
      <c r="N54" s="79"/>
      <c r="P54" s="140"/>
    </row>
    <row r="55" spans="1:16" ht="15">
      <c r="A55" s="178"/>
      <c r="B55" s="178"/>
      <c r="C55" s="178"/>
      <c r="D55" s="178"/>
      <c r="E55" s="178"/>
      <c r="F55" s="178"/>
      <c r="G55" s="178"/>
      <c r="H55" s="178"/>
      <c r="I55" s="178"/>
      <c r="J55" s="178"/>
      <c r="K55" s="281"/>
      <c r="L55" s="281"/>
      <c r="M55" s="281"/>
      <c r="N55" s="281"/>
      <c r="O55" s="307"/>
      <c r="P55" s="140"/>
    </row>
    <row r="56" spans="1:16" ht="15.75">
      <c r="A56" s="79"/>
      <c r="B56" s="178"/>
      <c r="C56" s="178"/>
      <c r="D56" s="178"/>
      <c r="E56" s="178"/>
      <c r="F56" s="178"/>
      <c r="G56" s="178"/>
      <c r="H56" s="178"/>
      <c r="I56" s="178"/>
      <c r="J56" s="178"/>
      <c r="K56" s="178"/>
      <c r="L56" s="178"/>
      <c r="M56" s="178"/>
      <c r="N56" s="178"/>
      <c r="P56" s="140"/>
    </row>
    <row r="57" spans="1:16" ht="15">
      <c r="A57" s="353"/>
      <c r="B57" s="178"/>
      <c r="C57" s="354"/>
      <c r="D57" s="354"/>
      <c r="E57" s="354"/>
      <c r="F57" s="354"/>
      <c r="G57" s="354"/>
      <c r="H57" s="354"/>
      <c r="I57" s="354"/>
      <c r="J57" s="354"/>
      <c r="K57" s="354"/>
      <c r="L57" s="354"/>
      <c r="M57" s="354"/>
      <c r="N57" s="354"/>
      <c r="P57" s="140"/>
    </row>
    <row r="58" spans="1:16" ht="15">
      <c r="A58" s="353"/>
      <c r="B58" s="178"/>
      <c r="C58" s="354"/>
      <c r="D58" s="354"/>
      <c r="E58" s="354"/>
      <c r="F58" s="354"/>
      <c r="G58" s="354"/>
      <c r="H58" s="354"/>
      <c r="I58" s="354"/>
      <c r="J58" s="354"/>
      <c r="K58" s="354"/>
      <c r="L58" s="354"/>
      <c r="M58" s="354"/>
      <c r="N58" s="354"/>
      <c r="P58" s="140"/>
    </row>
    <row r="59" spans="1:16" ht="15">
      <c r="A59" s="353"/>
      <c r="B59" s="178"/>
      <c r="C59" s="354"/>
      <c r="D59" s="354"/>
      <c r="E59" s="354"/>
      <c r="F59" s="354"/>
      <c r="G59" s="354"/>
      <c r="H59" s="354"/>
      <c r="I59" s="354"/>
      <c r="J59" s="354"/>
      <c r="K59" s="354"/>
      <c r="L59" s="354"/>
      <c r="M59" s="354"/>
      <c r="N59" s="354"/>
      <c r="P59" s="140"/>
    </row>
    <row r="60" spans="1:16" ht="15">
      <c r="A60" s="353"/>
      <c r="B60" s="178"/>
      <c r="C60" s="354"/>
      <c r="D60" s="354"/>
      <c r="E60" s="354"/>
      <c r="F60" s="354"/>
      <c r="G60" s="354"/>
      <c r="H60" s="354"/>
      <c r="I60" s="354"/>
      <c r="J60" s="354"/>
      <c r="K60" s="354"/>
      <c r="L60" s="354"/>
      <c r="M60" s="354"/>
      <c r="N60" s="354"/>
      <c r="P60" s="140"/>
    </row>
    <row r="61" spans="1:16" ht="15">
      <c r="A61" s="353"/>
      <c r="B61" s="178"/>
      <c r="C61" s="351"/>
      <c r="D61" s="351"/>
      <c r="E61" s="351"/>
      <c r="F61" s="351"/>
      <c r="G61" s="351"/>
      <c r="H61" s="351"/>
      <c r="I61" s="351"/>
      <c r="J61" s="351"/>
      <c r="K61" s="351"/>
      <c r="L61" s="354"/>
      <c r="M61" s="354"/>
      <c r="N61" s="354"/>
    </row>
    <row r="62" spans="1:16" ht="6" customHeight="1">
      <c r="A62" s="355"/>
      <c r="B62" s="178"/>
      <c r="C62" s="314"/>
      <c r="D62" s="314"/>
      <c r="E62" s="314"/>
      <c r="F62" s="314"/>
      <c r="G62" s="314"/>
      <c r="H62" s="314"/>
      <c r="I62" s="314"/>
      <c r="J62" s="314"/>
      <c r="K62" s="314"/>
      <c r="L62" s="178"/>
      <c r="M62" s="178"/>
      <c r="N62" s="178"/>
    </row>
    <row r="63" spans="1:16" ht="15.75">
      <c r="A63" s="234"/>
      <c r="B63" s="178"/>
      <c r="C63" s="314"/>
      <c r="D63" s="314"/>
      <c r="E63" s="314"/>
      <c r="F63" s="314"/>
      <c r="G63" s="314"/>
      <c r="H63" s="314"/>
      <c r="I63" s="314"/>
      <c r="J63" s="314"/>
      <c r="K63" s="314"/>
      <c r="L63" s="178"/>
      <c r="M63" s="178"/>
      <c r="N63" s="178"/>
    </row>
    <row r="64" spans="1:16" ht="15">
      <c r="A64" s="353"/>
      <c r="B64" s="178"/>
      <c r="C64" s="354"/>
      <c r="D64" s="354"/>
      <c r="E64" s="354"/>
      <c r="F64" s="354"/>
      <c r="G64" s="354"/>
      <c r="H64" s="354"/>
      <c r="I64" s="354"/>
      <c r="J64" s="354"/>
      <c r="K64" s="354"/>
      <c r="L64" s="354"/>
      <c r="M64" s="354"/>
      <c r="N64" s="354"/>
    </row>
    <row r="65" spans="1:14" ht="15">
      <c r="A65" s="353"/>
      <c r="B65" s="61"/>
      <c r="C65" s="354"/>
      <c r="D65" s="354"/>
      <c r="E65" s="354"/>
      <c r="F65" s="354"/>
      <c r="G65" s="354"/>
      <c r="H65" s="354"/>
      <c r="I65" s="354"/>
      <c r="J65" s="354"/>
      <c r="K65" s="354"/>
      <c r="L65" s="354"/>
      <c r="M65" s="354"/>
      <c r="N65" s="354"/>
    </row>
    <row r="66" spans="1:14" ht="15">
      <c r="A66" s="353"/>
      <c r="B66" s="61"/>
      <c r="C66" s="354"/>
      <c r="D66" s="354"/>
      <c r="E66" s="354"/>
      <c r="F66" s="354"/>
      <c r="G66" s="354"/>
      <c r="H66" s="354"/>
      <c r="I66" s="354"/>
      <c r="J66" s="354"/>
      <c r="K66" s="354"/>
      <c r="L66" s="354"/>
      <c r="M66" s="354"/>
      <c r="N66" s="354"/>
    </row>
    <row r="67" spans="1:14" ht="15">
      <c r="A67" s="353"/>
      <c r="B67" s="61"/>
      <c r="C67" s="354"/>
      <c r="D67" s="354"/>
      <c r="E67" s="354"/>
      <c r="F67" s="354"/>
      <c r="G67" s="354"/>
      <c r="H67" s="354"/>
      <c r="I67" s="354"/>
      <c r="J67" s="354"/>
      <c r="K67" s="354"/>
      <c r="L67" s="354"/>
      <c r="M67" s="354"/>
      <c r="N67" s="354"/>
    </row>
    <row r="68" spans="1:14" ht="15">
      <c r="A68" s="353"/>
      <c r="B68" s="178"/>
      <c r="C68" s="123"/>
      <c r="D68" s="123"/>
      <c r="E68" s="123"/>
      <c r="F68" s="123"/>
      <c r="G68" s="123"/>
      <c r="H68" s="123"/>
      <c r="I68" s="123"/>
      <c r="J68" s="123"/>
      <c r="K68" s="123"/>
      <c r="L68" s="354"/>
      <c r="M68" s="354"/>
      <c r="N68" s="354"/>
    </row>
    <row r="69" spans="1:14" ht="6" customHeight="1">
      <c r="A69" s="61"/>
      <c r="B69" s="178"/>
      <c r="C69" s="178"/>
      <c r="D69" s="178"/>
      <c r="E69" s="178"/>
      <c r="F69" s="178"/>
      <c r="G69" s="178"/>
      <c r="H69" s="178"/>
      <c r="I69" s="178"/>
      <c r="J69" s="178"/>
      <c r="K69" s="178"/>
      <c r="L69" s="178"/>
      <c r="M69" s="178"/>
      <c r="N69" s="178"/>
    </row>
    <row r="70" spans="1:14" ht="15.75">
      <c r="A70" s="79"/>
      <c r="B70" s="178"/>
      <c r="C70" s="325"/>
      <c r="D70" s="325"/>
      <c r="E70" s="325"/>
      <c r="F70" s="325"/>
      <c r="G70" s="325"/>
      <c r="H70" s="325"/>
      <c r="I70" s="325"/>
      <c r="J70" s="325"/>
      <c r="K70" s="325"/>
      <c r="L70" s="325"/>
      <c r="M70" s="325"/>
      <c r="N70" s="325"/>
    </row>
    <row r="71" spans="1:14" ht="6" customHeight="1">
      <c r="A71" s="356"/>
      <c r="B71" s="61"/>
      <c r="C71" s="61"/>
      <c r="D71" s="61"/>
      <c r="E71" s="61"/>
      <c r="F71" s="357"/>
      <c r="G71" s="61"/>
      <c r="H71" s="61"/>
      <c r="I71" s="61"/>
      <c r="J71" s="61"/>
      <c r="K71" s="357"/>
      <c r="L71" s="325"/>
      <c r="M71" s="178"/>
      <c r="N71" s="178"/>
    </row>
    <row r="72" spans="1:14">
      <c r="A72" s="352"/>
      <c r="B72" s="352"/>
      <c r="C72" s="352"/>
      <c r="D72" s="352"/>
      <c r="E72" s="352"/>
      <c r="F72" s="352"/>
      <c r="G72" s="352"/>
      <c r="H72" s="352"/>
      <c r="I72" s="352"/>
      <c r="J72" s="352"/>
      <c r="K72" s="352"/>
      <c r="L72" s="352"/>
      <c r="M72" s="352"/>
      <c r="N72" s="352"/>
    </row>
  </sheetData>
  <phoneticPr fontId="25" type="noConversion"/>
  <pageMargins left="0.75" right="0.75" top="1" bottom="1" header="0.5" footer="0.5"/>
  <pageSetup paperSize="9" scale="56" orientation="portrait" horizontalDpi="1200" verticalDpi="1200" r:id="rId1"/>
  <headerFooter alignWithMargins="0">
    <oddHeader>&amp;R&amp;"Arial,Bold"&amp;14PERSONAL AND CROSS-MODAL TRAVEL</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77"/>
  <sheetViews>
    <sheetView zoomScale="85" zoomScaleNormal="85" workbookViewId="0"/>
  </sheetViews>
  <sheetFormatPr defaultRowHeight="12.75"/>
  <cols>
    <col min="1" max="1" width="29.7109375" style="7" customWidth="1"/>
    <col min="2" max="3" width="9.7109375" style="7" hidden="1" customWidth="1"/>
    <col min="4" max="5" width="8.5703125" style="7" hidden="1" customWidth="1"/>
    <col min="6" max="9" width="8.5703125" style="7" customWidth="1"/>
    <col min="10" max="10" width="9.7109375" style="7" customWidth="1"/>
    <col min="11" max="14" width="9.140625" style="7"/>
    <col min="15" max="15" width="9.5703125" style="7" customWidth="1"/>
    <col min="16" max="17" width="9.140625" style="7"/>
    <col min="18" max="18" width="2.140625" style="7" customWidth="1"/>
    <col min="19" max="16384" width="9.140625" style="7"/>
  </cols>
  <sheetData>
    <row r="1" spans="1:16" s="39" customFormat="1" ht="18">
      <c r="A1" s="58" t="s">
        <v>423</v>
      </c>
      <c r="B1" s="58"/>
      <c r="C1" s="58"/>
      <c r="D1" s="12"/>
      <c r="E1" s="12"/>
      <c r="F1" s="12"/>
      <c r="G1" s="12"/>
      <c r="H1" s="12"/>
      <c r="I1" s="12"/>
      <c r="J1" s="12"/>
      <c r="K1" s="12"/>
      <c r="L1" s="12"/>
      <c r="M1" s="12"/>
      <c r="N1" s="12"/>
    </row>
    <row r="2" spans="1:16" s="9" customFormat="1" ht="21" customHeight="1">
      <c r="A2" s="202"/>
      <c r="B2" s="202"/>
      <c r="C2" s="181">
        <v>2000</v>
      </c>
      <c r="D2" s="181">
        <v>2001</v>
      </c>
      <c r="E2" s="181">
        <v>2002</v>
      </c>
      <c r="F2" s="181">
        <v>2003</v>
      </c>
      <c r="G2" s="181">
        <v>2004</v>
      </c>
      <c r="H2" s="181">
        <v>2005</v>
      </c>
      <c r="I2" s="181">
        <v>2006</v>
      </c>
      <c r="J2" s="181">
        <v>2007</v>
      </c>
      <c r="K2" s="181">
        <v>2008</v>
      </c>
      <c r="L2" s="181">
        <v>2009</v>
      </c>
      <c r="M2" s="181">
        <v>2010</v>
      </c>
      <c r="N2" s="181">
        <v>2011</v>
      </c>
      <c r="O2" s="181">
        <v>2012</v>
      </c>
      <c r="P2" s="181">
        <v>2013</v>
      </c>
    </row>
    <row r="3" spans="1:16" ht="15">
      <c r="A3" s="12"/>
      <c r="B3" s="12"/>
      <c r="C3" s="33"/>
      <c r="D3" s="9"/>
      <c r="E3" s="33"/>
      <c r="F3" s="33"/>
      <c r="G3" s="33"/>
      <c r="H3" s="33"/>
      <c r="I3" s="9"/>
      <c r="J3" s="49"/>
      <c r="K3" s="33"/>
      <c r="L3" s="33"/>
      <c r="M3" s="33"/>
      <c r="P3" s="33" t="s">
        <v>128</v>
      </c>
    </row>
    <row r="4" spans="1:16" ht="15" customHeight="1">
      <c r="A4" s="26" t="s">
        <v>129</v>
      </c>
      <c r="B4" s="26"/>
      <c r="C4" s="50">
        <v>67.2</v>
      </c>
      <c r="D4" s="50">
        <v>69</v>
      </c>
      <c r="E4" s="50">
        <v>69.599999999999994</v>
      </c>
      <c r="F4" s="50">
        <v>70.013997003693845</v>
      </c>
      <c r="G4" s="50">
        <v>69</v>
      </c>
      <c r="H4" s="50">
        <v>67.802760641878322</v>
      </c>
      <c r="I4" s="50">
        <v>69</v>
      </c>
      <c r="J4" s="50">
        <v>69</v>
      </c>
      <c r="K4" s="50">
        <v>68.8</v>
      </c>
      <c r="L4" s="50">
        <v>69.5</v>
      </c>
      <c r="M4" s="50">
        <v>71.2</v>
      </c>
      <c r="N4" s="50">
        <v>68</v>
      </c>
      <c r="O4" s="50">
        <v>68</v>
      </c>
      <c r="P4" s="50">
        <v>68</v>
      </c>
    </row>
    <row r="5" spans="1:16" ht="15" customHeight="1">
      <c r="A5" s="26" t="s">
        <v>12</v>
      </c>
      <c r="B5" s="26"/>
      <c r="C5" s="50">
        <v>1.8</v>
      </c>
      <c r="D5" s="50">
        <v>2</v>
      </c>
      <c r="E5" s="50">
        <v>1.71</v>
      </c>
      <c r="F5" s="50">
        <v>1.3911089769369875</v>
      </c>
      <c r="G5" s="50">
        <v>1</v>
      </c>
      <c r="H5" s="50">
        <v>1.8727914541799746</v>
      </c>
      <c r="I5" s="50">
        <v>1</v>
      </c>
      <c r="J5" s="50">
        <v>1.8163700923612307</v>
      </c>
      <c r="K5" s="50">
        <v>1.9</v>
      </c>
      <c r="L5" s="50">
        <v>1.5</v>
      </c>
      <c r="M5" s="50">
        <v>1.6</v>
      </c>
      <c r="N5" s="50">
        <v>2</v>
      </c>
      <c r="O5" s="50">
        <v>2</v>
      </c>
      <c r="P5" s="50">
        <v>2</v>
      </c>
    </row>
    <row r="6" spans="1:16" ht="15" customHeight="1">
      <c r="A6" s="26" t="s">
        <v>131</v>
      </c>
      <c r="B6" s="26"/>
      <c r="C6" s="50">
        <v>12.6</v>
      </c>
      <c r="D6" s="50">
        <v>12</v>
      </c>
      <c r="E6" s="50">
        <v>11.35</v>
      </c>
      <c r="F6" s="50">
        <v>11.477821668699189</v>
      </c>
      <c r="G6" s="50">
        <v>12</v>
      </c>
      <c r="H6" s="50">
        <v>11.986742492444662</v>
      </c>
      <c r="I6" s="50">
        <v>12</v>
      </c>
      <c r="J6" s="50">
        <v>11.519449382495786</v>
      </c>
      <c r="K6" s="50">
        <v>12.6</v>
      </c>
      <c r="L6" s="50">
        <v>10.7</v>
      </c>
      <c r="M6" s="50">
        <v>10.199999999999999</v>
      </c>
      <c r="N6" s="50">
        <v>12</v>
      </c>
      <c r="O6" s="50">
        <v>11</v>
      </c>
      <c r="P6" s="50">
        <v>11</v>
      </c>
    </row>
    <row r="7" spans="1:16" ht="15" customHeight="1">
      <c r="A7" s="26" t="s">
        <v>132</v>
      </c>
      <c r="B7" s="26"/>
      <c r="C7" s="50">
        <v>3.6</v>
      </c>
      <c r="D7" s="50">
        <v>4</v>
      </c>
      <c r="E7" s="50">
        <v>3.34</v>
      </c>
      <c r="F7" s="50">
        <v>3.5422078856908268</v>
      </c>
      <c r="G7" s="50">
        <v>3</v>
      </c>
      <c r="H7" s="50">
        <v>3.7772539286377125</v>
      </c>
      <c r="I7" s="50">
        <v>5</v>
      </c>
      <c r="J7" s="50">
        <v>4.1090769302926997</v>
      </c>
      <c r="K7" s="50">
        <v>3.5</v>
      </c>
      <c r="L7" s="50">
        <v>3.6</v>
      </c>
      <c r="M7" s="50">
        <v>3.8</v>
      </c>
      <c r="N7" s="50">
        <v>4</v>
      </c>
      <c r="O7" s="50">
        <v>4</v>
      </c>
      <c r="P7" s="50">
        <v>5</v>
      </c>
    </row>
    <row r="8" spans="1:16" ht="15" customHeight="1">
      <c r="A8" s="26" t="s">
        <v>11</v>
      </c>
      <c r="B8" s="26"/>
      <c r="C8" s="50">
        <v>13.4</v>
      </c>
      <c r="D8" s="50">
        <v>12</v>
      </c>
      <c r="E8" s="50">
        <v>12.51</v>
      </c>
      <c r="F8" s="50">
        <v>12.058831997874908</v>
      </c>
      <c r="G8" s="50">
        <v>12</v>
      </c>
      <c r="H8" s="50">
        <v>12.654096134011814</v>
      </c>
      <c r="I8" s="50">
        <v>12</v>
      </c>
      <c r="J8" s="50">
        <v>11.050837762251911</v>
      </c>
      <c r="K8" s="50">
        <v>11.1</v>
      </c>
      <c r="L8" s="50">
        <v>12.114203488237427</v>
      </c>
      <c r="M8" s="50">
        <v>11.5</v>
      </c>
      <c r="N8" s="50">
        <v>12</v>
      </c>
      <c r="O8" s="50">
        <v>12</v>
      </c>
      <c r="P8" s="50">
        <v>13</v>
      </c>
    </row>
    <row r="9" spans="1:16" ht="15" customHeight="1">
      <c r="A9" s="26" t="s">
        <v>133</v>
      </c>
      <c r="B9" s="26"/>
      <c r="C9" s="50">
        <v>1.4</v>
      </c>
      <c r="D9" s="50">
        <v>2</v>
      </c>
      <c r="E9" s="50">
        <v>1.49</v>
      </c>
      <c r="F9" s="50">
        <v>1.5160324671042551</v>
      </c>
      <c r="G9" s="50">
        <v>3</v>
      </c>
      <c r="H9" s="50">
        <v>1.9063553488475165</v>
      </c>
      <c r="I9" s="50">
        <v>1</v>
      </c>
      <c r="J9" s="50">
        <v>1.6183217900954696</v>
      </c>
      <c r="K9" s="50">
        <v>2.1</v>
      </c>
      <c r="L9" s="50">
        <v>2.6</v>
      </c>
      <c r="M9" s="50">
        <v>1.7</v>
      </c>
      <c r="N9" s="50">
        <v>2</v>
      </c>
      <c r="O9" s="50">
        <v>2</v>
      </c>
      <c r="P9" s="50">
        <v>2</v>
      </c>
    </row>
    <row r="10" spans="1:16" s="166" customFormat="1" ht="15" customHeight="1">
      <c r="A10" s="211" t="s">
        <v>134</v>
      </c>
      <c r="B10" s="211"/>
      <c r="C10" s="212">
        <v>100</v>
      </c>
      <c r="D10" s="212">
        <v>100</v>
      </c>
      <c r="E10" s="212">
        <v>100</v>
      </c>
      <c r="F10" s="212">
        <v>100</v>
      </c>
      <c r="G10" s="212">
        <v>100</v>
      </c>
      <c r="H10" s="212">
        <v>100</v>
      </c>
      <c r="I10" s="212">
        <v>100</v>
      </c>
      <c r="J10" s="212">
        <v>100</v>
      </c>
      <c r="K10" s="212">
        <v>100</v>
      </c>
      <c r="L10" s="212">
        <v>100</v>
      </c>
      <c r="M10" s="212">
        <v>100</v>
      </c>
      <c r="N10" s="212">
        <v>100</v>
      </c>
      <c r="O10" s="212">
        <v>100</v>
      </c>
      <c r="P10" s="212">
        <v>100</v>
      </c>
    </row>
    <row r="11" spans="1:16" ht="13.5" customHeight="1">
      <c r="A11" s="491" t="s">
        <v>623</v>
      </c>
      <c r="L11" s="70"/>
      <c r="M11" s="70"/>
    </row>
    <row r="12" spans="1:16">
      <c r="L12" s="70"/>
      <c r="M12" s="70"/>
    </row>
    <row r="13" spans="1:16" s="39" customFormat="1" ht="18">
      <c r="A13" s="79" t="s">
        <v>424</v>
      </c>
      <c r="B13" s="79"/>
      <c r="C13" s="61"/>
      <c r="D13" s="61"/>
      <c r="E13" s="61"/>
      <c r="F13" s="61"/>
      <c r="G13" s="61"/>
      <c r="H13" s="61"/>
      <c r="I13" s="61"/>
      <c r="J13" s="61"/>
      <c r="K13" s="61"/>
      <c r="L13" s="61"/>
      <c r="M13" s="73"/>
    </row>
    <row r="14" spans="1:16" s="9" customFormat="1" ht="21" customHeight="1">
      <c r="A14" s="230"/>
      <c r="B14" s="230"/>
      <c r="C14" s="208">
        <v>1996</v>
      </c>
      <c r="D14" s="208">
        <v>1997</v>
      </c>
      <c r="F14" s="208">
        <v>1998</v>
      </c>
      <c r="G14" s="341">
        <v>1999</v>
      </c>
      <c r="H14" s="208">
        <v>2000</v>
      </c>
      <c r="I14" s="208">
        <v>2001</v>
      </c>
      <c r="J14" s="208">
        <v>2002</v>
      </c>
      <c r="K14" s="208">
        <v>2003</v>
      </c>
      <c r="L14" s="208">
        <v>2004</v>
      </c>
      <c r="M14" s="208">
        <v>2005</v>
      </c>
    </row>
    <row r="15" spans="1:16" ht="15">
      <c r="A15" s="61"/>
      <c r="B15" s="61"/>
      <c r="C15" s="61"/>
      <c r="D15" s="61"/>
      <c r="F15" s="60"/>
      <c r="G15" s="209"/>
      <c r="H15" s="60"/>
      <c r="I15" s="209"/>
      <c r="J15" s="209"/>
      <c r="K15" s="209"/>
      <c r="L15" s="209"/>
      <c r="M15" s="71" t="s">
        <v>135</v>
      </c>
    </row>
    <row r="16" spans="1:16" ht="15">
      <c r="A16" s="210" t="s">
        <v>129</v>
      </c>
      <c r="B16" s="210"/>
      <c r="C16" s="50">
        <v>21.885617793993696</v>
      </c>
      <c r="D16" s="50">
        <v>22.023187407238726</v>
      </c>
      <c r="F16" s="50">
        <v>21.811140595916477</v>
      </c>
      <c r="G16" s="50">
        <v>22.22</v>
      </c>
      <c r="H16" s="50">
        <v>22.78</v>
      </c>
      <c r="I16" s="50">
        <v>20</v>
      </c>
      <c r="J16" s="50">
        <v>23</v>
      </c>
      <c r="K16" s="50">
        <v>20.009706664261117</v>
      </c>
      <c r="L16" s="50">
        <v>22</v>
      </c>
      <c r="M16" s="50">
        <v>21</v>
      </c>
    </row>
    <row r="17" spans="1:16" ht="15">
      <c r="A17" s="210" t="s">
        <v>12</v>
      </c>
      <c r="B17" s="210"/>
      <c r="C17" s="50">
        <v>14.220463069179445</v>
      </c>
      <c r="D17" s="50">
        <v>14.227600877296418</v>
      </c>
      <c r="F17" s="50">
        <v>14.947838380207864</v>
      </c>
      <c r="G17" s="50">
        <v>15.33</v>
      </c>
      <c r="H17" s="50">
        <v>17.82</v>
      </c>
      <c r="I17" s="50">
        <v>15</v>
      </c>
      <c r="J17" s="50">
        <v>14</v>
      </c>
      <c r="K17" s="50">
        <v>16.135703555332999</v>
      </c>
      <c r="L17" s="50">
        <v>15</v>
      </c>
      <c r="M17" s="50">
        <v>16</v>
      </c>
    </row>
    <row r="18" spans="1:16" ht="15">
      <c r="A18" s="210" t="s">
        <v>131</v>
      </c>
      <c r="B18" s="210"/>
      <c r="C18" s="50">
        <v>30.909022671628829</v>
      </c>
      <c r="D18" s="50">
        <v>33.003612144365135</v>
      </c>
      <c r="F18" s="50">
        <v>31.823399379931185</v>
      </c>
      <c r="G18" s="50">
        <v>31.53</v>
      </c>
      <c r="H18" s="50">
        <v>32.090000000000003</v>
      </c>
      <c r="I18" s="50">
        <v>33</v>
      </c>
      <c r="J18" s="50">
        <v>34</v>
      </c>
      <c r="K18" s="50">
        <v>32.738495027391828</v>
      </c>
      <c r="L18" s="50">
        <v>32</v>
      </c>
      <c r="M18" s="50">
        <v>32</v>
      </c>
    </row>
    <row r="19" spans="1:16" ht="15">
      <c r="A19" s="210" t="s">
        <v>132</v>
      </c>
      <c r="B19" s="210"/>
      <c r="C19" s="50">
        <v>57.641359587658251</v>
      </c>
      <c r="D19" s="50">
        <v>41.771988216572574</v>
      </c>
      <c r="F19" s="50">
        <v>55.077974538465604</v>
      </c>
      <c r="G19" s="50">
        <v>53.292576787017801</v>
      </c>
      <c r="H19" s="50">
        <v>51.98</v>
      </c>
      <c r="I19" s="50">
        <v>47</v>
      </c>
      <c r="J19" s="50">
        <v>46</v>
      </c>
      <c r="K19" s="50">
        <v>47.906168469354313</v>
      </c>
      <c r="L19" s="50">
        <v>46</v>
      </c>
      <c r="M19" s="50">
        <v>49</v>
      </c>
    </row>
    <row r="20" spans="1:16" ht="15">
      <c r="A20" s="210" t="s">
        <v>11</v>
      </c>
      <c r="B20" s="210"/>
      <c r="C20" s="50">
        <v>10.599926857616653</v>
      </c>
      <c r="D20" s="50">
        <v>12.047323728295218</v>
      </c>
      <c r="F20" s="50">
        <v>12.375156551580165</v>
      </c>
      <c r="G20" s="50">
        <v>11.69</v>
      </c>
      <c r="H20" s="50">
        <v>11.98</v>
      </c>
      <c r="I20" s="50">
        <v>11</v>
      </c>
      <c r="J20" s="50">
        <v>12</v>
      </c>
      <c r="K20" s="50">
        <v>11.702520555330906</v>
      </c>
      <c r="L20" s="50">
        <v>12</v>
      </c>
      <c r="M20" s="50">
        <v>13</v>
      </c>
    </row>
    <row r="21" spans="1:16" ht="15">
      <c r="A21" s="210" t="s">
        <v>133</v>
      </c>
      <c r="B21" s="210"/>
      <c r="C21" s="50">
        <v>33.961581702948472</v>
      </c>
      <c r="D21" s="50">
        <v>32.987735740664746</v>
      </c>
      <c r="F21" s="50">
        <v>44.920247719323541</v>
      </c>
      <c r="G21" s="50">
        <v>33.267132223160154</v>
      </c>
      <c r="H21" s="50">
        <v>46.6</v>
      </c>
      <c r="I21" s="50">
        <v>42</v>
      </c>
      <c r="J21" s="50">
        <v>46</v>
      </c>
      <c r="K21" s="50">
        <v>24.55</v>
      </c>
      <c r="L21" s="50">
        <v>36</v>
      </c>
      <c r="M21" s="50">
        <v>40</v>
      </c>
    </row>
    <row r="22" spans="1:16" ht="15">
      <c r="A22" s="213" t="s">
        <v>134</v>
      </c>
      <c r="B22" s="213"/>
      <c r="C22" s="214">
        <v>22.240522923370154</v>
      </c>
      <c r="D22" s="214">
        <v>22.659841424740161</v>
      </c>
      <c r="F22" s="214">
        <v>22.862528216670942</v>
      </c>
      <c r="G22" s="214">
        <v>23.07</v>
      </c>
      <c r="H22" s="214">
        <v>23.83</v>
      </c>
      <c r="I22" s="214">
        <v>22</v>
      </c>
      <c r="J22" s="214">
        <v>24</v>
      </c>
      <c r="K22" s="214">
        <v>21.473590988418803</v>
      </c>
      <c r="L22" s="214">
        <v>23</v>
      </c>
      <c r="M22" s="214">
        <v>22</v>
      </c>
    </row>
    <row r="23" spans="1:16" ht="6.75" customHeight="1">
      <c r="A23" s="51"/>
      <c r="B23" s="51"/>
      <c r="C23" s="50"/>
      <c r="D23" s="50"/>
      <c r="E23" s="50"/>
      <c r="F23" s="50"/>
      <c r="G23" s="50"/>
      <c r="H23" s="50"/>
      <c r="I23" s="50"/>
      <c r="J23" s="50"/>
      <c r="K23" s="50"/>
      <c r="L23" s="50"/>
      <c r="M23" s="50"/>
    </row>
    <row r="24" spans="1:16">
      <c r="A24" s="51" t="s">
        <v>448</v>
      </c>
      <c r="B24" s="51"/>
      <c r="C24" s="52"/>
      <c r="D24" s="52"/>
      <c r="E24" s="52"/>
      <c r="F24" s="52"/>
      <c r="G24" s="52"/>
      <c r="H24" s="52"/>
      <c r="I24" s="70"/>
      <c r="J24" s="70"/>
      <c r="K24" s="70"/>
      <c r="L24" s="70"/>
    </row>
    <row r="25" spans="1:16">
      <c r="A25" s="51" t="s">
        <v>310</v>
      </c>
      <c r="B25" s="51"/>
      <c r="C25" s="52"/>
      <c r="D25" s="52"/>
      <c r="E25" s="52"/>
      <c r="F25" s="52"/>
      <c r="G25" s="52"/>
      <c r="H25" s="52"/>
      <c r="I25" s="70"/>
      <c r="J25" s="70"/>
      <c r="K25" s="70"/>
      <c r="L25" s="70"/>
    </row>
    <row r="26" spans="1:16" ht="7.5" customHeight="1">
      <c r="A26" s="51"/>
      <c r="B26" s="51"/>
      <c r="C26" s="52"/>
      <c r="D26" s="52"/>
      <c r="E26" s="52"/>
      <c r="F26" s="52"/>
      <c r="G26" s="52"/>
      <c r="H26" s="52"/>
    </row>
    <row r="27" spans="1:16" ht="18.75">
      <c r="A27" s="58" t="s">
        <v>461</v>
      </c>
      <c r="B27" s="58"/>
      <c r="C27" s="12"/>
      <c r="D27" s="12"/>
      <c r="E27" s="12"/>
      <c r="F27" s="12"/>
      <c r="G27" s="12"/>
      <c r="H27" s="12"/>
      <c r="I27" s="12"/>
      <c r="J27" s="12"/>
      <c r="K27" s="12"/>
      <c r="L27" s="61"/>
      <c r="M27" s="61"/>
    </row>
    <row r="28" spans="1:16" ht="18.75">
      <c r="A28" s="202"/>
      <c r="B28" s="181">
        <v>2000</v>
      </c>
      <c r="D28" s="181">
        <v>2001</v>
      </c>
      <c r="E28" s="208">
        <v>2002</v>
      </c>
      <c r="F28" s="208">
        <v>2003</v>
      </c>
      <c r="G28" s="208">
        <v>2004</v>
      </c>
      <c r="H28" s="208">
        <v>2005</v>
      </c>
      <c r="I28" s="208">
        <v>2006</v>
      </c>
      <c r="J28" s="208">
        <v>2007</v>
      </c>
      <c r="K28" s="208">
        <v>2008</v>
      </c>
      <c r="L28" s="342" t="s">
        <v>418</v>
      </c>
      <c r="M28" s="342" t="s">
        <v>447</v>
      </c>
      <c r="N28" s="342" t="s">
        <v>471</v>
      </c>
      <c r="O28" s="342" t="s">
        <v>540</v>
      </c>
      <c r="P28" s="476" t="s">
        <v>587</v>
      </c>
    </row>
    <row r="29" spans="1:16" ht="15">
      <c r="A29" s="12"/>
      <c r="B29" s="9"/>
      <c r="D29" s="33"/>
      <c r="E29" s="33"/>
      <c r="F29" s="209"/>
      <c r="G29" s="209"/>
      <c r="H29" s="9"/>
      <c r="I29" s="209"/>
      <c r="J29" s="71"/>
      <c r="K29" s="71"/>
      <c r="L29" s="71"/>
      <c r="M29" s="71"/>
      <c r="P29" s="71" t="s">
        <v>135</v>
      </c>
    </row>
    <row r="30" spans="1:16" ht="15">
      <c r="A30" s="210" t="s">
        <v>147</v>
      </c>
      <c r="B30" s="35" t="s">
        <v>130</v>
      </c>
      <c r="D30" s="35" t="s">
        <v>130</v>
      </c>
      <c r="E30" s="50">
        <v>23</v>
      </c>
      <c r="F30" s="50">
        <v>23</v>
      </c>
      <c r="G30" s="50">
        <v>24</v>
      </c>
      <c r="H30" s="50">
        <v>23</v>
      </c>
      <c r="I30" s="50">
        <v>23</v>
      </c>
      <c r="J30" s="50">
        <v>23.977321758451861</v>
      </c>
      <c r="K30" s="50">
        <v>24.341142775143719</v>
      </c>
      <c r="L30" s="50">
        <v>24.104782383560082</v>
      </c>
      <c r="M30" s="50">
        <v>24.688765643646168</v>
      </c>
      <c r="N30" s="50">
        <v>23</v>
      </c>
      <c r="O30" s="50">
        <v>24</v>
      </c>
      <c r="P30" s="50">
        <v>25</v>
      </c>
    </row>
    <row r="31" spans="1:16" ht="15">
      <c r="A31" s="210" t="s">
        <v>307</v>
      </c>
      <c r="B31" s="35" t="s">
        <v>130</v>
      </c>
      <c r="D31" s="35" t="s">
        <v>130</v>
      </c>
      <c r="E31" s="143" t="s">
        <v>309</v>
      </c>
      <c r="F31" s="50">
        <v>17</v>
      </c>
      <c r="G31" s="50">
        <v>16</v>
      </c>
      <c r="H31" s="50">
        <v>19</v>
      </c>
      <c r="I31" s="143" t="s">
        <v>309</v>
      </c>
      <c r="J31" s="143">
        <v>23.626276378488768</v>
      </c>
      <c r="K31" s="143" t="s">
        <v>309</v>
      </c>
      <c r="L31" s="143">
        <v>18.98668998348392</v>
      </c>
      <c r="M31" s="143" t="s">
        <v>309</v>
      </c>
      <c r="N31" s="143" t="s">
        <v>309</v>
      </c>
      <c r="O31" s="143" t="s">
        <v>309</v>
      </c>
      <c r="P31" s="143" t="s">
        <v>309</v>
      </c>
    </row>
    <row r="32" spans="1:16" ht="15">
      <c r="A32" s="210" t="s">
        <v>12</v>
      </c>
      <c r="B32" s="35" t="s">
        <v>130</v>
      </c>
      <c r="D32" s="35" t="s">
        <v>130</v>
      </c>
      <c r="E32" s="50">
        <v>14</v>
      </c>
      <c r="F32" s="50">
        <v>16</v>
      </c>
      <c r="G32" s="50">
        <v>15</v>
      </c>
      <c r="H32" s="50">
        <v>17</v>
      </c>
      <c r="I32" s="50">
        <v>21</v>
      </c>
      <c r="J32" s="50">
        <v>18.634174085064291</v>
      </c>
      <c r="K32" s="50">
        <v>17.828401206266701</v>
      </c>
      <c r="L32" s="50">
        <v>15.363224333579534</v>
      </c>
      <c r="M32" s="50">
        <v>19.706469711858496</v>
      </c>
      <c r="N32" s="50">
        <v>20</v>
      </c>
      <c r="O32" s="50">
        <v>18</v>
      </c>
      <c r="P32" s="50">
        <v>22</v>
      </c>
    </row>
    <row r="33" spans="1:18" ht="15">
      <c r="A33" s="210" t="s">
        <v>308</v>
      </c>
      <c r="B33" s="35" t="s">
        <v>130</v>
      </c>
      <c r="D33" s="35" t="s">
        <v>130</v>
      </c>
      <c r="E33" s="50">
        <v>34</v>
      </c>
      <c r="F33" s="50">
        <v>33</v>
      </c>
      <c r="G33" s="50">
        <v>33</v>
      </c>
      <c r="H33" s="50">
        <v>33</v>
      </c>
      <c r="I33" s="50">
        <v>35</v>
      </c>
      <c r="J33" s="50">
        <v>32.746594948511955</v>
      </c>
      <c r="K33" s="50">
        <v>36.138307597376382</v>
      </c>
      <c r="L33" s="50">
        <v>34.798888605895023</v>
      </c>
      <c r="M33" s="50">
        <v>36.37153360622753</v>
      </c>
      <c r="N33" s="50">
        <v>35</v>
      </c>
      <c r="O33" s="50">
        <v>39</v>
      </c>
      <c r="P33" s="50">
        <v>37</v>
      </c>
    </row>
    <row r="34" spans="1:18" ht="15">
      <c r="A34" s="210" t="s">
        <v>204</v>
      </c>
      <c r="B34" s="35" t="s">
        <v>130</v>
      </c>
      <c r="D34" s="35" t="s">
        <v>130</v>
      </c>
      <c r="E34" s="50">
        <v>46</v>
      </c>
      <c r="F34" s="50">
        <v>50</v>
      </c>
      <c r="G34" s="50">
        <v>52</v>
      </c>
      <c r="H34" s="50">
        <v>49</v>
      </c>
      <c r="I34" s="50">
        <v>50</v>
      </c>
      <c r="J34" s="50">
        <v>48.855581311273205</v>
      </c>
      <c r="K34" s="50">
        <v>56.918910874432207</v>
      </c>
      <c r="L34" s="50">
        <v>52.664806024935132</v>
      </c>
      <c r="M34" s="50">
        <v>52.80746234479949</v>
      </c>
      <c r="N34" s="50">
        <v>51</v>
      </c>
      <c r="O34" s="50">
        <v>59</v>
      </c>
      <c r="P34" s="50">
        <v>56</v>
      </c>
    </row>
    <row r="35" spans="1:18" ht="15">
      <c r="A35" s="210" t="s">
        <v>11</v>
      </c>
      <c r="B35" s="35" t="s">
        <v>130</v>
      </c>
      <c r="D35" s="35" t="s">
        <v>130</v>
      </c>
      <c r="E35" s="50">
        <v>12</v>
      </c>
      <c r="F35" s="50">
        <v>12</v>
      </c>
      <c r="G35" s="50">
        <v>13</v>
      </c>
      <c r="H35" s="50">
        <v>13</v>
      </c>
      <c r="I35" s="50">
        <v>13</v>
      </c>
      <c r="J35" s="50">
        <v>12.393947477621673</v>
      </c>
      <c r="K35" s="50">
        <v>12.329583953289637</v>
      </c>
      <c r="L35" s="50">
        <v>13.665874839522123</v>
      </c>
      <c r="M35" s="50">
        <v>13.507867055599759</v>
      </c>
      <c r="N35" s="50">
        <v>13</v>
      </c>
      <c r="O35" s="50">
        <v>15</v>
      </c>
      <c r="P35" s="50">
        <v>14</v>
      </c>
      <c r="R35" s="179"/>
    </row>
    <row r="36" spans="1:18" ht="18">
      <c r="A36" s="210" t="s">
        <v>108</v>
      </c>
      <c r="B36" s="35" t="s">
        <v>130</v>
      </c>
      <c r="D36" s="35" t="s">
        <v>130</v>
      </c>
      <c r="E36" s="50">
        <v>53</v>
      </c>
      <c r="F36" s="50">
        <v>39</v>
      </c>
      <c r="G36" s="50">
        <v>62</v>
      </c>
      <c r="H36" s="50">
        <v>61</v>
      </c>
      <c r="I36" s="50">
        <v>70.125606765750888</v>
      </c>
      <c r="J36" s="50">
        <v>64.297866393366249</v>
      </c>
      <c r="K36" s="50">
        <v>75.278838287428414</v>
      </c>
      <c r="L36" s="50">
        <v>95</v>
      </c>
      <c r="M36" s="50">
        <v>73</v>
      </c>
      <c r="N36" s="493" t="s">
        <v>541</v>
      </c>
      <c r="O36" s="50">
        <v>89</v>
      </c>
      <c r="P36" s="50">
        <v>77</v>
      </c>
    </row>
    <row r="37" spans="1:18" ht="15">
      <c r="A37" s="213" t="s">
        <v>134</v>
      </c>
      <c r="B37" s="171" t="s">
        <v>130</v>
      </c>
      <c r="D37" s="171" t="s">
        <v>130</v>
      </c>
      <c r="E37" s="214">
        <v>24</v>
      </c>
      <c r="F37" s="214">
        <v>24</v>
      </c>
      <c r="G37" s="214">
        <v>25</v>
      </c>
      <c r="H37" s="214">
        <v>24</v>
      </c>
      <c r="I37" s="214">
        <v>24.836265027942176</v>
      </c>
      <c r="J37" s="214">
        <v>25.154770804083956</v>
      </c>
      <c r="K37" s="214">
        <v>26.18752077851585</v>
      </c>
      <c r="L37" s="214">
        <v>25.61484984224672</v>
      </c>
      <c r="M37" s="214">
        <v>26.171684156017552</v>
      </c>
      <c r="N37" s="214">
        <v>25</v>
      </c>
      <c r="O37" s="214">
        <v>26</v>
      </c>
      <c r="P37" s="214">
        <v>27</v>
      </c>
    </row>
    <row r="38" spans="1:18" ht="13.5" customHeight="1">
      <c r="A38" s="491" t="s">
        <v>623</v>
      </c>
      <c r="B38" s="51"/>
      <c r="C38" s="51"/>
      <c r="D38" s="52"/>
      <c r="E38" s="52"/>
      <c r="F38" s="52"/>
      <c r="G38" s="52"/>
      <c r="H38" s="52"/>
      <c r="I38" s="52"/>
    </row>
    <row r="39" spans="1:18" ht="13.5" customHeight="1">
      <c r="A39" s="51" t="s">
        <v>455</v>
      </c>
      <c r="B39" s="51"/>
      <c r="C39" s="51"/>
      <c r="D39" s="52"/>
      <c r="E39" s="52"/>
      <c r="F39" s="52"/>
      <c r="G39" s="52"/>
      <c r="H39" s="52"/>
      <c r="I39" s="52"/>
    </row>
    <row r="40" spans="1:18">
      <c r="A40" s="51" t="s">
        <v>456</v>
      </c>
      <c r="B40" s="51"/>
      <c r="C40" s="51"/>
      <c r="D40" s="52"/>
      <c r="E40" s="52"/>
      <c r="F40" s="52"/>
      <c r="G40" s="52"/>
      <c r="H40" s="52"/>
      <c r="I40" s="52"/>
    </row>
    <row r="41" spans="1:18">
      <c r="A41" s="51" t="s">
        <v>457</v>
      </c>
      <c r="B41" s="51"/>
      <c r="C41" s="51"/>
      <c r="D41" s="52"/>
      <c r="E41" s="52"/>
      <c r="F41" s="52"/>
      <c r="G41" s="52"/>
      <c r="H41" s="52"/>
      <c r="I41" s="52"/>
    </row>
    <row r="42" spans="1:18">
      <c r="A42" s="51" t="s">
        <v>458</v>
      </c>
      <c r="B42" s="51"/>
      <c r="C42" s="51"/>
      <c r="D42" s="52"/>
      <c r="E42" s="52"/>
      <c r="F42" s="52"/>
      <c r="G42" s="52"/>
      <c r="H42" s="52"/>
      <c r="I42" s="52"/>
    </row>
    <row r="43" spans="1:18">
      <c r="A43" s="51" t="s">
        <v>459</v>
      </c>
      <c r="B43" s="51"/>
      <c r="C43" s="51"/>
      <c r="D43" s="52"/>
      <c r="E43" s="52"/>
      <c r="F43" s="52"/>
      <c r="G43" s="52"/>
      <c r="H43" s="52"/>
      <c r="I43" s="52"/>
    </row>
    <row r="44" spans="1:18">
      <c r="A44" s="51" t="s">
        <v>460</v>
      </c>
      <c r="B44" s="51"/>
      <c r="C44" s="51"/>
      <c r="D44" s="52"/>
      <c r="E44" s="52"/>
      <c r="F44" s="52"/>
      <c r="G44" s="52"/>
      <c r="H44" s="52"/>
      <c r="I44" s="52"/>
    </row>
    <row r="45" spans="1:18">
      <c r="A45" s="7" t="s">
        <v>531</v>
      </c>
      <c r="D45" s="52"/>
      <c r="E45" s="52"/>
      <c r="F45" s="52"/>
      <c r="G45" s="52"/>
      <c r="H45" s="52"/>
      <c r="I45" s="52"/>
    </row>
    <row r="46" spans="1:18">
      <c r="D46" s="52"/>
      <c r="E46" s="52"/>
      <c r="F46" s="52"/>
      <c r="G46" s="52"/>
      <c r="H46" s="52"/>
      <c r="I46" s="52"/>
    </row>
    <row r="47" spans="1:18" s="39" customFormat="1" ht="18.75">
      <c r="A47" s="58" t="s">
        <v>425</v>
      </c>
      <c r="B47" s="58"/>
      <c r="C47" s="58"/>
      <c r="D47" s="214"/>
      <c r="E47" s="50"/>
      <c r="F47" s="50"/>
      <c r="G47" s="50"/>
      <c r="H47" s="50"/>
      <c r="I47" s="50"/>
      <c r="J47" s="12"/>
      <c r="K47" s="12"/>
    </row>
    <row r="48" spans="1:18" s="9" customFormat="1" ht="18.75">
      <c r="A48" s="169"/>
      <c r="B48" s="12"/>
      <c r="C48" s="12"/>
      <c r="F48" s="199" t="s">
        <v>183</v>
      </c>
      <c r="G48" s="199" t="s">
        <v>148</v>
      </c>
      <c r="H48" s="199" t="s">
        <v>147</v>
      </c>
      <c r="I48" s="199" t="s">
        <v>146</v>
      </c>
      <c r="J48" s="199" t="s">
        <v>145</v>
      </c>
      <c r="K48" s="199" t="s">
        <v>144</v>
      </c>
      <c r="L48" s="199" t="s">
        <v>143</v>
      </c>
      <c r="M48" s="199" t="s">
        <v>39</v>
      </c>
    </row>
    <row r="49" spans="1:13" s="9" customFormat="1" ht="15.75">
      <c r="A49" s="58" t="s">
        <v>142</v>
      </c>
      <c r="B49" s="58"/>
      <c r="C49" s="58"/>
      <c r="F49" s="93" t="s">
        <v>191</v>
      </c>
      <c r="G49" s="93"/>
      <c r="H49" s="187"/>
      <c r="I49" s="93" t="s">
        <v>141</v>
      </c>
      <c r="J49" s="93" t="s">
        <v>141</v>
      </c>
      <c r="K49" s="187"/>
      <c r="L49" s="93" t="s">
        <v>193</v>
      </c>
      <c r="M49" s="93" t="s">
        <v>140</v>
      </c>
    </row>
    <row r="50" spans="1:13" s="9" customFormat="1" ht="15.75">
      <c r="A50" s="215" t="s">
        <v>139</v>
      </c>
      <c r="B50" s="215"/>
      <c r="C50" s="215"/>
      <c r="F50" s="190" t="s">
        <v>192</v>
      </c>
      <c r="G50" s="190"/>
      <c r="H50" s="190"/>
      <c r="I50" s="190"/>
      <c r="J50" s="190"/>
      <c r="K50" s="190"/>
      <c r="L50" s="190" t="s">
        <v>194</v>
      </c>
      <c r="M50" s="190" t="s">
        <v>138</v>
      </c>
    </row>
    <row r="51" spans="1:13" ht="15.75">
      <c r="A51" s="9"/>
      <c r="B51" s="9"/>
      <c r="C51" s="9"/>
      <c r="F51" s="9"/>
      <c r="G51" s="37"/>
      <c r="H51" s="37"/>
      <c r="I51" s="37"/>
      <c r="J51" s="37"/>
      <c r="K51" s="37"/>
      <c r="L51" s="54"/>
      <c r="M51" s="31" t="s">
        <v>128</v>
      </c>
    </row>
    <row r="52" spans="1:13" ht="15">
      <c r="A52" s="221">
        <v>1966</v>
      </c>
      <c r="B52" s="221"/>
      <c r="C52" s="221"/>
      <c r="F52" s="36">
        <v>3.5500378640108301</v>
      </c>
      <c r="G52" s="36">
        <v>43.393992243614747</v>
      </c>
      <c r="H52" s="36">
        <v>20.774720609495834</v>
      </c>
      <c r="I52" s="36">
        <v>0.84723592720930763</v>
      </c>
      <c r="J52" s="36">
        <v>2.4035615118066866</v>
      </c>
      <c r="K52" s="36">
        <v>24.041122610551437</v>
      </c>
      <c r="L52" s="36">
        <v>4.9893292333111505</v>
      </c>
      <c r="M52" s="9">
        <v>100</v>
      </c>
    </row>
    <row r="53" spans="1:13" ht="15">
      <c r="A53" s="221">
        <v>1971</v>
      </c>
      <c r="B53" s="221"/>
      <c r="C53" s="221"/>
      <c r="F53" s="36">
        <v>3.4210215320617401</v>
      </c>
      <c r="G53" s="36">
        <v>35.117823630905953</v>
      </c>
      <c r="H53" s="36">
        <v>29.342220331371578</v>
      </c>
      <c r="I53" s="556" t="s">
        <v>578</v>
      </c>
      <c r="J53" s="36">
        <v>1.5613699212933418</v>
      </c>
      <c r="K53" s="36">
        <v>23.804864213287953</v>
      </c>
      <c r="L53" s="36">
        <v>6.2946418019806663</v>
      </c>
      <c r="M53" s="9">
        <v>100</v>
      </c>
    </row>
    <row r="54" spans="1:13" ht="15">
      <c r="A54" s="221">
        <v>1981</v>
      </c>
      <c r="B54" s="221"/>
      <c r="C54" s="221"/>
      <c r="F54" s="36">
        <v>3.19527438054548</v>
      </c>
      <c r="G54" s="36">
        <v>25.124673939109201</v>
      </c>
      <c r="H54" s="36">
        <v>46.018509002461663</v>
      </c>
      <c r="I54" s="36">
        <v>1.1887458217713243</v>
      </c>
      <c r="J54" s="36">
        <v>1.4398065902228225</v>
      </c>
      <c r="K54" s="36">
        <v>20.044241507734924</v>
      </c>
      <c r="L54" s="36">
        <v>2.9887487581545811</v>
      </c>
      <c r="M54" s="9">
        <v>100</v>
      </c>
    </row>
    <row r="55" spans="1:13" ht="15">
      <c r="A55" s="217">
        <v>1991</v>
      </c>
      <c r="B55" s="217"/>
      <c r="C55" s="217"/>
      <c r="F55" s="36">
        <v>2.9797371776311401</v>
      </c>
      <c r="G55" s="59">
        <v>17.59954892488685</v>
      </c>
      <c r="H55" s="59">
        <v>59.207164373193542</v>
      </c>
      <c r="I55" s="59">
        <v>0.6217521829902013</v>
      </c>
      <c r="J55" s="59">
        <v>1.4329762322020898</v>
      </c>
      <c r="K55" s="59">
        <v>14.737152232771015</v>
      </c>
      <c r="L55" s="59">
        <v>3.4216688763251604</v>
      </c>
      <c r="M55" s="12">
        <v>100</v>
      </c>
    </row>
    <row r="56" spans="1:13" ht="15">
      <c r="A56" s="217">
        <v>2001</v>
      </c>
      <c r="B56" s="217"/>
      <c r="C56" s="217"/>
      <c r="D56" s="48"/>
      <c r="F56" s="61">
        <v>4</v>
      </c>
      <c r="G56" s="413">
        <v>12</v>
      </c>
      <c r="H56" s="413">
        <v>68</v>
      </c>
      <c r="I56" s="416" t="s">
        <v>578</v>
      </c>
      <c r="J56" s="413">
        <v>2</v>
      </c>
      <c r="K56" s="413">
        <v>12</v>
      </c>
      <c r="L56" s="413">
        <v>2</v>
      </c>
      <c r="M56" s="61">
        <v>100</v>
      </c>
    </row>
    <row r="57" spans="1:13" ht="15">
      <c r="A57" s="222">
        <v>2011</v>
      </c>
      <c r="B57" s="222"/>
      <c r="C57" s="222"/>
      <c r="D57" s="554"/>
      <c r="F57" s="205">
        <v>5</v>
      </c>
      <c r="G57" s="216">
        <v>11</v>
      </c>
      <c r="H57" s="216">
        <v>69</v>
      </c>
      <c r="I57" s="555" t="s">
        <v>578</v>
      </c>
      <c r="J57" s="216">
        <v>2</v>
      </c>
      <c r="K57" s="216">
        <v>11</v>
      </c>
      <c r="L57" s="216">
        <v>2</v>
      </c>
      <c r="M57" s="205">
        <v>100</v>
      </c>
    </row>
    <row r="58" spans="1:13">
      <c r="A58" s="179" t="s">
        <v>579</v>
      </c>
      <c r="B58" s="53"/>
      <c r="C58" s="53"/>
      <c r="D58" s="53"/>
      <c r="E58" s="53"/>
      <c r="F58" s="53"/>
      <c r="G58" s="53"/>
      <c r="H58" s="53"/>
      <c r="I58" s="53"/>
    </row>
    <row r="59" spans="1:13">
      <c r="A59" s="7" t="s">
        <v>195</v>
      </c>
      <c r="D59" s="53"/>
      <c r="E59" s="53"/>
      <c r="F59" s="53"/>
      <c r="G59" s="53"/>
      <c r="H59" s="53"/>
      <c r="I59" s="53"/>
    </row>
    <row r="60" spans="1:13">
      <c r="A60" s="7" t="s">
        <v>384</v>
      </c>
      <c r="D60" s="53"/>
      <c r="E60" s="53"/>
      <c r="F60" s="53"/>
      <c r="G60" s="53"/>
      <c r="H60" s="53"/>
      <c r="I60" s="53"/>
    </row>
    <row r="61" spans="1:13">
      <c r="A61" s="7" t="s">
        <v>137</v>
      </c>
      <c r="D61" s="53"/>
      <c r="E61" s="53"/>
      <c r="F61" s="53"/>
      <c r="G61" s="53"/>
      <c r="H61" s="53"/>
      <c r="I61"/>
    </row>
    <row r="62" spans="1:13">
      <c r="A62" s="7" t="s">
        <v>196</v>
      </c>
    </row>
    <row r="63" spans="1:13" ht="13.5" customHeight="1">
      <c r="A63" s="7" t="s">
        <v>199</v>
      </c>
    </row>
    <row r="64" spans="1:13" ht="13.5" customHeight="1"/>
    <row r="65" spans="1:14" s="9" customFormat="1" ht="18.75">
      <c r="A65" s="529" t="s">
        <v>581</v>
      </c>
      <c r="B65" s="529"/>
      <c r="C65" s="529"/>
      <c r="D65" s="527"/>
      <c r="E65" s="527"/>
      <c r="F65" s="527"/>
      <c r="G65" s="527"/>
      <c r="H65" s="527"/>
      <c r="I65" s="527"/>
      <c r="J65" s="527"/>
      <c r="K65" s="527"/>
      <c r="L65" s="515"/>
      <c r="M65" s="515"/>
    </row>
    <row r="66" spans="1:14" s="9" customFormat="1" ht="15.75">
      <c r="A66" s="530"/>
      <c r="B66" s="530"/>
      <c r="C66" s="530"/>
      <c r="D66" s="531" t="s">
        <v>188</v>
      </c>
      <c r="E66" s="531"/>
      <c r="F66" s="531"/>
      <c r="G66" s="531" t="s">
        <v>569</v>
      </c>
      <c r="H66" s="531"/>
      <c r="I66" s="531" t="s">
        <v>158</v>
      </c>
      <c r="J66" s="531"/>
      <c r="K66" s="531" t="s">
        <v>159</v>
      </c>
      <c r="L66" s="531"/>
      <c r="M66" s="561"/>
      <c r="N66" s="561" t="s">
        <v>38</v>
      </c>
    </row>
    <row r="67" spans="1:14" s="9" customFormat="1" ht="15.75">
      <c r="A67" s="532"/>
      <c r="B67" s="532"/>
      <c r="C67" s="532"/>
      <c r="D67" s="533" t="s">
        <v>160</v>
      </c>
      <c r="E67" s="533"/>
      <c r="F67" s="533"/>
      <c r="G67" s="533" t="s">
        <v>160</v>
      </c>
      <c r="H67" s="533"/>
      <c r="I67" s="533" t="s">
        <v>160</v>
      </c>
      <c r="J67" s="533"/>
      <c r="K67" s="533" t="s">
        <v>161</v>
      </c>
      <c r="L67" s="533"/>
      <c r="M67" s="562"/>
      <c r="N67" s="562" t="s">
        <v>394</v>
      </c>
    </row>
    <row r="68" spans="1:14" s="9" customFormat="1" ht="17.25" customHeight="1">
      <c r="A68" s="527"/>
      <c r="B68" s="527"/>
      <c r="C68" s="527"/>
      <c r="D68" s="515"/>
      <c r="E68" s="515"/>
      <c r="F68" s="515"/>
      <c r="G68" s="515"/>
      <c r="H68" s="515"/>
      <c r="I68" s="527"/>
      <c r="J68" s="515"/>
      <c r="K68" s="534" t="s">
        <v>89</v>
      </c>
      <c r="L68" s="527"/>
      <c r="M68" s="515"/>
      <c r="N68" s="535"/>
    </row>
    <row r="69" spans="1:14" s="9" customFormat="1" ht="5.25" customHeight="1">
      <c r="A69" s="527"/>
      <c r="B69" s="527"/>
      <c r="C69" s="527"/>
      <c r="D69" s="515"/>
      <c r="E69" s="515"/>
      <c r="F69" s="515"/>
      <c r="G69" s="515"/>
      <c r="H69" s="515"/>
      <c r="I69" s="527"/>
      <c r="J69" s="515"/>
      <c r="K69" s="536"/>
      <c r="L69" s="527"/>
      <c r="M69" s="515"/>
      <c r="N69" s="535"/>
    </row>
    <row r="70" spans="1:14" s="9" customFormat="1" ht="15.75" customHeight="1">
      <c r="A70" s="525" t="s">
        <v>162</v>
      </c>
      <c r="B70" s="525"/>
      <c r="C70" s="525"/>
      <c r="D70" s="537">
        <v>10.1</v>
      </c>
      <c r="E70" s="308"/>
      <c r="F70" s="308"/>
      <c r="G70" s="526"/>
      <c r="H70" s="607">
        <v>13.3</v>
      </c>
      <c r="I70" s="537"/>
      <c r="J70" s="607">
        <v>86.7</v>
      </c>
      <c r="K70" s="526">
        <v>100</v>
      </c>
      <c r="L70" s="526"/>
      <c r="M70" s="526"/>
      <c r="N70" s="309">
        <f>SUM(N72:N74)</f>
        <v>4848</v>
      </c>
    </row>
    <row r="71" spans="1:14" s="9" customFormat="1" ht="6" customHeight="1">
      <c r="A71" s="515"/>
      <c r="B71" s="515"/>
      <c r="C71" s="515"/>
      <c r="D71" s="537"/>
      <c r="E71" s="308"/>
      <c r="F71" s="308"/>
      <c r="G71" s="526"/>
      <c r="H71" s="526"/>
      <c r="I71" s="537"/>
      <c r="J71" s="526"/>
      <c r="K71" s="526"/>
      <c r="L71" s="526"/>
      <c r="M71" s="526"/>
      <c r="N71" s="309"/>
    </row>
    <row r="72" spans="1:14" s="9" customFormat="1" ht="15" customHeight="1">
      <c r="A72" s="515" t="s">
        <v>153</v>
      </c>
      <c r="B72" s="515"/>
      <c r="C72" s="515"/>
      <c r="D72" s="537">
        <v>49.6</v>
      </c>
      <c r="E72" s="308"/>
      <c r="F72" s="308"/>
      <c r="G72" s="526"/>
      <c r="H72" s="607">
        <v>66</v>
      </c>
      <c r="I72" s="607"/>
      <c r="J72" s="607">
        <v>34</v>
      </c>
      <c r="K72" s="526">
        <v>100</v>
      </c>
      <c r="L72" s="526"/>
      <c r="M72" s="526"/>
      <c r="N72" s="528">
        <v>602</v>
      </c>
    </row>
    <row r="73" spans="1:14" s="9" customFormat="1" ht="15" customHeight="1">
      <c r="A73" s="515" t="s">
        <v>156</v>
      </c>
      <c r="B73" s="515"/>
      <c r="C73" s="515"/>
      <c r="D73" s="537">
        <v>4.9000000000000004</v>
      </c>
      <c r="E73" s="308"/>
      <c r="F73" s="308"/>
      <c r="G73" s="526"/>
      <c r="H73" s="607">
        <v>6.8</v>
      </c>
      <c r="I73" s="607"/>
      <c r="J73" s="607">
        <v>93.2</v>
      </c>
      <c r="K73" s="526">
        <v>100</v>
      </c>
      <c r="L73" s="526"/>
      <c r="M73" s="526"/>
      <c r="N73" s="528">
        <v>3252</v>
      </c>
    </row>
    <row r="74" spans="1:14" s="9" customFormat="1" ht="15">
      <c r="A74" s="527" t="s">
        <v>157</v>
      </c>
      <c r="B74" s="527"/>
      <c r="C74" s="527"/>
      <c r="D74" s="538">
        <v>7.5</v>
      </c>
      <c r="E74" s="347"/>
      <c r="F74" s="347"/>
      <c r="G74" s="526"/>
      <c r="H74" s="607">
        <v>6.8</v>
      </c>
      <c r="I74" s="608"/>
      <c r="J74" s="608">
        <v>93.2</v>
      </c>
      <c r="K74" s="539">
        <v>100</v>
      </c>
      <c r="L74" s="539"/>
      <c r="M74" s="526"/>
      <c r="N74" s="528">
        <v>994</v>
      </c>
    </row>
    <row r="75" spans="1:14" s="9" customFormat="1" ht="6" customHeight="1">
      <c r="A75" s="532"/>
      <c r="B75" s="532"/>
      <c r="C75" s="532"/>
      <c r="D75" s="218"/>
      <c r="E75" s="218"/>
      <c r="F75" s="218"/>
      <c r="G75" s="540"/>
      <c r="H75" s="541"/>
      <c r="I75" s="541"/>
      <c r="J75" s="541"/>
      <c r="K75" s="220"/>
      <c r="L75" s="532"/>
      <c r="M75" s="532"/>
      <c r="N75" s="532"/>
    </row>
    <row r="76" spans="1:14" s="9" customFormat="1" ht="15" customHeight="1">
      <c r="A76" s="491" t="s">
        <v>622</v>
      </c>
      <c r="B76" s="527"/>
      <c r="C76" s="527"/>
      <c r="D76" s="604"/>
      <c r="E76" s="604"/>
      <c r="F76" s="604"/>
      <c r="G76" s="538"/>
      <c r="H76" s="539"/>
      <c r="I76" s="539"/>
      <c r="J76" s="539"/>
      <c r="K76" s="599"/>
      <c r="L76" s="527"/>
      <c r="M76" s="527"/>
      <c r="N76" s="527"/>
    </row>
    <row r="77" spans="1:14">
      <c r="A77" s="542" t="s">
        <v>385</v>
      </c>
      <c r="B77" s="542"/>
      <c r="C77" s="542"/>
      <c r="D77" s="542"/>
      <c r="E77" s="142"/>
      <c r="F77" s="542"/>
      <c r="G77" s="542"/>
      <c r="H77" s="542"/>
      <c r="I77" s="542"/>
      <c r="J77" s="542"/>
      <c r="K77" s="542"/>
      <c r="L77" s="542"/>
      <c r="M77" s="542"/>
    </row>
  </sheetData>
  <phoneticPr fontId="0" type="noConversion"/>
  <pageMargins left="0.75" right="0.75" top="1" bottom="1" header="0.5" footer="0.5"/>
  <pageSetup paperSize="9" scale="65" orientation="portrait" horizontalDpi="96" verticalDpi="300" r:id="rId1"/>
  <headerFooter alignWithMargins="0">
    <oddHeader>&amp;R&amp;"Arial,Bold"&amp;16PERSONAL AND CROSS-MODAL TRAVEL</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86"/>
  <sheetViews>
    <sheetView zoomScaleNormal="100" workbookViewId="0"/>
  </sheetViews>
  <sheetFormatPr defaultRowHeight="12.75"/>
  <cols>
    <col min="15" max="15" width="2.28515625" customWidth="1"/>
  </cols>
  <sheetData>
    <row r="2" spans="1:22" ht="20.25">
      <c r="A2" s="489" t="s">
        <v>598</v>
      </c>
      <c r="B2" s="326"/>
      <c r="C2" s="326"/>
      <c r="D2" s="326"/>
      <c r="E2" s="326"/>
      <c r="F2" s="326"/>
      <c r="G2" s="326"/>
      <c r="H2" s="326"/>
    </row>
    <row r="3" spans="1:22" ht="18">
      <c r="A3" s="490"/>
      <c r="B3" s="326"/>
      <c r="C3" s="326"/>
      <c r="D3" s="326"/>
      <c r="E3" s="326"/>
      <c r="F3" s="326"/>
      <c r="G3" s="326"/>
      <c r="H3" s="326"/>
    </row>
    <row r="4" spans="1:22" ht="15.75">
      <c r="A4" s="358" t="s">
        <v>123</v>
      </c>
      <c r="U4" s="407">
        <v>2003</v>
      </c>
      <c r="V4" s="407">
        <v>2013</v>
      </c>
    </row>
    <row r="5" spans="1:22">
      <c r="T5" t="s">
        <v>185</v>
      </c>
      <c r="U5" s="577">
        <v>59.8</v>
      </c>
      <c r="V5" s="577">
        <v>60.6</v>
      </c>
    </row>
    <row r="6" spans="1:22">
      <c r="T6" t="s">
        <v>272</v>
      </c>
      <c r="U6" s="577">
        <v>8.6999999999999993</v>
      </c>
      <c r="V6" s="577">
        <v>5.6</v>
      </c>
    </row>
    <row r="7" spans="1:22">
      <c r="T7" t="s">
        <v>148</v>
      </c>
      <c r="U7" s="577">
        <v>11.6</v>
      </c>
      <c r="V7" s="577">
        <v>11.3</v>
      </c>
    </row>
    <row r="8" spans="1:22">
      <c r="T8" t="s">
        <v>90</v>
      </c>
      <c r="U8" s="577">
        <v>12.6</v>
      </c>
      <c r="V8" s="577">
        <v>12.9</v>
      </c>
    </row>
    <row r="9" spans="1:22">
      <c r="T9" t="s">
        <v>463</v>
      </c>
      <c r="U9" s="577">
        <v>2.9</v>
      </c>
      <c r="V9" s="577">
        <v>4</v>
      </c>
    </row>
    <row r="10" spans="1:22">
      <c r="T10" t="s">
        <v>108</v>
      </c>
      <c r="U10" s="577">
        <v>2.6</v>
      </c>
      <c r="V10" s="577">
        <v>3.1</v>
      </c>
    </row>
    <row r="11" spans="1:22">
      <c r="T11" t="s">
        <v>12</v>
      </c>
      <c r="U11" s="577">
        <v>1.8</v>
      </c>
      <c r="V11" s="577">
        <v>2.5</v>
      </c>
    </row>
    <row r="14" spans="1:22">
      <c r="S14" s="326"/>
    </row>
    <row r="15" spans="1:22">
      <c r="S15" s="326"/>
    </row>
    <row r="38" spans="1:8" ht="18">
      <c r="A38" s="490" t="s">
        <v>588</v>
      </c>
      <c r="B38" s="326"/>
      <c r="C38" s="326"/>
      <c r="D38" s="326"/>
      <c r="E38" s="326"/>
      <c r="F38" s="326"/>
      <c r="G38" s="326"/>
      <c r="H38" s="326"/>
    </row>
    <row r="39" spans="1:8" ht="18">
      <c r="A39" s="66"/>
    </row>
    <row r="84" spans="1:1">
      <c r="A84" s="491" t="s">
        <v>536</v>
      </c>
    </row>
    <row r="85" spans="1:1">
      <c r="A85" s="491" t="s">
        <v>537</v>
      </c>
    </row>
    <row r="86" spans="1:1">
      <c r="A86" s="491" t="s">
        <v>538</v>
      </c>
    </row>
  </sheetData>
  <phoneticPr fontId="25" type="noConversion"/>
  <pageMargins left="0.91" right="0.46" top="0.75" bottom="0.59055118110236227" header="0.66" footer="0.51181102362204722"/>
  <pageSetup paperSize="9" scale="64"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7"/>
  <sheetViews>
    <sheetView zoomScaleNormal="100" workbookViewId="0"/>
  </sheetViews>
  <sheetFormatPr defaultRowHeight="15"/>
  <cols>
    <col min="1" max="1" width="34" style="9" customWidth="1"/>
    <col min="2" max="5" width="9.7109375" style="9" customWidth="1"/>
    <col min="6" max="6" width="10.28515625" style="9" customWidth="1"/>
    <col min="7" max="9" width="9.7109375" style="9" customWidth="1"/>
    <col min="10" max="10" width="1" style="9" customWidth="1"/>
    <col min="11" max="26" width="9.7109375" style="9" customWidth="1"/>
    <col min="27" max="16384" width="9.140625" style="9"/>
  </cols>
  <sheetData>
    <row r="1" spans="1:11" ht="19.5">
      <c r="A1" s="337" t="s">
        <v>582</v>
      </c>
      <c r="B1" s="12"/>
      <c r="C1" s="12"/>
      <c r="D1" s="12"/>
      <c r="E1" s="12"/>
      <c r="F1" s="12"/>
      <c r="G1" s="12"/>
      <c r="H1" s="12"/>
      <c r="I1" s="12"/>
      <c r="J1" s="12"/>
      <c r="K1" s="12"/>
    </row>
    <row r="2" spans="1:11" ht="5.25" customHeight="1">
      <c r="A2" s="217" t="s">
        <v>395</v>
      </c>
      <c r="B2" s="12"/>
      <c r="C2" s="12"/>
      <c r="D2" s="12"/>
      <c r="E2" s="12"/>
      <c r="F2" s="12"/>
      <c r="G2" s="12"/>
      <c r="H2" s="12"/>
      <c r="I2" s="12"/>
      <c r="J2" s="12"/>
      <c r="K2" s="12"/>
    </row>
    <row r="3" spans="1:11" ht="16.5" customHeight="1">
      <c r="A3" s="170"/>
      <c r="B3" s="170"/>
      <c r="C3" s="170"/>
      <c r="D3" s="170"/>
      <c r="E3" s="170"/>
      <c r="F3" s="170"/>
      <c r="G3" s="170"/>
      <c r="H3" s="170"/>
      <c r="I3" s="170"/>
      <c r="J3" s="170"/>
      <c r="K3" s="224" t="s">
        <v>83</v>
      </c>
    </row>
    <row r="4" spans="1:11" ht="18.75" customHeight="1">
      <c r="A4" s="58"/>
      <c r="B4" s="93" t="s">
        <v>90</v>
      </c>
      <c r="C4" s="195"/>
      <c r="D4" s="190" t="s">
        <v>184</v>
      </c>
      <c r="E4" s="190"/>
      <c r="F4" s="93" t="s">
        <v>12</v>
      </c>
      <c r="G4" s="93" t="s">
        <v>148</v>
      </c>
      <c r="H4" s="93" t="s">
        <v>295</v>
      </c>
      <c r="I4" s="93" t="s">
        <v>294</v>
      </c>
      <c r="J4" s="93"/>
      <c r="K4" s="197" t="s">
        <v>154</v>
      </c>
    </row>
    <row r="5" spans="1:11" ht="18.75" customHeight="1">
      <c r="A5" s="195"/>
      <c r="B5" s="195"/>
      <c r="C5" s="190" t="s">
        <v>185</v>
      </c>
      <c r="D5" s="190" t="s">
        <v>186</v>
      </c>
      <c r="E5" s="190" t="s">
        <v>134</v>
      </c>
      <c r="F5" s="192"/>
      <c r="G5" s="190"/>
      <c r="H5" s="223"/>
      <c r="I5" s="190"/>
      <c r="J5" s="190"/>
      <c r="K5" s="225" t="s">
        <v>82</v>
      </c>
    </row>
    <row r="6" spans="1:11" ht="15" customHeight="1">
      <c r="F6" s="38"/>
      <c r="G6" s="14"/>
      <c r="I6" s="31" t="s">
        <v>89</v>
      </c>
      <c r="J6" s="31"/>
      <c r="K6" s="47"/>
    </row>
    <row r="7" spans="1:11" ht="5.25" customHeight="1">
      <c r="B7" s="37"/>
      <c r="F7" s="38"/>
      <c r="G7" s="14"/>
    </row>
    <row r="8" spans="1:11" ht="15" customHeight="1">
      <c r="A8" s="377" t="s">
        <v>603</v>
      </c>
      <c r="B8" s="486">
        <v>12.9</v>
      </c>
      <c r="C8" s="486">
        <v>60.6</v>
      </c>
      <c r="D8" s="486">
        <v>5.6</v>
      </c>
      <c r="E8" s="398">
        <v>66.2</v>
      </c>
      <c r="F8" s="486">
        <v>2.5</v>
      </c>
      <c r="G8" s="486">
        <v>11.3</v>
      </c>
      <c r="H8" s="486">
        <v>4</v>
      </c>
      <c r="I8" s="486">
        <v>3.1</v>
      </c>
      <c r="K8" s="569">
        <v>4157</v>
      </c>
    </row>
    <row r="9" spans="1:11" ht="15" customHeight="1">
      <c r="A9" s="377" t="s">
        <v>366</v>
      </c>
      <c r="B9" s="383"/>
      <c r="C9" s="383"/>
      <c r="D9" s="383"/>
      <c r="E9" s="398"/>
      <c r="F9" s="383"/>
      <c r="G9" s="383"/>
      <c r="H9" s="383"/>
      <c r="I9" s="383"/>
      <c r="K9" s="67"/>
    </row>
    <row r="10" spans="1:11" ht="15" customHeight="1">
      <c r="A10" s="386" t="s">
        <v>326</v>
      </c>
      <c r="B10" s="486">
        <v>9.9</v>
      </c>
      <c r="C10" s="486">
        <v>64.3</v>
      </c>
      <c r="D10" s="486">
        <v>3.8</v>
      </c>
      <c r="E10" s="398">
        <v>68.099999999999994</v>
      </c>
      <c r="F10" s="486">
        <v>3.4</v>
      </c>
      <c r="G10" s="486">
        <v>9</v>
      </c>
      <c r="H10" s="486">
        <v>4.5999999999999996</v>
      </c>
      <c r="I10" s="486">
        <v>5</v>
      </c>
      <c r="K10" s="569">
        <v>1974</v>
      </c>
    </row>
    <row r="11" spans="1:11" ht="15" customHeight="1">
      <c r="A11" s="386" t="s">
        <v>327</v>
      </c>
      <c r="B11" s="486">
        <v>15.9</v>
      </c>
      <c r="C11" s="486">
        <v>56.8</v>
      </c>
      <c r="D11" s="486">
        <v>7.4</v>
      </c>
      <c r="E11" s="398">
        <v>64.2</v>
      </c>
      <c r="F11" s="486">
        <v>1.6</v>
      </c>
      <c r="G11" s="486">
        <v>13.6</v>
      </c>
      <c r="H11" s="486">
        <v>3.4</v>
      </c>
      <c r="I11" s="486">
        <v>1.3</v>
      </c>
      <c r="K11" s="569">
        <v>2183</v>
      </c>
    </row>
    <row r="12" spans="1:11" ht="15" customHeight="1">
      <c r="A12" s="377" t="s">
        <v>75</v>
      </c>
      <c r="B12" s="383"/>
      <c r="C12" s="383"/>
      <c r="D12" s="383"/>
      <c r="E12" s="398"/>
      <c r="F12" s="383"/>
      <c r="G12" s="383"/>
      <c r="H12" s="383"/>
      <c r="I12" s="383"/>
      <c r="K12" s="67"/>
    </row>
    <row r="13" spans="1:11" ht="15" customHeight="1">
      <c r="A13" s="386" t="s">
        <v>367</v>
      </c>
      <c r="B13" s="486">
        <v>19.2</v>
      </c>
      <c r="C13" s="486">
        <v>35.700000000000003</v>
      </c>
      <c r="D13" s="486">
        <v>22.1</v>
      </c>
      <c r="E13" s="398">
        <v>57.800000000000004</v>
      </c>
      <c r="F13" s="486" t="s">
        <v>595</v>
      </c>
      <c r="G13" s="486">
        <v>16.7</v>
      </c>
      <c r="H13" s="486" t="s">
        <v>595</v>
      </c>
      <c r="I13" s="486" t="s">
        <v>595</v>
      </c>
      <c r="K13" s="569">
        <v>146</v>
      </c>
    </row>
    <row r="14" spans="1:11" ht="15" customHeight="1">
      <c r="A14" s="386" t="s">
        <v>368</v>
      </c>
      <c r="B14" s="486">
        <v>16.8</v>
      </c>
      <c r="C14" s="486">
        <v>53.1</v>
      </c>
      <c r="D14" s="486">
        <v>5.8</v>
      </c>
      <c r="E14" s="398">
        <v>58.9</v>
      </c>
      <c r="F14" s="486">
        <v>1.7</v>
      </c>
      <c r="G14" s="486">
        <v>15.5</v>
      </c>
      <c r="H14" s="486">
        <v>5</v>
      </c>
      <c r="I14" s="486">
        <v>2.2000000000000002</v>
      </c>
      <c r="K14" s="569">
        <v>612</v>
      </c>
    </row>
    <row r="15" spans="1:11" ht="15" customHeight="1">
      <c r="A15" s="386" t="s">
        <v>369</v>
      </c>
      <c r="B15" s="486">
        <v>11.7</v>
      </c>
      <c r="C15" s="486">
        <v>60.9</v>
      </c>
      <c r="D15" s="486">
        <v>3.8</v>
      </c>
      <c r="E15" s="398">
        <v>64.7</v>
      </c>
      <c r="F15" s="486">
        <v>3.5</v>
      </c>
      <c r="G15" s="486">
        <v>11.8</v>
      </c>
      <c r="H15" s="486">
        <v>5</v>
      </c>
      <c r="I15" s="486">
        <v>3.3</v>
      </c>
      <c r="K15" s="569">
        <v>923</v>
      </c>
    </row>
    <row r="16" spans="1:11" ht="15" customHeight="1">
      <c r="A16" s="386" t="s">
        <v>370</v>
      </c>
      <c r="B16" s="486">
        <v>11.7</v>
      </c>
      <c r="C16" s="486">
        <v>66.900000000000006</v>
      </c>
      <c r="D16" s="486">
        <v>3.7</v>
      </c>
      <c r="E16" s="398">
        <v>70.600000000000009</v>
      </c>
      <c r="F16" s="486">
        <v>3</v>
      </c>
      <c r="G16" s="486">
        <v>8</v>
      </c>
      <c r="H16" s="486">
        <v>3.1</v>
      </c>
      <c r="I16" s="486">
        <v>3.7</v>
      </c>
      <c r="K16" s="569">
        <v>1056</v>
      </c>
    </row>
    <row r="17" spans="1:11" ht="15" customHeight="1">
      <c r="A17" s="386" t="s">
        <v>371</v>
      </c>
      <c r="B17" s="486">
        <v>11.3</v>
      </c>
      <c r="C17" s="486">
        <v>64.400000000000006</v>
      </c>
      <c r="D17" s="486">
        <v>4.3</v>
      </c>
      <c r="E17" s="398">
        <v>68.7</v>
      </c>
      <c r="F17" s="486">
        <v>2.7</v>
      </c>
      <c r="G17" s="486">
        <v>10.1</v>
      </c>
      <c r="H17" s="486">
        <v>3.6</v>
      </c>
      <c r="I17" s="486">
        <v>3.7</v>
      </c>
      <c r="K17" s="569">
        <v>1038</v>
      </c>
    </row>
    <row r="18" spans="1:11" ht="15" customHeight="1">
      <c r="A18" s="386" t="s">
        <v>372</v>
      </c>
      <c r="B18" s="486">
        <v>11.7</v>
      </c>
      <c r="C18" s="486">
        <v>62.4</v>
      </c>
      <c r="D18" s="486">
        <v>8.1999999999999993</v>
      </c>
      <c r="E18" s="398">
        <v>70.599999999999994</v>
      </c>
      <c r="F18" s="486" t="s">
        <v>595</v>
      </c>
      <c r="G18" s="486">
        <v>11.3</v>
      </c>
      <c r="H18" s="486">
        <v>2.8</v>
      </c>
      <c r="I18" s="486">
        <v>3.4</v>
      </c>
      <c r="K18" s="569">
        <v>382</v>
      </c>
    </row>
    <row r="19" spans="1:11" ht="15" customHeight="1">
      <c r="A19" s="377" t="s">
        <v>155</v>
      </c>
      <c r="B19" s="383"/>
      <c r="C19" s="383"/>
      <c r="D19" s="383"/>
      <c r="E19" s="398"/>
      <c r="F19" s="383"/>
      <c r="G19" s="383"/>
      <c r="H19" s="383"/>
      <c r="I19" s="383"/>
      <c r="K19" s="67"/>
    </row>
    <row r="20" spans="1:11" ht="15" customHeight="1">
      <c r="A20" s="386" t="s">
        <v>336</v>
      </c>
      <c r="B20" s="486">
        <v>10.6</v>
      </c>
      <c r="C20" s="486">
        <v>62.3</v>
      </c>
      <c r="D20" s="486">
        <v>6.4</v>
      </c>
      <c r="E20" s="398">
        <v>68.7</v>
      </c>
      <c r="F20" s="486">
        <v>4.0999999999999996</v>
      </c>
      <c r="G20" s="486">
        <v>5.2</v>
      </c>
      <c r="H20" s="486">
        <v>5</v>
      </c>
      <c r="I20" s="486">
        <v>6.3</v>
      </c>
      <c r="K20" s="569">
        <v>206</v>
      </c>
    </row>
    <row r="21" spans="1:11" ht="15" customHeight="1">
      <c r="A21" s="386" t="s">
        <v>337</v>
      </c>
      <c r="B21" s="486">
        <v>10.6</v>
      </c>
      <c r="C21" s="486">
        <v>64.099999999999994</v>
      </c>
      <c r="D21" s="486">
        <v>5.5</v>
      </c>
      <c r="E21" s="398">
        <v>69.599999999999994</v>
      </c>
      <c r="F21" s="486">
        <v>2.6</v>
      </c>
      <c r="G21" s="486">
        <v>9.9</v>
      </c>
      <c r="H21" s="486">
        <v>4</v>
      </c>
      <c r="I21" s="486">
        <v>3.4</v>
      </c>
      <c r="K21" s="569">
        <v>3038</v>
      </c>
    </row>
    <row r="22" spans="1:11" ht="15" customHeight="1">
      <c r="A22" s="386" t="s">
        <v>338</v>
      </c>
      <c r="B22" s="486">
        <v>21.7</v>
      </c>
      <c r="C22" s="486">
        <v>47.6</v>
      </c>
      <c r="D22" s="486">
        <v>5.5</v>
      </c>
      <c r="E22" s="398">
        <v>53.1</v>
      </c>
      <c r="F22" s="486">
        <v>2</v>
      </c>
      <c r="G22" s="486">
        <v>17.600000000000001</v>
      </c>
      <c r="H22" s="486">
        <v>3.8</v>
      </c>
      <c r="I22" s="486">
        <v>1.7</v>
      </c>
      <c r="K22" s="569">
        <v>913</v>
      </c>
    </row>
    <row r="23" spans="1:11" ht="15" customHeight="1">
      <c r="A23" s="377" t="s">
        <v>152</v>
      </c>
      <c r="B23" s="378"/>
      <c r="C23" s="378"/>
      <c r="D23" s="378"/>
      <c r="E23" s="398"/>
      <c r="F23" s="382"/>
      <c r="G23" s="382"/>
      <c r="H23" s="382"/>
      <c r="I23" s="378"/>
      <c r="K23" s="570"/>
    </row>
    <row r="24" spans="1:11" ht="15" customHeight="1">
      <c r="A24" s="386" t="s">
        <v>344</v>
      </c>
      <c r="B24" s="486">
        <v>29</v>
      </c>
      <c r="C24" s="486">
        <v>37.5</v>
      </c>
      <c r="D24" s="486">
        <v>7.9</v>
      </c>
      <c r="E24" s="398">
        <v>45.4</v>
      </c>
      <c r="F24" s="486" t="s">
        <v>595</v>
      </c>
      <c r="G24" s="486">
        <v>19</v>
      </c>
      <c r="H24" s="486">
        <v>3.3</v>
      </c>
      <c r="I24" s="486" t="s">
        <v>595</v>
      </c>
      <c r="K24" s="569">
        <v>134</v>
      </c>
    </row>
    <row r="25" spans="1:11" ht="15" customHeight="1">
      <c r="A25" s="386" t="s">
        <v>345</v>
      </c>
      <c r="B25" s="486">
        <v>21.2</v>
      </c>
      <c r="C25" s="486">
        <v>42</v>
      </c>
      <c r="D25" s="486">
        <v>7.9</v>
      </c>
      <c r="E25" s="398">
        <v>49.9</v>
      </c>
      <c r="F25" s="486">
        <v>3.3</v>
      </c>
      <c r="G25" s="486">
        <v>21</v>
      </c>
      <c r="H25" s="486">
        <v>2</v>
      </c>
      <c r="I25" s="486">
        <v>2.6</v>
      </c>
      <c r="K25" s="569">
        <v>445</v>
      </c>
    </row>
    <row r="26" spans="1:11" ht="15" customHeight="1">
      <c r="A26" s="386" t="s">
        <v>346</v>
      </c>
      <c r="B26" s="486">
        <v>21.6</v>
      </c>
      <c r="C26" s="486">
        <v>48.8</v>
      </c>
      <c r="D26" s="486">
        <v>6.7</v>
      </c>
      <c r="E26" s="398">
        <v>55.5</v>
      </c>
      <c r="F26" s="486">
        <v>1.4</v>
      </c>
      <c r="G26" s="486">
        <v>15.5</v>
      </c>
      <c r="H26" s="486">
        <v>4</v>
      </c>
      <c r="I26" s="486">
        <v>2</v>
      </c>
      <c r="K26" s="569">
        <v>509</v>
      </c>
    </row>
    <row r="27" spans="1:11" ht="15" customHeight="1">
      <c r="A27" s="386" t="s">
        <v>347</v>
      </c>
      <c r="B27" s="486">
        <v>17</v>
      </c>
      <c r="C27" s="486">
        <v>53.4</v>
      </c>
      <c r="D27" s="486">
        <v>9.3000000000000007</v>
      </c>
      <c r="E27" s="398">
        <v>62.7</v>
      </c>
      <c r="F27" s="486">
        <v>3.1</v>
      </c>
      <c r="G27" s="486">
        <v>12.8</v>
      </c>
      <c r="H27" s="486">
        <v>2.6</v>
      </c>
      <c r="I27" s="486">
        <v>1.8</v>
      </c>
      <c r="K27" s="569">
        <v>539</v>
      </c>
    </row>
    <row r="28" spans="1:11" ht="15" customHeight="1">
      <c r="A28" s="386" t="s">
        <v>348</v>
      </c>
      <c r="B28" s="486">
        <v>12.6</v>
      </c>
      <c r="C28" s="486">
        <v>58.8</v>
      </c>
      <c r="D28" s="486">
        <v>7</v>
      </c>
      <c r="E28" s="398">
        <v>65.8</v>
      </c>
      <c r="F28" s="486">
        <v>1.9</v>
      </c>
      <c r="G28" s="486">
        <v>13.8</v>
      </c>
      <c r="H28" s="486">
        <v>3.1</v>
      </c>
      <c r="I28" s="486">
        <v>2.7</v>
      </c>
      <c r="K28" s="569">
        <v>528</v>
      </c>
    </row>
    <row r="29" spans="1:11" ht="15" customHeight="1">
      <c r="A29" s="386" t="s">
        <v>349</v>
      </c>
      <c r="B29" s="486">
        <v>10.5</v>
      </c>
      <c r="C29" s="486">
        <v>66.599999999999994</v>
      </c>
      <c r="D29" s="486">
        <v>5</v>
      </c>
      <c r="E29" s="398">
        <v>71.599999999999994</v>
      </c>
      <c r="F29" s="486">
        <v>2.2000000000000002</v>
      </c>
      <c r="G29" s="486">
        <v>9.8000000000000007</v>
      </c>
      <c r="H29" s="486">
        <v>3.4</v>
      </c>
      <c r="I29" s="486">
        <v>2.2999999999999998</v>
      </c>
      <c r="K29" s="569">
        <v>836</v>
      </c>
    </row>
    <row r="30" spans="1:11" ht="15" customHeight="1">
      <c r="A30" s="386" t="s">
        <v>350</v>
      </c>
      <c r="B30" s="486">
        <v>7</v>
      </c>
      <c r="C30" s="486">
        <v>70.099999999999994</v>
      </c>
      <c r="D30" s="486">
        <v>2.9</v>
      </c>
      <c r="E30" s="398">
        <v>73</v>
      </c>
      <c r="F30" s="486">
        <v>3</v>
      </c>
      <c r="G30" s="486">
        <v>6.3</v>
      </c>
      <c r="H30" s="486">
        <v>5.9</v>
      </c>
      <c r="I30" s="486">
        <v>4.8</v>
      </c>
      <c r="K30" s="569">
        <v>1149</v>
      </c>
    </row>
    <row r="31" spans="1:11" ht="33" customHeight="1">
      <c r="A31" s="377" t="s">
        <v>351</v>
      </c>
      <c r="B31" s="378"/>
      <c r="C31" s="378"/>
      <c r="D31" s="378"/>
      <c r="E31" s="398"/>
      <c r="F31" s="378"/>
      <c r="G31" s="383"/>
      <c r="H31" s="383"/>
      <c r="I31" s="378"/>
      <c r="K31" s="570"/>
    </row>
    <row r="32" spans="1:11" ht="15" customHeight="1">
      <c r="A32" s="386" t="s">
        <v>352</v>
      </c>
      <c r="B32" s="486">
        <v>18.3</v>
      </c>
      <c r="C32" s="486">
        <v>46.5</v>
      </c>
      <c r="D32" s="486">
        <v>8.3000000000000007</v>
      </c>
      <c r="E32" s="398">
        <v>54.8</v>
      </c>
      <c r="F32" s="486">
        <v>1.3</v>
      </c>
      <c r="G32" s="486">
        <v>18.8</v>
      </c>
      <c r="H32" s="486">
        <v>3.8</v>
      </c>
      <c r="I32" s="486">
        <v>3</v>
      </c>
      <c r="K32" s="569">
        <v>644</v>
      </c>
    </row>
    <row r="33" spans="1:11" ht="15" customHeight="1">
      <c r="A33" s="387">
        <v>2</v>
      </c>
      <c r="B33" s="486">
        <v>13.3</v>
      </c>
      <c r="C33" s="486">
        <v>57.8</v>
      </c>
      <c r="D33" s="486">
        <v>6.6</v>
      </c>
      <c r="E33" s="398">
        <v>64.399999999999991</v>
      </c>
      <c r="F33" s="486">
        <v>2.1</v>
      </c>
      <c r="G33" s="486">
        <v>15.1</v>
      </c>
      <c r="H33" s="486">
        <v>2.8</v>
      </c>
      <c r="I33" s="486">
        <v>2.2000000000000002</v>
      </c>
      <c r="K33" s="569">
        <v>826</v>
      </c>
    </row>
    <row r="34" spans="1:11" ht="15" customHeight="1">
      <c r="A34" s="387">
        <v>3</v>
      </c>
      <c r="B34" s="486">
        <v>12.9</v>
      </c>
      <c r="C34" s="486">
        <v>61.7</v>
      </c>
      <c r="D34" s="486">
        <v>6.4</v>
      </c>
      <c r="E34" s="398">
        <v>68.100000000000009</v>
      </c>
      <c r="F34" s="486">
        <v>1.9</v>
      </c>
      <c r="G34" s="486">
        <v>9.1999999999999993</v>
      </c>
      <c r="H34" s="486">
        <v>2.7</v>
      </c>
      <c r="I34" s="486">
        <v>5.0999999999999996</v>
      </c>
      <c r="K34" s="569">
        <v>944</v>
      </c>
    </row>
    <row r="35" spans="1:11" ht="15" customHeight="1">
      <c r="A35" s="387">
        <v>4</v>
      </c>
      <c r="B35" s="486">
        <v>10</v>
      </c>
      <c r="C35" s="486">
        <v>67.8</v>
      </c>
      <c r="D35" s="486">
        <v>4.7</v>
      </c>
      <c r="E35" s="398">
        <v>72.5</v>
      </c>
      <c r="F35" s="486">
        <v>2.4</v>
      </c>
      <c r="G35" s="486">
        <v>7.8</v>
      </c>
      <c r="H35" s="486">
        <v>4.5999999999999996</v>
      </c>
      <c r="I35" s="486">
        <v>2.7</v>
      </c>
      <c r="K35" s="569">
        <v>960</v>
      </c>
    </row>
    <row r="36" spans="1:11" ht="15" customHeight="1">
      <c r="A36" s="386" t="s">
        <v>353</v>
      </c>
      <c r="B36" s="486">
        <v>11.3</v>
      </c>
      <c r="C36" s="486">
        <v>65.400000000000006</v>
      </c>
      <c r="D36" s="486">
        <v>2.6</v>
      </c>
      <c r="E36" s="398">
        <v>68</v>
      </c>
      <c r="F36" s="486">
        <v>4.5</v>
      </c>
      <c r="G36" s="486">
        <v>7.7</v>
      </c>
      <c r="H36" s="486">
        <v>6</v>
      </c>
      <c r="I36" s="486">
        <v>2.5</v>
      </c>
      <c r="K36" s="569">
        <v>783</v>
      </c>
    </row>
    <row r="37" spans="1:11" ht="15" customHeight="1">
      <c r="A37" s="377" t="s">
        <v>365</v>
      </c>
      <c r="B37" s="378"/>
      <c r="C37" s="378"/>
      <c r="D37" s="378"/>
      <c r="E37" s="398"/>
      <c r="F37" s="378"/>
      <c r="G37" s="383"/>
      <c r="H37" s="383"/>
      <c r="I37" s="383"/>
      <c r="K37" s="67"/>
    </row>
    <row r="38" spans="1:11" ht="15" customHeight="1">
      <c r="A38" s="386" t="s">
        <v>355</v>
      </c>
      <c r="B38" s="486">
        <v>15.3</v>
      </c>
      <c r="C38" s="486">
        <v>51.2</v>
      </c>
      <c r="D38" s="486">
        <v>5.7</v>
      </c>
      <c r="E38" s="398">
        <v>56.900000000000006</v>
      </c>
      <c r="F38" s="486">
        <v>3.4</v>
      </c>
      <c r="G38" s="486">
        <v>16.600000000000001</v>
      </c>
      <c r="H38" s="486">
        <v>5.2</v>
      </c>
      <c r="I38" s="486">
        <v>2.6</v>
      </c>
      <c r="K38" s="569">
        <v>1387</v>
      </c>
    </row>
    <row r="39" spans="1:11" ht="15" customHeight="1">
      <c r="A39" s="386" t="s">
        <v>356</v>
      </c>
      <c r="B39" s="486">
        <v>11.8</v>
      </c>
      <c r="C39" s="486">
        <v>63.3</v>
      </c>
      <c r="D39" s="486">
        <v>4.8</v>
      </c>
      <c r="E39" s="398">
        <v>68.099999999999994</v>
      </c>
      <c r="F39" s="486">
        <v>1.5</v>
      </c>
      <c r="G39" s="486">
        <v>10.8</v>
      </c>
      <c r="H39" s="486">
        <v>4.2</v>
      </c>
      <c r="I39" s="486">
        <v>3.6</v>
      </c>
      <c r="K39" s="569">
        <v>1257</v>
      </c>
    </row>
    <row r="40" spans="1:11" ht="15" customHeight="1">
      <c r="A40" s="386" t="s">
        <v>357</v>
      </c>
      <c r="B40" s="486">
        <v>10.199999999999999</v>
      </c>
      <c r="C40" s="486">
        <v>67.3</v>
      </c>
      <c r="D40" s="486">
        <v>6.5</v>
      </c>
      <c r="E40" s="398">
        <v>73.8</v>
      </c>
      <c r="F40" s="486">
        <v>3.3</v>
      </c>
      <c r="G40" s="486">
        <v>7.9</v>
      </c>
      <c r="H40" s="486">
        <v>3.1</v>
      </c>
      <c r="I40" s="486">
        <v>1.7</v>
      </c>
      <c r="K40" s="569">
        <v>374</v>
      </c>
    </row>
    <row r="41" spans="1:11" ht="15" customHeight="1">
      <c r="A41" s="386" t="s">
        <v>358</v>
      </c>
      <c r="B41" s="486">
        <v>29.2</v>
      </c>
      <c r="C41" s="486">
        <v>55.9</v>
      </c>
      <c r="D41" s="486">
        <v>4.5999999999999996</v>
      </c>
      <c r="E41" s="398">
        <v>60.5</v>
      </c>
      <c r="F41" s="486">
        <v>2.6</v>
      </c>
      <c r="G41" s="486">
        <v>2.4</v>
      </c>
      <c r="H41" s="486" t="s">
        <v>595</v>
      </c>
      <c r="I41" s="486">
        <v>4.5</v>
      </c>
      <c r="K41" s="569">
        <v>287</v>
      </c>
    </row>
    <row r="42" spans="1:11" ht="15" customHeight="1">
      <c r="A42" s="386" t="s">
        <v>359</v>
      </c>
      <c r="B42" s="486">
        <v>4.9000000000000004</v>
      </c>
      <c r="C42" s="486">
        <v>73.900000000000006</v>
      </c>
      <c r="D42" s="486">
        <v>7.4</v>
      </c>
      <c r="E42" s="398">
        <v>81.300000000000011</v>
      </c>
      <c r="F42" s="486">
        <v>2.1</v>
      </c>
      <c r="G42" s="486">
        <v>4.5</v>
      </c>
      <c r="H42" s="486">
        <v>3</v>
      </c>
      <c r="I42" s="486">
        <v>4.0999999999999996</v>
      </c>
      <c r="K42" s="569">
        <v>425</v>
      </c>
    </row>
    <row r="43" spans="1:11" ht="15" customHeight="1">
      <c r="A43" s="499" t="s">
        <v>360</v>
      </c>
      <c r="B43" s="520">
        <v>8.6999999999999993</v>
      </c>
      <c r="C43" s="520">
        <v>77.3</v>
      </c>
      <c r="D43" s="520">
        <v>4.8</v>
      </c>
      <c r="E43" s="398">
        <v>82.1</v>
      </c>
      <c r="F43" s="520">
        <v>1.2</v>
      </c>
      <c r="G43" s="520">
        <v>3.8</v>
      </c>
      <c r="H43" s="520" t="s">
        <v>595</v>
      </c>
      <c r="I43" s="520">
        <v>3.5</v>
      </c>
      <c r="K43" s="571">
        <v>427</v>
      </c>
    </row>
    <row r="44" spans="1:11" ht="15" customHeight="1">
      <c r="A44" s="399" t="s">
        <v>552</v>
      </c>
      <c r="B44" s="521"/>
      <c r="C44" s="521"/>
      <c r="D44" s="521"/>
      <c r="E44" s="398"/>
      <c r="F44" s="521"/>
      <c r="G44" s="521"/>
      <c r="H44" s="521"/>
      <c r="I44" s="521"/>
      <c r="K44" s="572"/>
    </row>
    <row r="45" spans="1:11" ht="15" customHeight="1">
      <c r="A45" s="500" t="s">
        <v>77</v>
      </c>
      <c r="B45" s="398">
        <v>37.799999999999997</v>
      </c>
      <c r="C45" s="398">
        <v>1.8</v>
      </c>
      <c r="D45" s="398">
        <v>8.3000000000000007</v>
      </c>
      <c r="E45" s="398">
        <v>10.100000000000001</v>
      </c>
      <c r="F45" s="398">
        <v>5.2</v>
      </c>
      <c r="G45" s="398">
        <v>38.5</v>
      </c>
      <c r="H45" s="398">
        <v>4.5999999999999996</v>
      </c>
      <c r="I45" s="398">
        <v>3.7</v>
      </c>
      <c r="K45" s="572">
        <v>623</v>
      </c>
    </row>
    <row r="46" spans="1:11" ht="15" customHeight="1">
      <c r="A46" s="500" t="s">
        <v>553</v>
      </c>
      <c r="B46" s="398">
        <v>13.9</v>
      </c>
      <c r="C46" s="398">
        <v>56</v>
      </c>
      <c r="D46" s="398">
        <v>8</v>
      </c>
      <c r="E46" s="398">
        <v>64</v>
      </c>
      <c r="F46" s="398">
        <v>3</v>
      </c>
      <c r="G46" s="398">
        <v>11.4</v>
      </c>
      <c r="H46" s="398">
        <v>4.9000000000000004</v>
      </c>
      <c r="I46" s="398">
        <v>2.9</v>
      </c>
      <c r="K46" s="572">
        <v>1986</v>
      </c>
    </row>
    <row r="47" spans="1:11" ht="15" customHeight="1">
      <c r="A47" s="500" t="s">
        <v>554</v>
      </c>
      <c r="B47" s="398">
        <v>4.4000000000000004</v>
      </c>
      <c r="C47" s="398">
        <v>82.7</v>
      </c>
      <c r="D47" s="398">
        <v>2.2999999999999998</v>
      </c>
      <c r="E47" s="398">
        <v>85</v>
      </c>
      <c r="F47" s="398">
        <v>1.3</v>
      </c>
      <c r="G47" s="398">
        <v>3</v>
      </c>
      <c r="H47" s="398">
        <v>3</v>
      </c>
      <c r="I47" s="398">
        <v>3.2</v>
      </c>
      <c r="K47" s="572">
        <v>1548</v>
      </c>
    </row>
    <row r="48" spans="1:11" ht="15" customHeight="1">
      <c r="A48" s="399" t="s">
        <v>555</v>
      </c>
      <c r="B48" s="398"/>
      <c r="C48" s="398"/>
      <c r="D48" s="398"/>
      <c r="E48" s="398"/>
      <c r="F48" s="398"/>
      <c r="G48" s="398"/>
      <c r="H48" s="398"/>
      <c r="I48" s="398"/>
      <c r="K48" s="572"/>
    </row>
    <row r="49" spans="1:11" ht="15" customHeight="1">
      <c r="A49" s="500" t="s">
        <v>556</v>
      </c>
      <c r="B49" s="398">
        <v>17.899999999999999</v>
      </c>
      <c r="C49" s="398">
        <v>56.6</v>
      </c>
      <c r="D49" s="398">
        <v>3.5</v>
      </c>
      <c r="E49" s="398">
        <v>60.1</v>
      </c>
      <c r="F49" s="398">
        <v>3.2</v>
      </c>
      <c r="G49" s="398">
        <v>12.5</v>
      </c>
      <c r="H49" s="398">
        <v>3</v>
      </c>
      <c r="I49" s="398">
        <v>3.3</v>
      </c>
      <c r="K49" s="572">
        <v>947</v>
      </c>
    </row>
    <row r="50" spans="1:11" ht="15" customHeight="1">
      <c r="A50" s="500" t="s">
        <v>557</v>
      </c>
      <c r="B50" s="398">
        <v>15.2</v>
      </c>
      <c r="C50" s="398">
        <v>55.8</v>
      </c>
      <c r="D50" s="398">
        <v>6.4</v>
      </c>
      <c r="E50" s="398">
        <v>62.199999999999996</v>
      </c>
      <c r="F50" s="398">
        <v>2.6</v>
      </c>
      <c r="G50" s="398">
        <v>12.6</v>
      </c>
      <c r="H50" s="398">
        <v>4.2</v>
      </c>
      <c r="I50" s="398">
        <v>3.2</v>
      </c>
      <c r="K50" s="572">
        <v>1015</v>
      </c>
    </row>
    <row r="51" spans="1:11" ht="15" customHeight="1">
      <c r="A51" s="500" t="s">
        <v>558</v>
      </c>
      <c r="B51" s="398">
        <v>16.7</v>
      </c>
      <c r="C51" s="398">
        <v>58.2</v>
      </c>
      <c r="D51" s="398">
        <v>2.9</v>
      </c>
      <c r="E51" s="398">
        <v>61.1</v>
      </c>
      <c r="F51" s="398">
        <v>1.9</v>
      </c>
      <c r="G51" s="398">
        <v>16.3</v>
      </c>
      <c r="H51" s="398">
        <v>2.1</v>
      </c>
      <c r="I51" s="398" t="s">
        <v>595</v>
      </c>
      <c r="K51" s="572">
        <v>271</v>
      </c>
    </row>
    <row r="52" spans="1:11" ht="15" customHeight="1">
      <c r="A52" s="500" t="s">
        <v>559</v>
      </c>
      <c r="B52" s="398">
        <v>8.6999999999999993</v>
      </c>
      <c r="C52" s="398">
        <v>67.5</v>
      </c>
      <c r="D52" s="398">
        <v>4.2</v>
      </c>
      <c r="E52" s="398">
        <v>71.7</v>
      </c>
      <c r="F52" s="398">
        <v>2.6</v>
      </c>
      <c r="G52" s="398">
        <v>8.9</v>
      </c>
      <c r="H52" s="398">
        <v>4.9000000000000004</v>
      </c>
      <c r="I52" s="398">
        <v>3.1</v>
      </c>
      <c r="K52" s="572">
        <v>843</v>
      </c>
    </row>
    <row r="53" spans="1:11" ht="15" customHeight="1">
      <c r="A53" s="500" t="s">
        <v>560</v>
      </c>
      <c r="B53" s="398">
        <v>11.1</v>
      </c>
      <c r="C53" s="398">
        <v>64.099999999999994</v>
      </c>
      <c r="D53" s="398">
        <v>3.2</v>
      </c>
      <c r="E53" s="398">
        <v>67.3</v>
      </c>
      <c r="F53" s="398">
        <v>4.5999999999999996</v>
      </c>
      <c r="G53" s="398">
        <v>9.9</v>
      </c>
      <c r="H53" s="398">
        <v>3.9</v>
      </c>
      <c r="I53" s="398">
        <v>3.2</v>
      </c>
      <c r="K53" s="572">
        <v>297</v>
      </c>
    </row>
    <row r="54" spans="1:11" ht="15" customHeight="1">
      <c r="A54" s="500" t="s">
        <v>561</v>
      </c>
      <c r="B54" s="398">
        <v>11.9</v>
      </c>
      <c r="C54" s="398">
        <v>59.5</v>
      </c>
      <c r="D54" s="398">
        <v>8.4</v>
      </c>
      <c r="E54" s="398">
        <v>67.900000000000006</v>
      </c>
      <c r="F54" s="398">
        <v>1.7</v>
      </c>
      <c r="G54" s="398">
        <v>11.2</v>
      </c>
      <c r="H54" s="398">
        <v>3.7</v>
      </c>
      <c r="I54" s="398">
        <v>3.6</v>
      </c>
      <c r="K54" s="572">
        <v>452</v>
      </c>
    </row>
    <row r="55" spans="1:11" ht="15" customHeight="1">
      <c r="A55" s="501" t="s">
        <v>562</v>
      </c>
      <c r="B55" s="487">
        <v>11.8</v>
      </c>
      <c r="C55" s="487">
        <v>62.6</v>
      </c>
      <c r="D55" s="487">
        <v>8</v>
      </c>
      <c r="E55" s="487">
        <v>70.599999999999994</v>
      </c>
      <c r="F55" s="487" t="s">
        <v>595</v>
      </c>
      <c r="G55" s="487">
        <v>11.3</v>
      </c>
      <c r="H55" s="487">
        <v>4</v>
      </c>
      <c r="I55" s="487">
        <v>2.2000000000000002</v>
      </c>
      <c r="J55" s="46"/>
      <c r="K55" s="573">
        <v>332</v>
      </c>
    </row>
    <row r="56" spans="1:11" ht="15" customHeight="1">
      <c r="A56" s="491" t="s">
        <v>622</v>
      </c>
      <c r="B56" s="602"/>
      <c r="C56" s="602"/>
      <c r="D56" s="602"/>
      <c r="E56" s="602"/>
      <c r="F56" s="602"/>
      <c r="G56" s="602"/>
      <c r="H56" s="602"/>
      <c r="I56" s="602"/>
      <c r="J56" s="12"/>
      <c r="K56" s="603"/>
    </row>
    <row r="57" spans="1:11" s="7" customFormat="1" ht="15" customHeight="1">
      <c r="A57" s="48" t="s">
        <v>464</v>
      </c>
      <c r="B57" s="48"/>
      <c r="C57" s="48"/>
      <c r="D57" s="48"/>
      <c r="E57" s="48"/>
      <c r="F57" s="48"/>
      <c r="I57" s="166"/>
    </row>
    <row r="58" spans="1:11" ht="15" customHeight="1">
      <c r="A58" s="7" t="s">
        <v>126</v>
      </c>
    </row>
    <row r="59" spans="1:11" ht="15" customHeight="1">
      <c r="A59" s="7" t="s">
        <v>87</v>
      </c>
    </row>
    <row r="60" spans="1:11" ht="15" customHeight="1">
      <c r="A60" s="655" t="s">
        <v>681</v>
      </c>
    </row>
    <row r="61" spans="1:11" ht="15" customHeight="1"/>
    <row r="62" spans="1:11" ht="15" customHeight="1"/>
    <row r="63" spans="1:11" ht="15" customHeight="1"/>
    <row r="64" spans="1:11"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sheetData>
  <phoneticPr fontId="0" type="noConversion"/>
  <pageMargins left="0.75" right="0.75" top="1" bottom="1" header="0.5" footer="0.5"/>
  <pageSetup paperSize="9" scale="71" orientation="portrait" horizontalDpi="96" verticalDpi="300" r:id="rId1"/>
  <headerFooter alignWithMargins="0">
    <oddHeader>&amp;R&amp;"Arial,Bold"&amp;16PERSONAL AND CROSS-MODAL TRAVEL</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8"/>
  <sheetViews>
    <sheetView zoomScale="70" zoomScaleNormal="70" workbookViewId="0"/>
  </sheetViews>
  <sheetFormatPr defaultRowHeight="15"/>
  <cols>
    <col min="1" max="1" width="36.28515625" style="9" customWidth="1"/>
    <col min="2" max="2" width="9.7109375" style="9" customWidth="1"/>
    <col min="3" max="3" width="7.7109375" style="9" customWidth="1"/>
    <col min="4" max="7" width="9.7109375" style="9" customWidth="1"/>
    <col min="8" max="8" width="7.5703125" style="9" customWidth="1"/>
    <col min="9" max="9" width="8.42578125" style="9" customWidth="1"/>
    <col min="10" max="10" width="11.140625" style="9" customWidth="1"/>
    <col min="11" max="11" width="17.140625" style="9" customWidth="1"/>
    <col min="12" max="15" width="9.7109375" style="9" customWidth="1"/>
    <col min="16" max="16" width="19.28515625" style="9" customWidth="1"/>
    <col min="17" max="17" width="3" style="9" customWidth="1"/>
    <col min="18" max="18" width="16.7109375" style="9" customWidth="1"/>
    <col min="19" max="19" width="9.7109375" style="9" customWidth="1"/>
    <col min="20" max="20" width="14.5703125" style="9" customWidth="1"/>
    <col min="21" max="26" width="9.7109375" style="9" customWidth="1"/>
    <col min="27" max="16384" width="9.140625" style="9"/>
  </cols>
  <sheetData>
    <row r="1" spans="1:11" ht="19.5">
      <c r="A1" s="337" t="s">
        <v>583</v>
      </c>
      <c r="B1" s="12"/>
      <c r="C1" s="12"/>
      <c r="D1" s="12"/>
      <c r="E1" s="12"/>
      <c r="F1" s="12"/>
      <c r="G1" s="12"/>
      <c r="H1" s="12"/>
      <c r="I1" s="12"/>
      <c r="J1" s="12"/>
    </row>
    <row r="2" spans="1:11" ht="16.5" customHeight="1">
      <c r="A2" s="170" t="s">
        <v>123</v>
      </c>
      <c r="B2" s="170"/>
      <c r="C2" s="170"/>
      <c r="D2" s="170"/>
      <c r="E2" s="170"/>
      <c r="F2" s="170"/>
      <c r="G2" s="170"/>
      <c r="H2" s="170"/>
      <c r="I2" s="170"/>
      <c r="J2" s="196" t="s">
        <v>83</v>
      </c>
    </row>
    <row r="3" spans="1:11" ht="18.75" customHeight="1">
      <c r="A3" s="58"/>
      <c r="B3" s="93" t="s">
        <v>90</v>
      </c>
      <c r="C3" s="93" t="s">
        <v>84</v>
      </c>
      <c r="D3" s="93" t="s">
        <v>12</v>
      </c>
      <c r="E3" s="190"/>
      <c r="F3" s="190" t="s">
        <v>148</v>
      </c>
      <c r="G3" s="190"/>
      <c r="H3" s="93" t="s">
        <v>396</v>
      </c>
      <c r="I3" s="93" t="s">
        <v>397</v>
      </c>
      <c r="J3" s="197" t="s">
        <v>154</v>
      </c>
    </row>
    <row r="4" spans="1:11" ht="24" customHeight="1">
      <c r="A4" s="195"/>
      <c r="B4" s="195"/>
      <c r="C4" s="190" t="s">
        <v>85</v>
      </c>
      <c r="D4" s="192"/>
      <c r="E4" s="191" t="s">
        <v>398</v>
      </c>
      <c r="F4" s="190" t="s">
        <v>86</v>
      </c>
      <c r="G4" s="190" t="s">
        <v>134</v>
      </c>
      <c r="H4" s="223"/>
      <c r="I4" s="190"/>
      <c r="J4" s="225" t="s">
        <v>82</v>
      </c>
    </row>
    <row r="5" spans="1:11" ht="15" customHeight="1">
      <c r="D5" s="38"/>
      <c r="E5" s="38"/>
      <c r="F5" s="14"/>
      <c r="G5" s="14"/>
      <c r="H5" s="681" t="s">
        <v>89</v>
      </c>
      <c r="I5" s="681"/>
      <c r="J5" s="681"/>
    </row>
    <row r="6" spans="1:11" ht="5.25" customHeight="1">
      <c r="D6" s="38"/>
      <c r="E6" s="38"/>
      <c r="F6" s="14"/>
      <c r="G6" s="14"/>
      <c r="I6" s="31"/>
      <c r="J6" s="47"/>
    </row>
    <row r="7" spans="1:11" ht="15" customHeight="1">
      <c r="A7" s="378" t="s">
        <v>373</v>
      </c>
      <c r="B7" s="379">
        <v>51.7</v>
      </c>
      <c r="C7" s="379">
        <v>24.4</v>
      </c>
      <c r="D7" s="379">
        <v>1.2</v>
      </c>
      <c r="E7" s="379">
        <v>14.5</v>
      </c>
      <c r="F7" s="379">
        <v>5.4</v>
      </c>
      <c r="G7" s="400">
        <f>E7+F7</f>
        <v>19.899999999999999</v>
      </c>
      <c r="H7" s="379">
        <v>0.6</v>
      </c>
      <c r="I7" s="379">
        <v>2.2000000000000002</v>
      </c>
      <c r="J7" s="381">
        <v>1975</v>
      </c>
      <c r="K7" s="56"/>
    </row>
    <row r="8" spans="1:11" ht="15" customHeight="1">
      <c r="A8" s="378" t="s">
        <v>366</v>
      </c>
      <c r="B8" s="401"/>
      <c r="C8" s="401"/>
      <c r="D8" s="401"/>
      <c r="E8" s="401"/>
      <c r="F8" s="401"/>
      <c r="G8" s="400"/>
      <c r="H8" s="401"/>
      <c r="I8" s="401"/>
      <c r="J8" s="402"/>
      <c r="K8" s="56"/>
    </row>
    <row r="9" spans="1:11" ht="15" customHeight="1">
      <c r="A9" s="382" t="s">
        <v>326</v>
      </c>
      <c r="B9" s="379">
        <v>51.6</v>
      </c>
      <c r="C9" s="379">
        <v>24.3</v>
      </c>
      <c r="D9" s="379">
        <v>1.9</v>
      </c>
      <c r="E9" s="379">
        <v>14.2</v>
      </c>
      <c r="F9" s="379">
        <v>5.6</v>
      </c>
      <c r="G9" s="400">
        <f t="shared" ref="G9:G47" si="0">E9+F9</f>
        <v>19.799999999999997</v>
      </c>
      <c r="H9" s="379">
        <v>0.3</v>
      </c>
      <c r="I9" s="379">
        <v>2.2000000000000002</v>
      </c>
      <c r="J9" s="381">
        <v>1072</v>
      </c>
      <c r="K9" s="56"/>
    </row>
    <row r="10" spans="1:11" ht="15" customHeight="1">
      <c r="A10" s="382" t="s">
        <v>327</v>
      </c>
      <c r="B10" s="379">
        <v>51.8</v>
      </c>
      <c r="C10" s="379">
        <v>24.4</v>
      </c>
      <c r="D10" s="379" t="s">
        <v>595</v>
      </c>
      <c r="E10" s="379">
        <v>15</v>
      </c>
      <c r="F10" s="379">
        <v>5.0999999999999996</v>
      </c>
      <c r="G10" s="400">
        <f t="shared" si="0"/>
        <v>20.100000000000001</v>
      </c>
      <c r="H10" s="379">
        <v>1</v>
      </c>
      <c r="I10" s="379">
        <v>2.2000000000000002</v>
      </c>
      <c r="J10" s="381">
        <v>903</v>
      </c>
      <c r="K10" s="56"/>
    </row>
    <row r="11" spans="1:11" ht="15" customHeight="1">
      <c r="A11" s="378" t="s">
        <v>75</v>
      </c>
      <c r="B11" s="401"/>
      <c r="C11" s="401"/>
      <c r="D11" s="401"/>
      <c r="E11" s="401"/>
      <c r="F11" s="401"/>
      <c r="G11" s="400"/>
      <c r="H11" s="401"/>
      <c r="I11" s="401"/>
      <c r="J11" s="402"/>
      <c r="K11" s="56"/>
    </row>
    <row r="12" spans="1:11" ht="15" customHeight="1">
      <c r="A12" s="382" t="s">
        <v>374</v>
      </c>
      <c r="B12" s="379">
        <v>51.9</v>
      </c>
      <c r="C12" s="379">
        <v>35.6</v>
      </c>
      <c r="D12" s="379" t="s">
        <v>595</v>
      </c>
      <c r="E12" s="379">
        <v>8.1999999999999993</v>
      </c>
      <c r="F12" s="379" t="s">
        <v>595</v>
      </c>
      <c r="G12" s="400">
        <v>8</v>
      </c>
      <c r="H12" s="379">
        <v>0</v>
      </c>
      <c r="I12" s="379" t="s">
        <v>595</v>
      </c>
      <c r="J12" s="381">
        <v>172</v>
      </c>
      <c r="K12" s="56"/>
    </row>
    <row r="13" spans="1:11" ht="15" customHeight="1">
      <c r="A13" s="382" t="s">
        <v>375</v>
      </c>
      <c r="B13" s="379">
        <v>60.7</v>
      </c>
      <c r="C13" s="379">
        <v>28.5</v>
      </c>
      <c r="D13" s="379" t="s">
        <v>595</v>
      </c>
      <c r="E13" s="379">
        <v>7.2</v>
      </c>
      <c r="F13" s="379">
        <v>1.9</v>
      </c>
      <c r="G13" s="400">
        <f t="shared" si="0"/>
        <v>9.1</v>
      </c>
      <c r="H13" s="379">
        <v>0</v>
      </c>
      <c r="I13" s="379">
        <v>1.4</v>
      </c>
      <c r="J13" s="381">
        <v>345</v>
      </c>
      <c r="K13" s="56"/>
    </row>
    <row r="14" spans="1:11" ht="15" customHeight="1">
      <c r="A14" s="382" t="s">
        <v>376</v>
      </c>
      <c r="B14" s="379">
        <v>59.7</v>
      </c>
      <c r="C14" s="379">
        <v>28.3</v>
      </c>
      <c r="D14" s="379">
        <v>2.2999999999999998</v>
      </c>
      <c r="E14" s="379">
        <v>5.0999999999999996</v>
      </c>
      <c r="F14" s="379">
        <v>1.9</v>
      </c>
      <c r="G14" s="400">
        <f t="shared" si="0"/>
        <v>7</v>
      </c>
      <c r="H14" s="379">
        <v>0</v>
      </c>
      <c r="I14" s="379">
        <v>2.6</v>
      </c>
      <c r="J14" s="381">
        <v>324</v>
      </c>
      <c r="K14" s="56"/>
    </row>
    <row r="15" spans="1:11" ht="15" customHeight="1">
      <c r="A15" s="382" t="s">
        <v>377</v>
      </c>
      <c r="B15" s="379">
        <v>54.7</v>
      </c>
      <c r="C15" s="379">
        <v>29</v>
      </c>
      <c r="D15" s="379">
        <v>2.4</v>
      </c>
      <c r="E15" s="379">
        <v>8.6999999999999993</v>
      </c>
      <c r="F15" s="379">
        <v>2.5</v>
      </c>
      <c r="G15" s="400">
        <f t="shared" si="0"/>
        <v>11.2</v>
      </c>
      <c r="H15" s="379">
        <v>0</v>
      </c>
      <c r="I15" s="379">
        <v>2.7</v>
      </c>
      <c r="J15" s="381">
        <v>292</v>
      </c>
      <c r="K15" s="56"/>
    </row>
    <row r="16" spans="1:11" s="37" customFormat="1" ht="15" customHeight="1">
      <c r="A16" s="378" t="s">
        <v>378</v>
      </c>
      <c r="B16" s="403">
        <v>57.6</v>
      </c>
      <c r="C16" s="403">
        <v>29.5</v>
      </c>
      <c r="D16" s="403">
        <v>1.5</v>
      </c>
      <c r="E16" s="403">
        <v>7.2</v>
      </c>
      <c r="F16" s="403">
        <v>1.8</v>
      </c>
      <c r="G16" s="400">
        <f t="shared" si="0"/>
        <v>9</v>
      </c>
      <c r="H16" s="379">
        <v>0</v>
      </c>
      <c r="I16" s="403">
        <v>2.4</v>
      </c>
      <c r="J16" s="488">
        <v>1133</v>
      </c>
      <c r="K16" s="348"/>
    </row>
    <row r="17" spans="1:11" ht="15" customHeight="1">
      <c r="A17" s="382" t="s">
        <v>379</v>
      </c>
      <c r="B17" s="379">
        <v>46</v>
      </c>
      <c r="C17" s="379">
        <v>18.3</v>
      </c>
      <c r="D17" s="379" t="s">
        <v>595</v>
      </c>
      <c r="E17" s="379">
        <v>25.4</v>
      </c>
      <c r="F17" s="379">
        <v>8</v>
      </c>
      <c r="G17" s="400">
        <f t="shared" si="0"/>
        <v>33.4</v>
      </c>
      <c r="H17" s="379" t="s">
        <v>595</v>
      </c>
      <c r="I17" s="379" t="s">
        <v>595</v>
      </c>
      <c r="J17" s="381">
        <v>286</v>
      </c>
      <c r="K17" s="56"/>
    </row>
    <row r="18" spans="1:11" ht="15" customHeight="1">
      <c r="A18" s="382" t="s">
        <v>380</v>
      </c>
      <c r="B18" s="379">
        <v>39.9</v>
      </c>
      <c r="C18" s="379">
        <v>16.7</v>
      </c>
      <c r="D18" s="379" t="s">
        <v>595</v>
      </c>
      <c r="E18" s="379">
        <v>27</v>
      </c>
      <c r="F18" s="379">
        <v>11.4</v>
      </c>
      <c r="G18" s="400">
        <f t="shared" si="0"/>
        <v>38.4</v>
      </c>
      <c r="H18" s="379">
        <v>1.8</v>
      </c>
      <c r="I18" s="379">
        <v>2.9</v>
      </c>
      <c r="J18" s="381">
        <v>344</v>
      </c>
      <c r="K18" s="56"/>
    </row>
    <row r="19" spans="1:11" ht="15" customHeight="1">
      <c r="A19" s="382" t="s">
        <v>381</v>
      </c>
      <c r="B19" s="379">
        <v>47.2</v>
      </c>
      <c r="C19" s="379">
        <v>18.399999999999999</v>
      </c>
      <c r="D19" s="379" t="s">
        <v>595</v>
      </c>
      <c r="E19" s="379">
        <v>17.2</v>
      </c>
      <c r="F19" s="379">
        <v>11.2</v>
      </c>
      <c r="G19" s="400">
        <f t="shared" si="0"/>
        <v>28.4</v>
      </c>
      <c r="H19" s="379" t="s">
        <v>595</v>
      </c>
      <c r="I19" s="379" t="s">
        <v>595</v>
      </c>
      <c r="J19" s="381">
        <v>212</v>
      </c>
      <c r="K19" s="56"/>
    </row>
    <row r="20" spans="1:11" s="37" customFormat="1" ht="15" customHeight="1">
      <c r="A20" s="378" t="s">
        <v>382</v>
      </c>
      <c r="B20" s="403">
        <v>43.9</v>
      </c>
      <c r="C20" s="403">
        <v>17.7</v>
      </c>
      <c r="D20" s="403">
        <v>0.8</v>
      </c>
      <c r="E20" s="403">
        <v>24.2</v>
      </c>
      <c r="F20" s="403">
        <v>10.1</v>
      </c>
      <c r="G20" s="400">
        <f t="shared" si="0"/>
        <v>34.299999999999997</v>
      </c>
      <c r="H20" s="403">
        <v>1.5</v>
      </c>
      <c r="I20" s="403">
        <v>1.9</v>
      </c>
      <c r="J20" s="488">
        <v>842</v>
      </c>
      <c r="K20" s="348"/>
    </row>
    <row r="21" spans="1:11" ht="15" customHeight="1">
      <c r="A21" s="683" t="s">
        <v>152</v>
      </c>
      <c r="B21" s="683"/>
      <c r="C21" s="683"/>
      <c r="D21" s="683"/>
      <c r="E21" s="403"/>
      <c r="F21" s="403"/>
      <c r="G21" s="400"/>
      <c r="H21" s="403"/>
      <c r="I21" s="403"/>
      <c r="J21" s="402"/>
      <c r="K21" s="56"/>
    </row>
    <row r="22" spans="1:11" ht="15" customHeight="1">
      <c r="A22" s="382" t="s">
        <v>563</v>
      </c>
      <c r="B22" s="36">
        <v>60.9</v>
      </c>
      <c r="C22" s="36">
        <v>11.4</v>
      </c>
      <c r="D22" s="556" t="s">
        <v>595</v>
      </c>
      <c r="E22" s="36">
        <v>13.4</v>
      </c>
      <c r="F22" s="36">
        <v>11</v>
      </c>
      <c r="G22" s="400">
        <f t="shared" si="0"/>
        <v>24.4</v>
      </c>
      <c r="H22" s="35" t="s">
        <v>595</v>
      </c>
      <c r="I22" s="36">
        <v>1.9</v>
      </c>
      <c r="J22" s="9">
        <v>222</v>
      </c>
      <c r="K22" s="56"/>
    </row>
    <row r="23" spans="1:11" ht="15" customHeight="1">
      <c r="A23" s="382" t="s">
        <v>346</v>
      </c>
      <c r="B23" s="36">
        <v>62.6</v>
      </c>
      <c r="C23" s="36">
        <v>16.399999999999999</v>
      </c>
      <c r="D23" s="556" t="s">
        <v>595</v>
      </c>
      <c r="E23" s="36">
        <v>9.8000000000000007</v>
      </c>
      <c r="F23" s="36">
        <v>6.1</v>
      </c>
      <c r="G23" s="400">
        <f t="shared" si="0"/>
        <v>15.9</v>
      </c>
      <c r="H23" s="35" t="s">
        <v>595</v>
      </c>
      <c r="I23" s="36">
        <v>2.7</v>
      </c>
      <c r="J23" s="9">
        <v>292</v>
      </c>
      <c r="K23" s="56"/>
    </row>
    <row r="24" spans="1:11" ht="15" customHeight="1">
      <c r="A24" s="382" t="s">
        <v>347</v>
      </c>
      <c r="B24" s="36">
        <v>51</v>
      </c>
      <c r="C24" s="36">
        <v>24.5</v>
      </c>
      <c r="D24" s="556">
        <v>2.2000000000000002</v>
      </c>
      <c r="E24" s="36">
        <v>14.3</v>
      </c>
      <c r="F24" s="36">
        <v>6.4</v>
      </c>
      <c r="G24" s="400">
        <f t="shared" si="0"/>
        <v>20.700000000000003</v>
      </c>
      <c r="H24" s="35" t="s">
        <v>595</v>
      </c>
      <c r="I24" s="556" t="s">
        <v>595</v>
      </c>
      <c r="J24" s="9">
        <v>252</v>
      </c>
      <c r="K24" s="56"/>
    </row>
    <row r="25" spans="1:11" ht="15" customHeight="1">
      <c r="A25" s="382" t="s">
        <v>348</v>
      </c>
      <c r="B25" s="36">
        <v>53.8</v>
      </c>
      <c r="C25" s="36">
        <v>23.9</v>
      </c>
      <c r="D25" s="556" t="s">
        <v>595</v>
      </c>
      <c r="E25" s="36">
        <v>12.9</v>
      </c>
      <c r="F25" s="36">
        <v>4.5</v>
      </c>
      <c r="G25" s="400">
        <f t="shared" si="0"/>
        <v>17.399999999999999</v>
      </c>
      <c r="H25" s="35">
        <v>0</v>
      </c>
      <c r="I25" s="556">
        <v>4.0999999999999996</v>
      </c>
      <c r="J25" s="9">
        <v>242</v>
      </c>
      <c r="K25" s="56"/>
    </row>
    <row r="26" spans="1:11" ht="15" customHeight="1">
      <c r="A26" s="382" t="s">
        <v>349</v>
      </c>
      <c r="B26" s="36">
        <v>48.1</v>
      </c>
      <c r="C26" s="36">
        <v>25.1</v>
      </c>
      <c r="D26" s="556">
        <v>1.7</v>
      </c>
      <c r="E26" s="36">
        <v>18.899999999999999</v>
      </c>
      <c r="F26" s="36">
        <v>4.5</v>
      </c>
      <c r="G26" s="400">
        <f t="shared" si="0"/>
        <v>23.4</v>
      </c>
      <c r="H26" s="35" t="s">
        <v>595</v>
      </c>
      <c r="I26" s="556" t="s">
        <v>595</v>
      </c>
      <c r="J26" s="9">
        <v>358</v>
      </c>
      <c r="K26" s="56"/>
    </row>
    <row r="27" spans="1:11" ht="15" customHeight="1">
      <c r="A27" s="382" t="s">
        <v>350</v>
      </c>
      <c r="B27" s="36">
        <v>44.6</v>
      </c>
      <c r="C27" s="36">
        <v>32.5</v>
      </c>
      <c r="D27" s="556">
        <v>1.3</v>
      </c>
      <c r="E27" s="36">
        <v>15.4</v>
      </c>
      <c r="F27" s="36">
        <v>3.5</v>
      </c>
      <c r="G27" s="400">
        <f t="shared" si="0"/>
        <v>18.899999999999999</v>
      </c>
      <c r="H27" s="35" t="s">
        <v>595</v>
      </c>
      <c r="I27" s="556">
        <v>2.2000000000000002</v>
      </c>
      <c r="J27" s="9">
        <v>596</v>
      </c>
      <c r="K27" s="56"/>
    </row>
    <row r="28" spans="1:11" ht="15" customHeight="1">
      <c r="A28" s="683" t="s">
        <v>351</v>
      </c>
      <c r="B28" s="683"/>
      <c r="C28" s="683"/>
      <c r="D28" s="401"/>
      <c r="E28" s="401"/>
      <c r="F28" s="401"/>
      <c r="G28" s="400"/>
      <c r="H28" s="401"/>
      <c r="I28" s="401"/>
      <c r="J28" s="402"/>
      <c r="K28" s="56"/>
    </row>
    <row r="29" spans="1:11" ht="15" customHeight="1">
      <c r="A29" s="382" t="s">
        <v>352</v>
      </c>
      <c r="B29" s="36">
        <v>60.8</v>
      </c>
      <c r="C29" s="36">
        <v>13.5</v>
      </c>
      <c r="D29" s="556" t="s">
        <v>595</v>
      </c>
      <c r="E29" s="36">
        <v>10.6</v>
      </c>
      <c r="F29" s="36">
        <v>9.9</v>
      </c>
      <c r="G29" s="400">
        <f t="shared" si="0"/>
        <v>20.5</v>
      </c>
      <c r="H29" s="35" t="s">
        <v>595</v>
      </c>
      <c r="I29" s="556">
        <v>2.9</v>
      </c>
      <c r="J29" s="9">
        <v>406</v>
      </c>
      <c r="K29" s="56"/>
    </row>
    <row r="30" spans="1:11" ht="15" customHeight="1">
      <c r="A30" s="384">
        <v>2</v>
      </c>
      <c r="B30" s="36">
        <v>58</v>
      </c>
      <c r="C30" s="36">
        <v>21</v>
      </c>
      <c r="D30" s="556">
        <v>1</v>
      </c>
      <c r="E30" s="36">
        <v>11.6</v>
      </c>
      <c r="F30" s="36">
        <v>6.5</v>
      </c>
      <c r="G30" s="400">
        <f t="shared" si="0"/>
        <v>18.100000000000001</v>
      </c>
      <c r="H30" s="35" t="s">
        <v>595</v>
      </c>
      <c r="I30" s="556" t="s">
        <v>595</v>
      </c>
      <c r="J30" s="9">
        <v>334</v>
      </c>
      <c r="K30" s="56"/>
    </row>
    <row r="31" spans="1:11" ht="15" customHeight="1">
      <c r="A31" s="384">
        <v>3</v>
      </c>
      <c r="B31" s="36">
        <v>47.7</v>
      </c>
      <c r="C31" s="36">
        <v>26</v>
      </c>
      <c r="D31" s="556" t="s">
        <v>595</v>
      </c>
      <c r="E31" s="36">
        <v>18.399999999999999</v>
      </c>
      <c r="F31" s="36">
        <v>4.5</v>
      </c>
      <c r="G31" s="400">
        <f t="shared" si="0"/>
        <v>22.9</v>
      </c>
      <c r="H31" s="35" t="s">
        <v>595</v>
      </c>
      <c r="I31" s="556">
        <v>2.7</v>
      </c>
      <c r="J31" s="9">
        <v>427</v>
      </c>
      <c r="K31" s="56"/>
    </row>
    <row r="32" spans="1:11" ht="15" customHeight="1">
      <c r="A32" s="384">
        <v>4</v>
      </c>
      <c r="B32" s="36">
        <v>40.200000000000003</v>
      </c>
      <c r="C32" s="36">
        <v>31</v>
      </c>
      <c r="D32" s="556">
        <v>1.9</v>
      </c>
      <c r="E32" s="36">
        <v>21</v>
      </c>
      <c r="F32" s="36">
        <v>2.6</v>
      </c>
      <c r="G32" s="400">
        <f t="shared" si="0"/>
        <v>23.6</v>
      </c>
      <c r="H32" s="35" t="s">
        <v>595</v>
      </c>
      <c r="I32" s="556">
        <v>2.6</v>
      </c>
      <c r="J32" s="9">
        <v>428</v>
      </c>
      <c r="K32" s="56"/>
    </row>
    <row r="33" spans="1:11" ht="15" customHeight="1">
      <c r="A33" s="382" t="s">
        <v>353</v>
      </c>
      <c r="B33" s="36">
        <v>52.6</v>
      </c>
      <c r="C33" s="36">
        <v>30.2</v>
      </c>
      <c r="D33" s="556">
        <v>1.9</v>
      </c>
      <c r="E33" s="36">
        <v>10.4</v>
      </c>
      <c r="F33" s="36">
        <v>3.5</v>
      </c>
      <c r="G33" s="400">
        <f t="shared" si="0"/>
        <v>13.9</v>
      </c>
      <c r="H33" s="35" t="s">
        <v>595</v>
      </c>
      <c r="I33" s="35" t="s">
        <v>595</v>
      </c>
      <c r="J33" s="9">
        <v>380</v>
      </c>
      <c r="K33" s="56"/>
    </row>
    <row r="34" spans="1:11" ht="15" customHeight="1">
      <c r="A34" s="378" t="s">
        <v>365</v>
      </c>
      <c r="B34" s="36"/>
      <c r="C34" s="36"/>
      <c r="D34" s="556"/>
      <c r="E34" s="36"/>
      <c r="F34" s="36"/>
      <c r="G34" s="400"/>
      <c r="H34" s="35"/>
      <c r="I34" s="35"/>
      <c r="K34" s="56"/>
    </row>
    <row r="35" spans="1:11" ht="15" customHeight="1">
      <c r="A35" s="382" t="s">
        <v>355</v>
      </c>
      <c r="B35" s="36">
        <v>54.7</v>
      </c>
      <c r="C35" s="36">
        <v>26.1</v>
      </c>
      <c r="D35" s="556">
        <v>1.2</v>
      </c>
      <c r="E35" s="36">
        <v>5.8</v>
      </c>
      <c r="F35" s="36">
        <v>8.1999999999999993</v>
      </c>
      <c r="G35" s="400">
        <f t="shared" si="0"/>
        <v>14</v>
      </c>
      <c r="H35" s="556">
        <v>1.1000000000000001</v>
      </c>
      <c r="I35" s="556">
        <v>2.8</v>
      </c>
      <c r="J35" s="9">
        <v>608</v>
      </c>
      <c r="K35" s="56"/>
    </row>
    <row r="36" spans="1:11" ht="15" customHeight="1">
      <c r="A36" s="382" t="s">
        <v>356</v>
      </c>
      <c r="B36" s="36">
        <v>59.2</v>
      </c>
      <c r="C36" s="36">
        <v>22.3</v>
      </c>
      <c r="D36" s="556">
        <v>0.8</v>
      </c>
      <c r="E36" s="36">
        <v>12.2</v>
      </c>
      <c r="F36" s="36">
        <v>4.0999999999999996</v>
      </c>
      <c r="G36" s="400">
        <f t="shared" si="0"/>
        <v>16.299999999999997</v>
      </c>
      <c r="H36" s="556" t="s">
        <v>595</v>
      </c>
      <c r="I36" s="556">
        <v>1</v>
      </c>
      <c r="J36" s="9">
        <v>664</v>
      </c>
      <c r="K36" s="56"/>
    </row>
    <row r="37" spans="1:11" ht="30.75" customHeight="1">
      <c r="A37" s="382" t="s">
        <v>564</v>
      </c>
      <c r="B37" s="36">
        <v>63.3</v>
      </c>
      <c r="C37" s="36">
        <v>16.600000000000001</v>
      </c>
      <c r="D37" s="556" t="s">
        <v>595</v>
      </c>
      <c r="E37" s="36">
        <v>15.2</v>
      </c>
      <c r="F37" s="36">
        <v>3.2</v>
      </c>
      <c r="G37" s="400">
        <f t="shared" si="0"/>
        <v>18.399999999999999</v>
      </c>
      <c r="H37" s="556" t="s">
        <v>595</v>
      </c>
      <c r="I37" s="556" t="s">
        <v>595</v>
      </c>
      <c r="J37" s="9">
        <v>270</v>
      </c>
      <c r="K37" s="56"/>
    </row>
    <row r="38" spans="1:11" ht="15" customHeight="1">
      <c r="A38" s="382" t="s">
        <v>359</v>
      </c>
      <c r="B38" s="36">
        <v>24.6</v>
      </c>
      <c r="C38" s="36">
        <v>32.1</v>
      </c>
      <c r="D38" s="556">
        <v>1.4</v>
      </c>
      <c r="E38" s="36">
        <v>32.6</v>
      </c>
      <c r="F38" s="36">
        <v>3.6</v>
      </c>
      <c r="G38" s="400">
        <f t="shared" si="0"/>
        <v>36.200000000000003</v>
      </c>
      <c r="H38" s="556" t="s">
        <v>595</v>
      </c>
      <c r="I38" s="36">
        <v>5.0999999999999996</v>
      </c>
      <c r="J38" s="9">
        <v>229</v>
      </c>
      <c r="K38" s="56"/>
    </row>
    <row r="39" spans="1:11" ht="15" customHeight="1">
      <c r="A39" s="382" t="s">
        <v>360</v>
      </c>
      <c r="B39" s="36">
        <v>30.5</v>
      </c>
      <c r="C39" s="36">
        <v>24.4</v>
      </c>
      <c r="D39" s="556">
        <v>3.7</v>
      </c>
      <c r="E39" s="36">
        <v>35</v>
      </c>
      <c r="F39" s="36">
        <v>4.4000000000000004</v>
      </c>
      <c r="G39" s="400">
        <f t="shared" si="0"/>
        <v>39.4</v>
      </c>
      <c r="H39" s="556">
        <v>0</v>
      </c>
      <c r="I39" s="36">
        <v>1.9</v>
      </c>
      <c r="J39" s="9">
        <v>204</v>
      </c>
      <c r="K39" s="56"/>
    </row>
    <row r="40" spans="1:11" ht="15" customHeight="1">
      <c r="A40" s="378" t="s">
        <v>552</v>
      </c>
      <c r="B40" s="400"/>
      <c r="C40" s="400"/>
      <c r="D40" s="400"/>
      <c r="E40" s="400"/>
      <c r="F40" s="400"/>
      <c r="G40" s="400"/>
      <c r="H40" s="400"/>
      <c r="I40" s="400"/>
      <c r="J40" s="522"/>
      <c r="K40" s="56"/>
    </row>
    <row r="41" spans="1:11" ht="15" customHeight="1">
      <c r="A41" s="382" t="s">
        <v>267</v>
      </c>
      <c r="B41" s="36">
        <v>73.599999999999994</v>
      </c>
      <c r="C41" s="36">
        <v>1.4</v>
      </c>
      <c r="D41" s="556" t="s">
        <v>595</v>
      </c>
      <c r="E41" s="36">
        <v>9.1999999999999993</v>
      </c>
      <c r="F41" s="36">
        <v>9.6999999999999993</v>
      </c>
      <c r="G41" s="400">
        <f t="shared" si="0"/>
        <v>18.899999999999999</v>
      </c>
      <c r="H41" s="556" t="s">
        <v>595</v>
      </c>
      <c r="I41" s="36">
        <v>3.5</v>
      </c>
      <c r="J41" s="9">
        <v>349</v>
      </c>
      <c r="K41" s="56"/>
    </row>
    <row r="42" spans="1:11" ht="15" customHeight="1">
      <c r="A42" s="382" t="s">
        <v>565</v>
      </c>
      <c r="B42" s="36">
        <v>53</v>
      </c>
      <c r="C42" s="36">
        <v>24.7</v>
      </c>
      <c r="D42" s="556">
        <v>1.3</v>
      </c>
      <c r="E42" s="36">
        <v>13.5</v>
      </c>
      <c r="F42" s="36">
        <v>5.5</v>
      </c>
      <c r="G42" s="400">
        <f t="shared" si="0"/>
        <v>19</v>
      </c>
      <c r="H42" s="556">
        <v>0.5</v>
      </c>
      <c r="I42" s="36">
        <v>1.5</v>
      </c>
      <c r="J42" s="9">
        <v>807</v>
      </c>
      <c r="K42" s="56"/>
    </row>
    <row r="43" spans="1:11" ht="15" customHeight="1">
      <c r="A43" s="382" t="s">
        <v>566</v>
      </c>
      <c r="B43" s="36">
        <v>40.700000000000003</v>
      </c>
      <c r="C43" s="36">
        <v>34.1</v>
      </c>
      <c r="D43" s="556">
        <v>1.3</v>
      </c>
      <c r="E43" s="36">
        <v>17.899999999999999</v>
      </c>
      <c r="F43" s="36">
        <v>3.4</v>
      </c>
      <c r="G43" s="400">
        <f t="shared" si="0"/>
        <v>21.299999999999997</v>
      </c>
      <c r="H43" s="556" t="s">
        <v>595</v>
      </c>
      <c r="I43" s="36">
        <v>2.2000000000000002</v>
      </c>
      <c r="J43" s="9">
        <v>819</v>
      </c>
      <c r="K43" s="56"/>
    </row>
    <row r="44" spans="1:11" ht="15" customHeight="1">
      <c r="A44" s="378" t="s">
        <v>567</v>
      </c>
      <c r="B44" s="400"/>
      <c r="C44" s="400"/>
      <c r="D44" s="400"/>
      <c r="E44" s="400"/>
      <c r="F44" s="400"/>
      <c r="G44" s="400"/>
      <c r="H44" s="400"/>
      <c r="I44" s="400"/>
      <c r="J44" s="522"/>
      <c r="K44" s="56"/>
    </row>
    <row r="45" spans="1:11" ht="15" customHeight="1">
      <c r="A45" s="382" t="s">
        <v>568</v>
      </c>
      <c r="B45" s="36">
        <v>62.2</v>
      </c>
      <c r="C45" s="36">
        <v>17.600000000000001</v>
      </c>
      <c r="D45" s="556" t="s">
        <v>595</v>
      </c>
      <c r="E45" s="36">
        <v>10.6</v>
      </c>
      <c r="F45" s="36">
        <v>7.3</v>
      </c>
      <c r="G45" s="400">
        <f t="shared" si="0"/>
        <v>17.899999999999999</v>
      </c>
      <c r="H45" s="556" t="s">
        <v>595</v>
      </c>
      <c r="I45" s="36">
        <v>1.5</v>
      </c>
      <c r="J45" s="9">
        <v>408</v>
      </c>
      <c r="K45" s="56"/>
    </row>
    <row r="46" spans="1:11" ht="15" customHeight="1">
      <c r="A46" s="382" t="s">
        <v>559</v>
      </c>
      <c r="B46" s="36">
        <v>48.5</v>
      </c>
      <c r="C46" s="36">
        <v>28.6</v>
      </c>
      <c r="D46" s="556">
        <v>1.3</v>
      </c>
      <c r="E46" s="36">
        <v>14</v>
      </c>
      <c r="F46" s="36">
        <v>4.5999999999999996</v>
      </c>
      <c r="G46" s="400">
        <f t="shared" si="0"/>
        <v>18.600000000000001</v>
      </c>
      <c r="H46" s="556">
        <v>0.8</v>
      </c>
      <c r="I46" s="36">
        <v>2.2000000000000002</v>
      </c>
      <c r="J46" s="9">
        <v>862</v>
      </c>
      <c r="K46" s="56"/>
    </row>
    <row r="47" spans="1:11" ht="15" customHeight="1">
      <c r="A47" s="385" t="s">
        <v>568</v>
      </c>
      <c r="B47" s="575">
        <v>49.4</v>
      </c>
      <c r="C47" s="575">
        <v>23.7</v>
      </c>
      <c r="D47" s="576">
        <v>1.5</v>
      </c>
      <c r="E47" s="575">
        <v>17</v>
      </c>
      <c r="F47" s="575">
        <v>5.0999999999999996</v>
      </c>
      <c r="G47" s="478">
        <f t="shared" si="0"/>
        <v>22.1</v>
      </c>
      <c r="H47" s="576" t="s">
        <v>595</v>
      </c>
      <c r="I47" s="575">
        <v>2.5</v>
      </c>
      <c r="J47" s="46">
        <v>679</v>
      </c>
      <c r="K47" s="56"/>
    </row>
    <row r="48" spans="1:11" ht="15" customHeight="1">
      <c r="A48" s="179" t="s">
        <v>622</v>
      </c>
      <c r="B48" s="59"/>
      <c r="C48" s="59"/>
      <c r="D48" s="600"/>
      <c r="E48" s="59"/>
      <c r="F48" s="59"/>
      <c r="G48" s="601"/>
      <c r="H48" s="600"/>
      <c r="I48" s="59"/>
      <c r="J48" s="12"/>
      <c r="K48" s="56"/>
    </row>
    <row r="49" spans="1:21" s="7" customFormat="1" ht="15" customHeight="1">
      <c r="A49" s="684" t="s">
        <v>383</v>
      </c>
      <c r="B49" s="684"/>
      <c r="C49" s="684"/>
      <c r="D49" s="684"/>
      <c r="E49" s="684"/>
      <c r="F49" s="684"/>
      <c r="G49" s="684"/>
      <c r="H49" s="684"/>
      <c r="I49" s="684"/>
      <c r="J49" s="684"/>
    </row>
    <row r="50" spans="1:21" s="7" customFormat="1" ht="15" customHeight="1">
      <c r="A50" s="7" t="s">
        <v>399</v>
      </c>
    </row>
    <row r="51" spans="1:21" s="7" customFormat="1" ht="12.75">
      <c r="A51" s="7" t="s">
        <v>181</v>
      </c>
      <c r="I51" s="8"/>
    </row>
    <row r="52" spans="1:21" s="7" customFormat="1" ht="12.75">
      <c r="A52" s="7" t="s">
        <v>182</v>
      </c>
    </row>
    <row r="53" spans="1:21" ht="12.75" customHeight="1">
      <c r="A53" s="574" t="s">
        <v>682</v>
      </c>
    </row>
    <row r="54" spans="1:21" ht="5.25" customHeight="1"/>
    <row r="55" spans="1:21" ht="13.5" customHeight="1"/>
    <row r="56" spans="1:21" ht="19.5">
      <c r="A56" s="611" t="s">
        <v>426</v>
      </c>
      <c r="B56" s="61"/>
      <c r="C56" s="61"/>
      <c r="D56" s="61"/>
      <c r="E56" s="61"/>
      <c r="F56" s="61"/>
      <c r="G56" s="61"/>
      <c r="H56" s="61"/>
      <c r="I56" s="61"/>
      <c r="J56" s="61"/>
      <c r="K56" s="60"/>
    </row>
    <row r="57" spans="1:21" s="37" customFormat="1" ht="27.75" customHeight="1">
      <c r="A57" s="610" t="s">
        <v>624</v>
      </c>
      <c r="B57" s="79"/>
      <c r="C57" s="79"/>
      <c r="D57" s="79"/>
      <c r="E57" s="79"/>
      <c r="F57" s="79"/>
      <c r="G57" s="79"/>
      <c r="H57" s="79"/>
      <c r="I57" s="79"/>
      <c r="J57" s="251"/>
      <c r="K57" s="144"/>
    </row>
    <row r="58" spans="1:21" s="37" customFormat="1" ht="15.75">
      <c r="A58" s="612" t="s">
        <v>626</v>
      </c>
      <c r="B58" s="79"/>
      <c r="C58" s="79"/>
      <c r="D58" s="233"/>
      <c r="E58" s="233"/>
      <c r="F58" s="233"/>
      <c r="G58" s="233"/>
      <c r="H58" s="233"/>
      <c r="I58" s="233"/>
      <c r="J58" s="251"/>
      <c r="K58" s="144"/>
      <c r="M58" s="9"/>
      <c r="N58" s="9"/>
      <c r="O58" s="9"/>
      <c r="P58" s="9"/>
      <c r="Q58" s="9"/>
      <c r="R58" s="9"/>
      <c r="S58" s="9"/>
      <c r="T58" s="9"/>
      <c r="U58" s="9"/>
    </row>
  </sheetData>
  <mergeCells count="4">
    <mergeCell ref="A21:D21"/>
    <mergeCell ref="A28:C28"/>
    <mergeCell ref="A49:J49"/>
    <mergeCell ref="H5:J5"/>
  </mergeCells>
  <phoneticPr fontId="0" type="noConversion"/>
  <pageMargins left="0.75" right="0.75" top="1" bottom="1" header="0.5" footer="0.5"/>
  <pageSetup paperSize="9" scale="61" orientation="portrait" horizontalDpi="4294967292" verticalDpi="300" r:id="rId1"/>
  <headerFooter alignWithMargins="0">
    <oddHeader>&amp;R&amp;"Arial,Bold"&amp;16PERSONAL AND CROSS-MODAL TRAVEL</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1"/>
  <sheetViews>
    <sheetView zoomScaleNormal="100" workbookViewId="0"/>
  </sheetViews>
  <sheetFormatPr defaultRowHeight="15"/>
  <cols>
    <col min="1" max="1" width="9.140625" style="88"/>
    <col min="2" max="2" width="17.7109375" style="88" customWidth="1"/>
    <col min="3" max="6" width="9" style="88" hidden="1" customWidth="1"/>
    <col min="7" max="12" width="8.85546875" style="88" customWidth="1"/>
    <col min="13" max="14" width="10.5703125" style="88" bestFit="1" customWidth="1"/>
    <col min="15" max="16384" width="9.140625" style="88"/>
  </cols>
  <sheetData>
    <row r="1" spans="1:17" s="9" customFormat="1" ht="19.5">
      <c r="A1" s="337" t="s">
        <v>427</v>
      </c>
      <c r="B1" s="12"/>
      <c r="C1" s="12"/>
      <c r="D1" s="12"/>
      <c r="E1" s="12"/>
      <c r="F1" s="12"/>
      <c r="G1" s="12"/>
      <c r="H1" s="12"/>
      <c r="I1" s="336"/>
      <c r="L1" s="12"/>
    </row>
    <row r="2" spans="1:17" ht="15.75">
      <c r="A2" s="202" t="s">
        <v>304</v>
      </c>
      <c r="B2" s="202"/>
      <c r="C2" s="181">
        <v>1999</v>
      </c>
      <c r="D2" s="181">
        <v>2000</v>
      </c>
      <c r="E2" s="181">
        <v>2001</v>
      </c>
      <c r="F2" s="181">
        <v>2002</v>
      </c>
      <c r="G2" s="181">
        <v>2003</v>
      </c>
      <c r="H2" s="181">
        <v>2004</v>
      </c>
      <c r="I2" s="181">
        <v>2005</v>
      </c>
      <c r="J2" s="181">
        <v>2006</v>
      </c>
      <c r="K2" s="181">
        <v>2007</v>
      </c>
      <c r="L2" s="181">
        <v>2008</v>
      </c>
      <c r="M2" s="181">
        <v>2009</v>
      </c>
      <c r="N2" s="181">
        <v>2010</v>
      </c>
      <c r="O2" s="181">
        <v>2011</v>
      </c>
      <c r="P2" s="181">
        <v>2012</v>
      </c>
      <c r="Q2" s="181">
        <v>2013</v>
      </c>
    </row>
    <row r="3" spans="1:17" ht="18" customHeight="1">
      <c r="C3" s="35"/>
      <c r="D3" s="35"/>
      <c r="K3" s="201"/>
      <c r="L3" s="201"/>
      <c r="M3" s="201"/>
      <c r="N3" s="201"/>
      <c r="Q3" s="201" t="s">
        <v>299</v>
      </c>
    </row>
    <row r="4" spans="1:17">
      <c r="A4" s="9" t="s">
        <v>269</v>
      </c>
      <c r="C4" s="135">
        <v>7.3</v>
      </c>
      <c r="D4" s="135">
        <v>7.9</v>
      </c>
      <c r="E4" s="135">
        <v>8.6999999999999993</v>
      </c>
      <c r="F4" s="135">
        <v>9.3000000000000007</v>
      </c>
      <c r="G4" s="135">
        <v>9.1</v>
      </c>
      <c r="H4" s="135">
        <v>9</v>
      </c>
      <c r="I4" s="135">
        <v>11.1</v>
      </c>
      <c r="J4" s="135">
        <v>10.7</v>
      </c>
      <c r="K4" s="135">
        <v>11.2</v>
      </c>
      <c r="L4" s="329">
        <v>10</v>
      </c>
      <c r="M4" s="329">
        <v>11.4</v>
      </c>
      <c r="N4" s="329">
        <v>10.1</v>
      </c>
      <c r="O4" s="81">
        <v>10.6</v>
      </c>
      <c r="P4" s="226">
        <v>13.2</v>
      </c>
      <c r="Q4" s="9">
        <v>13.3</v>
      </c>
    </row>
    <row r="5" spans="1:17" ht="6" customHeight="1">
      <c r="A5" s="9"/>
      <c r="C5" s="9"/>
      <c r="D5" s="9"/>
      <c r="E5" s="9"/>
      <c r="F5" s="9"/>
      <c r="G5" s="9"/>
      <c r="H5" s="9"/>
      <c r="I5" s="9"/>
      <c r="J5" s="9"/>
      <c r="K5" s="9"/>
      <c r="L5" s="81"/>
      <c r="M5" s="81"/>
      <c r="N5" s="396"/>
      <c r="O5" s="81"/>
      <c r="P5" s="226"/>
    </row>
    <row r="6" spans="1:17">
      <c r="A6" s="9" t="s">
        <v>270</v>
      </c>
      <c r="C6" s="80">
        <v>92.7</v>
      </c>
      <c r="D6" s="80">
        <v>92.1</v>
      </c>
      <c r="E6" s="80">
        <v>91.3</v>
      </c>
      <c r="F6" s="80">
        <v>90.7</v>
      </c>
      <c r="G6" s="80">
        <v>90.9</v>
      </c>
      <c r="H6" s="80">
        <v>91</v>
      </c>
      <c r="I6" s="80">
        <v>88.9</v>
      </c>
      <c r="J6" s="80">
        <v>89.3</v>
      </c>
      <c r="K6" s="80">
        <v>88.8</v>
      </c>
      <c r="L6" s="80">
        <v>90</v>
      </c>
      <c r="M6" s="80">
        <v>88.6</v>
      </c>
      <c r="N6" s="404">
        <v>89.9</v>
      </c>
      <c r="O6" s="81">
        <v>89.4</v>
      </c>
      <c r="P6" s="226">
        <v>86.8</v>
      </c>
      <c r="Q6" s="9">
        <v>86.7</v>
      </c>
    </row>
    <row r="7" spans="1:17" ht="6" customHeight="1">
      <c r="A7" s="9"/>
      <c r="C7" s="60"/>
      <c r="D7" s="60"/>
      <c r="E7" s="60"/>
      <c r="F7" s="60"/>
      <c r="G7" s="60"/>
      <c r="H7" s="60"/>
      <c r="I7" s="9"/>
      <c r="J7" s="9"/>
      <c r="K7" s="9"/>
      <c r="L7" s="60"/>
      <c r="M7" s="60"/>
      <c r="N7" s="390"/>
      <c r="O7" s="81"/>
      <c r="P7" s="226"/>
      <c r="Q7" s="9"/>
    </row>
    <row r="8" spans="1:17">
      <c r="A8" s="9" t="s">
        <v>162</v>
      </c>
      <c r="C8" s="136">
        <v>100</v>
      </c>
      <c r="D8" s="136">
        <v>100</v>
      </c>
      <c r="E8" s="136">
        <v>100</v>
      </c>
      <c r="F8" s="136">
        <v>100</v>
      </c>
      <c r="G8" s="136">
        <v>100</v>
      </c>
      <c r="H8" s="136">
        <v>100</v>
      </c>
      <c r="I8" s="136">
        <v>100</v>
      </c>
      <c r="J8" s="136">
        <v>100</v>
      </c>
      <c r="K8" s="136">
        <v>100</v>
      </c>
      <c r="L8" s="330">
        <v>100</v>
      </c>
      <c r="M8" s="330">
        <v>100</v>
      </c>
      <c r="N8" s="330">
        <v>100</v>
      </c>
      <c r="O8" s="330">
        <v>100</v>
      </c>
      <c r="P8" s="226">
        <v>100</v>
      </c>
      <c r="Q8" s="226">
        <v>100</v>
      </c>
    </row>
    <row r="9" spans="1:17" ht="6" customHeight="1">
      <c r="A9" s="9"/>
      <c r="C9" s="60"/>
      <c r="D9" s="60"/>
      <c r="E9" s="60"/>
      <c r="F9" s="60"/>
      <c r="G9" s="60"/>
      <c r="H9" s="60"/>
      <c r="I9" s="9"/>
      <c r="J9" s="9" t="s">
        <v>123</v>
      </c>
      <c r="K9" s="9"/>
      <c r="L9" s="60"/>
      <c r="M9" s="60"/>
      <c r="N9" s="390"/>
      <c r="O9" s="81"/>
      <c r="P9" s="226"/>
      <c r="Q9" s="9"/>
    </row>
    <row r="10" spans="1:17">
      <c r="A10" s="15" t="s">
        <v>271</v>
      </c>
      <c r="C10" s="34">
        <v>6534</v>
      </c>
      <c r="D10" s="34">
        <v>6818</v>
      </c>
      <c r="E10" s="34">
        <v>6922</v>
      </c>
      <c r="F10" s="34">
        <v>6597</v>
      </c>
      <c r="G10" s="34">
        <v>6681</v>
      </c>
      <c r="H10" s="34">
        <v>7058</v>
      </c>
      <c r="I10" s="34">
        <v>6841</v>
      </c>
      <c r="J10" s="34">
        <v>6845</v>
      </c>
      <c r="K10" s="34">
        <v>5888</v>
      </c>
      <c r="L10" s="67">
        <v>6092</v>
      </c>
      <c r="M10" s="67">
        <v>6103</v>
      </c>
      <c r="N10" s="67">
        <v>5862</v>
      </c>
      <c r="O10" s="67">
        <v>6189</v>
      </c>
      <c r="P10" s="67">
        <v>4734</v>
      </c>
      <c r="Q10" s="67">
        <v>4848</v>
      </c>
    </row>
    <row r="11" spans="1:17" s="9" customFormat="1" ht="6.75" customHeight="1">
      <c r="A11" s="46"/>
      <c r="B11" s="46"/>
      <c r="C11" s="219"/>
      <c r="D11" s="219"/>
      <c r="E11" s="205"/>
      <c r="F11" s="205"/>
      <c r="G11" s="205"/>
      <c r="H11" s="220"/>
      <c r="I11" s="46"/>
      <c r="J11" s="46"/>
      <c r="K11" s="46"/>
      <c r="L11" s="46"/>
      <c r="M11" s="46"/>
      <c r="N11" s="205"/>
      <c r="O11" s="205"/>
      <c r="P11" s="205"/>
      <c r="Q11" s="205"/>
    </row>
    <row r="12" spans="1:17" s="9" customFormat="1" ht="12" customHeight="1">
      <c r="A12" s="179" t="s">
        <v>622</v>
      </c>
      <c r="B12" s="12"/>
      <c r="C12" s="598"/>
      <c r="D12" s="598"/>
      <c r="E12" s="61"/>
      <c r="F12" s="61"/>
      <c r="G12" s="61"/>
      <c r="H12" s="599"/>
      <c r="I12" s="12"/>
      <c r="J12" s="12"/>
      <c r="K12" s="12"/>
      <c r="L12" s="12"/>
      <c r="M12" s="12"/>
      <c r="N12" s="61"/>
      <c r="O12" s="61"/>
      <c r="P12" s="61"/>
      <c r="Q12" s="61"/>
    </row>
    <row r="13" spans="1:17" s="7" customFormat="1" ht="12.75">
      <c r="A13" s="7" t="s">
        <v>385</v>
      </c>
      <c r="N13" s="70"/>
      <c r="O13" s="70"/>
    </row>
    <row r="14" spans="1:17" ht="38.25" customHeight="1">
      <c r="N14" s="81"/>
      <c r="O14" s="60"/>
      <c r="P14" s="9"/>
      <c r="Q14" s="9"/>
    </row>
    <row r="15" spans="1:17" s="9" customFormat="1" ht="19.5">
      <c r="A15" s="337" t="s">
        <v>428</v>
      </c>
      <c r="B15" s="12"/>
      <c r="C15" s="12"/>
      <c r="D15" s="12"/>
      <c r="E15" s="12"/>
      <c r="F15" s="12"/>
      <c r="G15" s="12"/>
      <c r="H15" s="12"/>
      <c r="I15" s="12"/>
      <c r="J15" s="12"/>
      <c r="K15" s="12"/>
      <c r="L15" s="12"/>
      <c r="N15" s="60"/>
      <c r="O15" s="60"/>
      <c r="P15" s="226"/>
    </row>
    <row r="16" spans="1:17" s="178" customFormat="1" ht="15.75">
      <c r="A16" s="230"/>
      <c r="B16" s="230"/>
      <c r="C16" s="208">
        <v>1999</v>
      </c>
      <c r="D16" s="208">
        <v>2000</v>
      </c>
      <c r="E16" s="208">
        <v>2001</v>
      </c>
      <c r="F16" s="208">
        <v>2002</v>
      </c>
      <c r="G16" s="208">
        <v>2003</v>
      </c>
      <c r="H16" s="208">
        <v>2004</v>
      </c>
      <c r="I16" s="208">
        <v>2005</v>
      </c>
      <c r="J16" s="208">
        <v>2006</v>
      </c>
      <c r="K16" s="208">
        <v>2007</v>
      </c>
      <c r="L16" s="208">
        <v>2008</v>
      </c>
      <c r="M16" s="208">
        <v>2009</v>
      </c>
      <c r="N16" s="208">
        <v>2010</v>
      </c>
      <c r="O16" s="208">
        <v>2011</v>
      </c>
      <c r="P16" s="208">
        <v>2012</v>
      </c>
      <c r="Q16" s="208">
        <v>2013</v>
      </c>
    </row>
    <row r="17" spans="1:17" ht="18" customHeight="1">
      <c r="C17" s="35"/>
      <c r="D17" s="35"/>
      <c r="I17" s="179"/>
      <c r="J17" s="179"/>
      <c r="K17" s="201"/>
      <c r="L17" s="201"/>
      <c r="M17" s="281"/>
      <c r="Q17" s="281" t="s">
        <v>299</v>
      </c>
    </row>
    <row r="18" spans="1:17" ht="15.75">
      <c r="A18" s="37" t="s">
        <v>90</v>
      </c>
      <c r="C18" s="329">
        <v>13.673999999999999</v>
      </c>
      <c r="D18" s="329">
        <v>13.657999999999999</v>
      </c>
      <c r="E18" s="329">
        <v>13.103</v>
      </c>
      <c r="F18" s="329">
        <v>13.15</v>
      </c>
      <c r="G18" s="329">
        <v>12.646000000000001</v>
      </c>
      <c r="H18" s="329">
        <v>12.651</v>
      </c>
      <c r="I18" s="329">
        <v>12.734999999999999</v>
      </c>
      <c r="J18" s="329">
        <v>13.83</v>
      </c>
      <c r="K18" s="329">
        <v>11.856999999999999</v>
      </c>
      <c r="L18" s="329">
        <v>12.504</v>
      </c>
      <c r="M18" s="329">
        <v>12.321999999999999</v>
      </c>
      <c r="N18" s="329">
        <v>13.4</v>
      </c>
      <c r="O18" s="329">
        <v>12.907</v>
      </c>
      <c r="P18" s="523">
        <v>13.603</v>
      </c>
      <c r="Q18" s="9">
        <v>12.9</v>
      </c>
    </row>
    <row r="19" spans="1:17" ht="6" customHeight="1">
      <c r="A19" s="37"/>
      <c r="C19" s="329"/>
      <c r="D19" s="329"/>
      <c r="E19" s="329"/>
      <c r="F19" s="329"/>
      <c r="G19" s="329"/>
      <c r="H19" s="329"/>
      <c r="I19" s="329"/>
      <c r="J19" s="329"/>
      <c r="K19" s="329"/>
      <c r="L19" s="329"/>
      <c r="M19" s="329"/>
      <c r="N19" s="329"/>
      <c r="O19" s="329"/>
      <c r="P19" s="226"/>
    </row>
    <row r="20" spans="1:17" ht="15.75">
      <c r="A20" s="37" t="s">
        <v>184</v>
      </c>
      <c r="C20" s="329"/>
      <c r="D20" s="329"/>
      <c r="E20" s="329"/>
      <c r="F20" s="329"/>
      <c r="G20" s="329"/>
      <c r="H20" s="329"/>
      <c r="I20" s="329"/>
      <c r="J20" s="329"/>
      <c r="K20" s="329"/>
      <c r="L20" s="329"/>
      <c r="M20" s="329"/>
      <c r="N20" s="329"/>
      <c r="O20" s="329"/>
      <c r="P20" s="226"/>
    </row>
    <row r="21" spans="1:17">
      <c r="A21" s="112" t="s">
        <v>185</v>
      </c>
      <c r="C21" s="329">
        <v>54.597999999999999</v>
      </c>
      <c r="D21" s="329">
        <v>56.518999999999998</v>
      </c>
      <c r="E21" s="329">
        <v>57.93</v>
      </c>
      <c r="F21" s="329">
        <v>56.622</v>
      </c>
      <c r="G21" s="329">
        <v>59.819000000000003</v>
      </c>
      <c r="H21" s="329">
        <v>58.893999999999998</v>
      </c>
      <c r="I21" s="329">
        <v>59.844000000000001</v>
      </c>
      <c r="J21" s="329">
        <v>59.783000000000001</v>
      </c>
      <c r="K21" s="329">
        <v>61.323999999999998</v>
      </c>
      <c r="L21" s="329">
        <v>59.890999999999998</v>
      </c>
      <c r="M21" s="329">
        <v>60.655000000000001</v>
      </c>
      <c r="N21" s="329">
        <v>61</v>
      </c>
      <c r="O21" s="329">
        <v>59.095999999999997</v>
      </c>
      <c r="P21" s="523">
        <v>61.362000000000002</v>
      </c>
      <c r="Q21" s="9">
        <v>60.6</v>
      </c>
    </row>
    <row r="22" spans="1:17">
      <c r="A22" s="112" t="s">
        <v>272</v>
      </c>
      <c r="C22" s="329">
        <v>11.819000000000001</v>
      </c>
      <c r="D22" s="329">
        <v>10.497999999999999</v>
      </c>
      <c r="E22" s="329">
        <v>10.445</v>
      </c>
      <c r="F22" s="329">
        <v>11.029</v>
      </c>
      <c r="G22" s="329">
        <v>8.6859999999999999</v>
      </c>
      <c r="H22" s="329">
        <v>8.0760000000000005</v>
      </c>
      <c r="I22" s="329">
        <v>7.5380000000000003</v>
      </c>
      <c r="J22" s="329">
        <v>7.0110000000000001</v>
      </c>
      <c r="K22" s="329">
        <v>6.6509999999999998</v>
      </c>
      <c r="L22" s="329">
        <v>6.1420000000000003</v>
      </c>
      <c r="M22" s="329">
        <v>6.3849999999999998</v>
      </c>
      <c r="N22" s="329">
        <v>6.3</v>
      </c>
      <c r="O22" s="329">
        <v>7.5049999999999999</v>
      </c>
      <c r="P22" s="523">
        <v>5.9809999999999999</v>
      </c>
      <c r="Q22" s="9">
        <v>5.6</v>
      </c>
    </row>
    <row r="23" spans="1:17">
      <c r="A23" s="112" t="s">
        <v>134</v>
      </c>
      <c r="C23" s="408">
        <v>66.400000000000006</v>
      </c>
      <c r="D23" s="122">
        <v>67</v>
      </c>
      <c r="E23" s="122">
        <v>68.400000000000006</v>
      </c>
      <c r="F23" s="122">
        <v>67.7</v>
      </c>
      <c r="G23" s="122">
        <v>68.5</v>
      </c>
      <c r="H23" s="122">
        <v>67</v>
      </c>
      <c r="I23" s="122">
        <v>67.400000000000006</v>
      </c>
      <c r="J23" s="122">
        <v>66.8</v>
      </c>
      <c r="K23" s="122">
        <v>68</v>
      </c>
      <c r="L23" s="331">
        <v>66</v>
      </c>
      <c r="M23" s="331">
        <v>67</v>
      </c>
      <c r="N23" s="405">
        <v>67.3</v>
      </c>
      <c r="O23" s="405">
        <v>66.600999999999999</v>
      </c>
      <c r="P23" s="56">
        <v>67.343000000000004</v>
      </c>
      <c r="Q23" s="9">
        <v>66.2</v>
      </c>
    </row>
    <row r="24" spans="1:17" ht="6" customHeight="1">
      <c r="A24" s="112"/>
      <c r="C24" s="122"/>
      <c r="D24" s="122"/>
      <c r="E24" s="122"/>
      <c r="F24" s="122"/>
      <c r="G24" s="122"/>
      <c r="H24" s="122"/>
      <c r="I24" s="122"/>
      <c r="J24" s="122"/>
      <c r="K24" s="122"/>
      <c r="L24" s="331"/>
      <c r="M24" s="331"/>
      <c r="N24" s="405"/>
      <c r="O24" s="405"/>
      <c r="P24" s="524"/>
    </row>
    <row r="25" spans="1:17" ht="15.75">
      <c r="A25" s="37" t="s">
        <v>12</v>
      </c>
      <c r="C25" s="329">
        <v>1.7370000000000001</v>
      </c>
      <c r="D25" s="329">
        <v>1.718</v>
      </c>
      <c r="E25" s="329">
        <v>1.716</v>
      </c>
      <c r="F25" s="329">
        <v>1.5669999999999999</v>
      </c>
      <c r="G25" s="329">
        <v>1.7749999999999999</v>
      </c>
      <c r="H25" s="329">
        <v>1.8660000000000001</v>
      </c>
      <c r="I25" s="329">
        <v>1.6479999999999999</v>
      </c>
      <c r="J25" s="329">
        <v>2.0310000000000001</v>
      </c>
      <c r="K25" s="329">
        <v>1.6579999999999999</v>
      </c>
      <c r="L25" s="329">
        <v>2.3319999999999999</v>
      </c>
      <c r="M25" s="329">
        <v>2.383</v>
      </c>
      <c r="N25" s="329">
        <v>2.2999999999999998</v>
      </c>
      <c r="O25" s="329">
        <v>1.9530000000000001</v>
      </c>
      <c r="P25" s="524">
        <v>2.0430000000000001</v>
      </c>
      <c r="Q25" s="9">
        <v>2.5</v>
      </c>
    </row>
    <row r="26" spans="1:17" ht="6" customHeight="1">
      <c r="A26" s="37"/>
      <c r="C26" s="329"/>
      <c r="D26" s="329"/>
      <c r="E26" s="329"/>
      <c r="F26" s="329"/>
      <c r="G26" s="329"/>
      <c r="H26" s="329"/>
      <c r="I26" s="329"/>
      <c r="J26" s="329"/>
      <c r="K26" s="329"/>
      <c r="L26" s="329"/>
      <c r="M26" s="329"/>
      <c r="N26" s="329"/>
      <c r="O26" s="329"/>
      <c r="P26" s="524"/>
    </row>
    <row r="27" spans="1:17" ht="15.75">
      <c r="A27" s="37" t="s">
        <v>148</v>
      </c>
      <c r="C27" s="329">
        <v>12.1</v>
      </c>
      <c r="D27" s="329">
        <v>12.486000000000001</v>
      </c>
      <c r="E27" s="329">
        <v>12.153</v>
      </c>
      <c r="F27" s="329">
        <v>12.233000000000001</v>
      </c>
      <c r="G27" s="329">
        <v>11.597</v>
      </c>
      <c r="H27" s="329">
        <v>12.675000000000001</v>
      </c>
      <c r="I27" s="329">
        <v>12.101000000000001</v>
      </c>
      <c r="J27" s="329">
        <v>11.762</v>
      </c>
      <c r="K27" s="329">
        <v>12.666</v>
      </c>
      <c r="L27" s="329">
        <v>12.138</v>
      </c>
      <c r="M27" s="329">
        <v>12.129</v>
      </c>
      <c r="N27" s="329">
        <v>10.8</v>
      </c>
      <c r="O27" s="329">
        <v>11.978999999999999</v>
      </c>
      <c r="P27" s="524">
        <v>10.08</v>
      </c>
      <c r="Q27" s="9">
        <v>11.3</v>
      </c>
    </row>
    <row r="28" spans="1:17" ht="6" customHeight="1">
      <c r="A28" s="37"/>
      <c r="C28" s="329"/>
      <c r="D28" s="329"/>
      <c r="E28" s="329"/>
      <c r="F28" s="329"/>
      <c r="G28" s="329"/>
      <c r="H28" s="329"/>
      <c r="I28" s="329"/>
      <c r="J28" s="329"/>
      <c r="K28" s="329"/>
      <c r="L28" s="329"/>
      <c r="M28" s="329"/>
      <c r="N28" s="329"/>
      <c r="O28" s="329"/>
      <c r="P28" s="524"/>
    </row>
    <row r="29" spans="1:17" ht="18.75">
      <c r="A29" s="37" t="s">
        <v>295</v>
      </c>
      <c r="C29" s="329">
        <v>3.0409999999999999</v>
      </c>
      <c r="D29" s="329">
        <v>2.2930000000000001</v>
      </c>
      <c r="E29" s="329">
        <v>2.2650000000000001</v>
      </c>
      <c r="F29" s="329">
        <v>3.0640000000000001</v>
      </c>
      <c r="G29" s="329">
        <v>2.8809999999999998</v>
      </c>
      <c r="H29" s="329">
        <v>3.5209999999999999</v>
      </c>
      <c r="I29" s="329">
        <v>3.8690000000000002</v>
      </c>
      <c r="J29" s="329">
        <v>3.5760000000000001</v>
      </c>
      <c r="K29" s="329">
        <v>3.52</v>
      </c>
      <c r="L29" s="329">
        <v>4.2649999999999997</v>
      </c>
      <c r="M29" s="329">
        <v>3.875</v>
      </c>
      <c r="N29" s="329">
        <v>3.6</v>
      </c>
      <c r="O29" s="329">
        <v>3.9489999999999998</v>
      </c>
      <c r="P29" s="524">
        <v>4.3479999999999999</v>
      </c>
      <c r="Q29" s="524">
        <v>4</v>
      </c>
    </row>
    <row r="30" spans="1:17" ht="6" customHeight="1">
      <c r="A30" s="37"/>
      <c r="C30" s="329"/>
      <c r="D30" s="329"/>
      <c r="E30" s="329"/>
      <c r="F30" s="329"/>
      <c r="G30" s="329"/>
      <c r="H30" s="329"/>
      <c r="I30" s="329"/>
      <c r="J30" s="329"/>
      <c r="K30" s="329"/>
      <c r="L30" s="329"/>
      <c r="M30" s="329"/>
      <c r="N30" s="329"/>
      <c r="O30" s="329"/>
      <c r="P30" s="524"/>
    </row>
    <row r="31" spans="1:17" ht="18.75">
      <c r="A31" s="37" t="s">
        <v>294</v>
      </c>
      <c r="C31" s="329">
        <v>3.03</v>
      </c>
      <c r="D31" s="329">
        <v>2.8279999999999998</v>
      </c>
      <c r="E31" s="329">
        <v>2.3889999999999998</v>
      </c>
      <c r="F31" s="329">
        <v>2.3359999999999999</v>
      </c>
      <c r="G31" s="329">
        <v>2.5960000000000001</v>
      </c>
      <c r="H31" s="329">
        <v>2.3170000000000002</v>
      </c>
      <c r="I31" s="329">
        <v>2.2669999999999999</v>
      </c>
      <c r="J31" s="329">
        <v>2.0049999999999999</v>
      </c>
      <c r="K31" s="329">
        <v>2.3239999999999998</v>
      </c>
      <c r="L31" s="329">
        <v>2.7290000000000001</v>
      </c>
      <c r="M31" s="329">
        <v>2.2519999999999998</v>
      </c>
      <c r="N31" s="329">
        <v>2.7</v>
      </c>
      <c r="O31" s="329">
        <v>2.61</v>
      </c>
      <c r="P31" s="524">
        <v>2.5830000000000002</v>
      </c>
      <c r="Q31" s="88">
        <v>3.1</v>
      </c>
    </row>
    <row r="32" spans="1:17" ht="6" customHeight="1">
      <c r="A32" s="37"/>
      <c r="C32" s="61"/>
      <c r="D32" s="61"/>
      <c r="E32" s="61"/>
      <c r="F32" s="61"/>
      <c r="G32" s="61"/>
      <c r="H32" s="61"/>
      <c r="I32" s="81"/>
      <c r="J32" s="81"/>
      <c r="K32" s="81"/>
      <c r="L32" s="81"/>
      <c r="M32" s="81"/>
      <c r="N32" s="396"/>
      <c r="O32" s="81"/>
    </row>
    <row r="33" spans="1:17">
      <c r="A33" s="231" t="s">
        <v>271</v>
      </c>
      <c r="B33" s="85"/>
      <c r="C33" s="332">
        <v>6020</v>
      </c>
      <c r="D33" s="332">
        <v>6253</v>
      </c>
      <c r="E33" s="332">
        <v>6276</v>
      </c>
      <c r="F33" s="332">
        <v>5973</v>
      </c>
      <c r="G33" s="332">
        <v>6033</v>
      </c>
      <c r="H33" s="332">
        <v>6359</v>
      </c>
      <c r="I33" s="332">
        <v>6044</v>
      </c>
      <c r="J33" s="332">
        <v>6068</v>
      </c>
      <c r="K33" s="332">
        <v>5176</v>
      </c>
      <c r="L33" s="332">
        <v>5437</v>
      </c>
      <c r="M33" s="332">
        <v>5371</v>
      </c>
      <c r="N33" s="332">
        <v>5221</v>
      </c>
      <c r="O33" s="67">
        <v>5508</v>
      </c>
      <c r="P33" s="67">
        <v>4103</v>
      </c>
      <c r="Q33" s="569">
        <v>4157</v>
      </c>
    </row>
    <row r="34" spans="1:17" s="9" customFormat="1" ht="5.25" customHeight="1">
      <c r="A34" s="204"/>
      <c r="B34" s="46"/>
      <c r="C34" s="46"/>
      <c r="D34" s="46"/>
      <c r="E34" s="204"/>
      <c r="F34" s="205"/>
      <c r="G34" s="205"/>
      <c r="H34" s="205"/>
      <c r="I34" s="205"/>
      <c r="J34" s="205"/>
      <c r="K34" s="207"/>
      <c r="L34" s="207"/>
      <c r="M34" s="207"/>
      <c r="N34" s="207"/>
      <c r="O34" s="207"/>
      <c r="P34" s="207"/>
      <c r="Q34" s="207"/>
    </row>
    <row r="35" spans="1:17" s="9" customFormat="1" ht="12" customHeight="1">
      <c r="A35" s="179" t="s">
        <v>622</v>
      </c>
      <c r="B35" s="12"/>
      <c r="C35" s="12"/>
      <c r="D35" s="12"/>
      <c r="E35" s="259"/>
      <c r="F35" s="61"/>
      <c r="G35" s="61"/>
      <c r="H35" s="61"/>
      <c r="I35" s="61"/>
      <c r="J35" s="61"/>
      <c r="K35" s="325"/>
      <c r="L35" s="325"/>
      <c r="M35" s="325"/>
      <c r="N35" s="325"/>
      <c r="O35" s="325"/>
      <c r="P35" s="325"/>
      <c r="Q35" s="325"/>
    </row>
    <row r="36" spans="1:17" s="7" customFormat="1" ht="13.5" customHeight="1">
      <c r="A36" s="7" t="s">
        <v>163</v>
      </c>
      <c r="B36" s="228"/>
      <c r="C36" s="228"/>
      <c r="D36" s="228"/>
      <c r="E36" s="228"/>
      <c r="F36" s="125"/>
      <c r="G36" s="125"/>
      <c r="H36" s="125"/>
      <c r="I36" s="125"/>
      <c r="J36" s="125"/>
      <c r="K36" s="229"/>
      <c r="N36" s="70"/>
      <c r="O36" s="70"/>
    </row>
    <row r="37" spans="1:17" s="7" customFormat="1" ht="12.75">
      <c r="A37" s="7" t="s">
        <v>126</v>
      </c>
      <c r="I37" s="8"/>
      <c r="J37" s="8"/>
      <c r="N37" s="70"/>
      <c r="O37" s="70"/>
    </row>
    <row r="38" spans="1:17" s="7" customFormat="1" ht="12.75">
      <c r="A38" s="7" t="s">
        <v>87</v>
      </c>
      <c r="N38" s="70"/>
      <c r="O38" s="70"/>
    </row>
    <row r="39" spans="1:17" ht="38.25" customHeight="1">
      <c r="N39" s="81"/>
      <c r="O39" s="81"/>
    </row>
    <row r="40" spans="1:17" s="9" customFormat="1" ht="20.25" thickBot="1">
      <c r="A40" s="337" t="s">
        <v>429</v>
      </c>
      <c r="B40" s="12"/>
      <c r="C40" s="12"/>
      <c r="D40" s="12"/>
      <c r="E40" s="12"/>
      <c r="F40" s="12"/>
      <c r="G40" s="12"/>
      <c r="H40" s="12"/>
      <c r="I40" s="12"/>
      <c r="J40" s="12"/>
      <c r="K40" s="12"/>
      <c r="L40" s="12"/>
      <c r="N40" s="60"/>
      <c r="O40" s="60"/>
    </row>
    <row r="41" spans="1:17" ht="16.5" thickBot="1">
      <c r="A41" s="55"/>
      <c r="B41" s="55"/>
      <c r="C41" s="30">
        <v>1999</v>
      </c>
      <c r="D41" s="30">
        <v>2000</v>
      </c>
      <c r="E41" s="30">
        <v>2001</v>
      </c>
      <c r="F41" s="30">
        <v>2002</v>
      </c>
      <c r="G41" s="30">
        <v>2003</v>
      </c>
      <c r="H41" s="30">
        <v>2004</v>
      </c>
      <c r="I41" s="30">
        <v>2005</v>
      </c>
      <c r="J41" s="30">
        <v>2006</v>
      </c>
      <c r="K41" s="30">
        <v>2007</v>
      </c>
      <c r="L41" s="333">
        <v>2008</v>
      </c>
      <c r="M41" s="333">
        <v>2009</v>
      </c>
      <c r="N41" s="333">
        <v>2010</v>
      </c>
      <c r="O41" s="333">
        <v>2011</v>
      </c>
      <c r="P41" s="333">
        <v>2012</v>
      </c>
      <c r="Q41" s="333">
        <v>2013</v>
      </c>
    </row>
    <row r="42" spans="1:17" ht="18" customHeight="1">
      <c r="C42" s="35"/>
      <c r="D42" s="35"/>
      <c r="I42" s="179"/>
      <c r="J42" s="179"/>
      <c r="K42" s="306"/>
      <c r="L42" s="306"/>
      <c r="M42" s="334"/>
      <c r="N42" s="334"/>
      <c r="Q42" s="334" t="s">
        <v>299</v>
      </c>
    </row>
    <row r="43" spans="1:17" ht="15.75">
      <c r="A43" s="37" t="s">
        <v>90</v>
      </c>
      <c r="C43" s="329">
        <v>53.89</v>
      </c>
      <c r="D43" s="329">
        <v>53.82</v>
      </c>
      <c r="E43" s="329">
        <v>51.86</v>
      </c>
      <c r="F43" s="329">
        <v>55.54</v>
      </c>
      <c r="G43" s="329">
        <v>52.4</v>
      </c>
      <c r="H43" s="329">
        <v>51.15</v>
      </c>
      <c r="I43" s="329">
        <v>52.52</v>
      </c>
      <c r="J43" s="329">
        <v>51.13</v>
      </c>
      <c r="K43" s="329">
        <v>52.81</v>
      </c>
      <c r="L43" s="329">
        <v>48.82</v>
      </c>
      <c r="M43" s="329">
        <v>49.97</v>
      </c>
      <c r="N43" s="329">
        <v>49.7</v>
      </c>
      <c r="O43" s="81">
        <v>50.6</v>
      </c>
      <c r="P43" s="88">
        <v>51.4</v>
      </c>
      <c r="Q43" s="88">
        <v>51.7</v>
      </c>
    </row>
    <row r="44" spans="1:17" ht="6.75" customHeight="1">
      <c r="A44" s="37"/>
      <c r="C44" s="329"/>
      <c r="D44" s="329"/>
      <c r="E44" s="329"/>
      <c r="F44" s="329"/>
      <c r="G44" s="329"/>
      <c r="H44" s="329"/>
      <c r="I44" s="329"/>
      <c r="J44" s="329"/>
      <c r="K44" s="329"/>
      <c r="L44" s="329"/>
      <c r="M44" s="329"/>
      <c r="N44" s="329"/>
      <c r="O44" s="81"/>
    </row>
    <row r="45" spans="1:17" ht="15.75">
      <c r="A45" s="37" t="s">
        <v>184</v>
      </c>
      <c r="C45" s="329">
        <v>18.28</v>
      </c>
      <c r="D45" s="329">
        <v>19.72</v>
      </c>
      <c r="E45" s="329">
        <v>20.83</v>
      </c>
      <c r="F45" s="329">
        <v>18.95</v>
      </c>
      <c r="G45" s="329">
        <v>21.7</v>
      </c>
      <c r="H45" s="329">
        <v>21.62</v>
      </c>
      <c r="I45" s="329">
        <v>20.96</v>
      </c>
      <c r="J45" s="329">
        <v>21.72</v>
      </c>
      <c r="K45" s="329">
        <v>21.89</v>
      </c>
      <c r="L45" s="329">
        <v>23.61</v>
      </c>
      <c r="M45" s="329">
        <v>24.44</v>
      </c>
      <c r="N45" s="329">
        <v>23</v>
      </c>
      <c r="O45" s="81">
        <v>23.4</v>
      </c>
      <c r="P45" s="88">
        <v>24.1</v>
      </c>
      <c r="Q45" s="88">
        <v>24.4</v>
      </c>
    </row>
    <row r="46" spans="1:17" ht="6.75" customHeight="1">
      <c r="A46" s="37"/>
      <c r="C46" s="329"/>
      <c r="D46" s="329"/>
      <c r="E46" s="329"/>
      <c r="F46" s="329"/>
      <c r="G46" s="329"/>
      <c r="H46" s="329"/>
      <c r="I46" s="329"/>
      <c r="J46" s="329"/>
      <c r="K46" s="329"/>
      <c r="L46" s="329"/>
      <c r="M46" s="329"/>
      <c r="N46" s="329"/>
      <c r="O46" s="81"/>
    </row>
    <row r="47" spans="1:17" ht="15.75">
      <c r="A47" s="37" t="s">
        <v>12</v>
      </c>
      <c r="C47" s="329">
        <v>0.73</v>
      </c>
      <c r="D47" s="329">
        <v>0.64</v>
      </c>
      <c r="E47" s="329">
        <v>0.57999999999999996</v>
      </c>
      <c r="F47" s="329">
        <v>0.67</v>
      </c>
      <c r="G47" s="329">
        <v>1.1499999999999999</v>
      </c>
      <c r="H47" s="329">
        <v>0.98</v>
      </c>
      <c r="I47" s="329">
        <v>0.59</v>
      </c>
      <c r="J47" s="329">
        <v>0.87</v>
      </c>
      <c r="K47" s="329">
        <v>0.76</v>
      </c>
      <c r="L47" s="329">
        <v>1.47</v>
      </c>
      <c r="M47" s="329">
        <v>1.02</v>
      </c>
      <c r="N47" s="329">
        <v>1.4</v>
      </c>
      <c r="O47" s="81">
        <v>1.4</v>
      </c>
      <c r="P47" s="88">
        <v>0.8</v>
      </c>
      <c r="Q47" s="88">
        <v>1.2</v>
      </c>
    </row>
    <row r="48" spans="1:17" ht="6.75" customHeight="1">
      <c r="A48" s="37"/>
      <c r="C48" s="329"/>
      <c r="D48" s="329"/>
      <c r="E48" s="329"/>
      <c r="F48" s="329"/>
      <c r="G48" s="329"/>
      <c r="H48" s="329"/>
      <c r="I48" s="329"/>
      <c r="J48" s="329"/>
      <c r="K48" s="329"/>
      <c r="L48" s="329"/>
      <c r="M48" s="329"/>
      <c r="N48" s="329"/>
      <c r="O48" s="81"/>
    </row>
    <row r="49" spans="1:17" ht="15.75">
      <c r="A49" s="37" t="s">
        <v>148</v>
      </c>
      <c r="C49" s="329"/>
      <c r="D49" s="329"/>
      <c r="E49" s="329"/>
      <c r="F49" s="329"/>
      <c r="G49" s="329"/>
      <c r="H49" s="329"/>
      <c r="I49" s="329"/>
      <c r="J49" s="329"/>
      <c r="K49" s="329"/>
      <c r="L49" s="329"/>
      <c r="M49" s="329"/>
      <c r="N49" s="329"/>
      <c r="O49" s="81"/>
    </row>
    <row r="50" spans="1:17" ht="18">
      <c r="A50" s="112" t="s">
        <v>296</v>
      </c>
      <c r="C50" s="329">
        <v>17.38</v>
      </c>
      <c r="D50" s="329">
        <v>16.899999999999999</v>
      </c>
      <c r="E50" s="329">
        <v>17.73</v>
      </c>
      <c r="F50" s="329">
        <v>15.05</v>
      </c>
      <c r="G50" s="329">
        <v>16.899999999999999</v>
      </c>
      <c r="H50" s="329">
        <v>16.850000000000001</v>
      </c>
      <c r="I50" s="329">
        <v>16.5</v>
      </c>
      <c r="J50" s="329">
        <v>17.04</v>
      </c>
      <c r="K50" s="329">
        <v>14.84</v>
      </c>
      <c r="L50" s="329">
        <v>16.53</v>
      </c>
      <c r="M50" s="329">
        <v>16.05</v>
      </c>
      <c r="N50" s="329">
        <v>16.100000000000001</v>
      </c>
      <c r="O50" s="81">
        <v>15.1</v>
      </c>
      <c r="P50" s="88">
        <v>14.9</v>
      </c>
      <c r="Q50" s="88">
        <v>14.5</v>
      </c>
    </row>
    <row r="51" spans="1:17">
      <c r="A51" s="112" t="s">
        <v>86</v>
      </c>
      <c r="C51" s="329">
        <v>7.37</v>
      </c>
      <c r="D51" s="329">
        <v>6.58</v>
      </c>
      <c r="E51" s="329">
        <v>6.77</v>
      </c>
      <c r="F51" s="329">
        <v>7.31</v>
      </c>
      <c r="G51" s="329">
        <v>5.51</v>
      </c>
      <c r="H51" s="329">
        <v>6.71</v>
      </c>
      <c r="I51" s="329">
        <v>7.06</v>
      </c>
      <c r="J51" s="329">
        <v>6.69</v>
      </c>
      <c r="K51" s="329">
        <v>7.1</v>
      </c>
      <c r="L51" s="329">
        <v>7.33</v>
      </c>
      <c r="M51" s="329">
        <v>5.94</v>
      </c>
      <c r="N51" s="329">
        <v>7.8</v>
      </c>
      <c r="O51" s="81">
        <v>6.6</v>
      </c>
      <c r="P51" s="88">
        <v>6.2</v>
      </c>
      <c r="Q51" s="88">
        <v>5.4</v>
      </c>
    </row>
    <row r="52" spans="1:17">
      <c r="A52" s="112" t="s">
        <v>134</v>
      </c>
      <c r="C52" s="409">
        <v>24.76</v>
      </c>
      <c r="D52" s="121">
        <v>23.48</v>
      </c>
      <c r="E52" s="121">
        <v>24.27</v>
      </c>
      <c r="F52" s="121">
        <v>22.36</v>
      </c>
      <c r="G52" s="121">
        <v>22.19</v>
      </c>
      <c r="H52" s="121">
        <v>23.2</v>
      </c>
      <c r="I52" s="121">
        <v>23.32</v>
      </c>
      <c r="J52" s="121">
        <v>23.41</v>
      </c>
      <c r="K52" s="121">
        <v>21.91</v>
      </c>
      <c r="L52" s="335">
        <v>23.85</v>
      </c>
      <c r="M52" s="335">
        <v>21.99</v>
      </c>
      <c r="N52" s="406">
        <v>23.9</v>
      </c>
      <c r="O52" s="81">
        <v>21.7</v>
      </c>
      <c r="P52" s="88">
        <v>21.1</v>
      </c>
      <c r="Q52" s="88">
        <v>19.899999999999999</v>
      </c>
    </row>
    <row r="53" spans="1:17" ht="6.75" customHeight="1">
      <c r="A53" s="112"/>
      <c r="C53" s="121"/>
      <c r="D53" s="121"/>
      <c r="E53" s="121"/>
      <c r="F53" s="121"/>
      <c r="G53" s="121"/>
      <c r="H53" s="121"/>
      <c r="I53" s="121"/>
      <c r="J53" s="121"/>
      <c r="K53" s="121"/>
      <c r="L53" s="335"/>
      <c r="M53" s="335"/>
      <c r="N53" s="406"/>
      <c r="O53" s="81"/>
    </row>
    <row r="54" spans="1:17" ht="18.75">
      <c r="A54" s="37" t="s">
        <v>297</v>
      </c>
      <c r="C54" s="329">
        <v>0.68</v>
      </c>
      <c r="D54" s="329">
        <v>0.63</v>
      </c>
      <c r="E54" s="329">
        <v>0.54</v>
      </c>
      <c r="F54" s="329">
        <v>0.35</v>
      </c>
      <c r="G54" s="329">
        <v>0.53</v>
      </c>
      <c r="H54" s="329">
        <v>0.86</v>
      </c>
      <c r="I54" s="329">
        <v>0.73</v>
      </c>
      <c r="J54" s="329">
        <v>1.23</v>
      </c>
      <c r="K54" s="329">
        <v>0.9</v>
      </c>
      <c r="L54" s="329">
        <v>0.73</v>
      </c>
      <c r="M54" s="329">
        <v>0.74</v>
      </c>
      <c r="N54" s="329">
        <v>0.3</v>
      </c>
      <c r="O54" s="81">
        <v>0.7</v>
      </c>
      <c r="P54" s="88">
        <v>0.4</v>
      </c>
      <c r="Q54" s="88">
        <v>0.6</v>
      </c>
    </row>
    <row r="55" spans="1:17" ht="6.75" customHeight="1">
      <c r="A55" s="37"/>
      <c r="C55" s="329"/>
      <c r="D55" s="329"/>
      <c r="E55" s="329"/>
      <c r="F55" s="329"/>
      <c r="G55" s="329"/>
      <c r="H55" s="329"/>
      <c r="I55" s="329"/>
      <c r="J55" s="329"/>
      <c r="K55" s="329"/>
      <c r="L55" s="329"/>
      <c r="M55" s="329"/>
      <c r="N55" s="329"/>
      <c r="O55" s="81"/>
    </row>
    <row r="56" spans="1:17" ht="18.75">
      <c r="A56" s="37" t="s">
        <v>298</v>
      </c>
      <c r="C56" s="329">
        <v>1.66</v>
      </c>
      <c r="D56" s="329">
        <v>1.72</v>
      </c>
      <c r="E56" s="329">
        <v>1.68</v>
      </c>
      <c r="F56" s="329">
        <v>2.13</v>
      </c>
      <c r="G56" s="329">
        <v>1.81</v>
      </c>
      <c r="H56" s="329">
        <v>1.83</v>
      </c>
      <c r="I56" s="329">
        <v>1.62</v>
      </c>
      <c r="J56" s="329">
        <v>1.33</v>
      </c>
      <c r="K56" s="329">
        <v>1.7</v>
      </c>
      <c r="L56" s="329">
        <v>1.52</v>
      </c>
      <c r="M56" s="329">
        <v>1.84</v>
      </c>
      <c r="N56" s="329">
        <v>1.7</v>
      </c>
      <c r="O56" s="81">
        <v>2.2000000000000002</v>
      </c>
      <c r="P56" s="88">
        <v>2.2000000000000002</v>
      </c>
      <c r="Q56" s="88">
        <v>2.2000000000000002</v>
      </c>
    </row>
    <row r="57" spans="1:17" ht="6.75" customHeight="1">
      <c r="A57" s="37"/>
      <c r="C57" s="81"/>
      <c r="D57" s="81"/>
      <c r="E57" s="81"/>
      <c r="F57" s="81"/>
      <c r="G57" s="81"/>
      <c r="H57" s="81"/>
      <c r="I57" s="81"/>
      <c r="J57" s="81"/>
      <c r="K57" s="81"/>
      <c r="L57" s="81"/>
      <c r="M57" s="81"/>
      <c r="N57" s="396"/>
      <c r="O57" s="81"/>
    </row>
    <row r="58" spans="1:17">
      <c r="A58" s="15" t="s">
        <v>271</v>
      </c>
      <c r="C58" s="67">
        <v>2636</v>
      </c>
      <c r="D58" s="67">
        <v>3475</v>
      </c>
      <c r="E58" s="67">
        <v>3463</v>
      </c>
      <c r="F58" s="67">
        <v>3295</v>
      </c>
      <c r="G58" s="67">
        <v>3250</v>
      </c>
      <c r="H58" s="67">
        <v>3347</v>
      </c>
      <c r="I58" s="67">
        <v>3272</v>
      </c>
      <c r="J58" s="67">
        <v>3240</v>
      </c>
      <c r="K58" s="67">
        <v>2517</v>
      </c>
      <c r="L58" s="67">
        <v>2750</v>
      </c>
      <c r="M58" s="349">
        <v>2881</v>
      </c>
      <c r="N58" s="349">
        <v>2676</v>
      </c>
      <c r="O58" s="67">
        <v>2715</v>
      </c>
      <c r="P58" s="67">
        <v>1923</v>
      </c>
      <c r="Q58" s="67">
        <v>1975</v>
      </c>
    </row>
    <row r="59" spans="1:17" s="9" customFormat="1" ht="6" customHeight="1" thickBot="1">
      <c r="A59" s="76"/>
      <c r="B59" s="72"/>
      <c r="C59" s="72"/>
      <c r="D59" s="72"/>
      <c r="E59" s="72"/>
      <c r="F59" s="72"/>
      <c r="G59" s="72"/>
      <c r="H59" s="72"/>
      <c r="I59" s="72"/>
      <c r="J59" s="75"/>
      <c r="K59" s="75"/>
      <c r="L59" s="75"/>
      <c r="M59" s="75"/>
      <c r="N59" s="75"/>
      <c r="O59" s="75"/>
      <c r="P59" s="75"/>
      <c r="Q59" s="75"/>
    </row>
    <row r="60" spans="1:17" s="9" customFormat="1" ht="11.25" customHeight="1">
      <c r="A60" s="179" t="s">
        <v>622</v>
      </c>
      <c r="B60" s="61"/>
      <c r="C60" s="61"/>
      <c r="D60" s="61"/>
      <c r="E60" s="61"/>
      <c r="F60" s="61"/>
      <c r="G60" s="61"/>
      <c r="H60" s="61"/>
      <c r="I60" s="61"/>
      <c r="J60" s="325"/>
      <c r="K60" s="325"/>
      <c r="L60" s="325"/>
      <c r="M60" s="325"/>
      <c r="N60" s="325"/>
      <c r="O60" s="325"/>
      <c r="P60" s="325"/>
      <c r="Q60" s="325"/>
    </row>
    <row r="61" spans="1:17" s="7" customFormat="1" ht="14.25" customHeight="1">
      <c r="A61" s="7" t="s">
        <v>251</v>
      </c>
      <c r="C61" s="125"/>
      <c r="D61" s="125"/>
      <c r="E61" s="125"/>
      <c r="F61" s="125"/>
      <c r="G61" s="125"/>
      <c r="H61" s="125"/>
      <c r="I61" s="125"/>
      <c r="J61" s="229"/>
    </row>
    <row r="62" spans="1:17" s="7" customFormat="1" ht="12.75">
      <c r="A62" s="7" t="s">
        <v>399</v>
      </c>
      <c r="O62" s="141"/>
    </row>
    <row r="63" spans="1:17" s="7" customFormat="1" ht="12.75">
      <c r="A63" s="7" t="s">
        <v>181</v>
      </c>
      <c r="I63" s="8"/>
      <c r="O63" s="141"/>
    </row>
    <row r="64" spans="1:17" s="7" customFormat="1" ht="12.75">
      <c r="A64" s="7" t="s">
        <v>182</v>
      </c>
      <c r="O64" s="141"/>
    </row>
    <row r="65" spans="1:15">
      <c r="O65" s="227"/>
    </row>
    <row r="66" spans="1:15" ht="19.5">
      <c r="A66" s="548" t="s">
        <v>576</v>
      </c>
      <c r="B66"/>
      <c r="C66"/>
      <c r="D66"/>
      <c r="E66"/>
      <c r="F66"/>
      <c r="O66" s="227"/>
    </row>
    <row r="67" spans="1:15">
      <c r="A67"/>
      <c r="B67"/>
      <c r="C67"/>
      <c r="D67"/>
      <c r="E67"/>
      <c r="F67"/>
      <c r="O67" s="227"/>
    </row>
    <row r="68" spans="1:15" ht="15.75">
      <c r="A68" s="551"/>
      <c r="B68" s="180"/>
      <c r="C68" s="180"/>
      <c r="D68" s="180"/>
      <c r="E68" s="180"/>
      <c r="F68" s="180"/>
      <c r="G68" s="543">
        <v>2008</v>
      </c>
      <c r="H68" s="543">
        <v>2009</v>
      </c>
      <c r="I68" s="544">
        <v>2010</v>
      </c>
      <c r="J68" s="544">
        <v>2011</v>
      </c>
      <c r="K68" s="544">
        <v>2012</v>
      </c>
      <c r="L68" s="544">
        <v>2013</v>
      </c>
      <c r="O68" s="227"/>
    </row>
    <row r="69" spans="1:15" ht="15.75">
      <c r="A69"/>
      <c r="G69" s="545"/>
      <c r="H69" s="545"/>
      <c r="I69" s="546"/>
      <c r="J69" s="546"/>
      <c r="L69" s="8" t="s">
        <v>299</v>
      </c>
      <c r="O69" s="227"/>
    </row>
    <row r="70" spans="1:15" ht="15.75">
      <c r="A70" s="37" t="s">
        <v>11</v>
      </c>
      <c r="G70">
        <v>48.3</v>
      </c>
      <c r="H70" s="547">
        <v>47</v>
      </c>
      <c r="I70">
        <v>45.8</v>
      </c>
      <c r="J70">
        <v>45.9</v>
      </c>
      <c r="K70">
        <v>45.1</v>
      </c>
      <c r="L70" s="547">
        <v>44.054198037214611</v>
      </c>
    </row>
    <row r="71" spans="1:15" ht="15.75">
      <c r="A71" s="37" t="s">
        <v>570</v>
      </c>
      <c r="G71">
        <v>2.8</v>
      </c>
      <c r="H71">
        <v>2.2999999999999998</v>
      </c>
      <c r="I71">
        <v>2.8</v>
      </c>
      <c r="J71" s="547">
        <v>3</v>
      </c>
      <c r="K71">
        <v>2.9</v>
      </c>
      <c r="L71" s="547">
        <v>3.4687856361936427</v>
      </c>
    </row>
    <row r="72" spans="1:15" ht="15.75">
      <c r="A72" s="37" t="s">
        <v>571</v>
      </c>
      <c r="G72">
        <v>0.7</v>
      </c>
      <c r="H72">
        <v>0.6</v>
      </c>
      <c r="I72">
        <v>0.7</v>
      </c>
      <c r="J72" s="547">
        <v>1</v>
      </c>
      <c r="K72">
        <v>1.6</v>
      </c>
      <c r="L72" s="547">
        <v>2.7640314336634595</v>
      </c>
    </row>
    <row r="73" spans="1:15" ht="15.75">
      <c r="A73" s="37" t="s">
        <v>572</v>
      </c>
      <c r="G73">
        <v>6.1</v>
      </c>
      <c r="H73">
        <v>6.7</v>
      </c>
      <c r="I73">
        <v>7.4</v>
      </c>
      <c r="J73">
        <v>7.5</v>
      </c>
      <c r="K73">
        <v>7.8</v>
      </c>
      <c r="L73" s="547">
        <v>7.4974807283743798</v>
      </c>
    </row>
    <row r="74" spans="1:15" ht="15.75">
      <c r="A74" s="37" t="s">
        <v>573</v>
      </c>
      <c r="G74" s="547">
        <v>22</v>
      </c>
      <c r="H74">
        <v>23.3</v>
      </c>
      <c r="I74">
        <v>22.9</v>
      </c>
      <c r="J74">
        <v>22.4</v>
      </c>
      <c r="K74">
        <v>22.2</v>
      </c>
      <c r="L74" s="547">
        <v>21.407497266777494</v>
      </c>
    </row>
    <row r="75" spans="1:15" ht="15.75">
      <c r="A75" s="37" t="s">
        <v>148</v>
      </c>
      <c r="G75">
        <v>18.2</v>
      </c>
      <c r="H75">
        <v>18.100000000000001</v>
      </c>
      <c r="I75">
        <v>18.2</v>
      </c>
      <c r="J75">
        <v>18.2</v>
      </c>
      <c r="K75">
        <v>18.2</v>
      </c>
      <c r="L75" s="547">
        <v>18.757073751008242</v>
      </c>
    </row>
    <row r="76" spans="1:15" ht="15.75">
      <c r="A76" s="37" t="s">
        <v>574</v>
      </c>
      <c r="G76">
        <v>1.4</v>
      </c>
      <c r="H76">
        <v>1.6</v>
      </c>
      <c r="I76">
        <v>1.6</v>
      </c>
      <c r="J76">
        <v>1.6</v>
      </c>
      <c r="K76">
        <v>1.7</v>
      </c>
      <c r="L76" s="547">
        <v>1.6226034826924436</v>
      </c>
    </row>
    <row r="77" spans="1:15" ht="15.75">
      <c r="A77" s="37" t="s">
        <v>108</v>
      </c>
      <c r="G77">
        <v>0.5</v>
      </c>
      <c r="H77">
        <v>0.4</v>
      </c>
      <c r="I77">
        <v>0.5</v>
      </c>
      <c r="J77">
        <v>0.3</v>
      </c>
      <c r="K77">
        <v>0.5</v>
      </c>
      <c r="L77" s="547">
        <v>0.42832966407572154</v>
      </c>
    </row>
    <row r="78" spans="1:15" ht="6.75" customHeight="1">
      <c r="A78"/>
      <c r="B78"/>
      <c r="G78"/>
      <c r="H78"/>
      <c r="I78"/>
      <c r="J78"/>
    </row>
    <row r="79" spans="1:15">
      <c r="A79" s="549" t="s">
        <v>271</v>
      </c>
      <c r="B79" s="177"/>
      <c r="C79" s="177"/>
      <c r="D79" s="177"/>
      <c r="E79" s="177"/>
      <c r="F79" s="177"/>
      <c r="G79" s="550">
        <v>396377</v>
      </c>
      <c r="H79" s="550">
        <v>415804</v>
      </c>
      <c r="I79" s="550">
        <v>439401</v>
      </c>
      <c r="J79" s="550">
        <v>427104</v>
      </c>
      <c r="K79" s="550">
        <v>457488</v>
      </c>
      <c r="L79" s="550">
        <v>467397</v>
      </c>
    </row>
    <row r="80" spans="1:15">
      <c r="A80" s="553" t="s">
        <v>577</v>
      </c>
      <c r="B80" s="85"/>
      <c r="C80" s="85"/>
      <c r="D80" s="85"/>
      <c r="E80" s="85"/>
      <c r="F80" s="552"/>
      <c r="G80" s="552"/>
      <c r="H80" s="552"/>
      <c r="I80" s="552"/>
      <c r="J80" s="552"/>
    </row>
    <row r="81" spans="1:6">
      <c r="A81" t="s">
        <v>575</v>
      </c>
      <c r="B81"/>
      <c r="C81"/>
      <c r="D81"/>
      <c r="E81"/>
      <c r="F81"/>
    </row>
  </sheetData>
  <phoneticPr fontId="25" type="noConversion"/>
  <pageMargins left="0.74803149606299213" right="0.74803149606299213" top="0.98425196850393704" bottom="0.98425196850393704" header="0.51181102362204722" footer="0.51181102362204722"/>
  <pageSetup paperSize="9" scale="64" orientation="portrait" horizontalDpi="1200" verticalDpi="1200" r:id="rId1"/>
  <headerFooter alignWithMargins="0">
    <oddHeader>&amp;R&amp;"Arial,Bold"&amp;16PERSONAL AND CROSS-MODAL TRAVEL</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1"/>
  <sheetViews>
    <sheetView zoomScale="70" zoomScaleNormal="70" workbookViewId="0"/>
  </sheetViews>
  <sheetFormatPr defaultRowHeight="15"/>
  <cols>
    <col min="1" max="1" width="53.42578125" style="60" customWidth="1"/>
    <col min="2" max="5" width="10.7109375" style="60" customWidth="1"/>
    <col min="6" max="6" width="3.42578125" style="60" customWidth="1"/>
    <col min="7" max="7" width="10.7109375" style="60" customWidth="1"/>
    <col min="8" max="8" width="3.7109375" style="60" customWidth="1"/>
    <col min="9" max="9" width="10.7109375" style="60" customWidth="1"/>
    <col min="10" max="10" width="8.7109375" style="60" customWidth="1"/>
    <col min="11" max="11" width="2.140625" style="60" customWidth="1"/>
    <col min="12" max="12" width="36.28515625" style="60" customWidth="1"/>
    <col min="13" max="13" width="8.28515625" style="60" customWidth="1"/>
    <col min="14" max="16384" width="9.140625" style="60"/>
  </cols>
  <sheetData>
    <row r="1" spans="1:14" ht="15.75">
      <c r="A1" s="144" t="s">
        <v>584</v>
      </c>
      <c r="J1" s="61"/>
    </row>
    <row r="2" spans="1:14" s="240" customFormat="1" ht="6.75" customHeight="1">
      <c r="J2" s="241"/>
    </row>
    <row r="3" spans="1:14" ht="5.25" customHeight="1">
      <c r="A3" s="61"/>
      <c r="B3" s="61"/>
      <c r="C3" s="61"/>
      <c r="D3" s="61"/>
      <c r="E3" s="61"/>
      <c r="F3" s="61"/>
      <c r="G3" s="61"/>
      <c r="H3" s="61"/>
      <c r="I3" s="61"/>
      <c r="J3" s="61"/>
    </row>
    <row r="4" spans="1:14" ht="15.75">
      <c r="A4" s="242"/>
      <c r="B4" s="208"/>
      <c r="C4" s="208"/>
      <c r="D4" s="208"/>
      <c r="E4" s="208" t="s">
        <v>101</v>
      </c>
      <c r="F4" s="208"/>
      <c r="G4" s="208"/>
      <c r="H4" s="208"/>
      <c r="I4" s="208"/>
      <c r="J4" s="61"/>
    </row>
    <row r="5" spans="1:14" ht="15.75">
      <c r="A5" s="232" t="s">
        <v>462</v>
      </c>
      <c r="B5" s="233"/>
      <c r="C5" s="233"/>
      <c r="D5" s="233"/>
      <c r="E5" s="243" t="s">
        <v>109</v>
      </c>
      <c r="F5" s="243"/>
      <c r="G5" s="243" t="s">
        <v>112</v>
      </c>
      <c r="H5" s="243"/>
      <c r="I5" s="233"/>
      <c r="J5" s="61"/>
    </row>
    <row r="6" spans="1:14" ht="15.75">
      <c r="A6" s="232"/>
      <c r="B6" s="233" t="s">
        <v>107</v>
      </c>
      <c r="C6" s="233" t="s">
        <v>108</v>
      </c>
      <c r="D6" s="233"/>
      <c r="E6" s="243" t="s">
        <v>110</v>
      </c>
      <c r="F6" s="243"/>
      <c r="G6" s="243" t="s">
        <v>113</v>
      </c>
      <c r="H6" s="243"/>
      <c r="I6" s="233"/>
      <c r="J6" s="61"/>
    </row>
    <row r="7" spans="1:14" ht="15.75">
      <c r="A7" s="244" t="s">
        <v>91</v>
      </c>
      <c r="B7" s="245" t="s">
        <v>106</v>
      </c>
      <c r="C7" s="245" t="s">
        <v>106</v>
      </c>
      <c r="D7" s="245" t="s">
        <v>28</v>
      </c>
      <c r="E7" s="246" t="s">
        <v>111</v>
      </c>
      <c r="F7" s="246"/>
      <c r="G7" s="246" t="s">
        <v>114</v>
      </c>
      <c r="H7" s="246"/>
      <c r="I7" s="245" t="s">
        <v>39</v>
      </c>
      <c r="J7" s="61"/>
    </row>
    <row r="8" spans="1:14" ht="6" customHeight="1">
      <c r="A8" s="234"/>
      <c r="B8" s="232"/>
      <c r="C8" s="232"/>
      <c r="D8" s="232"/>
      <c r="E8" s="235"/>
      <c r="F8" s="235"/>
      <c r="G8" s="235"/>
      <c r="H8" s="235"/>
      <c r="I8" s="232"/>
      <c r="J8" s="61"/>
    </row>
    <row r="9" spans="1:14">
      <c r="I9" s="247" t="s">
        <v>120</v>
      </c>
    </row>
    <row r="10" spans="1:14" ht="15.75">
      <c r="A10" s="144" t="s">
        <v>92</v>
      </c>
    </row>
    <row r="11" spans="1:14">
      <c r="A11" s="78" t="s">
        <v>97</v>
      </c>
      <c r="B11" s="164">
        <v>250.50342112173027</v>
      </c>
      <c r="C11" s="164">
        <v>485.26577496874512</v>
      </c>
      <c r="D11" s="164">
        <v>104.8685799497206</v>
      </c>
      <c r="E11" s="164">
        <v>301.87128209846998</v>
      </c>
      <c r="F11" s="164"/>
      <c r="G11" s="164">
        <v>23.615655974824417</v>
      </c>
      <c r="H11" s="148"/>
      <c r="I11" s="153">
        <f>SUM(B11:G11)</f>
        <v>1166.1247141134904</v>
      </c>
      <c r="L11" s="83"/>
      <c r="N11" s="164"/>
    </row>
    <row r="12" spans="1:14">
      <c r="A12" s="78" t="s">
        <v>98</v>
      </c>
      <c r="B12" s="164">
        <v>487.26549279583054</v>
      </c>
      <c r="C12" s="164">
        <v>262.98946182229543</v>
      </c>
      <c r="D12" s="164">
        <v>45.605769782691212</v>
      </c>
      <c r="E12" s="164">
        <v>162.84795164422934</v>
      </c>
      <c r="F12" s="164"/>
      <c r="G12" s="164">
        <v>12.860011294185414</v>
      </c>
      <c r="H12" s="148"/>
      <c r="I12" s="153">
        <f>SUM(B12:G12)</f>
        <v>971.56868733923193</v>
      </c>
      <c r="L12" s="83"/>
      <c r="N12" s="164"/>
    </row>
    <row r="13" spans="1:14">
      <c r="A13" s="57" t="s">
        <v>276</v>
      </c>
      <c r="B13" s="164">
        <v>78.152865366173344</v>
      </c>
      <c r="C13" s="164">
        <v>219.42235533817862</v>
      </c>
      <c r="D13" s="164">
        <v>6.577988578853347</v>
      </c>
      <c r="E13" s="164">
        <v>74.099810545540805</v>
      </c>
      <c r="F13" s="164"/>
      <c r="G13" s="164">
        <v>3.8233703537583645</v>
      </c>
      <c r="H13" s="148"/>
      <c r="I13" s="153">
        <f>SUM(B13:G13)</f>
        <v>382.0763901825045</v>
      </c>
      <c r="L13" s="83"/>
      <c r="N13" s="164"/>
    </row>
    <row r="14" spans="1:14">
      <c r="A14" s="57" t="s">
        <v>419</v>
      </c>
      <c r="B14" s="164">
        <v>31.433020172368522</v>
      </c>
      <c r="C14" s="164">
        <v>43.047493539059168</v>
      </c>
      <c r="D14" s="164">
        <v>53.577758134950273</v>
      </c>
      <c r="E14" s="164">
        <v>47.731248670252583</v>
      </c>
      <c r="F14" s="164"/>
      <c r="G14" s="164">
        <v>2.9460146918262535</v>
      </c>
      <c r="H14" s="148"/>
      <c r="I14" s="153">
        <f>SUM(B14:G14)</f>
        <v>178.73553520845681</v>
      </c>
      <c r="L14" s="83"/>
      <c r="N14" s="164"/>
    </row>
    <row r="15" spans="1:14">
      <c r="A15" s="78" t="s">
        <v>420</v>
      </c>
      <c r="B15" s="147">
        <f>SUM(B11:B14)</f>
        <v>847.35479945610268</v>
      </c>
      <c r="C15" s="147">
        <f>SUM(C11:C14)</f>
        <v>1010.7250856682782</v>
      </c>
      <c r="D15" s="147">
        <f>SUM(D11:D14)</f>
        <v>210.63009644621542</v>
      </c>
      <c r="E15" s="147">
        <f>SUM(E11:E14)</f>
        <v>586.55029295849272</v>
      </c>
      <c r="F15" s="147"/>
      <c r="G15" s="147">
        <f>SUM(G11:G14)</f>
        <v>43.245052314594453</v>
      </c>
      <c r="H15" s="147"/>
      <c r="I15" s="147">
        <f>SUM(I11:I14)</f>
        <v>2698.5053268436836</v>
      </c>
      <c r="L15" s="83"/>
      <c r="N15" s="164"/>
    </row>
    <row r="16" spans="1:14" ht="6" customHeight="1">
      <c r="B16" s="95"/>
      <c r="C16" s="95"/>
      <c r="D16" s="95"/>
      <c r="E16" s="95"/>
      <c r="F16" s="95"/>
      <c r="G16" s="95"/>
      <c r="H16" s="95"/>
      <c r="I16" s="95"/>
      <c r="L16" s="83"/>
      <c r="N16" s="164"/>
    </row>
    <row r="17" spans="1:15">
      <c r="A17" s="78" t="s">
        <v>93</v>
      </c>
      <c r="B17" s="148">
        <v>8.4986814785661693</v>
      </c>
      <c r="C17" s="148">
        <v>28.936647744589809</v>
      </c>
      <c r="D17" s="148">
        <v>22.828412478197173</v>
      </c>
      <c r="E17" s="148">
        <v>11.637018223800096</v>
      </c>
      <c r="F17" s="148"/>
      <c r="G17" s="148">
        <v>2.0465269652312852</v>
      </c>
      <c r="H17" s="148"/>
      <c r="I17" s="153">
        <f t="shared" ref="I17:I22" si="0">SUM(B17:G17)</f>
        <v>73.947286890384518</v>
      </c>
      <c r="L17" s="83"/>
      <c r="N17" s="164"/>
    </row>
    <row r="18" spans="1:15">
      <c r="A18" s="78" t="s">
        <v>94</v>
      </c>
      <c r="B18" s="148">
        <v>41.072671091040661</v>
      </c>
      <c r="C18" s="148">
        <v>61.695399821228442</v>
      </c>
      <c r="D18" s="148">
        <v>4.869645355693879</v>
      </c>
      <c r="E18" s="148">
        <v>22.616307352938883</v>
      </c>
      <c r="F18" s="148"/>
      <c r="G18" s="414">
        <v>3.4629243084716865</v>
      </c>
      <c r="H18" s="148"/>
      <c r="I18" s="153">
        <f t="shared" si="0"/>
        <v>133.71694792937356</v>
      </c>
      <c r="L18" s="83"/>
      <c r="N18" s="164"/>
    </row>
    <row r="19" spans="1:15">
      <c r="A19" s="78" t="s">
        <v>95</v>
      </c>
      <c r="B19" s="148"/>
      <c r="C19" s="148">
        <v>8.4320509661776093</v>
      </c>
      <c r="D19" s="148">
        <v>7.1790158194031894</v>
      </c>
      <c r="E19" s="148">
        <v>7.4275601432151452</v>
      </c>
      <c r="F19" s="148"/>
      <c r="G19" s="148">
        <v>1.3029546302296471</v>
      </c>
      <c r="H19" s="148"/>
      <c r="I19" s="153">
        <f t="shared" si="0"/>
        <v>24.341581559025592</v>
      </c>
      <c r="L19" s="83"/>
      <c r="N19" s="164"/>
    </row>
    <row r="20" spans="1:15">
      <c r="A20" s="78" t="s">
        <v>96</v>
      </c>
      <c r="B20" s="148">
        <v>101.78385429012026</v>
      </c>
      <c r="C20" s="148">
        <v>38.665268742969317</v>
      </c>
      <c r="D20" s="148">
        <v>4.0000460954878578</v>
      </c>
      <c r="E20" s="148">
        <v>12.456220276619542</v>
      </c>
      <c r="F20" s="148"/>
      <c r="G20" s="148">
        <v>4.2872637534109961</v>
      </c>
      <c r="H20" s="148"/>
      <c r="I20" s="153">
        <f t="shared" si="0"/>
        <v>161.19265315860795</v>
      </c>
      <c r="L20" s="83"/>
      <c r="N20" s="164"/>
    </row>
    <row r="21" spans="1:15" ht="15.75" customHeight="1">
      <c r="A21" s="78" t="s">
        <v>320</v>
      </c>
      <c r="B21" s="148">
        <v>38.83690155182363</v>
      </c>
      <c r="C21" s="148">
        <v>37.482523962184757</v>
      </c>
      <c r="D21" s="148">
        <v>0.58719167468935041</v>
      </c>
      <c r="E21" s="148">
        <v>2.3096478407091703</v>
      </c>
      <c r="F21" s="148"/>
      <c r="G21" s="418">
        <v>0.58719167468935041</v>
      </c>
      <c r="H21" s="148"/>
      <c r="I21" s="153">
        <f t="shared" si="0"/>
        <v>79.803456704096263</v>
      </c>
      <c r="L21" s="83"/>
      <c r="N21" s="164"/>
    </row>
    <row r="22" spans="1:15">
      <c r="A22" s="78" t="s">
        <v>321</v>
      </c>
      <c r="B22" s="148">
        <v>2.4734858943433027</v>
      </c>
      <c r="C22" s="148">
        <v>7.3163215662387246</v>
      </c>
      <c r="D22" s="148">
        <v>2.1386303049028661</v>
      </c>
      <c r="E22" s="148">
        <v>7.4474196533219361</v>
      </c>
      <c r="F22" s="148"/>
      <c r="G22" s="418" t="s">
        <v>130</v>
      </c>
      <c r="H22" s="148"/>
      <c r="I22" s="153">
        <f t="shared" si="0"/>
        <v>19.375857418806831</v>
      </c>
      <c r="J22" s="36"/>
      <c r="L22" s="83"/>
      <c r="N22" s="164"/>
    </row>
    <row r="23" spans="1:15" ht="8.25" customHeight="1">
      <c r="A23" s="78"/>
      <c r="B23" s="148"/>
      <c r="C23" s="148"/>
      <c r="D23" s="148"/>
      <c r="E23" s="148"/>
      <c r="F23" s="148"/>
      <c r="G23" s="148"/>
      <c r="H23" s="148"/>
      <c r="I23" s="153"/>
      <c r="J23" s="36"/>
      <c r="L23" s="83"/>
      <c r="N23" s="164"/>
    </row>
    <row r="24" spans="1:15" ht="16.5" customHeight="1">
      <c r="A24" s="78" t="s">
        <v>178</v>
      </c>
      <c r="B24" s="148">
        <v>34.37165094419727</v>
      </c>
      <c r="C24" s="148">
        <v>78.693786370744334</v>
      </c>
      <c r="D24" s="148">
        <v>51.816930856380651</v>
      </c>
      <c r="E24" s="148">
        <v>37.299190149295669</v>
      </c>
      <c r="F24" s="148"/>
      <c r="G24" s="148">
        <v>5.5041359579689466</v>
      </c>
      <c r="H24" s="148"/>
      <c r="I24" s="153">
        <f>SUM(B24:G24)</f>
        <v>207.68569427858685</v>
      </c>
      <c r="L24" s="83"/>
      <c r="M24" s="83"/>
      <c r="N24" s="164"/>
      <c r="O24" s="83"/>
    </row>
    <row r="25" spans="1:15" ht="9.75" customHeight="1">
      <c r="A25" s="78"/>
      <c r="B25" s="148"/>
      <c r="C25" s="148"/>
      <c r="D25" s="148"/>
      <c r="E25" s="148"/>
      <c r="F25" s="148"/>
      <c r="G25" s="148"/>
      <c r="H25" s="148"/>
      <c r="I25" s="148"/>
      <c r="L25" s="83"/>
      <c r="N25" s="164"/>
    </row>
    <row r="26" spans="1:15" ht="15.75">
      <c r="A26" s="145" t="s">
        <v>99</v>
      </c>
      <c r="B26" s="153">
        <f>SUM(B17:B24)+B15</f>
        <v>1074.3920447061939</v>
      </c>
      <c r="C26" s="153">
        <f>SUM(C17:C24)+C15</f>
        <v>1271.9470848424112</v>
      </c>
      <c r="D26" s="153">
        <f>SUM(D17:D24)+D15</f>
        <v>304.04996903097037</v>
      </c>
      <c r="E26" s="153">
        <f>SUM(E17:E24)+E15</f>
        <v>687.74365659839316</v>
      </c>
      <c r="F26" s="153"/>
      <c r="G26" s="153">
        <f>SUM(G17:G24)+G15</f>
        <v>60.436049604596363</v>
      </c>
      <c r="H26" s="153"/>
      <c r="I26" s="153">
        <f>SUM(I17:I24)+I15</f>
        <v>3398.5688047825652</v>
      </c>
      <c r="L26" s="83"/>
      <c r="N26" s="164"/>
    </row>
    <row r="27" spans="1:15" ht="15.75">
      <c r="B27" s="236"/>
      <c r="C27" s="236"/>
      <c r="D27" s="236"/>
      <c r="E27" s="236"/>
      <c r="F27" s="236"/>
      <c r="G27" s="236"/>
      <c r="H27" s="148"/>
      <c r="I27" s="236"/>
      <c r="L27" s="83"/>
      <c r="N27" s="164"/>
    </row>
    <row r="28" spans="1:15" ht="15.75">
      <c r="A28" s="144" t="s">
        <v>100</v>
      </c>
      <c r="B28" s="148">
        <v>5.5406356371592231</v>
      </c>
      <c r="C28" s="148">
        <v>34.833130889639804</v>
      </c>
      <c r="D28" s="148">
        <v>7.7382937034823529</v>
      </c>
      <c r="E28" s="148">
        <v>10.235326357882746</v>
      </c>
      <c r="F28" s="148"/>
      <c r="G28" s="148">
        <v>1.144882761721663</v>
      </c>
      <c r="H28" s="148"/>
      <c r="I28" s="153">
        <f>SUM(B28:G28)</f>
        <v>59.492269349885795</v>
      </c>
      <c r="L28" s="83"/>
      <c r="N28" s="164"/>
    </row>
    <row r="29" spans="1:15">
      <c r="B29" s="95"/>
      <c r="C29" s="95"/>
      <c r="D29" s="95"/>
      <c r="E29" s="95"/>
      <c r="F29" s="95"/>
      <c r="G29" s="95"/>
      <c r="H29" s="95"/>
      <c r="I29" s="95"/>
      <c r="L29" s="83"/>
      <c r="N29" s="164"/>
    </row>
    <row r="30" spans="1:15" ht="15.75">
      <c r="A30" s="144" t="s">
        <v>102</v>
      </c>
      <c r="B30" s="95"/>
      <c r="C30" s="95"/>
      <c r="D30" s="95"/>
      <c r="E30" s="95"/>
      <c r="F30" s="95"/>
      <c r="G30" s="95"/>
      <c r="H30" s="95"/>
      <c r="I30" s="95"/>
      <c r="L30" s="83"/>
      <c r="N30" s="164"/>
    </row>
    <row r="31" spans="1:15">
      <c r="A31" s="78" t="s">
        <v>103</v>
      </c>
      <c r="B31" s="148">
        <v>28.027663419455649</v>
      </c>
      <c r="C31" s="148">
        <v>47.086264556458019</v>
      </c>
      <c r="D31" s="148">
        <v>11.501056348103692</v>
      </c>
      <c r="E31" s="148">
        <v>11.561516813544667</v>
      </c>
      <c r="F31" s="148"/>
      <c r="G31" s="414">
        <v>6.8191922532744291</v>
      </c>
      <c r="H31" s="148"/>
      <c r="I31" s="153">
        <f>SUM(B31:G31)</f>
        <v>104.99569339083645</v>
      </c>
      <c r="L31" s="83"/>
      <c r="N31" s="164"/>
    </row>
    <row r="32" spans="1:15">
      <c r="A32" s="78" t="s">
        <v>104</v>
      </c>
      <c r="B32" s="148">
        <v>14.862028702653145</v>
      </c>
      <c r="C32" s="148">
        <v>8.0088605543464997</v>
      </c>
      <c r="D32" s="148">
        <v>1.0383624594478826</v>
      </c>
      <c r="E32" s="148">
        <v>1.242277816695792</v>
      </c>
      <c r="F32" s="148"/>
      <c r="G32" s="414">
        <v>0.49253467169294357</v>
      </c>
      <c r="H32" s="148"/>
      <c r="I32" s="153">
        <f>SUM(B32:G32)</f>
        <v>25.644064204836265</v>
      </c>
      <c r="L32" s="83"/>
      <c r="N32" s="164"/>
    </row>
    <row r="33" spans="1:14" ht="18">
      <c r="A33" s="78" t="s">
        <v>406</v>
      </c>
      <c r="B33" s="148">
        <v>0.19475902168088235</v>
      </c>
      <c r="C33" s="148">
        <v>1.5686505127195658</v>
      </c>
      <c r="D33" s="495">
        <v>0.99009308104424187</v>
      </c>
      <c r="E33" s="148">
        <v>8.557803478655196E-2</v>
      </c>
      <c r="F33" s="148"/>
      <c r="G33" s="418" t="s">
        <v>130</v>
      </c>
      <c r="H33" s="148"/>
      <c r="I33" s="153">
        <f>SUM(B33:G33)</f>
        <v>2.8390806502312418</v>
      </c>
      <c r="L33" s="83"/>
      <c r="N33" s="164"/>
    </row>
    <row r="34" spans="1:14" ht="15.75">
      <c r="A34" s="145" t="s">
        <v>150</v>
      </c>
      <c r="B34" s="373">
        <f>SUM(B31:B33)</f>
        <v>43.084451143789678</v>
      </c>
      <c r="C34" s="373">
        <f>SUM(C31:C33)</f>
        <v>56.663775623524081</v>
      </c>
      <c r="D34" s="373">
        <f>SUM(D31:D33)</f>
        <v>13.529511888595815</v>
      </c>
      <c r="E34" s="373">
        <f>SUM(E31:E33)</f>
        <v>12.889372665027011</v>
      </c>
      <c r="F34" s="373"/>
      <c r="G34" s="373">
        <f>SUM(G31:G33)</f>
        <v>7.3117269249673731</v>
      </c>
      <c r="H34" s="148"/>
      <c r="I34" s="153">
        <f>SUM(B34:G34)</f>
        <v>133.47883824590394</v>
      </c>
      <c r="L34" s="83"/>
      <c r="N34" s="164"/>
    </row>
    <row r="35" spans="1:14">
      <c r="B35" s="94"/>
      <c r="C35" s="94"/>
      <c r="D35" s="94"/>
      <c r="E35" s="94"/>
      <c r="F35" s="94"/>
      <c r="G35" s="94"/>
      <c r="H35" s="95"/>
      <c r="I35" s="95"/>
      <c r="L35" s="83"/>
      <c r="N35" s="164"/>
    </row>
    <row r="36" spans="1:14" ht="15.75">
      <c r="A36" s="79" t="s">
        <v>149</v>
      </c>
      <c r="B36" s="374">
        <f>B26+B28+B34</f>
        <v>1123.0171314871429</v>
      </c>
      <c r="C36" s="374">
        <f t="shared" ref="C36:I36" si="1">C26+C28+C34</f>
        <v>1363.443991355575</v>
      </c>
      <c r="D36" s="374">
        <f t="shared" si="1"/>
        <v>325.31777462304854</v>
      </c>
      <c r="E36" s="374">
        <f t="shared" si="1"/>
        <v>710.86835562130295</v>
      </c>
      <c r="F36" s="374"/>
      <c r="G36" s="374">
        <f t="shared" si="1"/>
        <v>68.892659291285398</v>
      </c>
      <c r="H36" s="374"/>
      <c r="I36" s="374">
        <f t="shared" si="1"/>
        <v>3591.5399123783545</v>
      </c>
      <c r="J36" s="127"/>
      <c r="L36" s="83"/>
      <c r="M36" s="83"/>
      <c r="N36" s="164"/>
    </row>
    <row r="37" spans="1:14" ht="6" customHeight="1">
      <c r="A37" s="248"/>
      <c r="B37" s="249"/>
      <c r="C37" s="249"/>
      <c r="D37" s="249"/>
      <c r="E37" s="249"/>
      <c r="F37" s="248"/>
      <c r="G37" s="249"/>
      <c r="H37" s="249"/>
      <c r="I37" s="249"/>
    </row>
    <row r="38" spans="1:14">
      <c r="A38" s="606" t="s">
        <v>621</v>
      </c>
      <c r="B38" s="237"/>
      <c r="C38" s="237"/>
      <c r="D38" s="237"/>
      <c r="E38" s="237"/>
      <c r="F38" s="237"/>
      <c r="G38" s="237"/>
      <c r="H38" s="237"/>
      <c r="I38" s="237"/>
    </row>
    <row r="39" spans="1:14" ht="15.75">
      <c r="A39" s="144"/>
      <c r="B39" s="237"/>
      <c r="C39" s="237"/>
      <c r="D39" s="237"/>
      <c r="E39" s="237"/>
      <c r="F39" s="237"/>
      <c r="G39" s="237"/>
      <c r="H39" s="237"/>
      <c r="I39" s="237"/>
    </row>
    <row r="40" spans="1:14" ht="19.5">
      <c r="A40" s="339" t="s">
        <v>585</v>
      </c>
      <c r="H40" s="61"/>
      <c r="I40" s="61"/>
      <c r="J40" s="61"/>
    </row>
    <row r="41" spans="1:14" ht="4.5" customHeight="1">
      <c r="A41" s="239" t="s">
        <v>123</v>
      </c>
      <c r="H41" s="61"/>
      <c r="I41" s="61"/>
      <c r="J41" s="61"/>
    </row>
    <row r="42" spans="1:14" ht="15.75">
      <c r="A42" s="242"/>
      <c r="B42" s="208"/>
      <c r="C42" s="208"/>
      <c r="D42" s="208"/>
      <c r="E42" s="208" t="s">
        <v>115</v>
      </c>
      <c r="F42" s="208"/>
      <c r="G42" s="208"/>
      <c r="H42" s="208"/>
      <c r="I42" s="208"/>
      <c r="J42" s="250"/>
    </row>
    <row r="43" spans="1:14" ht="15.75">
      <c r="A43" s="232"/>
      <c r="B43" s="233"/>
      <c r="C43" s="233"/>
      <c r="D43" s="233"/>
      <c r="E43" s="243"/>
      <c r="F43" s="243"/>
      <c r="G43" s="233"/>
      <c r="H43" s="233"/>
      <c r="I43" s="233" t="s">
        <v>118</v>
      </c>
      <c r="J43" s="79"/>
    </row>
    <row r="44" spans="1:14" ht="15.75">
      <c r="A44" s="232"/>
      <c r="B44" s="233" t="s">
        <v>189</v>
      </c>
      <c r="C44" s="233" t="s">
        <v>116</v>
      </c>
      <c r="D44" s="233" t="s">
        <v>179</v>
      </c>
      <c r="E44" s="243" t="s">
        <v>171</v>
      </c>
      <c r="F44" s="243"/>
      <c r="G44" s="251"/>
      <c r="H44" s="233"/>
      <c r="I44" s="233" t="s">
        <v>119</v>
      </c>
      <c r="J44" s="79"/>
    </row>
    <row r="45" spans="1:14" ht="15.75">
      <c r="A45" s="244" t="s">
        <v>91</v>
      </c>
      <c r="B45" s="245"/>
      <c r="C45" s="245" t="s">
        <v>197</v>
      </c>
      <c r="D45" s="245" t="s">
        <v>180</v>
      </c>
      <c r="E45" s="246" t="s">
        <v>151</v>
      </c>
      <c r="F45" s="246"/>
      <c r="G45" s="252" t="s">
        <v>117</v>
      </c>
      <c r="H45" s="245"/>
      <c r="I45" s="245" t="s">
        <v>198</v>
      </c>
      <c r="J45" s="252" t="s">
        <v>39</v>
      </c>
    </row>
    <row r="46" spans="1:14" ht="6" customHeight="1">
      <c r="A46" s="234"/>
      <c r="B46" s="232"/>
      <c r="C46" s="232"/>
      <c r="D46" s="232"/>
      <c r="E46" s="235"/>
      <c r="F46" s="235"/>
      <c r="G46" s="238"/>
      <c r="H46" s="232"/>
      <c r="I46" s="232"/>
      <c r="J46" s="238"/>
    </row>
    <row r="47" spans="1:14">
      <c r="J47" s="247" t="s">
        <v>120</v>
      </c>
    </row>
    <row r="48" spans="1:14" ht="15.75">
      <c r="A48" s="144" t="s">
        <v>92</v>
      </c>
      <c r="B48" s="61"/>
      <c r="C48" s="61"/>
      <c r="D48" s="61"/>
      <c r="E48" s="61"/>
      <c r="F48" s="61"/>
      <c r="G48" s="61"/>
      <c r="H48" s="61"/>
      <c r="I48" s="61"/>
      <c r="J48" s="61"/>
    </row>
    <row r="49" spans="1:12">
      <c r="A49" s="78" t="s">
        <v>97</v>
      </c>
      <c r="B49" s="413">
        <v>1026.850369124998</v>
      </c>
      <c r="C49" s="413">
        <v>22.576797762327104</v>
      </c>
      <c r="D49" s="416">
        <v>60.843573476420019</v>
      </c>
      <c r="E49" s="415" t="s">
        <v>130</v>
      </c>
      <c r="F49" s="413"/>
      <c r="G49" s="413">
        <v>21.531578885432246</v>
      </c>
      <c r="H49" s="413"/>
      <c r="I49" s="413">
        <v>34.322394864303597</v>
      </c>
      <c r="J49" s="373">
        <f>SUM(B49:I49)</f>
        <v>1166.1247141134809</v>
      </c>
      <c r="L49" s="83"/>
    </row>
    <row r="50" spans="1:12">
      <c r="A50" s="78" t="s">
        <v>98</v>
      </c>
      <c r="B50" s="413">
        <v>658.93320724539376</v>
      </c>
      <c r="C50" s="413">
        <v>4.9041529858570909</v>
      </c>
      <c r="D50" s="416">
        <v>76.255390997137084</v>
      </c>
      <c r="E50" s="416">
        <v>32.530923852458798</v>
      </c>
      <c r="F50" s="413"/>
      <c r="G50" s="413">
        <v>66.296289570543209</v>
      </c>
      <c r="H50" s="413"/>
      <c r="I50" s="413">
        <v>132.64872268782463</v>
      </c>
      <c r="J50" s="373">
        <f>SUM(B50:I50)</f>
        <v>971.56868733921453</v>
      </c>
      <c r="L50" s="83"/>
    </row>
    <row r="51" spans="1:12">
      <c r="A51" s="57" t="s">
        <v>276</v>
      </c>
      <c r="B51" s="417">
        <v>376.05914118250405</v>
      </c>
      <c r="C51" s="417">
        <v>6.0172489999999996</v>
      </c>
      <c r="D51" s="415" t="s">
        <v>130</v>
      </c>
      <c r="E51" s="415" t="s">
        <v>130</v>
      </c>
      <c r="F51" s="164"/>
      <c r="G51" s="415" t="s">
        <v>130</v>
      </c>
      <c r="H51" s="164"/>
      <c r="I51" s="415" t="s">
        <v>130</v>
      </c>
      <c r="J51" s="373">
        <f>SUM(B51:I51)</f>
        <v>382.07639018250404</v>
      </c>
      <c r="L51" s="83"/>
    </row>
    <row r="52" spans="1:12">
      <c r="A52" s="57" t="s">
        <v>419</v>
      </c>
      <c r="B52" s="417">
        <v>128.57692408426252</v>
      </c>
      <c r="C52" s="417">
        <v>3.1786636739801026</v>
      </c>
      <c r="D52" s="415">
        <v>7.9518886258058066</v>
      </c>
      <c r="E52" s="415" t="s">
        <v>130</v>
      </c>
      <c r="F52" s="164"/>
      <c r="G52" s="415">
        <v>6.6675041588160298</v>
      </c>
      <c r="H52" s="164"/>
      <c r="I52" s="418">
        <v>32.360554665592275</v>
      </c>
      <c r="J52" s="373">
        <f>SUM(B52:I52)</f>
        <v>178.73553520845672</v>
      </c>
      <c r="L52" s="83"/>
    </row>
    <row r="53" spans="1:12">
      <c r="A53" s="78" t="s">
        <v>420</v>
      </c>
      <c r="B53" s="147">
        <f>SUM(B49:B52)</f>
        <v>2190.4196416371583</v>
      </c>
      <c r="C53" s="147">
        <f>SUM(C49:C52)</f>
        <v>36.676863422164296</v>
      </c>
      <c r="D53" s="147">
        <f>SUM(D49:D52)</f>
        <v>145.05085309936288</v>
      </c>
      <c r="E53" s="147">
        <f>SUM(E49:E52)</f>
        <v>32.530923852458798</v>
      </c>
      <c r="F53" s="147"/>
      <c r="G53" s="147">
        <f>SUM(G49:G52)</f>
        <v>94.495372614791478</v>
      </c>
      <c r="H53" s="147"/>
      <c r="I53" s="147">
        <f>SUM(I49:I52)</f>
        <v>199.3316722177205</v>
      </c>
      <c r="J53" s="371">
        <f>SUM(J49:J52)</f>
        <v>2698.5053268436563</v>
      </c>
      <c r="K53" s="83"/>
      <c r="L53" s="83"/>
    </row>
    <row r="54" spans="1:12" ht="6" customHeight="1">
      <c r="A54" s="144"/>
      <c r="B54" s="95"/>
      <c r="C54" s="95"/>
      <c r="D54" s="95"/>
      <c r="E54" s="95"/>
      <c r="F54" s="95"/>
      <c r="G54" s="95"/>
      <c r="H54" s="95"/>
      <c r="I54" s="95"/>
      <c r="J54" s="94"/>
      <c r="L54" s="83"/>
    </row>
    <row r="55" spans="1:12">
      <c r="A55" s="78" t="s">
        <v>93</v>
      </c>
      <c r="B55" s="414">
        <v>16.7568696642678</v>
      </c>
      <c r="C55" s="415">
        <v>2.1450439921925288</v>
      </c>
      <c r="D55" s="414">
        <v>20.825381375523879</v>
      </c>
      <c r="E55" s="414">
        <v>3.7458253213731481</v>
      </c>
      <c r="F55" s="148"/>
      <c r="G55" s="148">
        <v>12.503749148783056</v>
      </c>
      <c r="H55" s="148"/>
      <c r="I55" s="148">
        <v>17.970417388244101</v>
      </c>
      <c r="J55" s="371">
        <f t="shared" ref="J55:J60" si="2">SUM(B55:I55)</f>
        <v>73.947286890384518</v>
      </c>
      <c r="L55" s="83"/>
    </row>
    <row r="56" spans="1:12">
      <c r="A56" s="78" t="s">
        <v>94</v>
      </c>
      <c r="B56" s="414">
        <v>55.83969740404747</v>
      </c>
      <c r="C56" s="415">
        <v>2.0794455243275141</v>
      </c>
      <c r="D56" s="414">
        <v>39.124013910765889</v>
      </c>
      <c r="E56" s="415">
        <v>4.5390713585671429</v>
      </c>
      <c r="F56" s="414"/>
      <c r="G56" s="414" t="s">
        <v>130</v>
      </c>
      <c r="H56" s="414"/>
      <c r="I56" s="414">
        <v>32.134719731665527</v>
      </c>
      <c r="J56" s="371">
        <f t="shared" si="2"/>
        <v>133.71694792937353</v>
      </c>
      <c r="L56" s="83"/>
    </row>
    <row r="57" spans="1:12">
      <c r="A57" s="78" t="s">
        <v>95</v>
      </c>
      <c r="B57" s="414">
        <v>20.962016297271465</v>
      </c>
      <c r="C57" s="414">
        <v>3.3795652617541254</v>
      </c>
      <c r="D57" s="415" t="s">
        <v>130</v>
      </c>
      <c r="E57" s="415" t="s">
        <v>130</v>
      </c>
      <c r="F57" s="414"/>
      <c r="G57" s="415" t="s">
        <v>130</v>
      </c>
      <c r="H57" s="414"/>
      <c r="I57" s="415" t="s">
        <v>130</v>
      </c>
      <c r="J57" s="371">
        <f t="shared" si="2"/>
        <v>24.341581559025592</v>
      </c>
      <c r="L57" s="83"/>
    </row>
    <row r="58" spans="1:12">
      <c r="A58" s="78" t="s">
        <v>96</v>
      </c>
      <c r="B58" s="414">
        <v>92.243392325753135</v>
      </c>
      <c r="C58" s="414">
        <v>4.571377203081771</v>
      </c>
      <c r="D58" s="414">
        <v>15.552249052640633</v>
      </c>
      <c r="E58" s="415"/>
      <c r="F58" s="414"/>
      <c r="G58" s="414">
        <v>9.3783172154730732</v>
      </c>
      <c r="H58" s="414"/>
      <c r="I58" s="414">
        <v>39.447317361659408</v>
      </c>
      <c r="J58" s="371">
        <f t="shared" si="2"/>
        <v>161.19265315860801</v>
      </c>
      <c r="K58" s="83"/>
      <c r="L58" s="83"/>
    </row>
    <row r="59" spans="1:12" ht="14.25" customHeight="1">
      <c r="A59" s="78" t="s">
        <v>320</v>
      </c>
      <c r="B59" s="414">
        <v>66.979499568905169</v>
      </c>
      <c r="C59" s="415">
        <v>0.86761272612183904</v>
      </c>
      <c r="D59" s="415">
        <v>1.6016709253941521</v>
      </c>
      <c r="E59" s="414">
        <v>0.86761272612183904</v>
      </c>
      <c r="F59" s="414"/>
      <c r="G59" s="414">
        <v>1.4681163985446262</v>
      </c>
      <c r="H59" s="414"/>
      <c r="I59" s="414">
        <v>8.0189443590086302</v>
      </c>
      <c r="J59" s="371">
        <f t="shared" si="2"/>
        <v>79.803456704096234</v>
      </c>
      <c r="L59" s="83"/>
    </row>
    <row r="60" spans="1:12">
      <c r="A60" s="78" t="s">
        <v>321</v>
      </c>
      <c r="B60" s="414">
        <v>13.757594552334554</v>
      </c>
      <c r="C60" s="415">
        <v>1.4753352335711616</v>
      </c>
      <c r="D60" s="415"/>
      <c r="E60" s="415">
        <v>0.9766582079762669</v>
      </c>
      <c r="F60" s="414"/>
      <c r="G60" s="415">
        <v>2.0969542724734138</v>
      </c>
      <c r="H60" s="414"/>
      <c r="I60" s="414">
        <v>1.069315152451433</v>
      </c>
      <c r="J60" s="371">
        <f t="shared" si="2"/>
        <v>19.375857418806831</v>
      </c>
      <c r="K60" s="83"/>
      <c r="L60" s="83"/>
    </row>
    <row r="61" spans="1:12" ht="7.5" customHeight="1">
      <c r="A61" s="78"/>
      <c r="B61" s="148"/>
      <c r="C61" s="148"/>
      <c r="D61" s="148"/>
      <c r="E61" s="148"/>
      <c r="F61" s="148"/>
      <c r="H61" s="148"/>
      <c r="J61" s="371"/>
      <c r="K61" s="83"/>
      <c r="L61" s="83"/>
    </row>
    <row r="62" spans="1:12" ht="15.75" customHeight="1">
      <c r="A62" s="78" t="s">
        <v>178</v>
      </c>
      <c r="B62" s="148">
        <v>114.503426763935</v>
      </c>
      <c r="C62" s="148">
        <v>8.714429589163629</v>
      </c>
      <c r="D62" s="148">
        <v>43.808953522767524</v>
      </c>
      <c r="E62" s="148">
        <v>4.1619397088378047</v>
      </c>
      <c r="F62" s="148"/>
      <c r="G62" s="148">
        <v>18.295637760185301</v>
      </c>
      <c r="H62" s="148"/>
      <c r="I62" s="148">
        <v>18.2013069336972</v>
      </c>
      <c r="J62" s="371">
        <f>SUM(B62:I62)</f>
        <v>207.68569427858642</v>
      </c>
      <c r="L62" s="83"/>
    </row>
    <row r="63" spans="1:12" ht="7.5" customHeight="1">
      <c r="A63" s="78"/>
      <c r="B63" s="148"/>
      <c r="C63" s="148"/>
      <c r="D63" s="148"/>
      <c r="E63" s="148"/>
      <c r="F63" s="148"/>
      <c r="G63" s="148"/>
      <c r="H63" s="148"/>
      <c r="I63" s="148"/>
      <c r="J63" s="372"/>
      <c r="L63" s="83"/>
    </row>
    <row r="64" spans="1:12" ht="15.75">
      <c r="A64" s="145" t="s">
        <v>99</v>
      </c>
      <c r="B64" s="153">
        <f>B53+SUM(B55:B62)</f>
        <v>2571.4621382136729</v>
      </c>
      <c r="C64" s="153">
        <f>C53+SUM(C55:C62)</f>
        <v>59.909672952376866</v>
      </c>
      <c r="D64" s="153">
        <f>D53+SUM(D55:D62)</f>
        <v>265.96312188645493</v>
      </c>
      <c r="E64" s="153">
        <f>E53+SUM(E55:E62)</f>
        <v>46.822031175334999</v>
      </c>
      <c r="F64" s="153"/>
      <c r="G64" s="153">
        <f>G53+SUM(G55:G62)</f>
        <v>138.23814741025095</v>
      </c>
      <c r="H64" s="153"/>
      <c r="I64" s="153">
        <f>I53+SUM(I55:I62)</f>
        <v>316.17369314444682</v>
      </c>
      <c r="J64" s="373">
        <f>J53+SUM(J55:J62)</f>
        <v>3398.5688047825374</v>
      </c>
      <c r="K64" s="83"/>
      <c r="L64" s="83"/>
    </row>
    <row r="65" spans="1:12">
      <c r="B65" s="95"/>
      <c r="C65" s="95"/>
      <c r="D65" s="95"/>
      <c r="E65" s="95"/>
      <c r="F65" s="95"/>
      <c r="G65" s="95"/>
      <c r="H65" s="95"/>
      <c r="I65" s="95"/>
      <c r="J65" s="94"/>
      <c r="L65" s="83"/>
    </row>
    <row r="66" spans="1:12" ht="15.75">
      <c r="A66" s="144" t="s">
        <v>100</v>
      </c>
      <c r="B66" s="95">
        <v>57.913504649833278</v>
      </c>
      <c r="C66" s="415" t="s">
        <v>130</v>
      </c>
      <c r="D66" s="415" t="s">
        <v>130</v>
      </c>
      <c r="E66" s="415" t="s">
        <v>130</v>
      </c>
      <c r="F66" s="415"/>
      <c r="G66" s="415">
        <v>1.5787647000525409</v>
      </c>
      <c r="H66" s="95"/>
      <c r="I66" s="415" t="s">
        <v>130</v>
      </c>
      <c r="J66" s="371">
        <f>SUM(B66:I66)</f>
        <v>59.492269349885817</v>
      </c>
      <c r="L66" s="83"/>
    </row>
    <row r="67" spans="1:12">
      <c r="B67" s="95"/>
      <c r="C67" s="95"/>
      <c r="D67" s="95"/>
      <c r="E67" s="95"/>
      <c r="F67" s="95"/>
      <c r="G67" s="95"/>
      <c r="H67" s="95"/>
      <c r="I67" s="95"/>
      <c r="J67" s="375"/>
      <c r="L67" s="83"/>
    </row>
    <row r="68" spans="1:12" ht="15.75">
      <c r="A68" s="144" t="s">
        <v>102</v>
      </c>
      <c r="B68" s="95"/>
      <c r="C68" s="95"/>
      <c r="D68" s="95"/>
      <c r="E68" s="95"/>
      <c r="F68" s="95"/>
      <c r="G68" s="95"/>
      <c r="H68" s="95"/>
      <c r="I68" s="95"/>
      <c r="J68" s="375"/>
      <c r="L68" s="83"/>
    </row>
    <row r="69" spans="1:12">
      <c r="A69" s="78" t="s">
        <v>103</v>
      </c>
      <c r="B69" s="419">
        <v>104.99569339083645</v>
      </c>
      <c r="C69" s="414" t="s">
        <v>130</v>
      </c>
      <c r="D69" s="415" t="s">
        <v>130</v>
      </c>
      <c r="E69" s="415" t="s">
        <v>130</v>
      </c>
      <c r="F69" s="415"/>
      <c r="G69" s="415" t="s">
        <v>130</v>
      </c>
      <c r="H69" s="415"/>
      <c r="I69" s="415" t="s">
        <v>130</v>
      </c>
      <c r="J69" s="371">
        <f>SUM(B69:I69)</f>
        <v>104.99569339083645</v>
      </c>
      <c r="L69" s="83"/>
    </row>
    <row r="70" spans="1:12">
      <c r="A70" s="78" t="s">
        <v>104</v>
      </c>
      <c r="B70" s="419">
        <v>25.157459072526947</v>
      </c>
      <c r="C70" s="414">
        <v>0.14610316315996222</v>
      </c>
      <c r="D70" s="415" t="s">
        <v>130</v>
      </c>
      <c r="E70" s="415" t="s">
        <v>130</v>
      </c>
      <c r="F70" s="415"/>
      <c r="G70" s="415" t="s">
        <v>130</v>
      </c>
      <c r="H70" s="415"/>
      <c r="I70" s="414">
        <v>0.34050196914938113</v>
      </c>
      <c r="J70" s="371">
        <f>SUM(B70:I70)</f>
        <v>25.644064204836294</v>
      </c>
      <c r="L70" s="83"/>
    </row>
    <row r="71" spans="1:12" ht="18">
      <c r="A71" s="78" t="s">
        <v>406</v>
      </c>
      <c r="B71" s="419">
        <v>0.99009308104424187</v>
      </c>
      <c r="C71" s="415" t="s">
        <v>130</v>
      </c>
      <c r="D71" s="414">
        <v>0.90019235928726993</v>
      </c>
      <c r="E71" s="415" t="s">
        <v>130</v>
      </c>
      <c r="F71" s="415"/>
      <c r="G71" s="415" t="s">
        <v>130</v>
      </c>
      <c r="H71" s="415"/>
      <c r="I71" s="414">
        <v>0.9487952098997301</v>
      </c>
      <c r="J71" s="371">
        <f>SUM(B71:I71)</f>
        <v>2.8390806502312418</v>
      </c>
      <c r="L71" s="83"/>
    </row>
    <row r="72" spans="1:12" ht="15.75">
      <c r="A72" s="145" t="s">
        <v>150</v>
      </c>
      <c r="B72" s="373">
        <f>SUM(B69:B71)</f>
        <v>131.14324554440765</v>
      </c>
      <c r="C72" s="373">
        <f>SUM(C69:C71)</f>
        <v>0.14610316315996222</v>
      </c>
      <c r="D72" s="373">
        <f>SUM(D69:D71)</f>
        <v>0.90019235928726993</v>
      </c>
      <c r="E72" s="375">
        <v>0</v>
      </c>
      <c r="F72" s="375"/>
      <c r="G72" s="375">
        <v>0</v>
      </c>
      <c r="H72" s="375"/>
      <c r="I72" s="373">
        <f>SUM(I69:I71)</f>
        <v>1.2892971790491112</v>
      </c>
      <c r="J72" s="371">
        <f>SUM(B72:I72)</f>
        <v>133.47883824590397</v>
      </c>
      <c r="L72" s="83"/>
    </row>
    <row r="73" spans="1:12">
      <c r="B73" s="94"/>
      <c r="C73" s="94"/>
      <c r="D73" s="376"/>
      <c r="E73" s="376"/>
      <c r="F73" s="376"/>
      <c r="G73" s="376"/>
      <c r="H73" s="376"/>
      <c r="I73" s="376"/>
      <c r="J73" s="94"/>
      <c r="L73" s="83"/>
    </row>
    <row r="74" spans="1:12" ht="15.75">
      <c r="A74" s="79" t="s">
        <v>149</v>
      </c>
      <c r="B74" s="374">
        <f>B64+SUM(B66)+B72</f>
        <v>2760.5188884079139</v>
      </c>
      <c r="C74" s="374">
        <f>C64+SUM(C66)+C72</f>
        <v>60.05577611553683</v>
      </c>
      <c r="D74" s="374">
        <f>D64+SUM(D66)+D72</f>
        <v>266.86331424574217</v>
      </c>
      <c r="E74" s="374">
        <f>E64+SUM(E66)+E72</f>
        <v>46.822031175334999</v>
      </c>
      <c r="F74" s="374"/>
      <c r="G74" s="374">
        <f>G64+SUM(G66)+G72</f>
        <v>139.81691211030349</v>
      </c>
      <c r="H74" s="374"/>
      <c r="I74" s="374">
        <f>I64+SUM(I66)+I72</f>
        <v>317.46299032349594</v>
      </c>
      <c r="J74" s="374">
        <f>J64+SUM(J66)+J72</f>
        <v>3591.5399123783272</v>
      </c>
      <c r="K74" s="127"/>
      <c r="L74" s="83"/>
    </row>
    <row r="75" spans="1:12" ht="6" customHeight="1">
      <c r="A75" s="205"/>
      <c r="B75" s="205"/>
      <c r="C75" s="205"/>
      <c r="D75" s="205"/>
      <c r="E75" s="205"/>
      <c r="F75" s="205"/>
      <c r="G75" s="205"/>
      <c r="H75" s="205"/>
      <c r="I75" s="205"/>
      <c r="J75" s="205"/>
    </row>
    <row r="76" spans="1:12" ht="17.25" customHeight="1">
      <c r="A76" s="606" t="s">
        <v>621</v>
      </c>
    </row>
    <row r="77" spans="1:12" s="70" customFormat="1" ht="12.75">
      <c r="A77" s="312" t="s">
        <v>404</v>
      </c>
    </row>
    <row r="78" spans="1:12" s="70" customFormat="1" ht="12.75">
      <c r="A78" s="7" t="s">
        <v>405</v>
      </c>
    </row>
    <row r="79" spans="1:12" s="70" customFormat="1" ht="12.75">
      <c r="A79" s="70" t="s">
        <v>416</v>
      </c>
    </row>
    <row r="80" spans="1:12" ht="6" customHeight="1"/>
    <row r="81" ht="118.5" customHeight="1"/>
  </sheetData>
  <phoneticPr fontId="0" type="noConversion"/>
  <pageMargins left="0.75" right="0.75" top="0.98" bottom="0.75" header="0.5" footer="0.5"/>
  <pageSetup paperSize="9" scale="64" orientation="portrait" horizontalDpi="96" verticalDpi="300" r:id="rId1"/>
  <headerFooter alignWithMargins="0">
    <oddHeader>&amp;R&amp;"Arial,Bold"&amp;14PERSONAL AND CROSS-MODAL TRAVEL</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5"/>
  <sheetViews>
    <sheetView zoomScale="75" zoomScaleNormal="75" workbookViewId="0"/>
  </sheetViews>
  <sheetFormatPr defaultRowHeight="15"/>
  <cols>
    <col min="1" max="1" width="1.28515625" style="9" customWidth="1"/>
    <col min="2" max="2" width="6" style="9" customWidth="1"/>
    <col min="3" max="3" width="29.7109375" style="9" customWidth="1"/>
    <col min="4" max="11" width="10.7109375" style="9" hidden="1" customWidth="1"/>
    <col min="12" max="15" width="10.7109375" style="9" customWidth="1"/>
    <col min="16" max="18" width="10.7109375" style="60" customWidth="1"/>
    <col min="19" max="20" width="9.140625" style="9"/>
    <col min="21" max="21" width="8" style="9" customWidth="1"/>
    <col min="22" max="22" width="9" style="9" customWidth="1"/>
    <col min="23" max="23" width="2.28515625" style="9" customWidth="1"/>
    <col min="24" max="24" width="25.28515625" style="9" customWidth="1"/>
    <col min="25" max="16384" width="9.140625" style="9"/>
  </cols>
  <sheetData>
    <row r="1" spans="1:22" ht="19.5">
      <c r="A1" s="338" t="s">
        <v>430</v>
      </c>
      <c r="B1" s="12"/>
      <c r="C1" s="12"/>
      <c r="D1" s="12"/>
      <c r="E1" s="12"/>
      <c r="F1" s="12"/>
      <c r="G1" s="12"/>
      <c r="H1" s="12"/>
      <c r="I1" s="12"/>
      <c r="J1" s="12"/>
      <c r="K1" s="12"/>
      <c r="L1" s="12"/>
      <c r="M1" s="12"/>
      <c r="N1" s="12"/>
      <c r="O1" s="12"/>
      <c r="P1" s="61"/>
      <c r="Q1" s="61"/>
      <c r="R1" s="61"/>
    </row>
    <row r="2" spans="1:22" ht="5.25" customHeight="1">
      <c r="A2" s="12" t="s">
        <v>0</v>
      </c>
      <c r="B2" s="12"/>
      <c r="C2" s="12"/>
      <c r="D2" s="12"/>
      <c r="E2" s="12"/>
      <c r="F2" s="12"/>
      <c r="G2" s="12"/>
      <c r="H2" s="12"/>
      <c r="I2" s="12"/>
      <c r="J2" s="12"/>
      <c r="K2" s="12"/>
      <c r="L2" s="12"/>
      <c r="M2" s="12"/>
      <c r="N2" s="12"/>
      <c r="O2" s="12"/>
      <c r="P2" s="61"/>
      <c r="Q2" s="61"/>
      <c r="R2" s="61"/>
      <c r="S2" s="12"/>
      <c r="T2" s="12"/>
    </row>
    <row r="3" spans="1:22" ht="15.75">
      <c r="A3" s="202"/>
      <c r="B3" s="202"/>
      <c r="C3" s="202" t="s">
        <v>123</v>
      </c>
      <c r="D3" s="208">
        <v>1995</v>
      </c>
      <c r="E3" s="181">
        <v>1996</v>
      </c>
      <c r="F3" s="208">
        <v>1997</v>
      </c>
      <c r="G3" s="181">
        <v>1998</v>
      </c>
      <c r="H3" s="208">
        <v>1999</v>
      </c>
      <c r="I3" s="181">
        <v>2000</v>
      </c>
      <c r="J3" s="208">
        <v>2001</v>
      </c>
      <c r="K3" s="208">
        <v>2002</v>
      </c>
      <c r="L3" s="208">
        <v>2003</v>
      </c>
      <c r="M3" s="208">
        <v>2004</v>
      </c>
      <c r="N3" s="208">
        <v>2005</v>
      </c>
      <c r="O3" s="208">
        <v>2006</v>
      </c>
      <c r="P3" s="208">
        <v>2007</v>
      </c>
      <c r="Q3" s="208">
        <v>2008</v>
      </c>
      <c r="R3" s="208">
        <v>2009</v>
      </c>
      <c r="S3" s="208">
        <v>2010</v>
      </c>
      <c r="T3" s="208">
        <v>2011</v>
      </c>
      <c r="U3" s="208">
        <v>2012</v>
      </c>
      <c r="V3" s="208">
        <v>2013</v>
      </c>
    </row>
    <row r="4" spans="1:22" ht="6" customHeight="1">
      <c r="A4" s="12"/>
      <c r="B4" s="12"/>
      <c r="C4" s="12"/>
      <c r="D4" s="12"/>
      <c r="E4" s="12"/>
      <c r="F4" s="12"/>
      <c r="G4" s="12"/>
      <c r="H4" s="12"/>
      <c r="J4" s="33"/>
      <c r="M4" s="60"/>
      <c r="N4" s="60"/>
      <c r="O4" s="60"/>
      <c r="P4" s="9"/>
      <c r="Q4" s="9"/>
      <c r="R4" s="9"/>
    </row>
    <row r="5" spans="1:22">
      <c r="A5" s="12"/>
      <c r="B5" s="12"/>
      <c r="C5" s="12"/>
      <c r="D5" s="12"/>
      <c r="E5" s="12"/>
      <c r="F5" s="12"/>
      <c r="G5" s="12"/>
      <c r="H5" s="12"/>
      <c r="J5" s="33"/>
      <c r="L5" s="33"/>
      <c r="M5" s="209"/>
      <c r="N5" s="209"/>
      <c r="O5" s="60"/>
      <c r="P5" s="70"/>
      <c r="Q5" s="71"/>
      <c r="R5" s="71"/>
      <c r="S5" s="71"/>
      <c r="V5" s="71" t="s">
        <v>120</v>
      </c>
    </row>
    <row r="6" spans="1:22" ht="6" customHeight="1">
      <c r="A6" s="12"/>
      <c r="B6" s="12"/>
      <c r="C6" s="12"/>
      <c r="D6" s="12"/>
      <c r="E6" s="12"/>
      <c r="F6" s="12"/>
      <c r="G6" s="12"/>
      <c r="H6" s="12"/>
      <c r="J6" s="33"/>
      <c r="L6" s="33"/>
      <c r="M6" s="209"/>
      <c r="N6" s="209"/>
      <c r="O6" s="209"/>
      <c r="P6" s="9"/>
      <c r="Q6" s="9"/>
      <c r="R6" s="9"/>
    </row>
    <row r="7" spans="1:22" ht="15.75">
      <c r="A7" s="58" t="s">
        <v>177</v>
      </c>
      <c r="B7" s="12"/>
      <c r="C7" s="12"/>
      <c r="D7" s="127">
        <f>SUM(D10,D23,D24)</f>
        <v>2535</v>
      </c>
      <c r="E7" s="127">
        <f>SUM(E10,E23,E24)</f>
        <v>2469</v>
      </c>
      <c r="F7" s="127">
        <f>SUM(F10,F23,F24)</f>
        <v>2781</v>
      </c>
      <c r="G7" s="127">
        <f>SUM(G10,G23,G24)</f>
        <v>2776</v>
      </c>
      <c r="H7" s="127">
        <f t="shared" ref="H7:O7" si="0">SUM(H10,H23,H24)</f>
        <v>3058</v>
      </c>
      <c r="I7" s="127">
        <f t="shared" si="0"/>
        <v>3506</v>
      </c>
      <c r="J7" s="127">
        <f t="shared" si="0"/>
        <v>3714</v>
      </c>
      <c r="K7" s="127">
        <f t="shared" si="0"/>
        <v>3804</v>
      </c>
      <c r="L7" s="127">
        <f t="shared" si="0"/>
        <v>3817</v>
      </c>
      <c r="M7" s="127">
        <f t="shared" si="0"/>
        <v>4218</v>
      </c>
      <c r="N7" s="127">
        <f t="shared" si="0"/>
        <v>4288</v>
      </c>
      <c r="O7" s="127">
        <f t="shared" si="0"/>
        <v>4791.6961348002969</v>
      </c>
      <c r="P7" s="127">
        <f t="shared" ref="P7:V7" si="1">SUM(P10,P23,P24)</f>
        <v>4737.8088559406378</v>
      </c>
      <c r="Q7" s="127">
        <f t="shared" si="1"/>
        <v>4765.2420763299278</v>
      </c>
      <c r="R7" s="127">
        <f t="shared" si="1"/>
        <v>3899.0164492446047</v>
      </c>
      <c r="S7" s="127">
        <f t="shared" si="1"/>
        <v>3618.1726777924223</v>
      </c>
      <c r="T7" s="127">
        <f t="shared" si="1"/>
        <v>3579.3039087883126</v>
      </c>
      <c r="U7" s="127">
        <f t="shared" si="1"/>
        <v>3645.2152056880786</v>
      </c>
      <c r="V7" s="127">
        <f t="shared" si="1"/>
        <v>3591.5399123783313</v>
      </c>
    </row>
    <row r="8" spans="1:22" ht="6" customHeight="1">
      <c r="A8" s="12"/>
      <c r="B8" s="12"/>
      <c r="C8" s="12"/>
      <c r="D8" s="84"/>
      <c r="E8" s="84"/>
      <c r="F8" s="84"/>
      <c r="G8" s="84"/>
      <c r="H8" s="84"/>
      <c r="I8" s="82"/>
      <c r="J8" s="84"/>
      <c r="K8" s="253"/>
      <c r="L8" s="253"/>
      <c r="M8" s="253"/>
      <c r="P8" s="9"/>
      <c r="Q8" s="9"/>
      <c r="R8" s="9"/>
      <c r="V8" s="12"/>
    </row>
    <row r="9" spans="1:22" ht="15.75">
      <c r="A9" s="58" t="s">
        <v>164</v>
      </c>
      <c r="B9" s="12"/>
      <c r="C9" s="12"/>
      <c r="D9" s="95"/>
      <c r="E9" s="95"/>
      <c r="F9" s="95"/>
      <c r="G9" s="95"/>
      <c r="H9" s="95"/>
      <c r="I9" s="95"/>
      <c r="J9" s="95"/>
      <c r="K9" s="95"/>
      <c r="L9" s="95"/>
      <c r="M9" s="95"/>
      <c r="P9" s="9"/>
      <c r="Q9" s="9"/>
      <c r="R9" s="9"/>
      <c r="V9" s="12"/>
    </row>
    <row r="10" spans="1:22" ht="15.75">
      <c r="B10" s="37" t="s">
        <v>92</v>
      </c>
      <c r="C10" s="254" t="s">
        <v>39</v>
      </c>
      <c r="D10" s="127">
        <f>SUM(D15:D22)</f>
        <v>2132</v>
      </c>
      <c r="E10" s="127">
        <f>SUM(E15:E22)</f>
        <v>2123</v>
      </c>
      <c r="F10" s="127">
        <f>SUM(F15:F22)</f>
        <v>2350</v>
      </c>
      <c r="G10" s="127">
        <f>SUM(G15:G22)</f>
        <v>2381</v>
      </c>
      <c r="H10" s="127">
        <f>SUM(H15:H22)</f>
        <v>2666</v>
      </c>
      <c r="I10" s="127">
        <f t="shared" ref="I10:O10" si="2">SUM(I15:I22)</f>
        <v>3110</v>
      </c>
      <c r="J10" s="127">
        <f t="shared" si="2"/>
        <v>3327</v>
      </c>
      <c r="K10" s="127">
        <f t="shared" si="2"/>
        <v>3459</v>
      </c>
      <c r="L10" s="127">
        <f t="shared" si="2"/>
        <v>3569</v>
      </c>
      <c r="M10" s="127">
        <f t="shared" si="2"/>
        <v>4009</v>
      </c>
      <c r="N10" s="127">
        <f t="shared" si="2"/>
        <v>4131</v>
      </c>
      <c r="O10" s="127">
        <f t="shared" si="2"/>
        <v>4561.6961348002969</v>
      </c>
      <c r="P10" s="127">
        <f t="shared" ref="P10:V10" si="3">SUM(P15:P22)</f>
        <v>4517.1130443508191</v>
      </c>
      <c r="Q10" s="127">
        <f t="shared" si="3"/>
        <v>4501.0319219986432</v>
      </c>
      <c r="R10" s="127">
        <f t="shared" si="3"/>
        <v>3673.5053234002121</v>
      </c>
      <c r="S10" s="127">
        <f t="shared" si="3"/>
        <v>3362.3162469191293</v>
      </c>
      <c r="T10" s="127">
        <f t="shared" si="3"/>
        <v>3368.2879601887635</v>
      </c>
      <c r="U10" s="127">
        <f t="shared" si="3"/>
        <v>3468.4611014870557</v>
      </c>
      <c r="V10" s="127">
        <f t="shared" si="3"/>
        <v>3398.568804782542</v>
      </c>
    </row>
    <row r="11" spans="1:22">
      <c r="B11" s="57" t="s">
        <v>97</v>
      </c>
      <c r="C11" s="26"/>
      <c r="D11" s="255">
        <v>177</v>
      </c>
      <c r="E11" s="255">
        <v>191</v>
      </c>
      <c r="F11" s="255">
        <v>179</v>
      </c>
      <c r="G11" s="255">
        <v>213</v>
      </c>
      <c r="H11" s="255">
        <v>349</v>
      </c>
      <c r="I11" s="255">
        <v>448</v>
      </c>
      <c r="J11" s="255">
        <v>573</v>
      </c>
      <c r="K11" s="255">
        <v>454</v>
      </c>
      <c r="L11" s="255">
        <v>446</v>
      </c>
      <c r="M11" s="255">
        <v>783</v>
      </c>
      <c r="N11" s="255">
        <v>767</v>
      </c>
      <c r="O11" s="255">
        <v>852</v>
      </c>
      <c r="P11" s="255">
        <v>1076.5139803192262</v>
      </c>
      <c r="Q11" s="148">
        <v>1194.493215317462</v>
      </c>
      <c r="R11" s="148">
        <v>1035.2242959014613</v>
      </c>
      <c r="S11" s="292">
        <v>999.81571163308115</v>
      </c>
      <c r="T11" s="83">
        <v>1037.8406922131844</v>
      </c>
      <c r="U11" s="83">
        <v>1045.4904170403588</v>
      </c>
      <c r="V11" s="579">
        <v>1166.1247141134777</v>
      </c>
    </row>
    <row r="12" spans="1:22">
      <c r="B12" s="57" t="s">
        <v>98</v>
      </c>
      <c r="C12" s="26"/>
      <c r="D12" s="255">
        <v>1145</v>
      </c>
      <c r="E12" s="255">
        <v>1061</v>
      </c>
      <c r="F12" s="255">
        <v>1236</v>
      </c>
      <c r="G12" s="255">
        <v>1196</v>
      </c>
      <c r="H12" s="255">
        <v>1380</v>
      </c>
      <c r="I12" s="255">
        <v>1673</v>
      </c>
      <c r="J12" s="255">
        <v>1692</v>
      </c>
      <c r="K12" s="255">
        <v>1954</v>
      </c>
      <c r="L12" s="255">
        <v>2027</v>
      </c>
      <c r="M12" s="255">
        <v>2021</v>
      </c>
      <c r="N12" s="255">
        <v>1721</v>
      </c>
      <c r="O12" s="255">
        <v>1868</v>
      </c>
      <c r="P12" s="255">
        <v>1773.9363123760911</v>
      </c>
      <c r="Q12" s="148">
        <v>1741.7799554781284</v>
      </c>
      <c r="R12" s="148">
        <v>1339.1362697800669</v>
      </c>
      <c r="S12" s="370">
        <v>1101.6816080245203</v>
      </c>
      <c r="T12" s="83">
        <v>1108.401896735269</v>
      </c>
      <c r="U12" s="83">
        <v>1176.0650005971613</v>
      </c>
      <c r="V12" s="579">
        <v>971.56868733922158</v>
      </c>
    </row>
    <row r="13" spans="1:22">
      <c r="B13" s="57" t="s">
        <v>276</v>
      </c>
      <c r="C13" s="26"/>
      <c r="D13" s="146" t="s">
        <v>130</v>
      </c>
      <c r="E13" s="146" t="s">
        <v>130</v>
      </c>
      <c r="F13" s="146" t="s">
        <v>130</v>
      </c>
      <c r="G13" s="146" t="s">
        <v>130</v>
      </c>
      <c r="H13" s="146" t="s">
        <v>130</v>
      </c>
      <c r="I13" s="146" t="s">
        <v>130</v>
      </c>
      <c r="J13" s="146" t="s">
        <v>130</v>
      </c>
      <c r="K13" s="146" t="s">
        <v>130</v>
      </c>
      <c r="L13" s="146" t="s">
        <v>130</v>
      </c>
      <c r="M13" s="146" t="s">
        <v>130</v>
      </c>
      <c r="N13" s="255">
        <v>566</v>
      </c>
      <c r="O13" s="255">
        <v>673</v>
      </c>
      <c r="P13" s="255">
        <v>656.04063491689328</v>
      </c>
      <c r="Q13" s="148">
        <v>644.14084995104474</v>
      </c>
      <c r="R13" s="148">
        <v>376.33867001155801</v>
      </c>
      <c r="S13" s="370">
        <v>409.11760440074397</v>
      </c>
      <c r="T13" s="164">
        <v>413.7211563915709</v>
      </c>
      <c r="U13" s="83">
        <v>363.66440629371311</v>
      </c>
      <c r="V13" s="579">
        <v>382.07639018250399</v>
      </c>
    </row>
    <row r="14" spans="1:22">
      <c r="B14" s="57" t="s">
        <v>419</v>
      </c>
      <c r="C14" s="26"/>
      <c r="D14" s="146" t="s">
        <v>130</v>
      </c>
      <c r="E14" s="146" t="s">
        <v>130</v>
      </c>
      <c r="F14" s="146" t="s">
        <v>130</v>
      </c>
      <c r="G14" s="146" t="s">
        <v>130</v>
      </c>
      <c r="H14" s="146" t="s">
        <v>130</v>
      </c>
      <c r="I14" s="146" t="s">
        <v>130</v>
      </c>
      <c r="J14" s="146" t="s">
        <v>130</v>
      </c>
      <c r="K14" s="146" t="s">
        <v>130</v>
      </c>
      <c r="L14" s="146" t="s">
        <v>130</v>
      </c>
      <c r="M14" s="146" t="s">
        <v>130</v>
      </c>
      <c r="N14" s="146" t="s">
        <v>130</v>
      </c>
      <c r="O14" s="146" t="s">
        <v>130</v>
      </c>
      <c r="P14" s="146" t="s">
        <v>130</v>
      </c>
      <c r="Q14" s="146" t="s">
        <v>130</v>
      </c>
      <c r="R14" s="148">
        <v>180.41613973618894</v>
      </c>
      <c r="S14" s="370">
        <v>163.52953751650463</v>
      </c>
      <c r="T14" s="164">
        <v>164.33241520237229</v>
      </c>
      <c r="U14" s="83">
        <v>197.08940068930545</v>
      </c>
      <c r="V14" s="579">
        <v>178.73553520845672</v>
      </c>
    </row>
    <row r="15" spans="1:22">
      <c r="B15" s="57" t="s">
        <v>300</v>
      </c>
      <c r="C15" s="26"/>
      <c r="D15" s="256">
        <f>SUM(D11:D14)</f>
        <v>1322</v>
      </c>
      <c r="E15" s="256">
        <f>SUM(E11:E14)</f>
        <v>1252</v>
      </c>
      <c r="F15" s="256">
        <f>SUM(F11:F14)</f>
        <v>1415</v>
      </c>
      <c r="G15" s="256">
        <f>SUM(G11:G14)</f>
        <v>1409</v>
      </c>
      <c r="H15" s="256">
        <f>SUM(H11:H14)</f>
        <v>1729</v>
      </c>
      <c r="I15" s="256">
        <f t="shared" ref="I15:S15" si="4">SUM(I11:I14)</f>
        <v>2121</v>
      </c>
      <c r="J15" s="256">
        <f t="shared" si="4"/>
        <v>2265</v>
      </c>
      <c r="K15" s="256">
        <f t="shared" si="4"/>
        <v>2408</v>
      </c>
      <c r="L15" s="256">
        <f t="shared" si="4"/>
        <v>2473</v>
      </c>
      <c r="M15" s="256">
        <f t="shared" si="4"/>
        <v>2804</v>
      </c>
      <c r="N15" s="256">
        <f t="shared" si="4"/>
        <v>3054</v>
      </c>
      <c r="O15" s="256">
        <f t="shared" si="4"/>
        <v>3393</v>
      </c>
      <c r="P15" s="256">
        <f t="shared" si="4"/>
        <v>3506.4909276122107</v>
      </c>
      <c r="Q15" s="256">
        <f t="shared" si="4"/>
        <v>3580.4140207466353</v>
      </c>
      <c r="R15" s="147">
        <f t="shared" si="4"/>
        <v>2931.115375429275</v>
      </c>
      <c r="S15" s="147">
        <f t="shared" si="4"/>
        <v>2674.1444615748501</v>
      </c>
      <c r="T15" s="147">
        <f>SUM(T11:T14)</f>
        <v>2724.2961605423966</v>
      </c>
      <c r="U15" s="147">
        <f>SUM(U11:U14)</f>
        <v>2782.3092246205383</v>
      </c>
      <c r="V15" s="147">
        <f>SUM(V11:V14)</f>
        <v>2698.50532684366</v>
      </c>
    </row>
    <row r="16" spans="1:22">
      <c r="B16" s="57" t="s">
        <v>93</v>
      </c>
      <c r="C16" s="26"/>
      <c r="D16" s="36">
        <v>366</v>
      </c>
      <c r="E16" s="36">
        <v>417</v>
      </c>
      <c r="F16" s="36">
        <v>388</v>
      </c>
      <c r="G16" s="36">
        <v>453</v>
      </c>
      <c r="H16" s="36">
        <v>314</v>
      </c>
      <c r="I16" s="36">
        <v>341</v>
      </c>
      <c r="J16" s="36">
        <v>373</v>
      </c>
      <c r="K16" s="36">
        <v>352</v>
      </c>
      <c r="L16" s="36">
        <v>364</v>
      </c>
      <c r="M16" s="255">
        <v>435</v>
      </c>
      <c r="N16" s="255">
        <v>383</v>
      </c>
      <c r="O16" s="255">
        <v>148.97936765542821</v>
      </c>
      <c r="P16" s="255">
        <v>116.699902790463</v>
      </c>
      <c r="Q16" s="148">
        <v>101.9831161721994</v>
      </c>
      <c r="R16" s="148">
        <v>108.63135069907739</v>
      </c>
      <c r="S16" s="370">
        <v>87.112898688115607</v>
      </c>
      <c r="T16" s="164">
        <v>76.288447242482789</v>
      </c>
      <c r="U16" s="83">
        <v>84.121595602555615</v>
      </c>
      <c r="V16" s="579">
        <v>73.947286890384532</v>
      </c>
    </row>
    <row r="17" spans="1:22">
      <c r="B17" s="57" t="s">
        <v>94</v>
      </c>
      <c r="C17" s="26"/>
      <c r="D17" s="36">
        <v>128</v>
      </c>
      <c r="E17" s="36">
        <v>116</v>
      </c>
      <c r="F17" s="36">
        <v>159</v>
      </c>
      <c r="G17" s="36">
        <v>172</v>
      </c>
      <c r="H17" s="36">
        <v>188</v>
      </c>
      <c r="I17" s="36">
        <v>191</v>
      </c>
      <c r="J17" s="36">
        <v>187</v>
      </c>
      <c r="K17" s="36">
        <v>167</v>
      </c>
      <c r="L17" s="36">
        <v>183</v>
      </c>
      <c r="M17" s="255">
        <v>225</v>
      </c>
      <c r="N17" s="255">
        <v>186</v>
      </c>
      <c r="O17" s="255">
        <v>191.54293211368335</v>
      </c>
      <c r="P17" s="255">
        <v>183.16510194294835</v>
      </c>
      <c r="Q17" s="148">
        <v>215.3168442524115</v>
      </c>
      <c r="R17" s="148">
        <v>139.50289167103665</v>
      </c>
      <c r="S17" s="370">
        <v>126.72690407152849</v>
      </c>
      <c r="T17" s="164">
        <v>146.77024054712578</v>
      </c>
      <c r="U17" s="83">
        <v>190.14300957149919</v>
      </c>
      <c r="V17" s="579">
        <v>133.71694792937362</v>
      </c>
    </row>
    <row r="18" spans="1:22">
      <c r="B18" s="57" t="s">
        <v>95</v>
      </c>
      <c r="C18" s="26"/>
      <c r="D18" s="36">
        <v>9</v>
      </c>
      <c r="E18" s="36">
        <v>19</v>
      </c>
      <c r="F18" s="36">
        <v>12</v>
      </c>
      <c r="G18" s="36">
        <v>22</v>
      </c>
      <c r="H18" s="36">
        <v>38</v>
      </c>
      <c r="I18" s="36">
        <v>51</v>
      </c>
      <c r="J18" s="36">
        <v>69</v>
      </c>
      <c r="K18" s="36">
        <v>114</v>
      </c>
      <c r="L18" s="36">
        <v>121</v>
      </c>
      <c r="M18" s="255">
        <v>115</v>
      </c>
      <c r="N18" s="255">
        <v>102</v>
      </c>
      <c r="O18" s="255">
        <v>108.86125269440195</v>
      </c>
      <c r="P18" s="255">
        <v>58.130299982730328</v>
      </c>
      <c r="Q18" s="148">
        <v>80.665007376509607</v>
      </c>
      <c r="R18" s="148">
        <v>47.020422324629727</v>
      </c>
      <c r="S18" s="370">
        <v>44.473547090829626</v>
      </c>
      <c r="T18" s="164">
        <v>35.050585638370038</v>
      </c>
      <c r="U18" s="83">
        <v>35.519440155347453</v>
      </c>
      <c r="V18" s="579">
        <v>24.341581559025588</v>
      </c>
    </row>
    <row r="19" spans="1:22">
      <c r="B19" s="57" t="s">
        <v>96</v>
      </c>
      <c r="C19" s="26"/>
      <c r="D19" s="36">
        <v>162</v>
      </c>
      <c r="E19" s="36">
        <v>150</v>
      </c>
      <c r="F19" s="36">
        <v>182</v>
      </c>
      <c r="G19" s="36">
        <v>152</v>
      </c>
      <c r="H19" s="36">
        <v>185</v>
      </c>
      <c r="I19" s="36">
        <v>148</v>
      </c>
      <c r="J19" s="36">
        <v>149</v>
      </c>
      <c r="K19" s="36">
        <v>182</v>
      </c>
      <c r="L19" s="36">
        <v>164</v>
      </c>
      <c r="M19" s="255">
        <v>156</v>
      </c>
      <c r="N19" s="255">
        <v>164</v>
      </c>
      <c r="O19" s="255">
        <v>159.38194352209155</v>
      </c>
      <c r="P19" s="255">
        <v>157.96046824417201</v>
      </c>
      <c r="Q19" s="148">
        <v>134.21830080689014</v>
      </c>
      <c r="R19" s="148">
        <v>130.04926914677083</v>
      </c>
      <c r="S19" s="370">
        <v>129.9602369532829</v>
      </c>
      <c r="T19" s="164">
        <v>124.50616847304791</v>
      </c>
      <c r="U19" s="83">
        <v>132.0811029774471</v>
      </c>
      <c r="V19" s="579">
        <v>161.19265315860798</v>
      </c>
    </row>
    <row r="20" spans="1:22">
      <c r="B20" s="685" t="s">
        <v>322</v>
      </c>
      <c r="C20" s="686"/>
      <c r="D20" s="146" t="s">
        <v>130</v>
      </c>
      <c r="E20" s="146" t="s">
        <v>130</v>
      </c>
      <c r="F20" s="146" t="s">
        <v>130</v>
      </c>
      <c r="G20" s="146" t="s">
        <v>130</v>
      </c>
      <c r="H20" s="146" t="s">
        <v>130</v>
      </c>
      <c r="I20" s="146" t="s">
        <v>130</v>
      </c>
      <c r="J20" s="146" t="s">
        <v>130</v>
      </c>
      <c r="K20" s="146" t="s">
        <v>130</v>
      </c>
      <c r="L20" s="146" t="s">
        <v>130</v>
      </c>
      <c r="M20" s="146" t="s">
        <v>130</v>
      </c>
      <c r="N20" s="146" t="s">
        <v>130</v>
      </c>
      <c r="O20" s="255">
        <v>136.30940333954729</v>
      </c>
      <c r="P20" s="255">
        <v>175.9009430196522</v>
      </c>
      <c r="Q20" s="148">
        <v>127.95349358346955</v>
      </c>
      <c r="R20" s="148">
        <v>105.25613907293982</v>
      </c>
      <c r="S20" s="370">
        <v>118.852621410729</v>
      </c>
      <c r="T20" s="164">
        <v>82.533739958307649</v>
      </c>
      <c r="U20" s="83">
        <v>90.530194427014521</v>
      </c>
      <c r="V20" s="579">
        <v>79.803456704096163</v>
      </c>
    </row>
    <row r="21" spans="1:22">
      <c r="B21" s="685" t="s">
        <v>323</v>
      </c>
      <c r="C21" s="686"/>
      <c r="D21" s="146" t="s">
        <v>130</v>
      </c>
      <c r="E21" s="146" t="s">
        <v>130</v>
      </c>
      <c r="F21" s="146" t="s">
        <v>130</v>
      </c>
      <c r="G21" s="146" t="s">
        <v>130</v>
      </c>
      <c r="H21" s="146" t="s">
        <v>130</v>
      </c>
      <c r="I21" s="146" t="s">
        <v>130</v>
      </c>
      <c r="J21" s="146" t="s">
        <v>130</v>
      </c>
      <c r="K21" s="146" t="s">
        <v>130</v>
      </c>
      <c r="L21" s="146" t="s">
        <v>130</v>
      </c>
      <c r="M21" s="146" t="s">
        <v>130</v>
      </c>
      <c r="N21" s="146" t="s">
        <v>130</v>
      </c>
      <c r="O21" s="255">
        <v>38.790680606514698</v>
      </c>
      <c r="P21" s="255">
        <v>22.067340172317806</v>
      </c>
      <c r="Q21" s="148">
        <v>17.692105653826232</v>
      </c>
      <c r="R21" s="148">
        <v>13.393698842736343</v>
      </c>
      <c r="S21" s="370">
        <v>19.468913713773084</v>
      </c>
      <c r="T21" s="164">
        <v>14.383582110897628</v>
      </c>
      <c r="U21" s="83">
        <v>16.725365664884841</v>
      </c>
      <c r="V21" s="579">
        <v>19.375857418806831</v>
      </c>
    </row>
    <row r="22" spans="1:22">
      <c r="B22" s="57" t="s">
        <v>178</v>
      </c>
      <c r="C22" s="26"/>
      <c r="D22" s="36">
        <v>145</v>
      </c>
      <c r="E22" s="36">
        <v>169</v>
      </c>
      <c r="F22" s="36">
        <v>194</v>
      </c>
      <c r="G22" s="36">
        <v>173</v>
      </c>
      <c r="H22" s="36">
        <v>212</v>
      </c>
      <c r="I22" s="36">
        <v>258</v>
      </c>
      <c r="J22" s="36">
        <v>284</v>
      </c>
      <c r="K22" s="36">
        <v>236</v>
      </c>
      <c r="L22" s="36">
        <v>264</v>
      </c>
      <c r="M22" s="255">
        <v>274</v>
      </c>
      <c r="N22" s="255">
        <v>242</v>
      </c>
      <c r="O22" s="255">
        <v>384.8305548686298</v>
      </c>
      <c r="P22" s="255">
        <v>296.69806058632491</v>
      </c>
      <c r="Q22" s="148">
        <v>242.78903340670104</v>
      </c>
      <c r="R22" s="148">
        <v>198.53617621374661</v>
      </c>
      <c r="S22" s="370">
        <v>161.57666341602032</v>
      </c>
      <c r="T22" s="164">
        <v>164.4590356761345</v>
      </c>
      <c r="U22" s="83">
        <v>137.03116846776803</v>
      </c>
      <c r="V22" s="579">
        <v>207.68569427858694</v>
      </c>
    </row>
    <row r="23" spans="1:22" ht="15.75">
      <c r="B23" s="37" t="s">
        <v>100</v>
      </c>
      <c r="C23" s="26"/>
      <c r="D23" s="36">
        <v>25</v>
      </c>
      <c r="E23" s="36">
        <v>64</v>
      </c>
      <c r="F23" s="36">
        <v>60</v>
      </c>
      <c r="G23" s="36">
        <v>104</v>
      </c>
      <c r="H23" s="36">
        <v>90</v>
      </c>
      <c r="I23" s="36">
        <v>60</v>
      </c>
      <c r="J23" s="36">
        <v>44</v>
      </c>
      <c r="K23" s="36">
        <v>41</v>
      </c>
      <c r="L23" s="36">
        <v>54</v>
      </c>
      <c r="M23" s="255">
        <v>36</v>
      </c>
      <c r="N23" s="255">
        <v>52</v>
      </c>
      <c r="O23" s="255">
        <v>55</v>
      </c>
      <c r="P23" s="255">
        <v>65.02836106252613</v>
      </c>
      <c r="Q23" s="148">
        <v>82.626530470525012</v>
      </c>
      <c r="R23" s="148">
        <v>62.701383279623229</v>
      </c>
      <c r="S23" s="370">
        <v>76</v>
      </c>
      <c r="T23" s="164">
        <v>55.309982525498782</v>
      </c>
      <c r="U23" s="83">
        <v>63.75668418162099</v>
      </c>
      <c r="V23" s="579">
        <v>59.492269349885824</v>
      </c>
    </row>
    <row r="24" spans="1:22" ht="15.75">
      <c r="B24" s="37" t="s">
        <v>102</v>
      </c>
      <c r="C24" s="254" t="s">
        <v>39</v>
      </c>
      <c r="D24" s="127">
        <f t="shared" ref="D24:K24" si="5">SUM(D25:D27)</f>
        <v>378</v>
      </c>
      <c r="E24" s="127">
        <f t="shared" si="5"/>
        <v>282</v>
      </c>
      <c r="F24" s="127">
        <f t="shared" si="5"/>
        <v>371</v>
      </c>
      <c r="G24" s="127">
        <f t="shared" si="5"/>
        <v>291</v>
      </c>
      <c r="H24" s="127">
        <f t="shared" si="5"/>
        <v>302</v>
      </c>
      <c r="I24" s="127">
        <f t="shared" si="5"/>
        <v>336</v>
      </c>
      <c r="J24" s="127">
        <f t="shared" si="5"/>
        <v>343</v>
      </c>
      <c r="K24" s="127">
        <f t="shared" si="5"/>
        <v>304</v>
      </c>
      <c r="L24" s="127">
        <f t="shared" ref="L24:R24" si="6">SUM(L25:L27)</f>
        <v>194</v>
      </c>
      <c r="M24" s="127">
        <f t="shared" si="6"/>
        <v>173</v>
      </c>
      <c r="N24" s="127">
        <f t="shared" si="6"/>
        <v>105</v>
      </c>
      <c r="O24" s="127">
        <f t="shared" si="6"/>
        <v>175</v>
      </c>
      <c r="P24" s="127">
        <f t="shared" si="6"/>
        <v>155.66745052729203</v>
      </c>
      <c r="Q24" s="127">
        <f t="shared" si="6"/>
        <v>181.58362386075984</v>
      </c>
      <c r="R24" s="127">
        <f t="shared" si="6"/>
        <v>162.80974256476932</v>
      </c>
      <c r="S24" s="127">
        <f>SUM(S25:S27)</f>
        <v>179.85643087329322</v>
      </c>
      <c r="T24" s="127">
        <f>SUM(T25:T27)</f>
        <v>155.70596607405002</v>
      </c>
      <c r="U24" s="127">
        <f>SUM(U25:U27)</f>
        <v>112.997420019402</v>
      </c>
      <c r="V24" s="127">
        <f>SUM(V25:V27)</f>
        <v>133.47883824590352</v>
      </c>
    </row>
    <row r="25" spans="1:22">
      <c r="B25" s="57" t="s">
        <v>103</v>
      </c>
      <c r="C25" s="26"/>
      <c r="D25" s="36">
        <v>310</v>
      </c>
      <c r="E25" s="36">
        <v>212</v>
      </c>
      <c r="F25" s="36">
        <v>276</v>
      </c>
      <c r="G25" s="36">
        <v>221</v>
      </c>
      <c r="H25" s="36">
        <v>194</v>
      </c>
      <c r="I25" s="36">
        <v>224</v>
      </c>
      <c r="J25" s="36">
        <v>243</v>
      </c>
      <c r="K25" s="36">
        <v>213</v>
      </c>
      <c r="L25" s="36">
        <v>124</v>
      </c>
      <c r="M25" s="255">
        <v>109</v>
      </c>
      <c r="N25" s="255">
        <v>57</v>
      </c>
      <c r="O25" s="255">
        <v>119</v>
      </c>
      <c r="P25" s="255">
        <v>67.867111074434902</v>
      </c>
      <c r="Q25" s="148">
        <v>107.49493761799542</v>
      </c>
      <c r="R25" s="148">
        <v>109.29704859646361</v>
      </c>
      <c r="S25" s="370">
        <v>118.14846538841277</v>
      </c>
      <c r="T25" s="164">
        <v>107.74433729929</v>
      </c>
      <c r="U25" s="83">
        <v>74.159213512289526</v>
      </c>
      <c r="V25" s="579">
        <v>104.995693390836</v>
      </c>
    </row>
    <row r="26" spans="1:22">
      <c r="B26" s="57" t="s">
        <v>104</v>
      </c>
      <c r="C26" s="26"/>
      <c r="D26" s="36">
        <v>68</v>
      </c>
      <c r="E26" s="36">
        <v>66</v>
      </c>
      <c r="F26" s="36">
        <v>90</v>
      </c>
      <c r="G26" s="36">
        <v>68</v>
      </c>
      <c r="H26" s="36">
        <v>94</v>
      </c>
      <c r="I26" s="36">
        <v>89</v>
      </c>
      <c r="J26" s="36">
        <v>87</v>
      </c>
      <c r="K26" s="36">
        <v>85</v>
      </c>
      <c r="L26" s="36">
        <v>61</v>
      </c>
      <c r="M26" s="255">
        <v>54</v>
      </c>
      <c r="N26" s="255">
        <v>47</v>
      </c>
      <c r="O26" s="255">
        <v>45</v>
      </c>
      <c r="P26" s="255">
        <v>51.683772101532703</v>
      </c>
      <c r="Q26" s="148">
        <v>45.85659529942015</v>
      </c>
      <c r="R26" s="148">
        <v>37.127392193167204</v>
      </c>
      <c r="S26" s="370">
        <v>33.83683269772088</v>
      </c>
      <c r="T26" s="164">
        <v>43.137353864250379</v>
      </c>
      <c r="U26" s="83">
        <v>35.125064899355067</v>
      </c>
      <c r="V26" s="579">
        <v>25.64406420483629</v>
      </c>
    </row>
    <row r="27" spans="1:22">
      <c r="B27" s="57" t="s">
        <v>105</v>
      </c>
      <c r="C27" s="26"/>
      <c r="D27" s="36">
        <v>0</v>
      </c>
      <c r="E27" s="36">
        <v>4</v>
      </c>
      <c r="F27" s="36">
        <v>5</v>
      </c>
      <c r="G27" s="36">
        <v>2</v>
      </c>
      <c r="H27" s="36">
        <v>14</v>
      </c>
      <c r="I27" s="36">
        <v>23</v>
      </c>
      <c r="J27" s="36">
        <v>13</v>
      </c>
      <c r="K27" s="36">
        <v>6</v>
      </c>
      <c r="L27" s="36">
        <v>9</v>
      </c>
      <c r="M27" s="255">
        <v>10</v>
      </c>
      <c r="N27" s="255">
        <v>1</v>
      </c>
      <c r="O27" s="255">
        <v>11</v>
      </c>
      <c r="P27" s="255">
        <v>36.116567351324434</v>
      </c>
      <c r="Q27" s="148">
        <v>28.232090943344275</v>
      </c>
      <c r="R27" s="148">
        <v>16.385301775138522</v>
      </c>
      <c r="S27" s="370">
        <v>27.871132787159571</v>
      </c>
      <c r="T27" s="164">
        <v>4.8242749105096516</v>
      </c>
      <c r="U27" s="83">
        <v>3.7131416077574126</v>
      </c>
      <c r="V27" s="579">
        <v>2.8390806502312418</v>
      </c>
    </row>
    <row r="28" spans="1:22" ht="6" customHeight="1">
      <c r="C28" s="26"/>
      <c r="D28" s="50"/>
      <c r="E28" s="50"/>
      <c r="F28" s="50"/>
      <c r="G28" s="50"/>
      <c r="H28" s="50"/>
      <c r="I28" s="50"/>
      <c r="J28" s="50"/>
      <c r="K28" s="50"/>
      <c r="L28" s="50"/>
      <c r="M28" s="50"/>
      <c r="P28" s="9"/>
      <c r="Q28" s="9"/>
      <c r="S28" s="60"/>
      <c r="T28" s="60"/>
      <c r="U28" s="83"/>
      <c r="V28" s="12"/>
    </row>
    <row r="29" spans="1:22" ht="15.75">
      <c r="A29" s="257" t="s">
        <v>165</v>
      </c>
      <c r="B29" s="26"/>
      <c r="C29" s="26"/>
      <c r="D29" s="50"/>
      <c r="E29" s="50"/>
      <c r="F29" s="50"/>
      <c r="G29" s="50"/>
      <c r="H29" s="50"/>
      <c r="I29" s="50"/>
      <c r="J29" s="50"/>
      <c r="K29" s="50"/>
      <c r="L29" s="50"/>
      <c r="M29" s="50"/>
      <c r="P29" s="9"/>
      <c r="Q29" s="9"/>
      <c r="S29" s="60"/>
      <c r="T29" s="60"/>
      <c r="U29" s="83"/>
      <c r="V29" s="12"/>
    </row>
    <row r="30" spans="1:22">
      <c r="A30" s="26"/>
      <c r="B30" s="26" t="s">
        <v>166</v>
      </c>
      <c r="C30" s="26"/>
      <c r="D30" s="21">
        <v>1306</v>
      </c>
      <c r="E30" s="21">
        <v>1160</v>
      </c>
      <c r="F30" s="21">
        <v>1351</v>
      </c>
      <c r="G30" s="21">
        <v>1224</v>
      </c>
      <c r="H30" s="21">
        <v>1560</v>
      </c>
      <c r="I30" s="21">
        <v>1785</v>
      </c>
      <c r="J30" s="21">
        <v>1847</v>
      </c>
      <c r="K30" s="21">
        <v>1978</v>
      </c>
      <c r="L30" s="21">
        <v>1903</v>
      </c>
      <c r="M30" s="255">
        <v>1969</v>
      </c>
      <c r="N30" s="255">
        <v>1580</v>
      </c>
      <c r="O30" s="255">
        <v>1681</v>
      </c>
      <c r="P30" s="255">
        <v>1686.5800968261381</v>
      </c>
      <c r="Q30" s="148">
        <v>1512.2044654589454</v>
      </c>
      <c r="R30" s="95">
        <v>1161.3057910991433</v>
      </c>
      <c r="S30" s="370">
        <v>1194.8586045782902</v>
      </c>
      <c r="T30" s="83">
        <v>1128.3530814517196</v>
      </c>
      <c r="U30" s="83">
        <v>1210.2257844590138</v>
      </c>
      <c r="V30" s="579">
        <v>1123.0171314871363</v>
      </c>
    </row>
    <row r="31" spans="1:22">
      <c r="A31" s="26"/>
      <c r="B31" s="26" t="s">
        <v>167</v>
      </c>
      <c r="C31" s="26"/>
      <c r="D31" s="21">
        <v>640</v>
      </c>
      <c r="E31" s="21">
        <v>661</v>
      </c>
      <c r="F31" s="21">
        <v>737</v>
      </c>
      <c r="G31" s="21">
        <v>739</v>
      </c>
      <c r="H31" s="21">
        <v>817</v>
      </c>
      <c r="I31" s="21">
        <v>897</v>
      </c>
      <c r="J31" s="21">
        <v>1007</v>
      </c>
      <c r="K31" s="21">
        <v>1042</v>
      </c>
      <c r="L31" s="21">
        <v>1084</v>
      </c>
      <c r="M31" s="255">
        <v>1212</v>
      </c>
      <c r="N31" s="255">
        <v>1505</v>
      </c>
      <c r="O31" s="255">
        <v>1694</v>
      </c>
      <c r="P31" s="255">
        <v>1642.966488385418</v>
      </c>
      <c r="Q31" s="148">
        <v>1827.5640593765254</v>
      </c>
      <c r="R31" s="95">
        <v>1453.9356414028584</v>
      </c>
      <c r="S31" s="292">
        <v>1378.2439666059213</v>
      </c>
      <c r="T31" s="83">
        <v>1322.9170742785716</v>
      </c>
      <c r="U31" s="83">
        <v>1335.0237535359049</v>
      </c>
      <c r="V31" s="579">
        <v>1363.4439913555602</v>
      </c>
    </row>
    <row r="32" spans="1:22">
      <c r="A32" s="26"/>
      <c r="B32" s="26" t="s">
        <v>28</v>
      </c>
      <c r="C32" s="26"/>
      <c r="D32" s="21">
        <v>286</v>
      </c>
      <c r="E32" s="21">
        <v>284</v>
      </c>
      <c r="F32" s="21">
        <v>328</v>
      </c>
      <c r="G32" s="21">
        <v>390</v>
      </c>
      <c r="H32" s="21">
        <v>326</v>
      </c>
      <c r="I32" s="21">
        <v>374</v>
      </c>
      <c r="J32" s="21">
        <v>338</v>
      </c>
      <c r="K32" s="21">
        <v>329</v>
      </c>
      <c r="L32" s="21">
        <v>305</v>
      </c>
      <c r="M32" s="255">
        <v>329</v>
      </c>
      <c r="N32" s="255">
        <v>394</v>
      </c>
      <c r="O32" s="255">
        <v>383</v>
      </c>
      <c r="P32" s="255">
        <v>457.6139874379603</v>
      </c>
      <c r="Q32" s="148">
        <v>406.90904376103066</v>
      </c>
      <c r="R32" s="95">
        <v>396.57152678009948</v>
      </c>
      <c r="S32" s="292">
        <v>363.18594211773984</v>
      </c>
      <c r="T32" s="164">
        <v>398.62476753656182</v>
      </c>
      <c r="U32" s="83">
        <v>333.78878075761872</v>
      </c>
      <c r="V32" s="579">
        <v>325.31777462304882</v>
      </c>
    </row>
    <row r="33" spans="1:22">
      <c r="A33" s="26"/>
      <c r="B33" s="26" t="s">
        <v>169</v>
      </c>
      <c r="C33" s="26"/>
      <c r="D33" s="21">
        <v>215</v>
      </c>
      <c r="E33" s="21">
        <v>302</v>
      </c>
      <c r="F33" s="21">
        <v>269</v>
      </c>
      <c r="G33" s="21">
        <v>312</v>
      </c>
      <c r="H33" s="21">
        <v>282</v>
      </c>
      <c r="I33" s="21">
        <v>358</v>
      </c>
      <c r="J33" s="21">
        <v>455</v>
      </c>
      <c r="K33" s="21">
        <v>391</v>
      </c>
      <c r="L33" s="21">
        <v>389</v>
      </c>
      <c r="M33" s="255">
        <v>598</v>
      </c>
      <c r="N33" s="255">
        <v>692</v>
      </c>
      <c r="O33" s="255">
        <v>859</v>
      </c>
      <c r="P33" s="255">
        <v>824.29345172156695</v>
      </c>
      <c r="Q33" s="148">
        <v>912.70345971976133</v>
      </c>
      <c r="R33" s="95">
        <v>799.63714689902611</v>
      </c>
      <c r="S33" s="292">
        <v>611.49027025297858</v>
      </c>
      <c r="T33" s="164">
        <v>669.73422948941652</v>
      </c>
      <c r="U33" s="83">
        <v>672.79752905318992</v>
      </c>
      <c r="V33" s="579">
        <v>710.86835562129932</v>
      </c>
    </row>
    <row r="34" spans="1:22">
      <c r="A34" s="26"/>
      <c r="B34" s="26" t="s">
        <v>168</v>
      </c>
      <c r="C34" s="26"/>
      <c r="D34" s="21">
        <v>87</v>
      </c>
      <c r="E34" s="21">
        <v>61</v>
      </c>
      <c r="F34" s="21">
        <v>94</v>
      </c>
      <c r="G34" s="21">
        <v>111</v>
      </c>
      <c r="H34" s="21">
        <v>73</v>
      </c>
      <c r="I34" s="21">
        <v>90</v>
      </c>
      <c r="J34" s="21">
        <v>68</v>
      </c>
      <c r="K34" s="21">
        <v>64</v>
      </c>
      <c r="L34" s="21">
        <v>136</v>
      </c>
      <c r="M34" s="255">
        <v>110</v>
      </c>
      <c r="N34" s="255">
        <v>118</v>
      </c>
      <c r="O34" s="255">
        <v>174</v>
      </c>
      <c r="P34" s="255">
        <v>126.35483156958117</v>
      </c>
      <c r="Q34" s="148">
        <v>104.12217437042612</v>
      </c>
      <c r="R34" s="95">
        <v>87.566343063471237</v>
      </c>
      <c r="S34" s="292">
        <v>69.765573051362878</v>
      </c>
      <c r="T34" s="164">
        <v>59.674756032034431</v>
      </c>
      <c r="U34" s="83">
        <v>93.379357882346568</v>
      </c>
      <c r="V34" s="579">
        <v>68.892659291285355</v>
      </c>
    </row>
    <row r="35" spans="1:22" ht="6" customHeight="1">
      <c r="A35" s="26"/>
      <c r="B35" s="26"/>
      <c r="C35" s="26"/>
      <c r="D35" s="50"/>
      <c r="E35" s="50"/>
      <c r="F35" s="50"/>
      <c r="G35" s="50"/>
      <c r="H35" s="50"/>
      <c r="I35" s="50"/>
      <c r="J35" s="50"/>
      <c r="K35" s="50"/>
      <c r="L35" s="50"/>
      <c r="M35" s="50"/>
      <c r="P35" s="9"/>
      <c r="Q35" s="9"/>
      <c r="S35" s="60"/>
      <c r="T35" s="60"/>
      <c r="U35" s="83"/>
      <c r="V35" s="12"/>
    </row>
    <row r="36" spans="1:22" ht="15.75">
      <c r="A36" s="257" t="s">
        <v>170</v>
      </c>
      <c r="B36" s="26"/>
      <c r="C36" s="26"/>
      <c r="D36" s="50"/>
      <c r="E36" s="50"/>
      <c r="F36" s="50"/>
      <c r="G36" s="50"/>
      <c r="H36" s="50"/>
      <c r="I36" s="50"/>
      <c r="J36" s="50"/>
      <c r="K36" s="50"/>
      <c r="L36" s="50"/>
      <c r="M36" s="50"/>
      <c r="P36" s="9"/>
      <c r="Q36" s="9"/>
      <c r="S36" s="60"/>
      <c r="T36" s="60"/>
      <c r="U36" s="83"/>
      <c r="V36" s="12"/>
    </row>
    <row r="37" spans="1:22">
      <c r="A37" s="26"/>
      <c r="B37" s="26" t="s">
        <v>189</v>
      </c>
      <c r="C37" s="26"/>
      <c r="D37" s="21">
        <v>1993</v>
      </c>
      <c r="E37" s="21">
        <v>1875</v>
      </c>
      <c r="F37" s="21">
        <v>2099</v>
      </c>
      <c r="G37" s="21">
        <v>2073</v>
      </c>
      <c r="H37" s="21">
        <v>2322</v>
      </c>
      <c r="I37" s="21">
        <v>2759</v>
      </c>
      <c r="J37" s="21">
        <v>2985</v>
      </c>
      <c r="K37" s="21">
        <v>3092</v>
      </c>
      <c r="L37" s="21">
        <v>3008</v>
      </c>
      <c r="M37" s="255">
        <v>3204</v>
      </c>
      <c r="N37" s="255">
        <v>3276</v>
      </c>
      <c r="O37" s="255">
        <v>3709</v>
      </c>
      <c r="P37" s="255">
        <v>3661.9873860422022</v>
      </c>
      <c r="Q37" s="148">
        <v>3692.0932059306729</v>
      </c>
      <c r="R37" s="95">
        <v>2932.5907644860335</v>
      </c>
      <c r="S37" s="292">
        <v>2709.0077711073886</v>
      </c>
      <c r="T37" s="83">
        <v>2767.919932617111</v>
      </c>
      <c r="U37" s="83">
        <v>2844.6464844833354</v>
      </c>
      <c r="V37" s="579">
        <v>2760.518888407933</v>
      </c>
    </row>
    <row r="38" spans="1:22">
      <c r="A38" s="26"/>
      <c r="B38" s="26" t="s">
        <v>172</v>
      </c>
      <c r="C38" s="26"/>
      <c r="D38" s="21">
        <v>11</v>
      </c>
      <c r="E38" s="21">
        <v>12</v>
      </c>
      <c r="F38" s="21">
        <v>28</v>
      </c>
      <c r="G38" s="21">
        <v>24</v>
      </c>
      <c r="H38" s="21">
        <v>21</v>
      </c>
      <c r="I38" s="21">
        <v>15</v>
      </c>
      <c r="J38" s="21">
        <v>12</v>
      </c>
      <c r="K38" s="21">
        <v>14</v>
      </c>
      <c r="L38" s="21">
        <v>29</v>
      </c>
      <c r="M38" s="255">
        <v>32</v>
      </c>
      <c r="N38" s="255">
        <v>41</v>
      </c>
      <c r="O38" s="255">
        <v>61</v>
      </c>
      <c r="P38" s="255">
        <v>47.891304141742438</v>
      </c>
      <c r="Q38" s="148">
        <v>64.300740174504838</v>
      </c>
      <c r="R38" s="95">
        <v>49.665315828620628</v>
      </c>
      <c r="S38" s="292">
        <v>48.014002224439565</v>
      </c>
      <c r="T38" s="164">
        <v>63.521973956225985</v>
      </c>
      <c r="U38" s="83">
        <v>50.278992556732653</v>
      </c>
      <c r="V38" s="579">
        <v>60.055776115536844</v>
      </c>
    </row>
    <row r="39" spans="1:22">
      <c r="A39" s="26"/>
      <c r="B39" s="26" t="s">
        <v>190</v>
      </c>
      <c r="C39" s="26"/>
      <c r="D39" s="21">
        <v>322</v>
      </c>
      <c r="E39" s="21">
        <v>353</v>
      </c>
      <c r="F39" s="21">
        <v>376</v>
      </c>
      <c r="G39" s="21">
        <v>383</v>
      </c>
      <c r="H39" s="21">
        <v>449</v>
      </c>
      <c r="I39" s="21">
        <v>465</v>
      </c>
      <c r="J39" s="21">
        <v>455</v>
      </c>
      <c r="K39" s="21">
        <v>388</v>
      </c>
      <c r="L39" s="21">
        <v>456</v>
      </c>
      <c r="M39" s="255">
        <v>497</v>
      </c>
      <c r="N39" s="255">
        <v>484</v>
      </c>
      <c r="O39" s="255">
        <v>503</v>
      </c>
      <c r="P39" s="255">
        <v>464.69055392389726</v>
      </c>
      <c r="Q39" s="148">
        <v>477.49059252832592</v>
      </c>
      <c r="R39" s="95">
        <v>365.40255242320393</v>
      </c>
      <c r="S39" s="292">
        <v>343.78262739240569</v>
      </c>
      <c r="T39" s="164">
        <v>284.69541268810059</v>
      </c>
      <c r="U39" s="83">
        <v>297.02362424306591</v>
      </c>
      <c r="V39" s="579">
        <v>266.86331424574217</v>
      </c>
    </row>
    <row r="40" spans="1:22">
      <c r="A40" s="26"/>
      <c r="B40" s="26" t="s">
        <v>173</v>
      </c>
      <c r="C40" s="26"/>
      <c r="D40" s="21">
        <v>21</v>
      </c>
      <c r="E40" s="21">
        <v>25</v>
      </c>
      <c r="F40" s="21">
        <v>25</v>
      </c>
      <c r="G40" s="21">
        <v>42</v>
      </c>
      <c r="H40" s="21">
        <v>31</v>
      </c>
      <c r="I40" s="21">
        <v>32</v>
      </c>
      <c r="J40" s="21">
        <v>39</v>
      </c>
      <c r="K40" s="21">
        <v>34</v>
      </c>
      <c r="L40" s="21">
        <v>32</v>
      </c>
      <c r="M40" s="255">
        <v>54</v>
      </c>
      <c r="N40" s="255">
        <v>77</v>
      </c>
      <c r="O40" s="255">
        <v>60</v>
      </c>
      <c r="P40" s="255">
        <v>70.77828892861406</v>
      </c>
      <c r="Q40" s="148">
        <v>52.161310684782656</v>
      </c>
      <c r="R40" s="95">
        <v>57.160125580471885</v>
      </c>
      <c r="S40" s="292">
        <v>55.38605520698006</v>
      </c>
      <c r="T40" s="164">
        <v>42.678901167516287</v>
      </c>
      <c r="U40" s="83">
        <v>38.198990582095853</v>
      </c>
      <c r="V40" s="579">
        <v>46.822031175334942</v>
      </c>
    </row>
    <row r="41" spans="1:22">
      <c r="A41" s="26"/>
      <c r="B41" s="26" t="s">
        <v>117</v>
      </c>
      <c r="C41" s="26"/>
      <c r="D41" s="21">
        <v>48</v>
      </c>
      <c r="E41" s="21">
        <v>71</v>
      </c>
      <c r="F41" s="21">
        <v>86</v>
      </c>
      <c r="G41" s="21">
        <v>94</v>
      </c>
      <c r="H41" s="21">
        <v>74</v>
      </c>
      <c r="I41" s="21">
        <v>94</v>
      </c>
      <c r="J41" s="21">
        <v>72</v>
      </c>
      <c r="K41" s="21">
        <v>80</v>
      </c>
      <c r="L41" s="21">
        <v>81</v>
      </c>
      <c r="M41" s="255">
        <v>154</v>
      </c>
      <c r="N41" s="255">
        <v>128</v>
      </c>
      <c r="O41" s="255">
        <v>158</v>
      </c>
      <c r="P41" s="255">
        <v>147.3630047429285</v>
      </c>
      <c r="Q41" s="148">
        <v>153.92672702587811</v>
      </c>
      <c r="R41" s="95">
        <v>146.08832690541908</v>
      </c>
      <c r="S41" s="292">
        <v>138.87040522136095</v>
      </c>
      <c r="T41" s="164">
        <v>132.00556632328028</v>
      </c>
      <c r="U41" s="83">
        <v>118.72315366431745</v>
      </c>
      <c r="V41" s="579">
        <v>139.81691211030358</v>
      </c>
    </row>
    <row r="42" spans="1:22">
      <c r="A42" s="26"/>
      <c r="B42" s="26" t="s">
        <v>174</v>
      </c>
      <c r="C42" s="26"/>
      <c r="D42" s="21">
        <v>139</v>
      </c>
      <c r="E42" s="21">
        <v>132</v>
      </c>
      <c r="F42" s="21">
        <v>165</v>
      </c>
      <c r="G42" s="21">
        <v>160</v>
      </c>
      <c r="H42" s="21">
        <v>161</v>
      </c>
      <c r="I42" s="21">
        <v>139</v>
      </c>
      <c r="J42" s="21">
        <v>153</v>
      </c>
      <c r="K42" s="21">
        <v>198</v>
      </c>
      <c r="L42" s="21">
        <v>212</v>
      </c>
      <c r="M42" s="255">
        <v>277</v>
      </c>
      <c r="N42" s="255">
        <v>282</v>
      </c>
      <c r="O42" s="255">
        <v>301</v>
      </c>
      <c r="P42" s="255">
        <v>345.0983181611789</v>
      </c>
      <c r="Q42" s="148">
        <v>323.53062634242485</v>
      </c>
      <c r="R42" s="95">
        <v>348.10936402076823</v>
      </c>
      <c r="S42" s="292">
        <v>322.48349545372599</v>
      </c>
      <c r="T42" s="164">
        <v>288.48212203599309</v>
      </c>
      <c r="U42" s="83">
        <v>296.34396015856805</v>
      </c>
      <c r="V42" s="579">
        <v>317.46299032349719</v>
      </c>
    </row>
    <row r="43" spans="1:22" ht="6" customHeight="1">
      <c r="A43" s="26"/>
      <c r="B43" s="26"/>
      <c r="C43" s="26"/>
      <c r="D43" s="50"/>
      <c r="E43" s="50"/>
      <c r="F43" s="50"/>
      <c r="G43" s="50"/>
      <c r="H43" s="50"/>
      <c r="I43" s="50"/>
      <c r="J43" s="50"/>
      <c r="K43" s="50"/>
      <c r="L43" s="50"/>
      <c r="M43" s="50"/>
      <c r="N43" s="50"/>
      <c r="P43" s="9"/>
      <c r="Q43" s="9"/>
      <c r="S43" s="60"/>
      <c r="T43" s="60"/>
      <c r="U43" s="83"/>
      <c r="V43" s="12"/>
    </row>
    <row r="44" spans="1:22" ht="15.75">
      <c r="A44" s="257" t="s">
        <v>400</v>
      </c>
      <c r="B44" s="26"/>
      <c r="C44" s="26"/>
      <c r="D44" s="50"/>
      <c r="E44" s="50"/>
      <c r="F44" s="50"/>
      <c r="G44" s="50"/>
      <c r="H44" s="50"/>
      <c r="I44" s="50"/>
      <c r="J44" s="50"/>
      <c r="K44" s="50"/>
      <c r="L44" s="50"/>
      <c r="M44" s="50"/>
      <c r="N44" s="50"/>
      <c r="P44" s="9"/>
      <c r="Q44" s="9"/>
      <c r="S44" s="60"/>
      <c r="T44" s="60"/>
      <c r="U44" s="83"/>
      <c r="V44" s="12"/>
    </row>
    <row r="45" spans="1:22" ht="6" customHeight="1">
      <c r="A45" s="26"/>
      <c r="B45" s="26"/>
      <c r="C45" s="26"/>
      <c r="D45" s="50"/>
      <c r="E45" s="50"/>
      <c r="F45" s="50"/>
      <c r="G45" s="50"/>
      <c r="H45" s="50"/>
      <c r="I45" s="50"/>
      <c r="J45" s="50"/>
      <c r="K45" s="50"/>
      <c r="L45" s="50"/>
      <c r="M45" s="50"/>
      <c r="N45" s="50"/>
      <c r="P45" s="9"/>
      <c r="Q45" s="9"/>
      <c r="S45" s="60"/>
      <c r="T45" s="60"/>
      <c r="U45" s="83"/>
      <c r="V45" s="12"/>
    </row>
    <row r="46" spans="1:22" ht="15.75">
      <c r="A46" s="26"/>
      <c r="B46" s="257" t="s">
        <v>421</v>
      </c>
      <c r="C46" s="26"/>
      <c r="D46" s="50"/>
      <c r="E46" s="50"/>
      <c r="F46" s="50"/>
      <c r="G46" s="50"/>
      <c r="H46" s="50"/>
      <c r="I46" s="50"/>
      <c r="J46" s="50"/>
      <c r="K46" s="50"/>
      <c r="L46" s="50"/>
      <c r="M46" s="50"/>
      <c r="N46" s="50"/>
      <c r="P46" s="9"/>
      <c r="Q46" s="9"/>
      <c r="S46" s="60"/>
      <c r="T46" s="60"/>
      <c r="U46" s="83"/>
      <c r="V46" s="12"/>
    </row>
    <row r="47" spans="1:22">
      <c r="A47" s="26"/>
      <c r="B47" s="258" t="s">
        <v>166</v>
      </c>
      <c r="C47" s="26"/>
      <c r="D47" s="21">
        <v>866</v>
      </c>
      <c r="E47" s="21">
        <v>750</v>
      </c>
      <c r="F47" s="21">
        <v>849</v>
      </c>
      <c r="G47" s="21">
        <v>764</v>
      </c>
      <c r="H47" s="21">
        <v>1054</v>
      </c>
      <c r="I47" s="21">
        <v>1261</v>
      </c>
      <c r="J47" s="21">
        <v>1280</v>
      </c>
      <c r="K47" s="21">
        <v>1459</v>
      </c>
      <c r="L47" s="21">
        <v>1492</v>
      </c>
      <c r="M47" s="255">
        <v>1504</v>
      </c>
      <c r="N47" s="255">
        <v>1218</v>
      </c>
      <c r="O47" s="255">
        <v>1277</v>
      </c>
      <c r="P47" s="255">
        <v>1322.1014094857901</v>
      </c>
      <c r="Q47" s="148">
        <v>1174.7271581190075</v>
      </c>
      <c r="R47" s="95">
        <v>894.58724330346672</v>
      </c>
      <c r="S47" s="292">
        <v>881.85249516119598</v>
      </c>
      <c r="T47" s="164">
        <v>849.73123358918554</v>
      </c>
      <c r="U47" s="83">
        <v>973.86170710674492</v>
      </c>
      <c r="V47" s="579">
        <v>847.35479945609734</v>
      </c>
    </row>
    <row r="48" spans="1:22">
      <c r="A48" s="26"/>
      <c r="B48" s="258" t="s">
        <v>167</v>
      </c>
      <c r="C48" s="26"/>
      <c r="D48" s="21">
        <v>276</v>
      </c>
      <c r="E48" s="21">
        <v>278</v>
      </c>
      <c r="F48" s="21">
        <v>335</v>
      </c>
      <c r="G48" s="21">
        <v>307</v>
      </c>
      <c r="H48" s="21">
        <v>363</v>
      </c>
      <c r="I48" s="21">
        <v>437</v>
      </c>
      <c r="J48" s="21">
        <v>547</v>
      </c>
      <c r="K48" s="21">
        <v>543</v>
      </c>
      <c r="L48" s="21">
        <v>588</v>
      </c>
      <c r="M48" s="255">
        <v>727</v>
      </c>
      <c r="N48" s="255">
        <v>1029</v>
      </c>
      <c r="O48" s="255">
        <v>1164</v>
      </c>
      <c r="P48" s="255">
        <v>1148.3732089395905</v>
      </c>
      <c r="Q48" s="148">
        <v>1302.6523873043718</v>
      </c>
      <c r="R48" s="95">
        <v>1054.5841477481404</v>
      </c>
      <c r="S48" s="292">
        <v>988.55464949440204</v>
      </c>
      <c r="T48" s="164">
        <v>982.347134157455</v>
      </c>
      <c r="U48" s="83">
        <v>974.57942420754796</v>
      </c>
      <c r="V48" s="579">
        <v>1010.7250856682658</v>
      </c>
    </row>
    <row r="49" spans="1:22">
      <c r="A49" s="26"/>
      <c r="B49" s="258" t="s">
        <v>28</v>
      </c>
      <c r="C49" s="26"/>
      <c r="D49" s="21">
        <v>75</v>
      </c>
      <c r="E49" s="21">
        <v>68</v>
      </c>
      <c r="F49" s="21">
        <v>85</v>
      </c>
      <c r="G49" s="21">
        <v>156</v>
      </c>
      <c r="H49" s="21">
        <v>160</v>
      </c>
      <c r="I49" s="21">
        <v>173</v>
      </c>
      <c r="J49" s="21">
        <v>126</v>
      </c>
      <c r="K49" s="21">
        <v>141</v>
      </c>
      <c r="L49" s="21">
        <v>126</v>
      </c>
      <c r="M49" s="255">
        <v>162</v>
      </c>
      <c r="N49" s="255">
        <v>235</v>
      </c>
      <c r="O49" s="255">
        <v>199</v>
      </c>
      <c r="P49" s="255">
        <v>305.62720049065535</v>
      </c>
      <c r="Q49" s="148">
        <v>296.0163035096578</v>
      </c>
      <c r="R49" s="95">
        <v>289.47612112053554</v>
      </c>
      <c r="S49" s="292">
        <v>241.79572001084074</v>
      </c>
      <c r="T49" s="164">
        <v>298.22092414418881</v>
      </c>
      <c r="U49" s="83">
        <v>246.3366302124638</v>
      </c>
      <c r="V49" s="579">
        <v>210.63009644621587</v>
      </c>
    </row>
    <row r="50" spans="1:22">
      <c r="A50" s="26"/>
      <c r="B50" s="258" t="s">
        <v>169</v>
      </c>
      <c r="C50" s="26"/>
      <c r="D50" s="21">
        <v>92</v>
      </c>
      <c r="E50" s="21">
        <v>141</v>
      </c>
      <c r="F50" s="21">
        <v>124</v>
      </c>
      <c r="G50" s="21">
        <v>160</v>
      </c>
      <c r="H50" s="21">
        <v>141</v>
      </c>
      <c r="I50" s="21">
        <v>227</v>
      </c>
      <c r="J50" s="21">
        <v>300</v>
      </c>
      <c r="K50" s="21">
        <v>248</v>
      </c>
      <c r="L50" s="21">
        <v>222</v>
      </c>
      <c r="M50" s="255">
        <v>364</v>
      </c>
      <c r="N50" s="255">
        <v>513</v>
      </c>
      <c r="O50" s="255">
        <v>634</v>
      </c>
      <c r="P50" s="255">
        <v>657.96579385274072</v>
      </c>
      <c r="Q50" s="148">
        <v>748.63655933692178</v>
      </c>
      <c r="R50" s="95">
        <v>651.04643671491669</v>
      </c>
      <c r="S50" s="292">
        <v>512.18782228677003</v>
      </c>
      <c r="T50" s="164">
        <v>552.66101625168005</v>
      </c>
      <c r="U50" s="83">
        <v>543.21040369157288</v>
      </c>
      <c r="V50" s="579">
        <v>586.55029295849033</v>
      </c>
    </row>
    <row r="51" spans="1:22" ht="15.75">
      <c r="A51" s="26"/>
      <c r="B51" s="257" t="s">
        <v>175</v>
      </c>
      <c r="C51" s="26"/>
      <c r="D51" s="50"/>
      <c r="E51" s="50"/>
      <c r="F51" s="50"/>
      <c r="G51" s="50"/>
      <c r="H51" s="50"/>
      <c r="I51" s="50"/>
      <c r="J51" s="50"/>
      <c r="K51" s="50"/>
      <c r="L51" s="50"/>
      <c r="M51" s="50"/>
      <c r="P51" s="9"/>
      <c r="Q51" s="9"/>
      <c r="S51" s="291"/>
      <c r="T51" s="60"/>
      <c r="U51" s="83"/>
      <c r="V51" s="12"/>
    </row>
    <row r="52" spans="1:22">
      <c r="A52" s="26"/>
      <c r="B52" s="258" t="s">
        <v>166</v>
      </c>
      <c r="D52" s="21">
        <v>280</v>
      </c>
      <c r="E52" s="21">
        <v>296</v>
      </c>
      <c r="F52" s="21">
        <v>330</v>
      </c>
      <c r="G52" s="21">
        <v>326</v>
      </c>
      <c r="H52" s="21">
        <v>358</v>
      </c>
      <c r="I52" s="21">
        <v>359</v>
      </c>
      <c r="J52" s="21">
        <v>364</v>
      </c>
      <c r="K52" s="21">
        <v>362</v>
      </c>
      <c r="L52" s="21">
        <v>298</v>
      </c>
      <c r="M52" s="255">
        <v>394</v>
      </c>
      <c r="N52" s="255">
        <v>310</v>
      </c>
      <c r="O52" s="255">
        <v>297</v>
      </c>
      <c r="P52" s="255">
        <v>283.91993835840356</v>
      </c>
      <c r="Q52" s="148">
        <v>259.95026177687038</v>
      </c>
      <c r="R52" s="95">
        <v>188.46720473490691</v>
      </c>
      <c r="S52" s="292">
        <v>198.12961388947826</v>
      </c>
      <c r="T52" s="164">
        <v>187.09861154357395</v>
      </c>
      <c r="U52" s="83">
        <v>187.02056593462191</v>
      </c>
      <c r="V52" s="579">
        <v>192.6655943058939</v>
      </c>
    </row>
    <row r="53" spans="1:22">
      <c r="A53" s="194"/>
      <c r="B53" s="258" t="s">
        <v>167</v>
      </c>
      <c r="D53" s="21">
        <v>237</v>
      </c>
      <c r="E53" s="21">
        <v>254</v>
      </c>
      <c r="F53" s="21">
        <v>262</v>
      </c>
      <c r="G53" s="21">
        <v>306</v>
      </c>
      <c r="H53" s="21">
        <v>300</v>
      </c>
      <c r="I53" s="21">
        <v>323</v>
      </c>
      <c r="J53" s="21">
        <v>362</v>
      </c>
      <c r="K53" s="21">
        <v>392</v>
      </c>
      <c r="L53" s="21">
        <v>412</v>
      </c>
      <c r="M53" s="255">
        <v>409</v>
      </c>
      <c r="N53" s="255">
        <v>413</v>
      </c>
      <c r="O53" s="255">
        <v>466</v>
      </c>
      <c r="P53" s="255">
        <v>408.18983441869102</v>
      </c>
      <c r="Q53" s="148">
        <v>398.18697197632929</v>
      </c>
      <c r="R53" s="95">
        <v>217.56552867556104</v>
      </c>
      <c r="S53" s="292">
        <v>213.87556815312519</v>
      </c>
      <c r="T53" s="164">
        <v>178.36945731746931</v>
      </c>
      <c r="U53" s="83">
        <v>213.21036492105631</v>
      </c>
      <c r="V53" s="579">
        <v>182.52821280338861</v>
      </c>
    </row>
    <row r="54" spans="1:22">
      <c r="B54" s="258" t="s">
        <v>28</v>
      </c>
      <c r="D54" s="21">
        <v>167</v>
      </c>
      <c r="E54" s="21">
        <v>166</v>
      </c>
      <c r="F54" s="21">
        <v>181</v>
      </c>
      <c r="G54" s="21">
        <v>167</v>
      </c>
      <c r="H54" s="21">
        <v>121</v>
      </c>
      <c r="I54" s="21">
        <v>146</v>
      </c>
      <c r="J54" s="21">
        <v>173</v>
      </c>
      <c r="K54" s="21">
        <v>139</v>
      </c>
      <c r="L54" s="21">
        <v>152</v>
      </c>
      <c r="M54" s="255">
        <v>141</v>
      </c>
      <c r="N54" s="255">
        <v>149</v>
      </c>
      <c r="O54" s="255">
        <v>163</v>
      </c>
      <c r="P54" s="255">
        <v>131.68380702309815</v>
      </c>
      <c r="Q54" s="148">
        <v>93.696933585137728</v>
      </c>
      <c r="R54" s="95">
        <v>39.817697191355713</v>
      </c>
      <c r="S54" s="292">
        <v>48.226544422353761</v>
      </c>
      <c r="T54" s="164">
        <v>49.368726188201528</v>
      </c>
      <c r="U54" s="83">
        <v>46.828870519344648</v>
      </c>
      <c r="V54" s="579">
        <v>41.602941728374311</v>
      </c>
    </row>
    <row r="55" spans="1:22">
      <c r="B55" s="258" t="s">
        <v>169</v>
      </c>
      <c r="D55" s="21">
        <v>100</v>
      </c>
      <c r="E55" s="21">
        <v>130</v>
      </c>
      <c r="F55" s="21">
        <v>130</v>
      </c>
      <c r="G55" s="21">
        <v>131</v>
      </c>
      <c r="H55" s="21">
        <v>117</v>
      </c>
      <c r="I55" s="21">
        <v>118</v>
      </c>
      <c r="J55" s="21">
        <v>135</v>
      </c>
      <c r="K55" s="21">
        <v>133</v>
      </c>
      <c r="L55" s="21">
        <v>153</v>
      </c>
      <c r="M55" s="255">
        <v>213</v>
      </c>
      <c r="N55" s="255">
        <v>160</v>
      </c>
      <c r="O55" s="255">
        <v>198</v>
      </c>
      <c r="P55" s="255">
        <v>146.96317799482082</v>
      </c>
      <c r="Q55" s="148">
        <v>134.78328850885737</v>
      </c>
      <c r="R55" s="95">
        <v>77.987092265971611</v>
      </c>
      <c r="S55" s="292">
        <v>54.292958770344725</v>
      </c>
      <c r="T55" s="164">
        <v>55.500526819374841</v>
      </c>
      <c r="U55" s="83">
        <v>74.92026118731799</v>
      </c>
      <c r="V55" s="579">
        <v>63.894173490604764</v>
      </c>
    </row>
    <row r="56" spans="1:22" ht="15.75">
      <c r="B56" s="257" t="s">
        <v>176</v>
      </c>
      <c r="C56" s="26"/>
      <c r="K56" s="60"/>
      <c r="L56" s="60"/>
      <c r="M56" s="60"/>
      <c r="P56" s="9"/>
      <c r="Q56" s="9"/>
      <c r="S56" s="291"/>
      <c r="T56" s="60"/>
      <c r="U56" s="83"/>
      <c r="V56" s="580"/>
    </row>
    <row r="57" spans="1:22">
      <c r="B57" s="258" t="s">
        <v>166</v>
      </c>
      <c r="D57" s="21">
        <v>161</v>
      </c>
      <c r="E57" s="21">
        <v>115</v>
      </c>
      <c r="F57" s="21">
        <v>172</v>
      </c>
      <c r="G57" s="21">
        <v>135</v>
      </c>
      <c r="H57" s="21">
        <v>148</v>
      </c>
      <c r="I57" s="21">
        <v>165</v>
      </c>
      <c r="J57" s="21">
        <v>204</v>
      </c>
      <c r="K57" s="21">
        <v>157</v>
      </c>
      <c r="L57" s="21">
        <v>113</v>
      </c>
      <c r="M57" s="255">
        <v>71</v>
      </c>
      <c r="N57" s="255">
        <v>52</v>
      </c>
      <c r="O57" s="255">
        <v>107</v>
      </c>
      <c r="P57" s="255">
        <v>80.558748981954579</v>
      </c>
      <c r="Q57" s="148">
        <v>77.527045563059218</v>
      </c>
      <c r="R57" s="148">
        <v>78.251343060775952</v>
      </c>
      <c r="S57" s="292">
        <v>114.87649552762848</v>
      </c>
      <c r="T57" s="164">
        <v>91.52323631896428</v>
      </c>
      <c r="U57" s="83">
        <v>49.343511417653446</v>
      </c>
      <c r="V57" s="579">
        <v>82.996737725146204</v>
      </c>
    </row>
    <row r="58" spans="1:22">
      <c r="B58" s="258" t="s">
        <v>167</v>
      </c>
      <c r="D58" s="21">
        <v>128</v>
      </c>
      <c r="E58" s="21">
        <v>129</v>
      </c>
      <c r="F58" s="21">
        <v>139</v>
      </c>
      <c r="G58" s="21">
        <v>126</v>
      </c>
      <c r="H58" s="21">
        <v>153</v>
      </c>
      <c r="I58" s="21">
        <v>137</v>
      </c>
      <c r="J58" s="21">
        <v>98</v>
      </c>
      <c r="K58" s="21">
        <v>107</v>
      </c>
      <c r="L58" s="21">
        <v>84</v>
      </c>
      <c r="M58" s="255">
        <v>76</v>
      </c>
      <c r="N58" s="255">
        <v>63</v>
      </c>
      <c r="O58" s="255">
        <v>64</v>
      </c>
      <c r="P58" s="255">
        <v>86.403445027122032</v>
      </c>
      <c r="Q58" s="148">
        <v>126.72470009581068</v>
      </c>
      <c r="R58" s="148">
        <v>181.78596497915672</v>
      </c>
      <c r="S58" s="292">
        <v>175.81374895840978</v>
      </c>
      <c r="T58" s="164">
        <v>162.2004828036641</v>
      </c>
      <c r="U58" s="83">
        <v>147.23396440730642</v>
      </c>
      <c r="V58" s="579">
        <v>170.19069288390827</v>
      </c>
    </row>
    <row r="59" spans="1:22">
      <c r="B59" s="258" t="s">
        <v>28</v>
      </c>
      <c r="D59" s="21">
        <v>44</v>
      </c>
      <c r="E59" s="21">
        <v>50</v>
      </c>
      <c r="F59" s="21">
        <v>62</v>
      </c>
      <c r="G59" s="21">
        <v>66</v>
      </c>
      <c r="H59" s="21">
        <v>46</v>
      </c>
      <c r="I59" s="21">
        <v>54</v>
      </c>
      <c r="J59" s="21">
        <v>39</v>
      </c>
      <c r="K59" s="21">
        <v>50</v>
      </c>
      <c r="L59" s="21">
        <v>27</v>
      </c>
      <c r="M59" s="255">
        <v>26</v>
      </c>
      <c r="N59" s="255">
        <v>10</v>
      </c>
      <c r="O59" s="255">
        <v>21</v>
      </c>
      <c r="P59" s="255">
        <v>20.302979924206475</v>
      </c>
      <c r="Q59" s="148">
        <v>17.195806666235789</v>
      </c>
      <c r="R59" s="148">
        <v>67.27770846820755</v>
      </c>
      <c r="S59" s="292">
        <v>73.16367768454451</v>
      </c>
      <c r="T59" s="164">
        <v>51.035117204171115</v>
      </c>
      <c r="U59" s="83">
        <v>40.623280025810352</v>
      </c>
      <c r="V59" s="579">
        <v>73.084736448458841</v>
      </c>
    </row>
    <row r="60" spans="1:22">
      <c r="B60" s="258" t="s">
        <v>169</v>
      </c>
      <c r="D60" s="21">
        <v>23</v>
      </c>
      <c r="E60" s="21">
        <v>30</v>
      </c>
      <c r="F60" s="21">
        <v>15</v>
      </c>
      <c r="G60" s="21">
        <v>21</v>
      </c>
      <c r="H60" s="21">
        <v>23</v>
      </c>
      <c r="I60" s="21">
        <v>14</v>
      </c>
      <c r="J60" s="21">
        <v>20</v>
      </c>
      <c r="K60" s="21">
        <v>10</v>
      </c>
      <c r="L60" s="21">
        <v>14</v>
      </c>
      <c r="M60" s="255">
        <v>22</v>
      </c>
      <c r="N60" s="255">
        <v>19</v>
      </c>
      <c r="O60" s="255">
        <v>27</v>
      </c>
      <c r="P60" s="255">
        <v>19.364479874003536</v>
      </c>
      <c r="Q60" s="148">
        <v>29.283611873984576</v>
      </c>
      <c r="R60" s="148">
        <v>70.603617918137132</v>
      </c>
      <c r="S60" s="292">
        <v>45.009489195861349</v>
      </c>
      <c r="T60" s="164">
        <v>61.572686418362281</v>
      </c>
      <c r="U60" s="83">
        <v>54.666864174298901</v>
      </c>
      <c r="V60" s="579">
        <v>60.423889172205421</v>
      </c>
    </row>
    <row r="61" spans="1:22" ht="6" customHeight="1">
      <c r="L61" s="60"/>
      <c r="M61" s="60"/>
      <c r="N61" s="60"/>
      <c r="P61" s="9"/>
      <c r="Q61" s="9"/>
      <c r="S61" s="291"/>
      <c r="T61" s="60"/>
      <c r="U61" s="83"/>
      <c r="V61" s="12"/>
    </row>
    <row r="62" spans="1:22" ht="15.75">
      <c r="A62" s="37" t="s">
        <v>401</v>
      </c>
      <c r="L62" s="60"/>
      <c r="M62" s="60"/>
      <c r="N62" s="60"/>
      <c r="P62" s="9"/>
      <c r="Q62" s="9"/>
      <c r="S62" s="291"/>
      <c r="T62" s="60"/>
      <c r="U62" s="83"/>
      <c r="V62" s="12"/>
    </row>
    <row r="63" spans="1:22" ht="6" customHeight="1">
      <c r="L63" s="60"/>
      <c r="M63" s="60"/>
      <c r="N63" s="60"/>
      <c r="P63" s="9"/>
      <c r="Q63" s="9"/>
      <c r="S63" s="291"/>
      <c r="T63" s="60"/>
      <c r="U63" s="83"/>
      <c r="V63" s="12"/>
    </row>
    <row r="64" spans="1:22" ht="15.75">
      <c r="B64" s="37" t="s">
        <v>166</v>
      </c>
      <c r="L64" s="60"/>
      <c r="M64" s="60"/>
      <c r="N64" s="60"/>
      <c r="P64" s="9"/>
      <c r="Q64" s="9"/>
      <c r="S64" s="291"/>
      <c r="T64" s="60"/>
      <c r="U64" s="83"/>
      <c r="V64" s="12"/>
    </row>
    <row r="65" spans="1:22">
      <c r="B65" s="57" t="s">
        <v>189</v>
      </c>
      <c r="D65" s="21">
        <v>1135</v>
      </c>
      <c r="E65" s="21">
        <v>1004</v>
      </c>
      <c r="F65" s="21">
        <v>1148</v>
      </c>
      <c r="G65" s="21">
        <v>1021</v>
      </c>
      <c r="H65" s="21">
        <v>1357</v>
      </c>
      <c r="I65" s="21">
        <v>1631</v>
      </c>
      <c r="J65" s="21">
        <v>1661</v>
      </c>
      <c r="K65" s="21">
        <v>1781</v>
      </c>
      <c r="L65" s="21">
        <v>1644</v>
      </c>
      <c r="M65" s="255">
        <v>1653</v>
      </c>
      <c r="N65" s="255">
        <v>1305</v>
      </c>
      <c r="O65" s="255">
        <v>1410</v>
      </c>
      <c r="P65" s="255">
        <v>1365.569855002133</v>
      </c>
      <c r="Q65" s="148">
        <v>1226.780854230223</v>
      </c>
      <c r="R65" s="148">
        <v>897.50919107862217</v>
      </c>
      <c r="S65" s="292">
        <v>908.15389046735891</v>
      </c>
      <c r="T65" s="164">
        <v>911.990778687947</v>
      </c>
      <c r="U65" s="83">
        <v>986.84438493116886</v>
      </c>
      <c r="V65" s="579">
        <v>867.78902495387899</v>
      </c>
    </row>
    <row r="66" spans="1:22">
      <c r="B66" s="57" t="s">
        <v>136</v>
      </c>
      <c r="D66" s="21">
        <v>171</v>
      </c>
      <c r="E66" s="21">
        <v>156</v>
      </c>
      <c r="F66" s="21">
        <v>203</v>
      </c>
      <c r="G66" s="21">
        <v>203</v>
      </c>
      <c r="H66" s="21">
        <v>203</v>
      </c>
      <c r="I66" s="21">
        <v>154</v>
      </c>
      <c r="J66" s="21">
        <v>187</v>
      </c>
      <c r="K66" s="21">
        <v>197</v>
      </c>
      <c r="L66" s="21">
        <v>259</v>
      </c>
      <c r="M66" s="255">
        <v>315</v>
      </c>
      <c r="N66" s="255">
        <v>275</v>
      </c>
      <c r="O66" s="255">
        <v>272</v>
      </c>
      <c r="P66" s="255">
        <v>321.01024182400857</v>
      </c>
      <c r="Q66" s="148">
        <v>285.42361122871671</v>
      </c>
      <c r="R66" s="148">
        <v>263.79660002053026</v>
      </c>
      <c r="S66" s="292">
        <v>286.70471411094047</v>
      </c>
      <c r="T66" s="164">
        <v>216.36230276377535</v>
      </c>
      <c r="U66" s="83">
        <v>223.38139952784798</v>
      </c>
      <c r="V66" s="579">
        <v>255.2281065332609</v>
      </c>
    </row>
    <row r="67" spans="1:22" ht="15.75">
      <c r="B67" s="37" t="s">
        <v>167</v>
      </c>
      <c r="K67" s="60"/>
      <c r="L67" s="60"/>
      <c r="M67" s="60"/>
      <c r="P67" s="9"/>
      <c r="Q67" s="9"/>
      <c r="S67" s="291"/>
      <c r="T67" s="60"/>
      <c r="U67" s="83"/>
      <c r="V67" s="12"/>
    </row>
    <row r="68" spans="1:22">
      <c r="B68" s="57" t="s">
        <v>189</v>
      </c>
      <c r="D68" s="21">
        <v>465</v>
      </c>
      <c r="E68" s="21">
        <v>450</v>
      </c>
      <c r="F68" s="21">
        <v>534</v>
      </c>
      <c r="G68" s="21">
        <v>528</v>
      </c>
      <c r="H68" s="21">
        <v>555</v>
      </c>
      <c r="I68" s="21">
        <v>630</v>
      </c>
      <c r="J68" s="21">
        <v>755</v>
      </c>
      <c r="K68" s="21">
        <v>816</v>
      </c>
      <c r="L68" s="21">
        <v>841</v>
      </c>
      <c r="M68" s="255">
        <v>936</v>
      </c>
      <c r="N68" s="255">
        <v>1186</v>
      </c>
      <c r="O68" s="255">
        <v>1370</v>
      </c>
      <c r="P68" s="255">
        <v>1352.5107070370159</v>
      </c>
      <c r="Q68" s="148">
        <v>1503.1978765645877</v>
      </c>
      <c r="R68" s="148">
        <v>1185.475841139054</v>
      </c>
      <c r="S68" s="292">
        <v>1119.8034371108999</v>
      </c>
      <c r="T68" s="83">
        <v>1105.8713850245686</v>
      </c>
      <c r="U68" s="83">
        <v>1110.1562933892692</v>
      </c>
      <c r="V68" s="579">
        <v>1151.8693220018108</v>
      </c>
    </row>
    <row r="69" spans="1:22">
      <c r="B69" s="57" t="s">
        <v>136</v>
      </c>
      <c r="D69" s="21">
        <v>175</v>
      </c>
      <c r="E69" s="21">
        <v>211</v>
      </c>
      <c r="F69" s="21">
        <v>203</v>
      </c>
      <c r="G69" s="21">
        <v>211</v>
      </c>
      <c r="H69" s="21">
        <v>262</v>
      </c>
      <c r="I69" s="21">
        <v>267</v>
      </c>
      <c r="J69" s="21">
        <v>252</v>
      </c>
      <c r="K69" s="21">
        <v>226</v>
      </c>
      <c r="L69" s="21">
        <v>244</v>
      </c>
      <c r="M69" s="255">
        <v>276</v>
      </c>
      <c r="N69" s="255">
        <v>319</v>
      </c>
      <c r="O69" s="255">
        <v>324</v>
      </c>
      <c r="P69" s="255">
        <v>290.45578134839559</v>
      </c>
      <c r="Q69" s="148">
        <v>324.36618281192841</v>
      </c>
      <c r="R69" s="148">
        <v>268.45980026380744</v>
      </c>
      <c r="S69" s="292">
        <v>258.44052949503038</v>
      </c>
      <c r="T69" s="164">
        <v>217.04568925401568</v>
      </c>
      <c r="U69" s="83">
        <v>224.86746014663652</v>
      </c>
      <c r="V69" s="579">
        <v>211.57466935375589</v>
      </c>
    </row>
    <row r="70" spans="1:22" ht="15.75">
      <c r="B70" s="37" t="s">
        <v>28</v>
      </c>
      <c r="D70" s="60"/>
      <c r="E70" s="60"/>
      <c r="F70" s="60"/>
      <c r="G70" s="60"/>
      <c r="H70" s="60"/>
      <c r="J70" s="60"/>
      <c r="K70" s="60"/>
      <c r="L70" s="60"/>
      <c r="P70" s="9"/>
      <c r="S70" s="291"/>
      <c r="T70" s="60"/>
      <c r="U70" s="83"/>
      <c r="V70" s="12"/>
    </row>
    <row r="71" spans="1:22">
      <c r="B71" s="57" t="s">
        <v>189</v>
      </c>
      <c r="D71" s="21">
        <v>212</v>
      </c>
      <c r="E71" s="21">
        <v>208</v>
      </c>
      <c r="F71" s="21">
        <v>240</v>
      </c>
      <c r="G71" s="21">
        <v>294</v>
      </c>
      <c r="H71" s="21">
        <v>236</v>
      </c>
      <c r="I71" s="21">
        <v>259</v>
      </c>
      <c r="J71" s="21">
        <v>249</v>
      </c>
      <c r="K71" s="21">
        <v>243</v>
      </c>
      <c r="L71" s="21">
        <v>204</v>
      </c>
      <c r="M71" s="255">
        <v>235</v>
      </c>
      <c r="N71" s="255">
        <v>285</v>
      </c>
      <c r="O71" s="255">
        <v>263</v>
      </c>
      <c r="P71" s="255">
        <v>356.40269294401162</v>
      </c>
      <c r="Q71" s="148">
        <v>274.72600718314737</v>
      </c>
      <c r="R71" s="148">
        <v>273.84985615466718</v>
      </c>
      <c r="S71" s="292">
        <v>251.98255210513264</v>
      </c>
      <c r="T71" s="164">
        <v>274.20684177997509</v>
      </c>
      <c r="U71" s="83">
        <v>237.2768020712839</v>
      </c>
      <c r="V71" s="579">
        <v>219.28668909570746</v>
      </c>
    </row>
    <row r="72" spans="1:22">
      <c r="B72" s="57" t="s">
        <v>136</v>
      </c>
      <c r="D72" s="21">
        <v>74</v>
      </c>
      <c r="E72" s="21">
        <v>77</v>
      </c>
      <c r="F72" s="21">
        <v>89</v>
      </c>
      <c r="G72" s="21">
        <v>96</v>
      </c>
      <c r="H72" s="21">
        <v>91</v>
      </c>
      <c r="I72" s="21">
        <v>115</v>
      </c>
      <c r="J72" s="21">
        <v>89</v>
      </c>
      <c r="K72" s="21">
        <v>86</v>
      </c>
      <c r="L72" s="21">
        <v>101</v>
      </c>
      <c r="M72" s="255">
        <v>94</v>
      </c>
      <c r="N72" s="255">
        <v>108</v>
      </c>
      <c r="O72" s="255">
        <v>120</v>
      </c>
      <c r="P72" s="255">
        <v>101.21129449394853</v>
      </c>
      <c r="Q72" s="148">
        <v>132.18303657788437</v>
      </c>
      <c r="R72" s="148">
        <v>122.72167062543187</v>
      </c>
      <c r="S72" s="292">
        <v>111.20339001260638</v>
      </c>
      <c r="T72" s="164">
        <v>124.41792575658567</v>
      </c>
      <c r="U72" s="83">
        <v>96.511978686335055</v>
      </c>
      <c r="V72" s="579">
        <v>106.0310855273417</v>
      </c>
    </row>
    <row r="73" spans="1:22" ht="15.75">
      <c r="B73" s="37" t="s">
        <v>169</v>
      </c>
      <c r="D73" s="60"/>
      <c r="E73" s="60"/>
      <c r="F73" s="60"/>
      <c r="G73" s="60"/>
      <c r="H73" s="60"/>
      <c r="J73" s="60"/>
      <c r="K73" s="60"/>
      <c r="L73" s="60"/>
      <c r="P73" s="9"/>
      <c r="R73" s="60" t="s">
        <v>123</v>
      </c>
      <c r="S73" s="291"/>
      <c r="T73" s="60"/>
      <c r="U73" s="83"/>
      <c r="V73" s="12"/>
    </row>
    <row r="74" spans="1:22">
      <c r="A74" s="12"/>
      <c r="B74" s="259" t="s">
        <v>189</v>
      </c>
      <c r="C74" s="12"/>
      <c r="D74" s="16">
        <v>106</v>
      </c>
      <c r="E74" s="16">
        <v>165</v>
      </c>
      <c r="F74" s="16">
        <v>107</v>
      </c>
      <c r="G74" s="16">
        <v>150</v>
      </c>
      <c r="H74" s="16">
        <v>128</v>
      </c>
      <c r="I74" s="16">
        <v>175</v>
      </c>
      <c r="J74" s="16">
        <v>262</v>
      </c>
      <c r="K74" s="16">
        <v>201</v>
      </c>
      <c r="L74" s="16">
        <v>219</v>
      </c>
      <c r="M74" s="260">
        <v>288</v>
      </c>
      <c r="N74" s="260">
        <v>407</v>
      </c>
      <c r="O74" s="260">
        <v>529</v>
      </c>
      <c r="P74" s="260">
        <v>509.8015826672746</v>
      </c>
      <c r="Q74" s="95">
        <v>609.0850999229051</v>
      </c>
      <c r="R74" s="148">
        <v>513.91140507609316</v>
      </c>
      <c r="S74" s="292">
        <v>379.11597913281469</v>
      </c>
      <c r="T74" s="164">
        <v>430.14879239595911</v>
      </c>
      <c r="U74" s="83">
        <v>441.38509307043034</v>
      </c>
      <c r="V74" s="579">
        <v>471.36217043606331</v>
      </c>
    </row>
    <row r="75" spans="1:22">
      <c r="A75" s="12"/>
      <c r="B75" s="259" t="s">
        <v>136</v>
      </c>
      <c r="C75" s="12"/>
      <c r="D75" s="16">
        <v>109</v>
      </c>
      <c r="E75" s="16">
        <v>137</v>
      </c>
      <c r="F75" s="16">
        <v>162</v>
      </c>
      <c r="G75" s="16">
        <v>161</v>
      </c>
      <c r="H75" s="16">
        <v>154</v>
      </c>
      <c r="I75" s="16">
        <v>184</v>
      </c>
      <c r="J75" s="16">
        <v>194</v>
      </c>
      <c r="K75" s="16">
        <v>190</v>
      </c>
      <c r="L75" s="16">
        <v>170</v>
      </c>
      <c r="M75" s="260">
        <v>310</v>
      </c>
      <c r="N75" s="260">
        <v>284</v>
      </c>
      <c r="O75" s="260">
        <v>331</v>
      </c>
      <c r="P75" s="260">
        <v>314.491869054294</v>
      </c>
      <c r="Q75" s="95">
        <v>303.61835979685895</v>
      </c>
      <c r="R75" s="148">
        <v>285.72574182292635</v>
      </c>
      <c r="S75" s="292">
        <v>232.37429112016164</v>
      </c>
      <c r="T75" s="95">
        <v>239.58543709345753</v>
      </c>
      <c r="U75" s="83">
        <v>231.4124359827594</v>
      </c>
      <c r="V75" s="579">
        <v>239.50618518524126</v>
      </c>
    </row>
    <row r="76" spans="1:22" ht="5.25" customHeight="1">
      <c r="A76" s="46"/>
      <c r="B76" s="46"/>
      <c r="C76" s="46"/>
      <c r="D76" s="46"/>
      <c r="E76" s="46"/>
      <c r="F76" s="46"/>
      <c r="G76" s="46"/>
      <c r="H76" s="46"/>
      <c r="I76" s="46"/>
      <c r="J76" s="46"/>
      <c r="K76" s="46"/>
      <c r="L76" s="46"/>
      <c r="M76" s="46"/>
      <c r="N76" s="46"/>
      <c r="O76" s="46"/>
      <c r="P76" s="205"/>
      <c r="Q76" s="205"/>
      <c r="R76" s="205"/>
      <c r="S76" s="46"/>
      <c r="T76" s="46"/>
      <c r="U76" s="46"/>
      <c r="V76" s="46"/>
    </row>
    <row r="77" spans="1:22" ht="6" customHeight="1"/>
    <row r="78" spans="1:22" ht="12" customHeight="1">
      <c r="B78" s="179" t="s">
        <v>621</v>
      </c>
    </row>
    <row r="79" spans="1:22" s="7" customFormat="1" ht="12.75">
      <c r="B79" s="70" t="s">
        <v>301</v>
      </c>
      <c r="P79" s="70"/>
      <c r="Q79" s="70"/>
      <c r="R79" s="70"/>
    </row>
    <row r="80" spans="1:22" s="7" customFormat="1" ht="12.75">
      <c r="B80" s="96" t="s">
        <v>691</v>
      </c>
      <c r="P80" s="70"/>
      <c r="Q80" s="70"/>
      <c r="R80" s="70"/>
    </row>
    <row r="81" spans="2:18" s="7" customFormat="1" ht="12.75">
      <c r="B81" s="70" t="s">
        <v>302</v>
      </c>
      <c r="P81" s="70"/>
      <c r="Q81" s="70"/>
      <c r="R81" s="70"/>
    </row>
    <row r="82" spans="2:18" s="7" customFormat="1" ht="12.75">
      <c r="B82" s="70" t="s">
        <v>303</v>
      </c>
      <c r="P82" s="70"/>
      <c r="Q82" s="70"/>
      <c r="R82" s="70"/>
    </row>
    <row r="83" spans="2:18" s="7" customFormat="1" ht="12.75">
      <c r="B83" s="70" t="s">
        <v>1</v>
      </c>
      <c r="P83" s="70"/>
      <c r="Q83" s="70"/>
      <c r="R83" s="70"/>
    </row>
    <row r="84" spans="2:18" ht="6" customHeight="1">
      <c r="B84" s="70"/>
    </row>
    <row r="85" spans="2:18" ht="75" customHeight="1"/>
  </sheetData>
  <mergeCells count="2">
    <mergeCell ref="B20:C20"/>
    <mergeCell ref="B21:C21"/>
  </mergeCells>
  <phoneticPr fontId="0" type="noConversion"/>
  <pageMargins left="0.75" right="0.75" top="0.81" bottom="0.69" header="0.5" footer="0.5"/>
  <pageSetup paperSize="9" scale="59" orientation="portrait" horizontalDpi="96" verticalDpi="300" r:id="rId1"/>
  <headerFooter alignWithMargins="0">
    <oddHeader>&amp;R&amp;"Arial,Bold"&amp;20PERSONAL AND CROSS-MODAL TRAVEL</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1"/>
  <sheetViews>
    <sheetView topLeftCell="A4" zoomScale="75" zoomScaleNormal="75" workbookViewId="0">
      <selection activeCell="G45" sqref="G45"/>
    </sheetView>
  </sheetViews>
  <sheetFormatPr defaultRowHeight="15"/>
  <cols>
    <col min="1" max="1" width="30" style="422" customWidth="1"/>
    <col min="2" max="2" width="14.85546875" style="422" customWidth="1"/>
    <col min="3" max="3" width="6.7109375" style="422" customWidth="1"/>
    <col min="4" max="4" width="10.85546875" style="422" customWidth="1"/>
    <col min="5" max="5" width="12.42578125" style="422" customWidth="1"/>
    <col min="6" max="6" width="12.5703125" style="422" customWidth="1"/>
    <col min="7" max="7" width="13" style="422" customWidth="1"/>
    <col min="8" max="8" width="12.28515625" style="422" customWidth="1"/>
    <col min="9" max="9" width="12" style="422" customWidth="1"/>
    <col min="10" max="10" width="11.5703125" style="422" customWidth="1"/>
    <col min="11" max="11" width="14.140625" style="422" customWidth="1"/>
    <col min="12" max="12" width="15.28515625" style="422" customWidth="1"/>
    <col min="13" max="13" width="8.85546875" style="422" customWidth="1"/>
    <col min="14" max="16384" width="9.140625" style="422"/>
  </cols>
  <sheetData>
    <row r="1" spans="1:13" ht="21">
      <c r="A1" s="420" t="s">
        <v>513</v>
      </c>
      <c r="B1" s="421"/>
      <c r="C1" s="421"/>
      <c r="D1" s="421"/>
      <c r="E1" s="421"/>
      <c r="F1" s="421"/>
      <c r="G1" s="421"/>
      <c r="H1" s="421"/>
      <c r="I1" s="421"/>
      <c r="J1" s="421"/>
      <c r="K1" s="421"/>
      <c r="L1" s="421"/>
      <c r="M1" s="421"/>
    </row>
    <row r="2" spans="1:13" ht="18">
      <c r="A2" s="421" t="s">
        <v>473</v>
      </c>
      <c r="B2" s="421"/>
      <c r="C2" s="421"/>
      <c r="D2" s="421"/>
      <c r="E2" s="421"/>
      <c r="F2" s="421"/>
      <c r="G2" s="421"/>
      <c r="H2" s="421"/>
      <c r="I2" s="421"/>
      <c r="J2" s="421"/>
      <c r="K2" s="421"/>
      <c r="L2" s="421"/>
      <c r="M2" s="421"/>
    </row>
    <row r="3" spans="1:13" ht="18">
      <c r="A3" s="423" t="s">
        <v>474</v>
      </c>
      <c r="B3" s="424"/>
      <c r="C3" s="424"/>
      <c r="D3" s="424"/>
      <c r="E3" s="424"/>
      <c r="F3" s="424"/>
      <c r="G3" s="424"/>
      <c r="H3" s="424"/>
      <c r="I3" s="424"/>
      <c r="J3" s="424"/>
      <c r="K3" s="424"/>
      <c r="L3" s="424"/>
      <c r="M3" s="424"/>
    </row>
    <row r="4" spans="1:13" ht="18">
      <c r="A4" s="425"/>
      <c r="B4" s="426"/>
      <c r="C4" s="426"/>
      <c r="D4" s="426"/>
      <c r="E4" s="427"/>
      <c r="F4" s="428" t="s">
        <v>475</v>
      </c>
      <c r="G4" s="426"/>
      <c r="H4" s="426"/>
      <c r="I4" s="426"/>
      <c r="J4" s="426"/>
      <c r="K4" s="426"/>
      <c r="L4" s="426"/>
      <c r="M4" s="429"/>
    </row>
    <row r="5" spans="1:13" ht="72">
      <c r="A5" s="430" t="s">
        <v>476</v>
      </c>
      <c r="B5" s="431" t="s">
        <v>477</v>
      </c>
      <c r="C5" s="431" t="s">
        <v>42</v>
      </c>
      <c r="D5" s="431" t="s">
        <v>43</v>
      </c>
      <c r="E5" s="431" t="s">
        <v>514</v>
      </c>
      <c r="F5" s="431" t="s">
        <v>45</v>
      </c>
      <c r="G5" s="431" t="s">
        <v>478</v>
      </c>
      <c r="H5" s="431" t="s">
        <v>47</v>
      </c>
      <c r="I5" s="431" t="s">
        <v>479</v>
      </c>
      <c r="J5" s="431" t="s">
        <v>49</v>
      </c>
      <c r="K5" s="431" t="s">
        <v>515</v>
      </c>
      <c r="L5" s="431" t="s">
        <v>480</v>
      </c>
      <c r="M5" s="431" t="s">
        <v>39</v>
      </c>
    </row>
    <row r="6" spans="1:13" ht="18.75">
      <c r="A6" s="421"/>
      <c r="B6" s="432"/>
      <c r="C6" s="432"/>
      <c r="D6" s="432"/>
      <c r="E6" s="432"/>
      <c r="F6" s="432"/>
      <c r="G6" s="432"/>
      <c r="H6" s="432"/>
      <c r="I6" s="432"/>
      <c r="J6" s="432"/>
      <c r="K6" s="432"/>
      <c r="L6" s="433"/>
      <c r="M6" s="434" t="s">
        <v>120</v>
      </c>
    </row>
    <row r="7" spans="1:13" ht="18">
      <c r="A7" s="421" t="s">
        <v>41</v>
      </c>
      <c r="B7" s="435">
        <v>842.10776947999977</v>
      </c>
      <c r="C7" s="435">
        <v>27.859235999999999</v>
      </c>
      <c r="D7" s="435">
        <v>29.291290599999993</v>
      </c>
      <c r="E7" s="435">
        <v>42.835012539999994</v>
      </c>
      <c r="F7" s="435">
        <v>0.87633693999999995</v>
      </c>
      <c r="G7" s="435">
        <v>0.45534607999999988</v>
      </c>
      <c r="H7" s="435">
        <v>11.154271639999999</v>
      </c>
      <c r="I7" s="435">
        <v>3.9496478399999995</v>
      </c>
      <c r="J7" s="435">
        <v>1.6677778799999996</v>
      </c>
      <c r="K7" s="435">
        <v>1.9358835199999997</v>
      </c>
      <c r="L7" s="435">
        <v>0.65373021999999992</v>
      </c>
      <c r="M7" s="436">
        <v>962.78630273999988</v>
      </c>
    </row>
    <row r="8" spans="1:13" ht="18">
      <c r="A8" s="421" t="s">
        <v>42</v>
      </c>
      <c r="B8" s="435">
        <v>26.921084479999998</v>
      </c>
      <c r="C8" s="435">
        <v>285.98417537999995</v>
      </c>
      <c r="D8" s="435">
        <v>11.449716899999999</v>
      </c>
      <c r="E8" s="435">
        <v>3.9081304599999989</v>
      </c>
      <c r="F8" s="435">
        <v>7.3887699999999987E-2</v>
      </c>
      <c r="G8" s="435">
        <v>1.7497079999999998E-2</v>
      </c>
      <c r="H8" s="435">
        <v>0.12376363999999997</v>
      </c>
      <c r="I8" s="435">
        <v>10.999170619999997</v>
      </c>
      <c r="J8" s="435">
        <v>11.256116179999999</v>
      </c>
      <c r="K8" s="435">
        <v>1.7947565999999999</v>
      </c>
      <c r="L8" s="435">
        <v>0.11752317999999998</v>
      </c>
      <c r="M8" s="436">
        <v>352.6458222199999</v>
      </c>
    </row>
    <row r="9" spans="1:13" ht="18">
      <c r="A9" s="421" t="s">
        <v>43</v>
      </c>
      <c r="B9" s="435">
        <v>31.288864919999995</v>
      </c>
      <c r="C9" s="435">
        <v>10.531479259999999</v>
      </c>
      <c r="D9" s="435">
        <v>189.16358651999994</v>
      </c>
      <c r="E9" s="435">
        <v>41.12211761999999</v>
      </c>
      <c r="F9" s="435">
        <v>0.38090039999999992</v>
      </c>
      <c r="G9" s="435">
        <v>6.0587359999999993E-2</v>
      </c>
      <c r="H9" s="435">
        <v>0.11012133999999998</v>
      </c>
      <c r="I9" s="435">
        <v>5.0977070799999993</v>
      </c>
      <c r="J9" s="435">
        <v>0.35299393999999995</v>
      </c>
      <c r="K9" s="435">
        <v>0.36110705999999998</v>
      </c>
      <c r="L9" s="435">
        <v>0.14491853999999998</v>
      </c>
      <c r="M9" s="436">
        <v>278.61438403999983</v>
      </c>
    </row>
    <row r="10" spans="1:13" ht="21">
      <c r="A10" s="421" t="s">
        <v>516</v>
      </c>
      <c r="B10" s="435">
        <v>41.934435199999996</v>
      </c>
      <c r="C10" s="435">
        <v>3.1867981399999996</v>
      </c>
      <c r="D10" s="435">
        <v>39.998012299999992</v>
      </c>
      <c r="E10" s="435">
        <v>1818.9791337999998</v>
      </c>
      <c r="F10" s="435">
        <v>50.084591899999999</v>
      </c>
      <c r="G10" s="435">
        <v>1.7702721199999996</v>
      </c>
      <c r="H10" s="435">
        <v>1.1467897199999999</v>
      </c>
      <c r="I10" s="435">
        <v>1.6291880999999999</v>
      </c>
      <c r="J10" s="435">
        <v>1.6457109599999997</v>
      </c>
      <c r="K10" s="435">
        <v>1.4728204999999999</v>
      </c>
      <c r="L10" s="435">
        <v>1.3343878399999998</v>
      </c>
      <c r="M10" s="436">
        <v>1963.1821405799999</v>
      </c>
    </row>
    <row r="11" spans="1:13" ht="18">
      <c r="A11" s="421" t="s">
        <v>45</v>
      </c>
      <c r="B11" s="435">
        <v>1.03168404</v>
      </c>
      <c r="C11" s="435">
        <v>7.9832180000000003E-2</v>
      </c>
      <c r="D11" s="435">
        <v>0.37052695999999991</v>
      </c>
      <c r="E11" s="435">
        <v>53.241983959999992</v>
      </c>
      <c r="F11" s="435">
        <v>282.80767431999993</v>
      </c>
      <c r="G11" s="435">
        <v>2.0377502199999999</v>
      </c>
      <c r="H11" s="435">
        <v>0.22688147999999997</v>
      </c>
      <c r="I11" s="435">
        <v>3.5720779999999994E-2</v>
      </c>
      <c r="J11" s="435">
        <v>7.705701999999999E-2</v>
      </c>
      <c r="K11" s="435">
        <v>0.24736389999999997</v>
      </c>
      <c r="L11" s="435">
        <v>9.2071999999999987E-2</v>
      </c>
      <c r="M11" s="436">
        <v>340.24854685999986</v>
      </c>
    </row>
    <row r="12" spans="1:13" ht="18">
      <c r="A12" s="421" t="s">
        <v>478</v>
      </c>
      <c r="B12" s="435">
        <v>0.46816989999999992</v>
      </c>
      <c r="C12" s="435">
        <v>2.0762159999999998E-2</v>
      </c>
      <c r="D12" s="435">
        <v>6.5360599999999991E-2</v>
      </c>
      <c r="E12" s="435">
        <v>1.6891171999999997</v>
      </c>
      <c r="F12" s="435">
        <v>2.0750475199999996</v>
      </c>
      <c r="G12" s="435">
        <v>103.49361983999998</v>
      </c>
      <c r="H12" s="435">
        <v>0.39611213999999995</v>
      </c>
      <c r="I12" s="435">
        <v>6.4887599999999997E-3</v>
      </c>
      <c r="J12" s="435">
        <v>1.7221900000000002E-2</v>
      </c>
      <c r="K12" s="435">
        <v>6.718405999999999E-2</v>
      </c>
      <c r="L12" s="435">
        <v>1.703818E-2</v>
      </c>
      <c r="M12" s="436">
        <v>108.31612225999997</v>
      </c>
    </row>
    <row r="13" spans="1:13" ht="18">
      <c r="A13" s="421" t="s">
        <v>47</v>
      </c>
      <c r="B13" s="435">
        <v>11.089351019999999</v>
      </c>
      <c r="C13" s="435">
        <v>0.10871166</v>
      </c>
      <c r="D13" s="435">
        <v>8.2275279999999992E-2</v>
      </c>
      <c r="E13" s="435">
        <v>1.14597276</v>
      </c>
      <c r="F13" s="435">
        <v>0.21845087999999999</v>
      </c>
      <c r="G13" s="435">
        <v>0.38166243999999994</v>
      </c>
      <c r="H13" s="435">
        <v>65.143162759999996</v>
      </c>
      <c r="I13" s="435">
        <v>1.6318079999999999E-2</v>
      </c>
      <c r="J13" s="435">
        <v>1.5168959999999999E-2</v>
      </c>
      <c r="K13" s="435">
        <v>6.5762399999999999E-2</v>
      </c>
      <c r="L13" s="435">
        <v>1.2537599999999999E-2</v>
      </c>
      <c r="M13" s="436">
        <v>78.279373839999991</v>
      </c>
    </row>
    <row r="14" spans="1:13" ht="18">
      <c r="A14" s="421" t="s">
        <v>481</v>
      </c>
      <c r="B14" s="435">
        <v>3.1493081999999992</v>
      </c>
      <c r="C14" s="435">
        <v>10.852192819999999</v>
      </c>
      <c r="D14" s="435">
        <v>5.4340486999999991</v>
      </c>
      <c r="E14" s="435">
        <v>1.81486982</v>
      </c>
      <c r="F14" s="435">
        <v>3.5595639999999998E-2</v>
      </c>
      <c r="G14" s="435">
        <v>6.25342E-3</v>
      </c>
      <c r="H14" s="435">
        <v>1.8250079999999998E-2</v>
      </c>
      <c r="I14" s="435">
        <v>93.546123299999977</v>
      </c>
      <c r="J14" s="435">
        <v>11.719238539999999</v>
      </c>
      <c r="K14" s="435">
        <v>2.7303508000000001</v>
      </c>
      <c r="L14" s="435">
        <v>0.48200753999999996</v>
      </c>
      <c r="M14" s="436">
        <v>129.78823885999998</v>
      </c>
    </row>
    <row r="15" spans="1:13" ht="18">
      <c r="A15" s="421" t="s">
        <v>49</v>
      </c>
      <c r="B15" s="435">
        <v>1.2650964399999998</v>
      </c>
      <c r="C15" s="435">
        <v>12.625016419999998</v>
      </c>
      <c r="D15" s="435">
        <v>0.49908467999999995</v>
      </c>
      <c r="E15" s="435">
        <v>1.8050835199999997</v>
      </c>
      <c r="F15" s="435">
        <v>7.6289679999999999E-2</v>
      </c>
      <c r="G15" s="435">
        <v>3.2100379999999991E-2</v>
      </c>
      <c r="H15" s="435">
        <v>3.9863699999999995E-2</v>
      </c>
      <c r="I15" s="435">
        <v>11.02736528</v>
      </c>
      <c r="J15" s="435">
        <v>117.38878563999998</v>
      </c>
      <c r="K15" s="435">
        <v>21.829587419999999</v>
      </c>
      <c r="L15" s="435">
        <v>0.27923373999999995</v>
      </c>
      <c r="M15" s="436">
        <v>166.86750689999997</v>
      </c>
    </row>
    <row r="16" spans="1:13" ht="21">
      <c r="A16" s="421" t="s">
        <v>517</v>
      </c>
      <c r="B16" s="435">
        <v>1.43557588</v>
      </c>
      <c r="C16" s="435">
        <v>2.0251077399999997</v>
      </c>
      <c r="D16" s="435">
        <v>0.38299649999999996</v>
      </c>
      <c r="E16" s="435">
        <v>1.6937692200000001</v>
      </c>
      <c r="F16" s="435">
        <v>0.29452311999999992</v>
      </c>
      <c r="G16" s="435">
        <v>5.2010039999999987E-2</v>
      </c>
      <c r="H16" s="435">
        <v>4.1843999999999999E-2</v>
      </c>
      <c r="I16" s="435">
        <v>2.7517330999999996</v>
      </c>
      <c r="J16" s="435">
        <v>22.394037560000001</v>
      </c>
      <c r="K16" s="435">
        <v>493.83812762000002</v>
      </c>
      <c r="L16" s="435">
        <v>5.8049927399999994</v>
      </c>
      <c r="M16" s="436">
        <v>530.71471752000002</v>
      </c>
    </row>
    <row r="17" spans="1:13" ht="18">
      <c r="A17" s="421" t="s">
        <v>482</v>
      </c>
      <c r="B17" s="435">
        <v>0.64325813999999992</v>
      </c>
      <c r="C17" s="435">
        <v>0.18778929999999996</v>
      </c>
      <c r="D17" s="435">
        <v>0.18619321999999996</v>
      </c>
      <c r="E17" s="435">
        <v>1.4908397199999999</v>
      </c>
      <c r="F17" s="435">
        <v>0.13218613999999998</v>
      </c>
      <c r="G17" s="435">
        <v>3.6534659999999997E-2</v>
      </c>
      <c r="H17" s="435">
        <v>1.8628099999999998E-2</v>
      </c>
      <c r="I17" s="435">
        <v>0.63464396000000001</v>
      </c>
      <c r="J17" s="435">
        <v>0.36134763999999991</v>
      </c>
      <c r="K17" s="435">
        <v>5.9482226399999991</v>
      </c>
      <c r="L17" s="435">
        <v>227.51070731999999</v>
      </c>
      <c r="M17" s="436">
        <v>237.15035083999999</v>
      </c>
    </row>
    <row r="18" spans="1:13" ht="18">
      <c r="A18" s="430" t="s">
        <v>39</v>
      </c>
      <c r="B18" s="437">
        <v>961.33459769999968</v>
      </c>
      <c r="C18" s="437">
        <v>353.46110105999998</v>
      </c>
      <c r="D18" s="437">
        <v>276.92309225999992</v>
      </c>
      <c r="E18" s="437">
        <v>1969.7260306199996</v>
      </c>
      <c r="F18" s="437">
        <v>337.05548423999988</v>
      </c>
      <c r="G18" s="437">
        <v>108.34363363999998</v>
      </c>
      <c r="H18" s="437">
        <v>78.419688599999986</v>
      </c>
      <c r="I18" s="437">
        <v>129.69410689999998</v>
      </c>
      <c r="J18" s="437">
        <v>166.89545622</v>
      </c>
      <c r="K18" s="437">
        <v>530.29116652000005</v>
      </c>
      <c r="L18" s="437">
        <v>236.44914889999998</v>
      </c>
      <c r="M18" s="437">
        <v>5148.5935066599986</v>
      </c>
    </row>
    <row r="19" spans="1:13" s="438" customFormat="1" ht="12.75">
      <c r="B19" s="439"/>
      <c r="C19" s="439"/>
      <c r="D19" s="439"/>
      <c r="E19" s="439"/>
      <c r="F19" s="439"/>
      <c r="G19" s="439"/>
      <c r="H19" s="439"/>
      <c r="I19" s="439"/>
      <c r="J19" s="439"/>
      <c r="K19" s="439"/>
      <c r="L19" s="439"/>
      <c r="M19" s="439"/>
    </row>
    <row r="21" spans="1:13" ht="18.75" thickBot="1">
      <c r="A21" s="440" t="s">
        <v>483</v>
      </c>
      <c r="B21" s="441"/>
      <c r="C21" s="441"/>
      <c r="D21" s="441"/>
      <c r="E21" s="441"/>
      <c r="F21" s="441"/>
      <c r="G21" s="441"/>
      <c r="H21" s="441"/>
      <c r="I21" s="441"/>
      <c r="J21" s="441"/>
      <c r="K21" s="441"/>
      <c r="L21" s="441"/>
      <c r="M21" s="441"/>
    </row>
    <row r="22" spans="1:13" ht="18">
      <c r="A22" s="423"/>
      <c r="B22" s="442"/>
      <c r="C22" s="442"/>
      <c r="D22" s="442"/>
      <c r="E22" s="443"/>
      <c r="F22" s="443" t="s">
        <v>475</v>
      </c>
      <c r="G22" s="442"/>
      <c r="H22" s="442"/>
      <c r="I22" s="442"/>
      <c r="J22" s="442"/>
      <c r="K22" s="442"/>
      <c r="L22" s="442"/>
      <c r="M22" s="424"/>
    </row>
    <row r="23" spans="1:13" ht="72.75" thickBot="1">
      <c r="A23" s="440" t="s">
        <v>476</v>
      </c>
      <c r="B23" s="444" t="s">
        <v>477</v>
      </c>
      <c r="C23" s="444" t="s">
        <v>42</v>
      </c>
      <c r="D23" s="444" t="s">
        <v>43</v>
      </c>
      <c r="E23" s="444" t="s">
        <v>514</v>
      </c>
      <c r="F23" s="444" t="s">
        <v>45</v>
      </c>
      <c r="G23" s="444" t="s">
        <v>478</v>
      </c>
      <c r="H23" s="444" t="s">
        <v>47</v>
      </c>
      <c r="I23" s="444" t="s">
        <v>479</v>
      </c>
      <c r="J23" s="444" t="s">
        <v>49</v>
      </c>
      <c r="K23" s="444" t="s">
        <v>515</v>
      </c>
      <c r="L23" s="444" t="s">
        <v>480</v>
      </c>
      <c r="M23" s="444" t="s">
        <v>39</v>
      </c>
    </row>
    <row r="24" spans="1:13" ht="18.75">
      <c r="A24" s="421"/>
      <c r="B24" s="432"/>
      <c r="C24" s="432"/>
      <c r="D24" s="432"/>
      <c r="E24" s="432"/>
      <c r="F24" s="432"/>
      <c r="G24" s="432"/>
      <c r="H24" s="432"/>
      <c r="I24" s="432"/>
      <c r="J24" s="432"/>
      <c r="K24" s="432"/>
      <c r="L24" s="445"/>
      <c r="M24" s="434" t="s">
        <v>120</v>
      </c>
    </row>
    <row r="25" spans="1:13" ht="18">
      <c r="A25" s="421" t="s">
        <v>41</v>
      </c>
      <c r="B25" s="435">
        <v>647.36956787999986</v>
      </c>
      <c r="C25" s="435">
        <v>20.125305000000001</v>
      </c>
      <c r="D25" s="435">
        <v>24.880414799999993</v>
      </c>
      <c r="E25" s="435">
        <v>33.651719039999996</v>
      </c>
      <c r="F25" s="435">
        <v>0.39412043999999996</v>
      </c>
      <c r="G25" s="435">
        <v>0.3019732799999999</v>
      </c>
      <c r="H25" s="435">
        <v>9.3738476399999993</v>
      </c>
      <c r="I25" s="435">
        <v>3.4072382399999994</v>
      </c>
      <c r="J25" s="435">
        <v>1.0382248799999998</v>
      </c>
      <c r="K25" s="435">
        <v>1.2685753199999998</v>
      </c>
      <c r="L25" s="435">
        <v>0.33696371999999997</v>
      </c>
      <c r="M25" s="436">
        <v>742.14795023999989</v>
      </c>
    </row>
    <row r="26" spans="1:13" ht="18">
      <c r="A26" s="421" t="s">
        <v>42</v>
      </c>
      <c r="B26" s="435">
        <v>19.117652279999998</v>
      </c>
      <c r="C26" s="435">
        <v>240.49511327999994</v>
      </c>
      <c r="D26" s="435">
        <v>10.784135999999998</v>
      </c>
      <c r="E26" s="435">
        <v>3.207915359999999</v>
      </c>
      <c r="F26" s="435">
        <v>5.6008799999999991E-2</v>
      </c>
      <c r="G26" s="435">
        <v>1.5339479999999997E-2</v>
      </c>
      <c r="H26" s="435">
        <v>0.11600663999999997</v>
      </c>
      <c r="I26" s="435">
        <v>10.431234119999997</v>
      </c>
      <c r="J26" s="435">
        <v>8.5235734799999996</v>
      </c>
      <c r="K26" s="435">
        <v>1.4998241999999999</v>
      </c>
      <c r="L26" s="435">
        <v>9.6114479999999974E-2</v>
      </c>
      <c r="M26" s="436">
        <v>294.34291811999992</v>
      </c>
    </row>
    <row r="27" spans="1:13" ht="18">
      <c r="A27" s="421" t="s">
        <v>43</v>
      </c>
      <c r="B27" s="435">
        <v>26.834751119999996</v>
      </c>
      <c r="C27" s="435">
        <v>9.8145297599999992</v>
      </c>
      <c r="D27" s="435">
        <v>161.08612571999996</v>
      </c>
      <c r="E27" s="435">
        <v>36.129237719999992</v>
      </c>
      <c r="F27" s="435">
        <v>0.25075919999999996</v>
      </c>
      <c r="G27" s="435">
        <v>4.5743159999999991E-2</v>
      </c>
      <c r="H27" s="435">
        <v>9.2414039999999989E-2</v>
      </c>
      <c r="I27" s="435">
        <v>4.7475268799999997</v>
      </c>
      <c r="J27" s="435">
        <v>0.29501903999999995</v>
      </c>
      <c r="K27" s="435">
        <v>0.27814235999999998</v>
      </c>
      <c r="L27" s="435">
        <v>7.6376039999999992E-2</v>
      </c>
      <c r="M27" s="436">
        <v>239.65062503999997</v>
      </c>
    </row>
    <row r="28" spans="1:13" ht="21">
      <c r="A28" s="421" t="s">
        <v>516</v>
      </c>
      <c r="B28" s="435">
        <v>32.293568399999998</v>
      </c>
      <c r="C28" s="435">
        <v>2.5970522399999996</v>
      </c>
      <c r="D28" s="435">
        <v>35.275772999999994</v>
      </c>
      <c r="E28" s="435">
        <v>1430.3670809999999</v>
      </c>
      <c r="F28" s="435">
        <v>39.4046418</v>
      </c>
      <c r="G28" s="435">
        <v>1.1606497199999997</v>
      </c>
      <c r="H28" s="435">
        <v>0.98515931999999984</v>
      </c>
      <c r="I28" s="435">
        <v>1.095378</v>
      </c>
      <c r="J28" s="435">
        <v>1.1876361599999998</v>
      </c>
      <c r="K28" s="435">
        <v>0.82181939999999987</v>
      </c>
      <c r="L28" s="435">
        <v>0.94917323999999981</v>
      </c>
      <c r="M28" s="436">
        <v>1546.1379322800001</v>
      </c>
    </row>
    <row r="29" spans="1:13" ht="18">
      <c r="A29" s="421" t="s">
        <v>45</v>
      </c>
      <c r="B29" s="435">
        <v>0.46504523999999997</v>
      </c>
      <c r="C29" s="435">
        <v>5.5635479999999994E-2</v>
      </c>
      <c r="D29" s="435">
        <v>0.26208335999999993</v>
      </c>
      <c r="E29" s="435">
        <v>41.031539759999994</v>
      </c>
      <c r="F29" s="435">
        <v>242.33627951999995</v>
      </c>
      <c r="G29" s="435">
        <v>1.8302203199999998</v>
      </c>
      <c r="H29" s="435">
        <v>0.22688147999999997</v>
      </c>
      <c r="I29" s="435">
        <v>2.0723279999999997E-2</v>
      </c>
      <c r="J29" s="435">
        <v>2.5159319999999995E-2</v>
      </c>
      <c r="K29" s="435">
        <v>0.15926459999999998</v>
      </c>
      <c r="L29" s="435">
        <v>5.3047199999999996E-2</v>
      </c>
      <c r="M29" s="436">
        <v>286.46587955999991</v>
      </c>
    </row>
    <row r="30" spans="1:13" ht="18">
      <c r="A30" s="421" t="s">
        <v>478</v>
      </c>
      <c r="B30" s="435">
        <v>0.32253419999999994</v>
      </c>
      <c r="C30" s="435">
        <v>1.644696E-2</v>
      </c>
      <c r="D30" s="435">
        <v>4.5616799999999999E-2</v>
      </c>
      <c r="E30" s="435">
        <v>1.2459269999999996</v>
      </c>
      <c r="F30" s="435">
        <v>1.8978193199999995</v>
      </c>
      <c r="G30" s="435">
        <v>90.346597439999982</v>
      </c>
      <c r="H30" s="435">
        <v>0.37579763999999993</v>
      </c>
      <c r="I30" s="435">
        <v>5.2953599999999998E-3</v>
      </c>
      <c r="J30" s="435">
        <v>7.4250000000000002E-3</v>
      </c>
      <c r="K30" s="435">
        <v>5.0342159999999997E-2</v>
      </c>
      <c r="L30" s="435">
        <v>1.1446079999999999E-2</v>
      </c>
      <c r="M30" s="436">
        <v>94.325247959999984</v>
      </c>
    </row>
    <row r="31" spans="1:13" ht="18">
      <c r="A31" s="421" t="s">
        <v>47</v>
      </c>
      <c r="B31" s="435">
        <v>9.0948031199999999</v>
      </c>
      <c r="C31" s="435">
        <v>0.10629456</v>
      </c>
      <c r="D31" s="435">
        <v>7.9579079999999996E-2</v>
      </c>
      <c r="E31" s="435">
        <v>1.02929136</v>
      </c>
      <c r="F31" s="435">
        <v>0.21845087999999999</v>
      </c>
      <c r="G31" s="435">
        <v>0.36569843999999996</v>
      </c>
      <c r="H31" s="435">
        <v>57.31251455999999</v>
      </c>
      <c r="I31" s="435">
        <v>1.6318079999999999E-2</v>
      </c>
      <c r="J31" s="435">
        <v>1.5168959999999999E-2</v>
      </c>
      <c r="K31" s="435">
        <v>3.9592800000000004E-2</v>
      </c>
      <c r="L31" s="435">
        <v>1.1771999999999999E-2</v>
      </c>
      <c r="M31" s="436">
        <v>68.289483839999974</v>
      </c>
    </row>
    <row r="32" spans="1:13" ht="18">
      <c r="A32" s="421" t="s">
        <v>481</v>
      </c>
      <c r="B32" s="435">
        <v>2.4641777999999994</v>
      </c>
      <c r="C32" s="435">
        <v>10.29667452</v>
      </c>
      <c r="D32" s="435">
        <v>5.0911409999999995</v>
      </c>
      <c r="E32" s="435">
        <v>1.3022023199999999</v>
      </c>
      <c r="F32" s="435">
        <v>2.126724E-2</v>
      </c>
      <c r="G32" s="435">
        <v>4.8913200000000002E-3</v>
      </c>
      <c r="H32" s="435">
        <v>1.8250079999999998E-2</v>
      </c>
      <c r="I32" s="435">
        <v>80.175323999999975</v>
      </c>
      <c r="J32" s="435">
        <v>10.021892039999999</v>
      </c>
      <c r="K32" s="435">
        <v>2.4840198</v>
      </c>
      <c r="L32" s="435">
        <v>0.33486923999999996</v>
      </c>
      <c r="M32" s="436">
        <v>112.21470935999997</v>
      </c>
    </row>
    <row r="33" spans="1:13" ht="18">
      <c r="A33" s="421" t="s">
        <v>49</v>
      </c>
      <c r="B33" s="435">
        <v>0.7441754399999998</v>
      </c>
      <c r="C33" s="435">
        <v>10.182508919999998</v>
      </c>
      <c r="D33" s="435">
        <v>0.39778007999999998</v>
      </c>
      <c r="E33" s="435">
        <v>1.4121907199999997</v>
      </c>
      <c r="F33" s="435">
        <v>2.7686880000000001E-2</v>
      </c>
      <c r="G33" s="435">
        <v>8.1490799999999978E-3</v>
      </c>
      <c r="H33" s="435">
        <v>1.0886399999999997E-2</v>
      </c>
      <c r="I33" s="435">
        <v>9.8077150799999995</v>
      </c>
      <c r="J33" s="435">
        <v>93.285903839999989</v>
      </c>
      <c r="K33" s="435">
        <v>18.68570892</v>
      </c>
      <c r="L33" s="435">
        <v>0.24116423999999997</v>
      </c>
      <c r="M33" s="436">
        <v>134.80386959999998</v>
      </c>
    </row>
    <row r="34" spans="1:13" ht="21">
      <c r="A34" s="421" t="s">
        <v>518</v>
      </c>
      <c r="B34" s="435">
        <v>0.87665027999999989</v>
      </c>
      <c r="C34" s="435">
        <v>1.7621222399999998</v>
      </c>
      <c r="D34" s="435">
        <v>0.29938619999999994</v>
      </c>
      <c r="E34" s="435">
        <v>1.13280552</v>
      </c>
      <c r="F34" s="435">
        <v>0.16113251999999997</v>
      </c>
      <c r="G34" s="435">
        <v>4.2999239999999987E-2</v>
      </c>
      <c r="H34" s="435">
        <v>4.1843999999999999E-2</v>
      </c>
      <c r="I34" s="435">
        <v>2.4495569999999995</v>
      </c>
      <c r="J34" s="435">
        <v>18.64325676</v>
      </c>
      <c r="K34" s="435">
        <v>429.51557352000003</v>
      </c>
      <c r="L34" s="435">
        <v>4.9482338399999994</v>
      </c>
      <c r="M34" s="436">
        <v>459.87356112000003</v>
      </c>
    </row>
    <row r="35" spans="1:13" ht="18">
      <c r="A35" s="421" t="s">
        <v>482</v>
      </c>
      <c r="B35" s="435">
        <v>0.34536323999999996</v>
      </c>
      <c r="C35" s="435">
        <v>0.14261279999999998</v>
      </c>
      <c r="D35" s="435">
        <v>0.12508331999999997</v>
      </c>
      <c r="E35" s="435">
        <v>1.0938505199999999</v>
      </c>
      <c r="F35" s="435">
        <v>8.8689839999999992E-2</v>
      </c>
      <c r="G35" s="435">
        <v>2.9754959999999997E-2</v>
      </c>
      <c r="H35" s="435">
        <v>1.5523799999999997E-2</v>
      </c>
      <c r="I35" s="435">
        <v>0.48795815999999997</v>
      </c>
      <c r="J35" s="435">
        <v>0.30761243999999993</v>
      </c>
      <c r="K35" s="435">
        <v>5.1854720399999996</v>
      </c>
      <c r="L35" s="435">
        <v>198.81827111999999</v>
      </c>
      <c r="M35" s="436">
        <v>206.64019223999998</v>
      </c>
    </row>
    <row r="36" spans="1:13" ht="18.75" thickBot="1">
      <c r="A36" s="441" t="s">
        <v>39</v>
      </c>
      <c r="B36" s="446">
        <v>739.92828899999995</v>
      </c>
      <c r="C36" s="446">
        <v>295.59429575999991</v>
      </c>
      <c r="D36" s="446">
        <v>238.3271193599999</v>
      </c>
      <c r="E36" s="446">
        <v>1551.6037603199995</v>
      </c>
      <c r="F36" s="446">
        <v>284.85685643999989</v>
      </c>
      <c r="G36" s="446">
        <v>94.152016439999983</v>
      </c>
      <c r="H36" s="446">
        <v>68.569125599999992</v>
      </c>
      <c r="I36" s="446">
        <v>112.64426819999997</v>
      </c>
      <c r="J36" s="446">
        <v>133.35087192</v>
      </c>
      <c r="K36" s="446">
        <v>459.98833511999999</v>
      </c>
      <c r="L36" s="446">
        <v>205.87743119999999</v>
      </c>
      <c r="M36" s="446">
        <v>4184.8923693599991</v>
      </c>
    </row>
    <row r="37" spans="1:13" s="438" customFormat="1" ht="20.25" customHeight="1">
      <c r="A37" s="447" t="s">
        <v>484</v>
      </c>
    </row>
    <row r="38" spans="1:13" s="438" customFormat="1" ht="20.25" customHeight="1">
      <c r="A38" s="447"/>
    </row>
    <row r="39" spans="1:13" s="438" customFormat="1" ht="18" customHeight="1">
      <c r="A39" s="497" t="s">
        <v>543</v>
      </c>
    </row>
    <row r="40" spans="1:13" s="438" customFormat="1" ht="18" customHeight="1">
      <c r="A40" s="40" t="s">
        <v>544</v>
      </c>
    </row>
    <row r="41" spans="1:13" s="438" customFormat="1" ht="18" customHeight="1">
      <c r="A41" s="498" t="s">
        <v>545</v>
      </c>
    </row>
    <row r="42" spans="1:13" s="438" customFormat="1" ht="18" customHeight="1">
      <c r="A42" s="40"/>
    </row>
    <row r="43" spans="1:13">
      <c r="A43" s="448" t="s">
        <v>485</v>
      </c>
      <c r="L43"/>
    </row>
    <row r="44" spans="1:13">
      <c r="A44" s="448" t="s">
        <v>486</v>
      </c>
      <c r="L44"/>
    </row>
    <row r="45" spans="1:13">
      <c r="A45" s="448" t="s">
        <v>487</v>
      </c>
      <c r="L45"/>
    </row>
    <row r="46" spans="1:13">
      <c r="A46" s="448" t="s">
        <v>488</v>
      </c>
      <c r="L46"/>
    </row>
    <row r="47" spans="1:13">
      <c r="A47" s="448" t="s">
        <v>489</v>
      </c>
    </row>
    <row r="48" spans="1:13">
      <c r="A48" s="448" t="s">
        <v>490</v>
      </c>
    </row>
    <row r="49" spans="1:1">
      <c r="A49" s="448" t="s">
        <v>491</v>
      </c>
    </row>
    <row r="50" spans="1:1">
      <c r="A50" s="448" t="s">
        <v>492</v>
      </c>
    </row>
    <row r="51" spans="1:1">
      <c r="A51" s="448" t="s">
        <v>493</v>
      </c>
    </row>
  </sheetData>
  <phoneticPr fontId="0" type="noConversion"/>
  <hyperlinks>
    <hyperlink ref="A41" r:id="rId1"/>
  </hyperlinks>
  <pageMargins left="0.75" right="0.75" top="1" bottom="1" header="0.5" footer="0.5"/>
  <pageSetup paperSize="9" scale="50" orientation="portrait" horizontalDpi="96" verticalDpi="300" r:id="rId2"/>
  <headerFooter alignWithMargins="0">
    <oddHeader>&amp;R&amp;"Arial,Bold"&amp;18PERSONAL AND CROSS-MODAL TRAVEL</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1"/>
  <sheetViews>
    <sheetView topLeftCell="A19" zoomScale="75" zoomScaleNormal="75" workbookViewId="0">
      <selection activeCell="G45" sqref="G45"/>
    </sheetView>
  </sheetViews>
  <sheetFormatPr defaultRowHeight="15"/>
  <cols>
    <col min="1" max="1" width="29.7109375" style="422" customWidth="1"/>
    <col min="2" max="2" width="15.42578125" style="422" customWidth="1"/>
    <col min="3" max="3" width="6.7109375" style="422" customWidth="1"/>
    <col min="4" max="4" width="10.5703125" style="422" customWidth="1"/>
    <col min="5" max="5" width="14.140625" style="422" customWidth="1"/>
    <col min="6" max="6" width="12.5703125" style="422" customWidth="1"/>
    <col min="7" max="7" width="13.7109375" style="422" customWidth="1"/>
    <col min="8" max="8" width="12.5703125" style="422" customWidth="1"/>
    <col min="9" max="9" width="12.140625" style="422" customWidth="1"/>
    <col min="10" max="10" width="11.42578125" style="422" customWidth="1"/>
    <col min="11" max="11" width="14.7109375" style="422" customWidth="1"/>
    <col min="12" max="12" width="15.85546875" style="422" customWidth="1"/>
    <col min="13" max="13" width="8.85546875" style="422" customWidth="1"/>
    <col min="14" max="16384" width="9.140625" style="422"/>
  </cols>
  <sheetData>
    <row r="1" spans="1:13" ht="21">
      <c r="A1" s="420" t="s">
        <v>519</v>
      </c>
      <c r="B1" s="421"/>
      <c r="C1" s="421"/>
      <c r="D1" s="421"/>
      <c r="E1" s="421"/>
      <c r="F1" s="421"/>
      <c r="G1" s="421"/>
      <c r="H1" s="421"/>
      <c r="I1" s="421"/>
      <c r="J1" s="421"/>
      <c r="K1" s="421"/>
      <c r="L1" s="421"/>
      <c r="M1" s="421"/>
    </row>
    <row r="2" spans="1:13" ht="18">
      <c r="A2" s="421"/>
      <c r="B2" s="421"/>
      <c r="C2" s="421"/>
      <c r="D2" s="421"/>
      <c r="E2" s="421"/>
      <c r="F2" s="421"/>
      <c r="G2" s="421"/>
      <c r="H2" s="421"/>
      <c r="I2" s="421"/>
      <c r="J2" s="421"/>
      <c r="K2" s="421"/>
      <c r="L2" s="421"/>
      <c r="M2" s="421"/>
    </row>
    <row r="3" spans="1:13" ht="18">
      <c r="A3" s="423" t="s">
        <v>494</v>
      </c>
      <c r="B3" s="424"/>
      <c r="C3" s="424"/>
      <c r="D3" s="424"/>
      <c r="E3" s="424"/>
      <c r="F3" s="424"/>
      <c r="G3" s="424"/>
      <c r="H3" s="424"/>
      <c r="I3" s="424"/>
      <c r="J3" s="424"/>
      <c r="K3" s="424"/>
      <c r="L3" s="424"/>
      <c r="M3" s="424"/>
    </row>
    <row r="4" spans="1:13" ht="18">
      <c r="A4" s="425"/>
      <c r="B4" s="426"/>
      <c r="C4" s="426"/>
      <c r="D4" s="426"/>
      <c r="E4" s="427"/>
      <c r="F4" s="428" t="s">
        <v>475</v>
      </c>
      <c r="G4" s="426"/>
      <c r="H4" s="426"/>
      <c r="I4" s="426"/>
      <c r="J4" s="426"/>
      <c r="K4" s="426"/>
      <c r="L4" s="426"/>
      <c r="M4" s="429"/>
    </row>
    <row r="5" spans="1:13" ht="57">
      <c r="A5" s="430" t="s">
        <v>476</v>
      </c>
      <c r="B5" s="449" t="s">
        <v>477</v>
      </c>
      <c r="C5" s="449" t="s">
        <v>42</v>
      </c>
      <c r="D5" s="449" t="s">
        <v>43</v>
      </c>
      <c r="E5" s="449" t="s">
        <v>520</v>
      </c>
      <c r="F5" s="449" t="s">
        <v>45</v>
      </c>
      <c r="G5" s="449" t="s">
        <v>478</v>
      </c>
      <c r="H5" s="449" t="s">
        <v>47</v>
      </c>
      <c r="I5" s="449" t="s">
        <v>479</v>
      </c>
      <c r="J5" s="449" t="s">
        <v>49</v>
      </c>
      <c r="K5" s="449" t="s">
        <v>515</v>
      </c>
      <c r="L5" s="449" t="s">
        <v>480</v>
      </c>
      <c r="M5" s="449" t="s">
        <v>39</v>
      </c>
    </row>
    <row r="6" spans="1:13" ht="18.75">
      <c r="A6" s="421"/>
      <c r="B6" s="432"/>
      <c r="C6" s="432"/>
      <c r="D6" s="432"/>
      <c r="E6" s="432"/>
      <c r="F6" s="432"/>
      <c r="G6" s="432"/>
      <c r="H6" s="432"/>
      <c r="I6" s="432"/>
      <c r="J6" s="432"/>
      <c r="K6" s="432"/>
      <c r="L6" s="433"/>
      <c r="M6" s="434" t="s">
        <v>120</v>
      </c>
    </row>
    <row r="7" spans="1:13" ht="18">
      <c r="A7" s="421" t="s">
        <v>41</v>
      </c>
      <c r="B7" s="435">
        <v>194.73820159999994</v>
      </c>
      <c r="C7" s="435">
        <v>7.7339309999999992</v>
      </c>
      <c r="D7" s="435">
        <v>4.4108757999999995</v>
      </c>
      <c r="E7" s="435">
        <v>9.1832934999999996</v>
      </c>
      <c r="F7" s="435">
        <v>0.48221649999999999</v>
      </c>
      <c r="G7" s="435">
        <v>0.15337279999999998</v>
      </c>
      <c r="H7" s="435">
        <v>1.780424</v>
      </c>
      <c r="I7" s="435">
        <v>0.54240959999999994</v>
      </c>
      <c r="J7" s="435">
        <v>0.62955299999999992</v>
      </c>
      <c r="K7" s="435">
        <v>0.66730819999999991</v>
      </c>
      <c r="L7" s="435">
        <v>0.31676649999999995</v>
      </c>
      <c r="M7" s="436">
        <v>220.63835249999994</v>
      </c>
    </row>
    <row r="8" spans="1:13" ht="18">
      <c r="A8" s="421" t="s">
        <v>42</v>
      </c>
      <c r="B8" s="435">
        <v>7.8034322000000014</v>
      </c>
      <c r="C8" s="435">
        <v>45.489062100000005</v>
      </c>
      <c r="D8" s="435">
        <v>0.66558089999999992</v>
      </c>
      <c r="E8" s="435">
        <v>0.70021509999999998</v>
      </c>
      <c r="F8" s="435">
        <v>1.78789E-2</v>
      </c>
      <c r="G8" s="435">
        <v>2.1575999999999995E-3</v>
      </c>
      <c r="H8" s="435">
        <v>7.757E-3</v>
      </c>
      <c r="I8" s="435">
        <v>0.56793649999999996</v>
      </c>
      <c r="J8" s="435">
        <v>2.7325426999999993</v>
      </c>
      <c r="K8" s="435">
        <v>0.29493240000000004</v>
      </c>
      <c r="L8" s="435">
        <v>2.1408699999999996E-2</v>
      </c>
      <c r="M8" s="436">
        <v>58.302904100000006</v>
      </c>
    </row>
    <row r="9" spans="1:13" ht="18">
      <c r="A9" s="421" t="s">
        <v>43</v>
      </c>
      <c r="B9" s="435">
        <v>4.4541138</v>
      </c>
      <c r="C9" s="435">
        <v>0.71694949999999991</v>
      </c>
      <c r="D9" s="435">
        <v>28.077460799999994</v>
      </c>
      <c r="E9" s="435">
        <v>4.9928798999999993</v>
      </c>
      <c r="F9" s="435">
        <v>0.13014119999999998</v>
      </c>
      <c r="G9" s="435">
        <v>1.4844199999999998E-2</v>
      </c>
      <c r="H9" s="435">
        <v>1.7707299999999995E-2</v>
      </c>
      <c r="I9" s="435">
        <v>0.3501802</v>
      </c>
      <c r="J9" s="435">
        <v>5.7974899999999996E-2</v>
      </c>
      <c r="K9" s="435">
        <v>8.2964699999999988E-2</v>
      </c>
      <c r="L9" s="435">
        <v>6.8542500000000006E-2</v>
      </c>
      <c r="M9" s="436">
        <v>38.963758999999982</v>
      </c>
    </row>
    <row r="10" spans="1:13" ht="21">
      <c r="A10" s="421" t="s">
        <v>516</v>
      </c>
      <c r="B10" s="435">
        <v>9.6408667999999995</v>
      </c>
      <c r="C10" s="435">
        <v>0.58974589999999993</v>
      </c>
      <c r="D10" s="435">
        <v>4.7222392999999991</v>
      </c>
      <c r="E10" s="435">
        <v>388.61205279999996</v>
      </c>
      <c r="F10" s="435">
        <v>10.679950099999997</v>
      </c>
      <c r="G10" s="435">
        <v>0.60962240000000001</v>
      </c>
      <c r="H10" s="435">
        <v>0.16163040000000001</v>
      </c>
      <c r="I10" s="435">
        <v>0.53381009999999995</v>
      </c>
      <c r="J10" s="435">
        <v>0.4580748</v>
      </c>
      <c r="K10" s="435">
        <v>0.6510011</v>
      </c>
      <c r="L10" s="435">
        <v>0.38521460000000002</v>
      </c>
      <c r="M10" s="436">
        <v>417.04420829999987</v>
      </c>
    </row>
    <row r="11" spans="1:13" ht="18">
      <c r="A11" s="421" t="s">
        <v>45</v>
      </c>
      <c r="B11" s="435">
        <v>0.5666388</v>
      </c>
      <c r="C11" s="435">
        <v>2.4196700000000002E-2</v>
      </c>
      <c r="D11" s="435">
        <v>0.10844359999999999</v>
      </c>
      <c r="E11" s="435">
        <v>12.2104442</v>
      </c>
      <c r="F11" s="435">
        <v>40.471394799999992</v>
      </c>
      <c r="G11" s="435">
        <v>0.20752989999999999</v>
      </c>
      <c r="H11" s="435">
        <v>0</v>
      </c>
      <c r="I11" s="435">
        <v>1.4997499999999999E-2</v>
      </c>
      <c r="J11" s="435">
        <v>5.1897699999999998E-2</v>
      </c>
      <c r="K11" s="435">
        <v>8.8099300000000005E-2</v>
      </c>
      <c r="L11" s="435">
        <v>3.9024799999999998E-2</v>
      </c>
      <c r="M11" s="436">
        <v>53.782667299999993</v>
      </c>
    </row>
    <row r="12" spans="1:13" ht="18">
      <c r="A12" s="421" t="s">
        <v>478</v>
      </c>
      <c r="B12" s="435">
        <v>0.14563569999999998</v>
      </c>
      <c r="C12" s="435">
        <v>4.3151999999999991E-3</v>
      </c>
      <c r="D12" s="435">
        <v>1.9743799999999999E-2</v>
      </c>
      <c r="E12" s="435">
        <v>0.44319019999999998</v>
      </c>
      <c r="F12" s="435">
        <v>0.17722819999999997</v>
      </c>
      <c r="G12" s="435">
        <v>13.147022399999997</v>
      </c>
      <c r="H12" s="435">
        <v>2.0314499999999999E-2</v>
      </c>
      <c r="I12" s="435">
        <v>1.1934000000000001E-3</v>
      </c>
      <c r="J12" s="435">
        <v>9.7969000000000007E-3</v>
      </c>
      <c r="K12" s="435">
        <v>1.68419E-2</v>
      </c>
      <c r="L12" s="435">
        <v>5.5921E-3</v>
      </c>
      <c r="M12" s="436">
        <v>13.990874299999994</v>
      </c>
    </row>
    <row r="13" spans="1:13" ht="18">
      <c r="A13" s="421" t="s">
        <v>47</v>
      </c>
      <c r="B13" s="435">
        <v>1.9945478999999995</v>
      </c>
      <c r="C13" s="435">
        <v>2.4170999999999997E-3</v>
      </c>
      <c r="D13" s="435">
        <v>2.6961999999999997E-3</v>
      </c>
      <c r="E13" s="435">
        <v>0.11668139999999999</v>
      </c>
      <c r="F13" s="435">
        <v>0</v>
      </c>
      <c r="G13" s="435">
        <v>1.5963999999999999E-2</v>
      </c>
      <c r="H13" s="435">
        <v>7.8306481999999997</v>
      </c>
      <c r="I13" s="435">
        <v>0</v>
      </c>
      <c r="J13" s="435">
        <v>0</v>
      </c>
      <c r="K13" s="435">
        <v>2.6169599999999994E-2</v>
      </c>
      <c r="L13" s="435">
        <v>7.6559999999999996E-4</v>
      </c>
      <c r="M13" s="436">
        <v>9.9898899999999973</v>
      </c>
    </row>
    <row r="14" spans="1:13" ht="18">
      <c r="A14" s="421" t="s">
        <v>481</v>
      </c>
      <c r="B14" s="435">
        <v>0.68513040000000003</v>
      </c>
      <c r="C14" s="435">
        <v>0.55551829999999991</v>
      </c>
      <c r="D14" s="435">
        <v>0.34290769999999998</v>
      </c>
      <c r="E14" s="435">
        <v>0.51266750000000005</v>
      </c>
      <c r="F14" s="435">
        <v>1.43284E-2</v>
      </c>
      <c r="G14" s="435">
        <v>1.3621E-3</v>
      </c>
      <c r="H14" s="435">
        <v>0</v>
      </c>
      <c r="I14" s="435">
        <v>13.370799299999998</v>
      </c>
      <c r="J14" s="435">
        <v>1.6973464999999999</v>
      </c>
      <c r="K14" s="435">
        <v>0.24633099999999999</v>
      </c>
      <c r="L14" s="435">
        <v>0.1471383</v>
      </c>
      <c r="M14" s="436">
        <v>17.573529499999999</v>
      </c>
    </row>
    <row r="15" spans="1:13" ht="18">
      <c r="A15" s="421" t="s">
        <v>49</v>
      </c>
      <c r="B15" s="435">
        <v>0.52092100000000008</v>
      </c>
      <c r="C15" s="435">
        <v>2.4425074999999996</v>
      </c>
      <c r="D15" s="435">
        <v>0.10130459999999999</v>
      </c>
      <c r="E15" s="435">
        <v>0.39289279999999999</v>
      </c>
      <c r="F15" s="435">
        <v>4.8602800000000002E-2</v>
      </c>
      <c r="G15" s="435">
        <v>2.3951299999999995E-2</v>
      </c>
      <c r="H15" s="435">
        <v>2.8977299999999998E-2</v>
      </c>
      <c r="I15" s="435">
        <v>1.2196501999999998</v>
      </c>
      <c r="J15" s="435">
        <v>24.102881799999995</v>
      </c>
      <c r="K15" s="435">
        <v>3.1438785</v>
      </c>
      <c r="L15" s="435">
        <v>3.8069499999999999E-2</v>
      </c>
      <c r="M15" s="436">
        <v>32.063637299999996</v>
      </c>
    </row>
    <row r="16" spans="1:13" ht="21">
      <c r="A16" s="421" t="s">
        <v>517</v>
      </c>
      <c r="B16" s="435">
        <v>0.55892560000000002</v>
      </c>
      <c r="C16" s="435">
        <v>0.26298549999999998</v>
      </c>
      <c r="D16" s="435">
        <v>8.3610299999999999E-2</v>
      </c>
      <c r="E16" s="435">
        <v>0.56096370000000007</v>
      </c>
      <c r="F16" s="435">
        <v>0.13339059999999997</v>
      </c>
      <c r="G16" s="435">
        <v>9.0107999999999994E-3</v>
      </c>
      <c r="H16" s="435">
        <v>0</v>
      </c>
      <c r="I16" s="435">
        <v>0.30217609999999995</v>
      </c>
      <c r="J16" s="435">
        <v>3.7507807999999994</v>
      </c>
      <c r="K16" s="435">
        <v>64.322554099999991</v>
      </c>
      <c r="L16" s="435">
        <v>0.85675889999999999</v>
      </c>
      <c r="M16" s="436">
        <v>70.841156399999988</v>
      </c>
    </row>
    <row r="17" spans="1:13" ht="18">
      <c r="A17" s="421" t="s">
        <v>482</v>
      </c>
      <c r="B17" s="435">
        <v>0.29789490000000002</v>
      </c>
      <c r="C17" s="435">
        <v>4.5176499999999988E-2</v>
      </c>
      <c r="D17" s="435">
        <v>6.1109899999999995E-2</v>
      </c>
      <c r="E17" s="435">
        <v>0.39698919999999999</v>
      </c>
      <c r="F17" s="435">
        <v>4.3496299999999988E-2</v>
      </c>
      <c r="G17" s="435">
        <v>6.7796999999999987E-3</v>
      </c>
      <c r="H17" s="435">
        <v>3.1042999999999999E-3</v>
      </c>
      <c r="I17" s="435">
        <v>0.14668580000000001</v>
      </c>
      <c r="J17" s="435">
        <v>5.373519999999999E-2</v>
      </c>
      <c r="K17" s="435">
        <v>0.76275059999999995</v>
      </c>
      <c r="L17" s="435">
        <v>28.692436199999996</v>
      </c>
      <c r="M17" s="436">
        <v>30.510158599999997</v>
      </c>
    </row>
    <row r="18" spans="1:13" ht="18">
      <c r="A18" s="430" t="s">
        <v>39</v>
      </c>
      <c r="B18" s="437">
        <v>221.4063086999999</v>
      </c>
      <c r="C18" s="437">
        <v>57.866805299999996</v>
      </c>
      <c r="D18" s="437">
        <v>38.595972899999985</v>
      </c>
      <c r="E18" s="437">
        <v>418.12227030000003</v>
      </c>
      <c r="F18" s="437">
        <v>52.198627799999983</v>
      </c>
      <c r="G18" s="437">
        <v>14.191617199999998</v>
      </c>
      <c r="H18" s="437">
        <v>9.8505629999999993</v>
      </c>
      <c r="I18" s="437">
        <v>17.049838699999999</v>
      </c>
      <c r="J18" s="437">
        <v>33.54458429999999</v>
      </c>
      <c r="K18" s="437">
        <v>70.302831400000002</v>
      </c>
      <c r="L18" s="437">
        <v>30.571717699999997</v>
      </c>
      <c r="M18" s="437">
        <v>963.70113729999991</v>
      </c>
    </row>
    <row r="19" spans="1:13" ht="18">
      <c r="A19" s="424"/>
      <c r="B19" s="435"/>
      <c r="C19" s="435"/>
      <c r="D19" s="435"/>
      <c r="E19" s="435"/>
      <c r="F19" s="435"/>
      <c r="G19" s="435"/>
      <c r="H19" s="435"/>
      <c r="I19" s="435"/>
      <c r="J19" s="435"/>
      <c r="K19" s="435"/>
      <c r="L19" s="435"/>
      <c r="M19" s="435"/>
    </row>
    <row r="21" spans="1:13" ht="18">
      <c r="A21" s="423" t="s">
        <v>495</v>
      </c>
      <c r="B21" s="424"/>
      <c r="C21" s="424"/>
      <c r="D21" s="424"/>
      <c r="E21" s="424"/>
      <c r="F21" s="424"/>
      <c r="G21" s="424"/>
      <c r="H21" s="424"/>
      <c r="I21" s="424"/>
      <c r="J21" s="424"/>
      <c r="K21" s="424"/>
      <c r="L21" s="424"/>
      <c r="M21" s="424"/>
    </row>
    <row r="22" spans="1:13" ht="18">
      <c r="A22" s="425"/>
      <c r="B22" s="426"/>
      <c r="C22" s="426"/>
      <c r="D22" s="426"/>
      <c r="E22" s="427"/>
      <c r="F22" s="428" t="s">
        <v>475</v>
      </c>
      <c r="G22" s="426"/>
      <c r="H22" s="426"/>
      <c r="I22" s="426"/>
      <c r="J22" s="426"/>
      <c r="K22" s="426"/>
      <c r="L22" s="426"/>
      <c r="M22" s="429"/>
    </row>
    <row r="23" spans="1:13" ht="57">
      <c r="A23" s="430" t="s">
        <v>476</v>
      </c>
      <c r="B23" s="449" t="s">
        <v>477</v>
      </c>
      <c r="C23" s="449" t="s">
        <v>42</v>
      </c>
      <c r="D23" s="449" t="s">
        <v>43</v>
      </c>
      <c r="E23" s="449" t="s">
        <v>521</v>
      </c>
      <c r="F23" s="449" t="s">
        <v>45</v>
      </c>
      <c r="G23" s="449" t="s">
        <v>478</v>
      </c>
      <c r="H23" s="449" t="s">
        <v>47</v>
      </c>
      <c r="I23" s="449" t="s">
        <v>479</v>
      </c>
      <c r="J23" s="449" t="s">
        <v>49</v>
      </c>
      <c r="K23" s="449" t="s">
        <v>522</v>
      </c>
      <c r="L23" s="449" t="s">
        <v>480</v>
      </c>
      <c r="M23" s="449" t="s">
        <v>39</v>
      </c>
    </row>
    <row r="24" spans="1:13" ht="18.75">
      <c r="A24" s="421"/>
      <c r="B24" s="432"/>
      <c r="C24" s="432"/>
      <c r="D24" s="432"/>
      <c r="E24" s="432"/>
      <c r="F24" s="432"/>
      <c r="G24" s="432"/>
      <c r="H24" s="432"/>
      <c r="I24" s="432"/>
      <c r="J24" s="432"/>
      <c r="K24" s="432"/>
      <c r="L24" s="445"/>
      <c r="M24" s="434" t="s">
        <v>120</v>
      </c>
    </row>
    <row r="25" spans="1:13" ht="18">
      <c r="A25" s="421" t="s">
        <v>41</v>
      </c>
      <c r="B25" s="435">
        <v>695.67673419999994</v>
      </c>
      <c r="C25" s="435">
        <v>20.2530559</v>
      </c>
      <c r="D25" s="435">
        <v>24.125735799999994</v>
      </c>
      <c r="E25" s="435">
        <v>35.399361599999999</v>
      </c>
      <c r="F25" s="435">
        <v>1.1594662999999998</v>
      </c>
      <c r="G25" s="435">
        <v>0.90588979999999997</v>
      </c>
      <c r="H25" s="435">
        <v>9.1159730999999997</v>
      </c>
      <c r="I25" s="435">
        <v>4.1409082999999995</v>
      </c>
      <c r="J25" s="435">
        <v>1.1687753999999999</v>
      </c>
      <c r="K25" s="435">
        <v>1.8155389</v>
      </c>
      <c r="L25" s="435">
        <v>0.84053489999999997</v>
      </c>
      <c r="M25" s="436">
        <v>794.60197419999986</v>
      </c>
    </row>
    <row r="26" spans="1:13" ht="18">
      <c r="A26" s="421" t="s">
        <v>42</v>
      </c>
      <c r="B26" s="435">
        <v>18.636144900000001</v>
      </c>
      <c r="C26" s="435">
        <v>239.92260909999996</v>
      </c>
      <c r="D26" s="435">
        <v>11.093318</v>
      </c>
      <c r="E26" s="435">
        <v>3.4888513999999993</v>
      </c>
      <c r="F26" s="435">
        <v>0.13149939999999999</v>
      </c>
      <c r="G26" s="435">
        <v>1.6073999999999998E-2</v>
      </c>
      <c r="H26" s="435">
        <v>0.11408779999999998</v>
      </c>
      <c r="I26" s="435">
        <v>10.929632299999998</v>
      </c>
      <c r="J26" s="435">
        <v>7.9936335999999999</v>
      </c>
      <c r="K26" s="435">
        <v>1.9072955999999999</v>
      </c>
      <c r="L26" s="435">
        <v>0.35328399999999993</v>
      </c>
      <c r="M26" s="436">
        <v>294.58643009999992</v>
      </c>
    </row>
    <row r="27" spans="1:13" ht="18">
      <c r="A27" s="421" t="s">
        <v>43</v>
      </c>
      <c r="B27" s="435">
        <v>26.353058499999996</v>
      </c>
      <c r="C27" s="435">
        <v>10.173940699999999</v>
      </c>
      <c r="D27" s="435">
        <v>186.49040509999998</v>
      </c>
      <c r="E27" s="435">
        <v>35.812178599999996</v>
      </c>
      <c r="F27" s="435">
        <v>0.56981630000000005</v>
      </c>
      <c r="G27" s="435">
        <v>7.4835899999999983E-2</v>
      </c>
      <c r="H27" s="435">
        <v>0.1170416</v>
      </c>
      <c r="I27" s="435">
        <v>4.5769772999999994</v>
      </c>
      <c r="J27" s="435">
        <v>0.42117539999999992</v>
      </c>
      <c r="K27" s="435">
        <v>0.73049319999999995</v>
      </c>
      <c r="L27" s="435">
        <v>0.37909489999999996</v>
      </c>
      <c r="M27" s="436">
        <v>265.69901749999991</v>
      </c>
    </row>
    <row r="28" spans="1:13" ht="21">
      <c r="A28" s="421" t="s">
        <v>516</v>
      </c>
      <c r="B28" s="435">
        <v>37.947169799999998</v>
      </c>
      <c r="C28" s="435">
        <v>2.8530023</v>
      </c>
      <c r="D28" s="435">
        <v>34.743416299999993</v>
      </c>
      <c r="E28" s="435">
        <v>1446.630985</v>
      </c>
      <c r="F28" s="435">
        <v>44.826741599999998</v>
      </c>
      <c r="G28" s="435">
        <v>2.0448246999999999</v>
      </c>
      <c r="H28" s="435">
        <v>1.3407736999999997</v>
      </c>
      <c r="I28" s="435">
        <v>1.4086050999999999</v>
      </c>
      <c r="J28" s="435">
        <v>1.5582910999999999</v>
      </c>
      <c r="K28" s="435">
        <v>1.0254683999999998</v>
      </c>
      <c r="L28" s="435">
        <v>2.0709147999999997</v>
      </c>
      <c r="M28" s="436">
        <v>1576.4501928</v>
      </c>
    </row>
    <row r="29" spans="1:13" ht="18">
      <c r="A29" s="421" t="s">
        <v>45</v>
      </c>
      <c r="B29" s="435">
        <v>0.99297639999999987</v>
      </c>
      <c r="C29" s="435">
        <v>7.7018299999999998E-2</v>
      </c>
      <c r="D29" s="435">
        <v>0.39316529999999994</v>
      </c>
      <c r="E29" s="435">
        <v>39.305349699999994</v>
      </c>
      <c r="F29" s="435">
        <v>240.91189709999998</v>
      </c>
      <c r="G29" s="435">
        <v>1.9517237999999999</v>
      </c>
      <c r="H29" s="435">
        <v>0.25927899999999998</v>
      </c>
      <c r="I29" s="435">
        <v>5.3759799999999996E-2</v>
      </c>
      <c r="J29" s="435">
        <v>2.6476099999999999E-2</v>
      </c>
      <c r="K29" s="435">
        <v>0.18143769999999998</v>
      </c>
      <c r="L29" s="435">
        <v>0.16372680000000001</v>
      </c>
      <c r="M29" s="436">
        <v>284.31681000000003</v>
      </c>
    </row>
    <row r="30" spans="1:13" ht="18">
      <c r="A30" s="421" t="s">
        <v>478</v>
      </c>
      <c r="B30" s="435">
        <v>1.0673404</v>
      </c>
      <c r="C30" s="435">
        <v>2.4383799999999997E-2</v>
      </c>
      <c r="D30" s="435">
        <v>9.2637499999999984E-2</v>
      </c>
      <c r="E30" s="435">
        <v>1.9949055999999996</v>
      </c>
      <c r="F30" s="435">
        <v>3.3639005999999996</v>
      </c>
      <c r="G30" s="435">
        <v>94.130976499999989</v>
      </c>
      <c r="H30" s="435">
        <v>0.75329599999999997</v>
      </c>
      <c r="I30" s="435">
        <v>1.7802299999999997E-2</v>
      </c>
      <c r="J30" s="435">
        <v>1.7756399999999999E-2</v>
      </c>
      <c r="K30" s="435">
        <v>5.7626899999999995E-2</v>
      </c>
      <c r="L30" s="435">
        <v>7.718570000000001E-2</v>
      </c>
      <c r="M30" s="436">
        <v>101.59781169999999</v>
      </c>
    </row>
    <row r="31" spans="1:13" ht="18">
      <c r="A31" s="421" t="s">
        <v>47</v>
      </c>
      <c r="B31" s="435">
        <v>8.9225446999999996</v>
      </c>
      <c r="C31" s="435">
        <v>0.1003288</v>
      </c>
      <c r="D31" s="435">
        <v>0.10277979999999998</v>
      </c>
      <c r="E31" s="435">
        <v>1.3698355</v>
      </c>
      <c r="F31" s="435">
        <v>0.33735529999999997</v>
      </c>
      <c r="G31" s="435">
        <v>0.75444800000000001</v>
      </c>
      <c r="H31" s="435">
        <v>50.512686399999993</v>
      </c>
      <c r="I31" s="435">
        <v>4.9548799999999997E-2</v>
      </c>
      <c r="J31" s="435">
        <v>1.9710399999999996E-2</v>
      </c>
      <c r="K31" s="435">
        <v>5.0795799999999995E-2</v>
      </c>
      <c r="L31" s="435">
        <v>4.7088299999999993E-2</v>
      </c>
      <c r="M31" s="436">
        <v>62.267121799999991</v>
      </c>
    </row>
    <row r="32" spans="1:13" ht="18">
      <c r="A32" s="421" t="s">
        <v>481</v>
      </c>
      <c r="B32" s="435">
        <v>2.8894829999999998</v>
      </c>
      <c r="C32" s="435">
        <v>10.4404079</v>
      </c>
      <c r="D32" s="435">
        <v>5.0759063999999992</v>
      </c>
      <c r="E32" s="435">
        <v>1.7291818999999999</v>
      </c>
      <c r="F32" s="435">
        <v>8.4444699999999984E-2</v>
      </c>
      <c r="G32" s="435">
        <v>3.0190700000000001E-2</v>
      </c>
      <c r="H32" s="435">
        <v>8.1661499999999984E-2</v>
      </c>
      <c r="I32" s="435">
        <v>75.486559699999987</v>
      </c>
      <c r="J32" s="435">
        <v>9.4611957999999987</v>
      </c>
      <c r="K32" s="435">
        <v>2.9654553999999997</v>
      </c>
      <c r="L32" s="435">
        <v>0.75662779999999996</v>
      </c>
      <c r="M32" s="436">
        <v>109.00111479999998</v>
      </c>
    </row>
    <row r="33" spans="1:13" ht="18">
      <c r="A33" s="421" t="s">
        <v>49</v>
      </c>
      <c r="B33" s="435">
        <v>0.92101369999999982</v>
      </c>
      <c r="C33" s="435">
        <v>9.3566095999999987</v>
      </c>
      <c r="D33" s="435">
        <v>0.56123590000000001</v>
      </c>
      <c r="E33" s="435">
        <v>1.9396150999999997</v>
      </c>
      <c r="F33" s="435">
        <v>6.7659399999999995E-2</v>
      </c>
      <c r="G33" s="435">
        <v>2.6857499999999996E-2</v>
      </c>
      <c r="H33" s="435">
        <v>2.6716599999999993E-2</v>
      </c>
      <c r="I33" s="435">
        <v>9.1822286000000002</v>
      </c>
      <c r="J33" s="435">
        <v>87.279604799999987</v>
      </c>
      <c r="K33" s="435">
        <v>18.669279400000001</v>
      </c>
      <c r="L33" s="435">
        <v>0.38523699999999994</v>
      </c>
      <c r="M33" s="436">
        <v>128.41605759999996</v>
      </c>
    </row>
    <row r="34" spans="1:13" ht="21">
      <c r="A34" s="421" t="s">
        <v>517</v>
      </c>
      <c r="B34" s="435">
        <v>1.1380509999999999</v>
      </c>
      <c r="C34" s="435">
        <v>2.0616287</v>
      </c>
      <c r="D34" s="435">
        <v>0.48894779999999993</v>
      </c>
      <c r="E34" s="435">
        <v>1.2801647999999999</v>
      </c>
      <c r="F34" s="435">
        <v>0.21377099999999996</v>
      </c>
      <c r="G34" s="435">
        <v>5.1848599999999988E-2</v>
      </c>
      <c r="H34" s="435">
        <v>6.1893400000000001E-2</v>
      </c>
      <c r="I34" s="435">
        <v>2.9679349999999998</v>
      </c>
      <c r="J34" s="435">
        <v>18.4772006</v>
      </c>
      <c r="K34" s="435">
        <v>401.88697110000004</v>
      </c>
      <c r="L34" s="435">
        <v>6.1717648999999994</v>
      </c>
      <c r="M34" s="436">
        <v>434.8001769</v>
      </c>
    </row>
    <row r="35" spans="1:13" ht="18">
      <c r="A35" s="421" t="s">
        <v>482</v>
      </c>
      <c r="B35" s="435">
        <v>0.45367839999999993</v>
      </c>
      <c r="C35" s="435">
        <v>0.2904582</v>
      </c>
      <c r="D35" s="435">
        <v>0.49034039999999995</v>
      </c>
      <c r="E35" s="435">
        <v>1.6175910999999998</v>
      </c>
      <c r="F35" s="435">
        <v>0.22796939999999999</v>
      </c>
      <c r="G35" s="435">
        <v>7.9546199999999984E-2</v>
      </c>
      <c r="H35" s="435">
        <v>0.11798089999999999</v>
      </c>
      <c r="I35" s="435">
        <v>1.0659122999999999</v>
      </c>
      <c r="J35" s="435">
        <v>0.32638239999999996</v>
      </c>
      <c r="K35" s="435">
        <v>5.6646675999999996</v>
      </c>
      <c r="L35" s="435">
        <v>181.59750249999999</v>
      </c>
      <c r="M35" s="436">
        <v>191.93202939999998</v>
      </c>
    </row>
    <row r="36" spans="1:13" ht="18">
      <c r="A36" s="430" t="s">
        <v>39</v>
      </c>
      <c r="B36" s="437">
        <v>794.9981949999999</v>
      </c>
      <c r="C36" s="437">
        <v>295.55344330000003</v>
      </c>
      <c r="D36" s="437">
        <v>263.65788829999997</v>
      </c>
      <c r="E36" s="437">
        <v>1570.5680203000002</v>
      </c>
      <c r="F36" s="437">
        <v>291.89452110000008</v>
      </c>
      <c r="G36" s="437">
        <v>100.06721569999999</v>
      </c>
      <c r="H36" s="437">
        <v>62.501390000000001</v>
      </c>
      <c r="I36" s="437">
        <v>109.87986949999998</v>
      </c>
      <c r="J36" s="437">
        <v>126.75020199999999</v>
      </c>
      <c r="K36" s="437">
        <v>434.95503000000002</v>
      </c>
      <c r="L36" s="437">
        <v>192.8429616</v>
      </c>
      <c r="M36" s="437">
        <v>4243.6687368000003</v>
      </c>
    </row>
    <row r="37" spans="1:13" s="438" customFormat="1" ht="14.25">
      <c r="A37" s="447" t="s">
        <v>484</v>
      </c>
    </row>
    <row r="38" spans="1:13" s="438" customFormat="1" ht="14.25">
      <c r="A38" s="447"/>
    </row>
    <row r="39" spans="1:13" s="438" customFormat="1" ht="20.25">
      <c r="A39" s="497" t="s">
        <v>543</v>
      </c>
    </row>
    <row r="40" spans="1:13" s="438" customFormat="1" ht="18">
      <c r="A40" s="40" t="s">
        <v>544</v>
      </c>
    </row>
    <row r="41" spans="1:13" s="438" customFormat="1" ht="18">
      <c r="A41" s="498" t="s">
        <v>545</v>
      </c>
    </row>
    <row r="42" spans="1:13" s="438" customFormat="1" ht="18">
      <c r="A42" s="498"/>
    </row>
    <row r="43" spans="1:13" s="438" customFormat="1" ht="14.25">
      <c r="A43" s="448" t="s">
        <v>485</v>
      </c>
    </row>
    <row r="44" spans="1:13" s="438" customFormat="1" ht="14.25">
      <c r="A44" s="448" t="s">
        <v>486</v>
      </c>
    </row>
    <row r="45" spans="1:13">
      <c r="A45" s="448" t="s">
        <v>487</v>
      </c>
    </row>
    <row r="46" spans="1:13">
      <c r="A46" s="448" t="s">
        <v>488</v>
      </c>
    </row>
    <row r="47" spans="1:13">
      <c r="A47" s="448" t="s">
        <v>489</v>
      </c>
    </row>
    <row r="48" spans="1:13">
      <c r="A48" s="448" t="s">
        <v>490</v>
      </c>
    </row>
    <row r="49" spans="1:1">
      <c r="A49" s="448" t="s">
        <v>491</v>
      </c>
    </row>
    <row r="50" spans="1:1">
      <c r="A50" s="448" t="s">
        <v>492</v>
      </c>
    </row>
    <row r="51" spans="1:1">
      <c r="A51" s="448" t="s">
        <v>493</v>
      </c>
    </row>
  </sheetData>
  <phoneticPr fontId="25" type="noConversion"/>
  <hyperlinks>
    <hyperlink ref="A41" r:id="rId1"/>
  </hyperlinks>
  <pageMargins left="0.75" right="0.75" top="1" bottom="1" header="0.5" footer="0.5"/>
  <pageSetup paperSize="9" scale="49" orientation="portrait" horizontalDpi="300" verticalDpi="300" r:id="rId2"/>
  <headerFooter alignWithMargins="0">
    <oddHeader>&amp;R&amp;"Arial,Bold"&amp;18PERSONAL AND CROSS-MODAL TRAVEL</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0"/>
  <sheetViews>
    <sheetView topLeftCell="A26" zoomScale="75" zoomScaleNormal="75" workbookViewId="0">
      <selection activeCell="G45" sqref="G45"/>
    </sheetView>
  </sheetViews>
  <sheetFormatPr defaultRowHeight="15"/>
  <cols>
    <col min="1" max="1" width="37" style="422" customWidth="1"/>
    <col min="2" max="2" width="15.85546875" style="422" customWidth="1"/>
    <col min="3" max="3" width="18.42578125" style="422" customWidth="1"/>
    <col min="4" max="4" width="11.42578125" style="422" customWidth="1"/>
    <col min="5" max="5" width="13.42578125" style="422" customWidth="1"/>
    <col min="6" max="6" width="14.28515625" style="422" customWidth="1"/>
    <col min="7" max="7" width="15.140625" style="422" customWidth="1"/>
    <col min="8" max="8" width="12.42578125" style="422" customWidth="1"/>
    <col min="9" max="9" width="14" style="422" customWidth="1"/>
    <col min="10" max="10" width="12.140625" style="422" customWidth="1"/>
    <col min="11" max="11" width="11.7109375" style="422" customWidth="1"/>
    <col min="12" max="12" width="14.7109375" style="422" customWidth="1"/>
    <col min="13" max="13" width="10.85546875" style="422" customWidth="1"/>
    <col min="14" max="16384" width="9.140625" style="422"/>
  </cols>
  <sheetData>
    <row r="1" spans="1:13" hidden="1"/>
    <row r="2" spans="1:13" ht="18" customHeight="1">
      <c r="A2" s="420" t="s">
        <v>523</v>
      </c>
      <c r="B2" s="421"/>
      <c r="C2" s="421"/>
      <c r="D2" s="421"/>
      <c r="E2" s="421"/>
      <c r="F2" s="421"/>
      <c r="G2" s="421"/>
      <c r="H2" s="421"/>
      <c r="I2" s="421"/>
      <c r="J2" s="421"/>
      <c r="K2" s="421"/>
      <c r="L2" s="421"/>
      <c r="M2" s="421"/>
    </row>
    <row r="3" spans="1:13" ht="14.25" customHeight="1">
      <c r="A3" s="450" t="s">
        <v>473</v>
      </c>
      <c r="B3" s="421"/>
      <c r="C3" s="421"/>
      <c r="D3" s="421"/>
      <c r="E3" s="421"/>
      <c r="F3" s="421"/>
      <c r="G3" s="421"/>
      <c r="H3" s="421"/>
      <c r="I3" s="421"/>
      <c r="J3" s="421"/>
      <c r="K3" s="421"/>
      <c r="L3" s="421"/>
      <c r="M3" s="421"/>
    </row>
    <row r="4" spans="1:13" ht="21">
      <c r="A4" s="423" t="s">
        <v>524</v>
      </c>
      <c r="B4" s="424"/>
      <c r="C4" s="424"/>
      <c r="D4" s="424"/>
      <c r="E4" s="424"/>
      <c r="F4" s="424"/>
      <c r="G4" s="424"/>
      <c r="H4" s="424"/>
      <c r="I4" s="424"/>
      <c r="J4" s="424"/>
      <c r="K4" s="424"/>
      <c r="L4" s="424"/>
      <c r="M4" s="451"/>
    </row>
    <row r="5" spans="1:13" ht="18">
      <c r="A5" s="425"/>
      <c r="B5" s="426"/>
      <c r="C5" s="426"/>
      <c r="D5" s="427"/>
      <c r="E5" s="428" t="s">
        <v>475</v>
      </c>
      <c r="F5" s="428"/>
      <c r="G5" s="428"/>
      <c r="H5" s="426"/>
      <c r="I5" s="426"/>
      <c r="J5" s="426"/>
      <c r="K5" s="426"/>
      <c r="L5" s="426"/>
      <c r="M5" s="426"/>
    </row>
    <row r="6" spans="1:13" ht="84.75" customHeight="1">
      <c r="A6" s="430" t="s">
        <v>476</v>
      </c>
      <c r="B6" s="449" t="s">
        <v>496</v>
      </c>
      <c r="C6" s="449" t="s">
        <v>525</v>
      </c>
      <c r="D6" s="449" t="s">
        <v>497</v>
      </c>
      <c r="E6" s="449" t="s">
        <v>498</v>
      </c>
      <c r="F6" s="449" t="s">
        <v>499</v>
      </c>
      <c r="G6" s="449" t="s">
        <v>480</v>
      </c>
      <c r="H6" s="449" t="s">
        <v>500</v>
      </c>
      <c r="I6" s="449" t="s">
        <v>501</v>
      </c>
      <c r="J6" s="449" t="s">
        <v>502</v>
      </c>
      <c r="K6" s="449" t="s">
        <v>503</v>
      </c>
      <c r="L6" s="449" t="s">
        <v>504</v>
      </c>
      <c r="M6" s="452" t="s">
        <v>505</v>
      </c>
    </row>
    <row r="7" spans="1:13" ht="18.75">
      <c r="A7" s="423"/>
      <c r="B7" s="453"/>
      <c r="C7" s="453"/>
      <c r="D7" s="453"/>
      <c r="E7" s="453"/>
      <c r="F7" s="453"/>
      <c r="G7" s="453"/>
      <c r="H7" s="453"/>
      <c r="I7" s="453"/>
      <c r="J7" s="453"/>
      <c r="K7" s="453"/>
      <c r="L7" s="421"/>
      <c r="M7" s="434" t="s">
        <v>120</v>
      </c>
    </row>
    <row r="8" spans="1:13" ht="18">
      <c r="A8" s="421" t="s">
        <v>506</v>
      </c>
      <c r="B8" s="454"/>
      <c r="C8" s="454"/>
      <c r="D8" s="454"/>
      <c r="E8" s="454"/>
      <c r="F8" s="454"/>
      <c r="G8" s="454"/>
      <c r="H8" s="455">
        <v>0.36137729999999996</v>
      </c>
      <c r="I8" s="455">
        <v>4.3877461399999991</v>
      </c>
      <c r="J8" s="455">
        <v>1.6230865199999998</v>
      </c>
      <c r="K8" s="455">
        <v>0.35386827999999998</v>
      </c>
      <c r="L8" s="455">
        <v>2.7378529600000001</v>
      </c>
      <c r="M8" s="456">
        <v>9.4639311999999993</v>
      </c>
    </row>
    <row r="9" spans="1:13" ht="18">
      <c r="A9" s="421" t="s">
        <v>507</v>
      </c>
      <c r="B9" s="454"/>
      <c r="C9" s="454"/>
      <c r="D9" s="454"/>
      <c r="E9" s="454"/>
      <c r="F9" s="454"/>
      <c r="G9" s="454"/>
      <c r="H9" s="455">
        <v>0.12826823999999998</v>
      </c>
      <c r="I9" s="455">
        <v>0.29443809999999998</v>
      </c>
      <c r="J9" s="455">
        <v>0.70516001999999989</v>
      </c>
      <c r="K9" s="455">
        <v>0.11631441999999999</v>
      </c>
      <c r="L9" s="455">
        <v>1.0584117199999998</v>
      </c>
      <c r="M9" s="456">
        <v>2.3025924999999994</v>
      </c>
    </row>
    <row r="10" spans="1:13" ht="21">
      <c r="A10" s="421" t="s">
        <v>526</v>
      </c>
      <c r="C10" s="457"/>
      <c r="D10" s="454"/>
      <c r="E10" s="454"/>
      <c r="F10" s="454"/>
      <c r="G10" s="454"/>
      <c r="H10" s="455">
        <v>0.66836147999999984</v>
      </c>
      <c r="I10" s="455">
        <v>0.55069701999999987</v>
      </c>
      <c r="J10" s="455">
        <v>2.3378701999999998</v>
      </c>
      <c r="K10" s="455">
        <v>0.19614164000000001</v>
      </c>
      <c r="L10" s="455">
        <v>2.8191606399999998</v>
      </c>
      <c r="M10" s="456">
        <v>6.5722309799999987</v>
      </c>
    </row>
    <row r="11" spans="1:13" ht="18">
      <c r="A11" s="421" t="s">
        <v>498</v>
      </c>
      <c r="C11" s="457"/>
      <c r="D11" s="457"/>
      <c r="E11" s="457"/>
      <c r="F11" s="457"/>
      <c r="G11" s="457"/>
      <c r="H11" s="455">
        <v>1.8298949799999997</v>
      </c>
      <c r="I11" s="455">
        <v>0.17290847999999998</v>
      </c>
      <c r="J11" s="455">
        <v>0.55991779999999991</v>
      </c>
      <c r="K11" s="455">
        <v>5.6351539999999992E-2</v>
      </c>
      <c r="L11" s="455">
        <v>0.6051153199999999</v>
      </c>
      <c r="M11" s="456">
        <v>3.2241881199999995</v>
      </c>
    </row>
    <row r="12" spans="1:13" ht="18">
      <c r="A12" s="421" t="s">
        <v>499</v>
      </c>
      <c r="B12" s="457"/>
      <c r="C12" s="457"/>
      <c r="D12" s="457"/>
      <c r="E12" s="457"/>
      <c r="F12" s="457"/>
      <c r="G12" s="457"/>
      <c r="H12" s="455">
        <v>8.6334959999999988E-2</v>
      </c>
      <c r="I12" s="455">
        <v>0.35744553999999995</v>
      </c>
      <c r="J12" s="455">
        <v>0.46705423999999995</v>
      </c>
      <c r="K12" s="455">
        <v>0.22544955999999997</v>
      </c>
      <c r="L12" s="455">
        <v>0.65113453999999993</v>
      </c>
      <c r="M12" s="456">
        <v>1.7874188399999997</v>
      </c>
    </row>
    <row r="13" spans="1:13" ht="18">
      <c r="A13" s="421" t="s">
        <v>482</v>
      </c>
      <c r="B13" s="457"/>
      <c r="C13" s="457"/>
      <c r="D13" s="457"/>
      <c r="E13" s="457"/>
      <c r="F13" s="457"/>
      <c r="G13" s="457"/>
      <c r="H13" s="455">
        <v>8.0099159999999989E-2</v>
      </c>
      <c r="I13" s="455">
        <v>0.21978571999999996</v>
      </c>
      <c r="J13" s="455">
        <v>0.67435371999999982</v>
      </c>
      <c r="K13" s="455">
        <v>6.0204859999999985E-2</v>
      </c>
      <c r="L13" s="455">
        <v>1.1582615799999998</v>
      </c>
      <c r="M13" s="456">
        <v>2.1927050399999999</v>
      </c>
    </row>
    <row r="14" spans="1:13" ht="18">
      <c r="A14" s="421" t="s">
        <v>500</v>
      </c>
      <c r="B14" s="455">
        <v>0.31699169999999999</v>
      </c>
      <c r="C14" s="455">
        <v>0.13285553999999999</v>
      </c>
      <c r="D14" s="455">
        <v>0.45284495999999991</v>
      </c>
      <c r="E14" s="455">
        <v>1.8750656399999999</v>
      </c>
      <c r="F14" s="455">
        <v>9.86707E-2</v>
      </c>
      <c r="G14" s="455">
        <v>5.2575799999999992E-2</v>
      </c>
      <c r="H14" s="457"/>
      <c r="I14" s="457"/>
      <c r="J14" s="457"/>
      <c r="K14" s="457"/>
      <c r="L14" s="457"/>
      <c r="M14" s="458">
        <v>2.9290043399999997</v>
      </c>
    </row>
    <row r="15" spans="1:13" ht="18">
      <c r="A15" s="421" t="s">
        <v>501</v>
      </c>
      <c r="B15" s="455">
        <v>3.7839318999999989</v>
      </c>
      <c r="C15" s="455">
        <v>0.19999797999999999</v>
      </c>
      <c r="D15" s="455">
        <v>0.48791219999999991</v>
      </c>
      <c r="E15" s="455">
        <v>0.14108651999999999</v>
      </c>
      <c r="F15" s="455">
        <v>0.25916131999999997</v>
      </c>
      <c r="G15" s="455">
        <v>0.12523428</v>
      </c>
      <c r="H15" s="457"/>
      <c r="I15" s="457"/>
      <c r="J15" s="457"/>
      <c r="K15" s="457"/>
      <c r="L15" s="457"/>
      <c r="M15" s="458">
        <v>4.9973241999999987</v>
      </c>
    </row>
    <row r="16" spans="1:13" ht="18">
      <c r="A16" s="421" t="s">
        <v>502</v>
      </c>
      <c r="B16" s="455">
        <v>1.4356606199999997</v>
      </c>
      <c r="C16" s="455">
        <v>0.69458418</v>
      </c>
      <c r="D16" s="455">
        <v>1.9380804999999999</v>
      </c>
      <c r="E16" s="455">
        <v>0.5784569799999999</v>
      </c>
      <c r="F16" s="455">
        <v>0.52887375999999997</v>
      </c>
      <c r="G16" s="455">
        <v>0.55070724000000004</v>
      </c>
      <c r="H16" s="457"/>
      <c r="I16" s="457"/>
      <c r="J16" s="457"/>
      <c r="K16" s="457"/>
      <c r="L16" s="457"/>
      <c r="M16" s="458">
        <v>5.7263632800000002</v>
      </c>
    </row>
    <row r="17" spans="1:13" ht="18">
      <c r="A17" s="421" t="s">
        <v>503</v>
      </c>
      <c r="B17" s="455">
        <v>0.28696144000000001</v>
      </c>
      <c r="C17" s="455">
        <v>0.10697595999999998</v>
      </c>
      <c r="D17" s="455">
        <v>0.16397783999999999</v>
      </c>
      <c r="E17" s="455">
        <v>5.0341440000000001E-2</v>
      </c>
      <c r="F17" s="455">
        <v>0.18857039999999994</v>
      </c>
      <c r="G17" s="455">
        <v>4.7068979999999996E-2</v>
      </c>
      <c r="H17" s="457"/>
      <c r="I17" s="457"/>
      <c r="J17" s="457"/>
      <c r="K17" s="457"/>
      <c r="L17" s="457"/>
      <c r="M17" s="458">
        <v>0.84389605999999995</v>
      </c>
    </row>
    <row r="18" spans="1:13" ht="18">
      <c r="A18" s="424" t="s">
        <v>508</v>
      </c>
      <c r="B18" s="455">
        <v>2.6717196999999997</v>
      </c>
      <c r="C18" s="455">
        <v>1.0713188199999999</v>
      </c>
      <c r="D18" s="455">
        <v>2.2098037199999996</v>
      </c>
      <c r="E18" s="455">
        <v>0.50716094</v>
      </c>
      <c r="F18" s="455">
        <v>0.75122387999999996</v>
      </c>
      <c r="G18" s="455">
        <v>0.90339681999999988</v>
      </c>
      <c r="H18" s="457"/>
      <c r="I18" s="457"/>
      <c r="J18" s="457"/>
      <c r="K18" s="457"/>
      <c r="L18" s="457"/>
      <c r="M18" s="458">
        <v>8.1146238799999981</v>
      </c>
    </row>
    <row r="19" spans="1:13" ht="18">
      <c r="A19" s="430" t="s">
        <v>505</v>
      </c>
      <c r="B19" s="459">
        <v>8.4952653599999977</v>
      </c>
      <c r="C19" s="459">
        <v>2.20573248</v>
      </c>
      <c r="D19" s="459">
        <v>5.2526192199999988</v>
      </c>
      <c r="E19" s="459">
        <v>3.1521115199999996</v>
      </c>
      <c r="F19" s="459">
        <v>1.8265000599999999</v>
      </c>
      <c r="G19" s="459">
        <v>1.6789831199999998</v>
      </c>
      <c r="H19" s="459">
        <v>3.1543361199999995</v>
      </c>
      <c r="I19" s="459">
        <v>5.983020999999999</v>
      </c>
      <c r="J19" s="459">
        <v>6.3674425000000001</v>
      </c>
      <c r="K19" s="459">
        <v>1.0083302999999999</v>
      </c>
      <c r="L19" s="459">
        <v>9.02993676</v>
      </c>
      <c r="M19" s="460">
        <v>48.154278439999992</v>
      </c>
    </row>
    <row r="20" spans="1:13" s="438" customFormat="1" ht="14.25">
      <c r="A20" s="447"/>
      <c r="B20" s="461"/>
      <c r="C20" s="461"/>
      <c r="D20" s="461"/>
      <c r="E20" s="461"/>
      <c r="F20" s="461"/>
      <c r="G20" s="461"/>
      <c r="H20" s="461"/>
      <c r="I20" s="461"/>
      <c r="J20" s="461"/>
      <c r="K20" s="461"/>
      <c r="L20" s="461"/>
      <c r="M20" s="461"/>
    </row>
    <row r="21" spans="1:13" s="438" customFormat="1" ht="13.5" customHeight="1">
      <c r="A21" s="448"/>
      <c r="B21" s="461"/>
      <c r="C21" s="461"/>
      <c r="D21" s="461"/>
      <c r="E21" s="461"/>
      <c r="F21" s="461"/>
      <c r="G21" s="461"/>
      <c r="H21" s="461"/>
      <c r="I21" s="461"/>
      <c r="J21" s="461"/>
      <c r="K21" s="461"/>
      <c r="L21" s="461"/>
      <c r="M21" s="461"/>
    </row>
    <row r="22" spans="1:13" ht="18">
      <c r="A22" s="423" t="s">
        <v>509</v>
      </c>
      <c r="B22" s="424"/>
      <c r="C22" s="424"/>
      <c r="D22" s="424"/>
      <c r="E22" s="424"/>
      <c r="F22" s="424"/>
      <c r="G22" s="424"/>
      <c r="H22" s="424"/>
      <c r="I22" s="424"/>
      <c r="J22" s="424"/>
      <c r="K22" s="424"/>
      <c r="L22" s="424"/>
      <c r="M22" s="451"/>
    </row>
    <row r="23" spans="1:13" ht="18">
      <c r="A23" s="425"/>
      <c r="B23" s="462"/>
      <c r="C23" s="462"/>
      <c r="D23" s="428"/>
      <c r="E23" s="428" t="s">
        <v>475</v>
      </c>
      <c r="F23" s="428"/>
      <c r="G23" s="428"/>
      <c r="H23" s="462"/>
      <c r="I23" s="462"/>
      <c r="J23" s="462"/>
      <c r="K23" s="462"/>
      <c r="L23" s="462"/>
      <c r="M23" s="451"/>
    </row>
    <row r="24" spans="1:13" ht="76.5" customHeight="1">
      <c r="A24" s="430" t="s">
        <v>476</v>
      </c>
      <c r="B24" s="449" t="s">
        <v>496</v>
      </c>
      <c r="C24" s="449" t="s">
        <v>527</v>
      </c>
      <c r="D24" s="449" t="s">
        <v>497</v>
      </c>
      <c r="E24" s="449" t="s">
        <v>498</v>
      </c>
      <c r="F24" s="449" t="s">
        <v>499</v>
      </c>
      <c r="G24" s="449" t="s">
        <v>480</v>
      </c>
      <c r="H24" s="449" t="s">
        <v>500</v>
      </c>
      <c r="I24" s="449" t="s">
        <v>501</v>
      </c>
      <c r="J24" s="449" t="s">
        <v>502</v>
      </c>
      <c r="K24" s="449" t="s">
        <v>503</v>
      </c>
      <c r="L24" s="449" t="s">
        <v>504</v>
      </c>
      <c r="M24" s="452" t="s">
        <v>505</v>
      </c>
    </row>
    <row r="25" spans="1:13" s="438" customFormat="1" ht="18.75">
      <c r="A25" s="421"/>
      <c r="B25" s="432"/>
      <c r="C25" s="432"/>
      <c r="D25" s="432"/>
      <c r="E25" s="432"/>
      <c r="F25" s="432"/>
      <c r="G25" s="432"/>
      <c r="H25" s="432"/>
      <c r="I25" s="432"/>
      <c r="J25" s="432"/>
      <c r="K25" s="432"/>
      <c r="L25" s="421"/>
      <c r="M25" s="434" t="s">
        <v>120</v>
      </c>
    </row>
    <row r="26" spans="1:13" ht="18">
      <c r="A26" s="421" t="s">
        <v>506</v>
      </c>
      <c r="B26" s="435"/>
      <c r="C26" s="435"/>
      <c r="D26" s="435"/>
      <c r="E26" s="435"/>
      <c r="F26" s="435"/>
      <c r="G26" s="435"/>
      <c r="H26" s="435">
        <v>0.24226259999999994</v>
      </c>
      <c r="I26" s="435">
        <v>3.4288220399999996</v>
      </c>
      <c r="J26" s="435">
        <v>0.78337811999999996</v>
      </c>
      <c r="K26" s="435">
        <v>0.20005187999999999</v>
      </c>
      <c r="L26" s="435">
        <v>0.68307576000000003</v>
      </c>
      <c r="M26" s="436">
        <v>5.3375903999999998</v>
      </c>
    </row>
    <row r="27" spans="1:13" ht="18">
      <c r="A27" s="421" t="s">
        <v>507</v>
      </c>
      <c r="B27" s="435"/>
      <c r="C27" s="435"/>
      <c r="D27" s="435"/>
      <c r="E27" s="435"/>
      <c r="F27" s="435"/>
      <c r="G27" s="435"/>
      <c r="H27" s="435">
        <v>8.5451039999999992E-2</v>
      </c>
      <c r="I27" s="435">
        <v>0.18191159999999998</v>
      </c>
      <c r="J27" s="435">
        <v>0.41471111999999993</v>
      </c>
      <c r="K27" s="435">
        <v>6.0052919999999989E-2</v>
      </c>
      <c r="L27" s="435">
        <v>0.52531691999999997</v>
      </c>
      <c r="M27" s="436">
        <v>1.2674436</v>
      </c>
    </row>
    <row r="28" spans="1:13" ht="21">
      <c r="A28" s="421" t="s">
        <v>526</v>
      </c>
      <c r="B28" s="435"/>
      <c r="C28" s="435"/>
      <c r="D28" s="435"/>
      <c r="E28" s="435"/>
      <c r="F28" s="435"/>
      <c r="G28" s="435"/>
      <c r="H28" s="435">
        <v>0.54300407999999989</v>
      </c>
      <c r="I28" s="435">
        <v>0.3311431199999999</v>
      </c>
      <c r="J28" s="435">
        <v>1.7220012</v>
      </c>
      <c r="K28" s="435">
        <v>0.10726583999999999</v>
      </c>
      <c r="L28" s="435">
        <v>1.6938332399999998</v>
      </c>
      <c r="M28" s="436">
        <v>4.3972474799999999</v>
      </c>
    </row>
    <row r="29" spans="1:13" ht="18">
      <c r="A29" s="421" t="s">
        <v>498</v>
      </c>
      <c r="B29" s="435"/>
      <c r="C29" s="435"/>
      <c r="D29" s="435"/>
      <c r="E29" s="435"/>
      <c r="F29" s="435"/>
      <c r="G29" s="435"/>
      <c r="H29" s="435">
        <v>1.3800526799999997</v>
      </c>
      <c r="I29" s="435">
        <v>0.11956007999999997</v>
      </c>
      <c r="J29" s="435">
        <v>0.38677439999999991</v>
      </c>
      <c r="K29" s="435">
        <v>4.5110039999999997E-2</v>
      </c>
      <c r="L29" s="435">
        <v>0.40531991999999994</v>
      </c>
      <c r="M29" s="436">
        <v>2.3368171199999996</v>
      </c>
    </row>
    <row r="30" spans="1:13" ht="18">
      <c r="A30" s="421" t="s">
        <v>499</v>
      </c>
      <c r="B30" s="435"/>
      <c r="C30" s="435"/>
      <c r="D30" s="435"/>
      <c r="E30" s="435"/>
      <c r="F30" s="435"/>
      <c r="G30" s="435"/>
      <c r="H30" s="435">
        <v>8.2576559999999993E-2</v>
      </c>
      <c r="I30" s="435">
        <v>0.26931623999999998</v>
      </c>
      <c r="J30" s="435">
        <v>0.36279443999999994</v>
      </c>
      <c r="K30" s="435">
        <v>0.17054795999999997</v>
      </c>
      <c r="L30" s="435">
        <v>0.35234423999999992</v>
      </c>
      <c r="M30" s="436">
        <v>1.2375794399999998</v>
      </c>
    </row>
    <row r="31" spans="1:13" ht="18">
      <c r="A31" s="421" t="s">
        <v>482</v>
      </c>
      <c r="B31" s="435"/>
      <c r="C31" s="435"/>
      <c r="D31" s="435"/>
      <c r="E31" s="435"/>
      <c r="F31" s="435"/>
      <c r="G31" s="435"/>
      <c r="H31" s="435">
        <v>7.237355999999999E-2</v>
      </c>
      <c r="I31" s="435">
        <v>0.16955471999999996</v>
      </c>
      <c r="J31" s="435">
        <v>0.5164963199999999</v>
      </c>
      <c r="K31" s="435">
        <v>4.5429959999999985E-2</v>
      </c>
      <c r="L31" s="435">
        <v>0.6927718799999999</v>
      </c>
      <c r="M31" s="436">
        <v>1.4966264399999998</v>
      </c>
    </row>
    <row r="32" spans="1:13" ht="18">
      <c r="A32" s="421" t="s">
        <v>500</v>
      </c>
      <c r="B32" s="457">
        <v>0.23980979999999999</v>
      </c>
      <c r="C32" s="457">
        <v>8.5548239999999998E-2</v>
      </c>
      <c r="D32" s="457">
        <v>0.32868035999999995</v>
      </c>
      <c r="E32" s="457">
        <v>1.5389882399999999</v>
      </c>
      <c r="F32" s="457">
        <v>9.5208000000000001E-2</v>
      </c>
      <c r="G32" s="457">
        <v>4.3174799999999992E-2</v>
      </c>
      <c r="H32" s="435"/>
      <c r="I32" s="435"/>
      <c r="J32" s="435"/>
      <c r="K32" s="435"/>
      <c r="L32" s="463"/>
      <c r="M32" s="436">
        <v>2.3314094399999998</v>
      </c>
    </row>
    <row r="33" spans="1:13" ht="18">
      <c r="A33" s="421" t="s">
        <v>501</v>
      </c>
      <c r="B33" s="457">
        <v>3.0059351999999993</v>
      </c>
      <c r="C33" s="457">
        <v>9.9213479999999993E-2</v>
      </c>
      <c r="D33" s="457">
        <v>0.26318939999999996</v>
      </c>
      <c r="E33" s="457">
        <v>0.10076832000000001</v>
      </c>
      <c r="F33" s="457">
        <v>0.19479191999999998</v>
      </c>
      <c r="G33" s="457">
        <v>0.10647468</v>
      </c>
      <c r="H33" s="435"/>
      <c r="I33" s="435"/>
      <c r="J33" s="435"/>
      <c r="K33" s="435"/>
      <c r="L33" s="463"/>
      <c r="M33" s="436">
        <v>3.7703729999999989</v>
      </c>
    </row>
    <row r="34" spans="1:13" ht="18">
      <c r="A34" s="421" t="s">
        <v>502</v>
      </c>
      <c r="B34" s="457">
        <v>0.61342931999999994</v>
      </c>
      <c r="C34" s="457">
        <v>0.41181827999999998</v>
      </c>
      <c r="D34" s="457">
        <v>1.3676615999999997</v>
      </c>
      <c r="E34" s="457">
        <v>0.39584507999999996</v>
      </c>
      <c r="F34" s="457">
        <v>0.38871755999999996</v>
      </c>
      <c r="G34" s="457">
        <v>0.39950004</v>
      </c>
      <c r="H34" s="435"/>
      <c r="I34" s="435"/>
      <c r="J34" s="435"/>
      <c r="K34" s="435"/>
      <c r="L34" s="463"/>
      <c r="M34" s="436">
        <v>3.5769718799999994</v>
      </c>
    </row>
    <row r="35" spans="1:13" ht="18">
      <c r="A35" s="421" t="s">
        <v>503</v>
      </c>
      <c r="B35" s="457">
        <v>0.15513744000000002</v>
      </c>
      <c r="C35" s="457">
        <v>5.4498359999999996E-2</v>
      </c>
      <c r="D35" s="457">
        <v>8.3298839999999971E-2</v>
      </c>
      <c r="E35" s="457">
        <v>3.8718240000000001E-2</v>
      </c>
      <c r="F35" s="457">
        <v>0.13339019999999996</v>
      </c>
      <c r="G35" s="457">
        <v>3.2368680000000004E-2</v>
      </c>
      <c r="H35" s="435"/>
      <c r="I35" s="435"/>
      <c r="J35" s="435"/>
      <c r="K35" s="435"/>
      <c r="L35" s="463"/>
      <c r="M35" s="436">
        <v>0.49741175999999993</v>
      </c>
    </row>
    <row r="36" spans="1:13" ht="18">
      <c r="A36" s="424" t="s">
        <v>508</v>
      </c>
      <c r="B36" s="457">
        <v>0.75726179999999998</v>
      </c>
      <c r="C36" s="457">
        <v>0.51827531999999987</v>
      </c>
      <c r="D36" s="457">
        <v>1.3298605199999998</v>
      </c>
      <c r="E36" s="457">
        <v>0.35228904</v>
      </c>
      <c r="F36" s="457">
        <v>0.49788767999999994</v>
      </c>
      <c r="G36" s="457">
        <v>0.52724591999999992</v>
      </c>
      <c r="H36" s="463"/>
      <c r="I36" s="463"/>
      <c r="J36" s="463"/>
      <c r="K36" s="463"/>
      <c r="L36" s="463"/>
      <c r="M36" s="436">
        <v>3.9828202799999994</v>
      </c>
    </row>
    <row r="37" spans="1:13" ht="18">
      <c r="A37" s="430" t="s">
        <v>505</v>
      </c>
      <c r="B37" s="459">
        <v>4.7715735599999993</v>
      </c>
      <c r="C37" s="459">
        <v>1.16935368</v>
      </c>
      <c r="D37" s="459">
        <v>3.3726907199999996</v>
      </c>
      <c r="E37" s="459">
        <v>2.4266089200000001</v>
      </c>
      <c r="F37" s="459">
        <v>1.3099953599999998</v>
      </c>
      <c r="G37" s="459">
        <v>1.10876412</v>
      </c>
      <c r="H37" s="460">
        <v>2.4057205199999996</v>
      </c>
      <c r="I37" s="460">
        <v>4.5003077999999999</v>
      </c>
      <c r="J37" s="460">
        <v>4.1861555999999993</v>
      </c>
      <c r="K37" s="460">
        <v>0.62845859999999998</v>
      </c>
      <c r="L37" s="460">
        <v>4.3526619599999989</v>
      </c>
      <c r="M37" s="464">
        <v>30.232290839999994</v>
      </c>
    </row>
    <row r="38" spans="1:13" s="438" customFormat="1" ht="19.5" customHeight="1">
      <c r="A38" s="447" t="s">
        <v>484</v>
      </c>
    </row>
    <row r="39" spans="1:13" s="438" customFormat="1" ht="19.5" customHeight="1">
      <c r="A39" s="447"/>
    </row>
    <row r="40" spans="1:13" s="438" customFormat="1" ht="19.5" customHeight="1">
      <c r="A40" s="497" t="s">
        <v>543</v>
      </c>
    </row>
    <row r="41" spans="1:13" s="438" customFormat="1" ht="19.5" customHeight="1">
      <c r="A41" s="40" t="s">
        <v>544</v>
      </c>
    </row>
    <row r="42" spans="1:13" s="438" customFormat="1" ht="19.5" customHeight="1">
      <c r="A42" s="498" t="s">
        <v>545</v>
      </c>
    </row>
    <row r="43" spans="1:13" s="438" customFormat="1" ht="18">
      <c r="A43" s="498"/>
    </row>
    <row r="44" spans="1:13">
      <c r="A44" s="448" t="s">
        <v>510</v>
      </c>
    </row>
    <row r="45" spans="1:13">
      <c r="A45" s="448" t="s">
        <v>487</v>
      </c>
    </row>
    <row r="46" spans="1:13">
      <c r="A46" s="448" t="s">
        <v>511</v>
      </c>
    </row>
    <row r="47" spans="1:13">
      <c r="A47" s="448" t="s">
        <v>490</v>
      </c>
    </row>
    <row r="48" spans="1:13">
      <c r="A48" s="448" t="s">
        <v>491</v>
      </c>
    </row>
    <row r="49" spans="1:1">
      <c r="A49" s="448" t="s">
        <v>492</v>
      </c>
    </row>
    <row r="50" spans="1:1">
      <c r="A50" s="448" t="s">
        <v>493</v>
      </c>
    </row>
  </sheetData>
  <phoneticPr fontId="25" type="noConversion"/>
  <hyperlinks>
    <hyperlink ref="A42" r:id="rId1"/>
  </hyperlinks>
  <pageMargins left="0.75" right="0.75" top="1" bottom="1" header="0.5" footer="0.5"/>
  <pageSetup paperSize="9" scale="43" orientation="portrait" horizontalDpi="300" verticalDpi="300" r:id="rId2"/>
  <headerFooter alignWithMargins="0">
    <oddHeader>&amp;R&amp;"Arial,Bold"&amp;18PERSONAL AND CROSS-MODAL TRAVEL</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9"/>
  <sheetViews>
    <sheetView topLeftCell="A13" zoomScale="75" zoomScaleNormal="75" workbookViewId="0">
      <selection activeCell="G45" sqref="G45"/>
    </sheetView>
  </sheetViews>
  <sheetFormatPr defaultRowHeight="15"/>
  <cols>
    <col min="1" max="1" width="36.140625" style="422" customWidth="1"/>
    <col min="2" max="2" width="16.28515625" style="422" customWidth="1"/>
    <col min="3" max="3" width="17.7109375" style="422" customWidth="1"/>
    <col min="4" max="4" width="11.85546875" style="422" customWidth="1"/>
    <col min="5" max="5" width="14" style="422" customWidth="1"/>
    <col min="6" max="6" width="15.42578125" style="422" customWidth="1"/>
    <col min="7" max="7" width="15.140625" style="422" customWidth="1"/>
    <col min="8" max="8" width="14" style="422" customWidth="1"/>
    <col min="9" max="9" width="13.28515625" style="422" customWidth="1"/>
    <col min="10" max="10" width="13" style="422" customWidth="1"/>
    <col min="11" max="11" width="12.5703125" style="422" customWidth="1"/>
    <col min="12" max="12" width="14" style="422" customWidth="1"/>
    <col min="13" max="13" width="11.140625" style="422" customWidth="1"/>
    <col min="14" max="16384" width="9.140625" style="422"/>
  </cols>
  <sheetData>
    <row r="1" spans="1:14" ht="21">
      <c r="A1" s="420" t="s">
        <v>528</v>
      </c>
      <c r="B1" s="421"/>
      <c r="C1" s="421"/>
      <c r="D1" s="421"/>
      <c r="E1" s="421"/>
      <c r="F1" s="421"/>
      <c r="G1" s="421"/>
      <c r="H1" s="421"/>
      <c r="I1" s="421"/>
      <c r="J1" s="421"/>
      <c r="K1" s="421"/>
      <c r="L1" s="421"/>
      <c r="M1" s="421"/>
    </row>
    <row r="2" spans="1:14" ht="18">
      <c r="A2" s="421"/>
      <c r="B2" s="421"/>
      <c r="C2" s="421"/>
      <c r="D2" s="421"/>
      <c r="E2" s="421"/>
      <c r="F2" s="421"/>
      <c r="G2" s="421"/>
      <c r="H2" s="421"/>
      <c r="I2" s="421"/>
      <c r="J2" s="421"/>
      <c r="K2" s="421"/>
      <c r="L2" s="421"/>
      <c r="M2" s="421"/>
    </row>
    <row r="3" spans="1:14" ht="21">
      <c r="A3" s="423" t="s">
        <v>529</v>
      </c>
      <c r="B3" s="424"/>
      <c r="C3" s="424"/>
      <c r="D3" s="424"/>
      <c r="E3" s="424"/>
      <c r="F3" s="424"/>
      <c r="G3" s="424"/>
      <c r="H3" s="424"/>
      <c r="I3" s="424"/>
      <c r="J3" s="424"/>
      <c r="K3" s="424"/>
      <c r="L3" s="424"/>
      <c r="M3" s="451"/>
    </row>
    <row r="4" spans="1:14" ht="18">
      <c r="A4" s="425"/>
      <c r="B4" s="462"/>
      <c r="C4" s="462"/>
      <c r="D4" s="428"/>
      <c r="E4" s="428" t="s">
        <v>475</v>
      </c>
      <c r="F4" s="428"/>
      <c r="G4" s="428"/>
      <c r="H4" s="462"/>
      <c r="I4" s="462"/>
      <c r="J4" s="462"/>
      <c r="K4" s="462"/>
      <c r="L4" s="462"/>
      <c r="M4" s="421"/>
    </row>
    <row r="5" spans="1:14" ht="78">
      <c r="A5" s="430" t="s">
        <v>476</v>
      </c>
      <c r="B5" s="449" t="s">
        <v>496</v>
      </c>
      <c r="C5" s="449" t="s">
        <v>530</v>
      </c>
      <c r="D5" s="449" t="s">
        <v>497</v>
      </c>
      <c r="E5" s="449" t="s">
        <v>498</v>
      </c>
      <c r="F5" s="449" t="s">
        <v>499</v>
      </c>
      <c r="G5" s="449" t="s">
        <v>480</v>
      </c>
      <c r="H5" s="449" t="s">
        <v>500</v>
      </c>
      <c r="I5" s="449" t="s">
        <v>501</v>
      </c>
      <c r="J5" s="449" t="s">
        <v>502</v>
      </c>
      <c r="K5" s="449" t="s">
        <v>503</v>
      </c>
      <c r="L5" s="449" t="s">
        <v>508</v>
      </c>
      <c r="M5" s="452" t="s">
        <v>505</v>
      </c>
    </row>
    <row r="6" spans="1:14" s="438" customFormat="1" ht="18.75">
      <c r="A6" s="421"/>
      <c r="B6" s="432"/>
      <c r="C6" s="432"/>
      <c r="D6" s="432"/>
      <c r="E6" s="432"/>
      <c r="F6" s="432"/>
      <c r="G6" s="432"/>
      <c r="H6" s="432"/>
      <c r="I6" s="432"/>
      <c r="J6" s="432"/>
      <c r="K6" s="432"/>
      <c r="L6" s="421"/>
      <c r="M6" s="434" t="s">
        <v>120</v>
      </c>
    </row>
    <row r="7" spans="1:14" ht="18">
      <c r="A7" s="421" t="s">
        <v>506</v>
      </c>
      <c r="B7" s="435"/>
      <c r="C7" s="435"/>
      <c r="D7" s="435"/>
      <c r="E7" s="435"/>
      <c r="F7" s="435"/>
      <c r="G7" s="435"/>
      <c r="H7" s="463">
        <v>0.1191147</v>
      </c>
      <c r="I7" s="463">
        <v>0.95892409999999995</v>
      </c>
      <c r="J7" s="463">
        <v>0.83970839999999991</v>
      </c>
      <c r="K7" s="463">
        <v>0.15381639999999999</v>
      </c>
      <c r="L7" s="463">
        <v>2.0547772000000002</v>
      </c>
      <c r="M7" s="458">
        <v>4.1263407999999995</v>
      </c>
    </row>
    <row r="8" spans="1:14" ht="18">
      <c r="A8" s="421" t="s">
        <v>507</v>
      </c>
      <c r="B8" s="435"/>
      <c r="C8" s="435"/>
      <c r="D8" s="435"/>
      <c r="E8" s="435"/>
      <c r="F8" s="435"/>
      <c r="G8" s="435"/>
      <c r="H8" s="463">
        <v>4.2817199999999993E-2</v>
      </c>
      <c r="I8" s="463">
        <v>0.1125265</v>
      </c>
      <c r="J8" s="463">
        <v>0.29044889999999995</v>
      </c>
      <c r="K8" s="463">
        <v>5.6261499999999999E-2</v>
      </c>
      <c r="L8" s="463">
        <v>0.53309479999999987</v>
      </c>
      <c r="M8" s="458">
        <v>1.0351488999999998</v>
      </c>
    </row>
    <row r="9" spans="1:14" ht="21">
      <c r="A9" s="421" t="s">
        <v>526</v>
      </c>
      <c r="B9" s="435"/>
      <c r="C9" s="435"/>
      <c r="D9" s="435"/>
      <c r="E9" s="435"/>
      <c r="F9" s="435"/>
      <c r="G9" s="435"/>
      <c r="H9" s="463">
        <v>0.12535739999999998</v>
      </c>
      <c r="I9" s="463">
        <v>0.21955389999999997</v>
      </c>
      <c r="J9" s="463">
        <v>0.61586899999999989</v>
      </c>
      <c r="K9" s="463">
        <v>8.8875800000000005E-2</v>
      </c>
      <c r="L9" s="463">
        <v>1.1253274</v>
      </c>
      <c r="M9" s="458">
        <v>2.1749834999999997</v>
      </c>
    </row>
    <row r="10" spans="1:14" ht="18">
      <c r="A10" s="421" t="s">
        <v>498</v>
      </c>
      <c r="B10" s="435"/>
      <c r="C10" s="435"/>
      <c r="D10" s="435"/>
      <c r="E10" s="435"/>
      <c r="F10" s="435"/>
      <c r="G10" s="435"/>
      <c r="H10" s="463">
        <v>0.44984229999999997</v>
      </c>
      <c r="I10" s="463">
        <v>5.334839999999999E-2</v>
      </c>
      <c r="J10" s="463">
        <v>0.17314339999999998</v>
      </c>
      <c r="K10" s="463">
        <v>1.1241499999999998E-2</v>
      </c>
      <c r="L10" s="463">
        <v>0.19979539999999998</v>
      </c>
      <c r="M10" s="458">
        <v>0.88737099999999991</v>
      </c>
    </row>
    <row r="11" spans="1:14" ht="18">
      <c r="A11" s="421" t="s">
        <v>499</v>
      </c>
      <c r="B11" s="435"/>
      <c r="C11" s="435"/>
      <c r="D11" s="435"/>
      <c r="E11" s="435"/>
      <c r="F11" s="435"/>
      <c r="G11" s="435"/>
      <c r="H11" s="463">
        <v>3.7583999999999998E-3</v>
      </c>
      <c r="I11" s="463">
        <v>8.8129299999999994E-2</v>
      </c>
      <c r="J11" s="463">
        <v>0.10425979999999999</v>
      </c>
      <c r="K11" s="463">
        <v>5.4901599999999988E-2</v>
      </c>
      <c r="L11" s="463">
        <v>0.29879029999999995</v>
      </c>
      <c r="M11" s="458">
        <v>0.54983939999999998</v>
      </c>
    </row>
    <row r="12" spans="1:14" ht="18">
      <c r="A12" s="421" t="s">
        <v>482</v>
      </c>
      <c r="B12" s="435"/>
      <c r="C12" s="435"/>
      <c r="D12" s="435"/>
      <c r="E12" s="435"/>
      <c r="F12" s="435"/>
      <c r="G12" s="435"/>
      <c r="H12" s="463">
        <v>7.7256E-3</v>
      </c>
      <c r="I12" s="463">
        <v>5.0230999999999998E-2</v>
      </c>
      <c r="J12" s="463">
        <v>0.15785739999999998</v>
      </c>
      <c r="K12" s="463">
        <v>1.4774899999999997E-2</v>
      </c>
      <c r="L12" s="463">
        <v>0.46548969999999995</v>
      </c>
      <c r="M12" s="458">
        <v>0.69607859999999988</v>
      </c>
      <c r="N12" s="465"/>
    </row>
    <row r="13" spans="1:14" ht="18">
      <c r="A13" s="421" t="s">
        <v>500</v>
      </c>
      <c r="B13" s="463">
        <v>7.7181899999999984E-2</v>
      </c>
      <c r="C13" s="463">
        <v>4.7307299999999997E-2</v>
      </c>
      <c r="D13" s="463">
        <v>0.12416459999999997</v>
      </c>
      <c r="E13" s="463">
        <v>0.33607740000000003</v>
      </c>
      <c r="F13" s="463">
        <v>3.4627E-3</v>
      </c>
      <c r="G13" s="463">
        <v>9.4009999999999996E-3</v>
      </c>
      <c r="H13" s="435"/>
      <c r="I13" s="435"/>
      <c r="J13" s="435"/>
      <c r="K13" s="435"/>
      <c r="L13" s="463"/>
      <c r="M13" s="466">
        <v>0.59759490000000004</v>
      </c>
    </row>
    <row r="14" spans="1:14" ht="18">
      <c r="A14" s="421" t="s">
        <v>501</v>
      </c>
      <c r="B14" s="463">
        <v>0.77799669999999987</v>
      </c>
      <c r="C14" s="463">
        <v>0.1007845</v>
      </c>
      <c r="D14" s="463">
        <v>0.22472279999999997</v>
      </c>
      <c r="E14" s="463">
        <v>4.0318199999999992E-2</v>
      </c>
      <c r="F14" s="463">
        <v>6.4369399999999993E-2</v>
      </c>
      <c r="G14" s="463">
        <v>1.8759599999999998E-2</v>
      </c>
      <c r="H14" s="435"/>
      <c r="I14" s="435"/>
      <c r="J14" s="435"/>
      <c r="K14" s="435"/>
      <c r="L14" s="463"/>
      <c r="M14" s="466">
        <v>1.2269511999999998</v>
      </c>
    </row>
    <row r="15" spans="1:14" ht="18">
      <c r="A15" s="421" t="s">
        <v>502</v>
      </c>
      <c r="B15" s="463">
        <v>0.82223129999999989</v>
      </c>
      <c r="C15" s="463">
        <v>0.28276590000000001</v>
      </c>
      <c r="D15" s="463">
        <v>0.57041890000000006</v>
      </c>
      <c r="E15" s="463">
        <v>0.18261189999999997</v>
      </c>
      <c r="F15" s="463">
        <v>0.14015619999999998</v>
      </c>
      <c r="G15" s="463">
        <v>0.15120720000000001</v>
      </c>
      <c r="H15" s="435"/>
      <c r="I15" s="435"/>
      <c r="J15" s="435"/>
      <c r="K15" s="435"/>
      <c r="L15" s="463"/>
      <c r="M15" s="466">
        <v>2.1493914000000003</v>
      </c>
    </row>
    <row r="16" spans="1:14" ht="18">
      <c r="A16" s="421" t="s">
        <v>503</v>
      </c>
      <c r="B16" s="463">
        <v>0.131824</v>
      </c>
      <c r="C16" s="463">
        <v>5.2477599999999992E-2</v>
      </c>
      <c r="D16" s="463">
        <v>8.0679000000000001E-2</v>
      </c>
      <c r="E16" s="463">
        <v>1.1623199999999997E-2</v>
      </c>
      <c r="F16" s="463">
        <v>5.5180199999999992E-2</v>
      </c>
      <c r="G16" s="463">
        <v>1.4700299999999996E-2</v>
      </c>
      <c r="H16" s="435"/>
      <c r="I16" s="435"/>
      <c r="J16" s="435"/>
      <c r="K16" s="435"/>
      <c r="L16" s="463"/>
      <c r="M16" s="466">
        <v>0.34648430000000002</v>
      </c>
    </row>
    <row r="17" spans="1:13" ht="18">
      <c r="A17" s="424" t="s">
        <v>508</v>
      </c>
      <c r="B17" s="463">
        <v>1.9144578999999997</v>
      </c>
      <c r="C17" s="463">
        <v>0.55304350000000002</v>
      </c>
      <c r="D17" s="463">
        <v>0.87994319999999981</v>
      </c>
      <c r="E17" s="463">
        <v>0.15487189999999998</v>
      </c>
      <c r="F17" s="463">
        <v>0.25333619999999996</v>
      </c>
      <c r="G17" s="463">
        <v>0.37615089999999995</v>
      </c>
      <c r="H17" s="435"/>
      <c r="I17" s="435"/>
      <c r="J17" s="435"/>
      <c r="K17" s="435"/>
      <c r="L17" s="463"/>
      <c r="M17" s="466">
        <v>4.1318035999999996</v>
      </c>
    </row>
    <row r="18" spans="1:13" ht="18">
      <c r="A18" s="430" t="s">
        <v>505</v>
      </c>
      <c r="B18" s="460">
        <v>3.7236917999999992</v>
      </c>
      <c r="C18" s="460">
        <v>1.0363788</v>
      </c>
      <c r="D18" s="460">
        <v>1.8799284999999999</v>
      </c>
      <c r="E18" s="460">
        <v>0.72550259999999989</v>
      </c>
      <c r="F18" s="460">
        <v>0.51650469999999993</v>
      </c>
      <c r="G18" s="460">
        <v>0.57021900000000003</v>
      </c>
      <c r="H18" s="460">
        <v>0.74861559999999994</v>
      </c>
      <c r="I18" s="460">
        <v>1.4827131999999998</v>
      </c>
      <c r="J18" s="460">
        <v>2.1812868999999999</v>
      </c>
      <c r="K18" s="460">
        <v>0.37987169999999998</v>
      </c>
      <c r="L18" s="460">
        <v>4.6772748000000002</v>
      </c>
      <c r="M18" s="464">
        <v>17.921987599999998</v>
      </c>
    </row>
    <row r="19" spans="1:13" s="438" customFormat="1" ht="14.25">
      <c r="A19" s="447"/>
      <c r="B19" s="461"/>
      <c r="C19" s="461"/>
      <c r="D19" s="461"/>
      <c r="E19" s="461"/>
      <c r="F19" s="461"/>
      <c r="G19" s="461"/>
      <c r="H19" s="461"/>
      <c r="I19" s="461"/>
      <c r="J19" s="461"/>
      <c r="K19" s="461"/>
      <c r="L19" s="461"/>
    </row>
    <row r="20" spans="1:13" s="438" customFormat="1" ht="14.25">
      <c r="A20" s="448"/>
      <c r="B20" s="461"/>
      <c r="C20" s="461"/>
      <c r="D20" s="461"/>
      <c r="E20" s="461"/>
      <c r="F20" s="461"/>
      <c r="G20" s="461"/>
      <c r="H20" s="461"/>
      <c r="I20" s="461"/>
      <c r="J20" s="461"/>
      <c r="K20" s="461"/>
      <c r="L20" s="461"/>
    </row>
    <row r="21" spans="1:13" ht="18">
      <c r="A21" s="423" t="s">
        <v>512</v>
      </c>
      <c r="B21" s="424"/>
      <c r="C21" s="424"/>
      <c r="D21" s="424"/>
      <c r="E21" s="424"/>
      <c r="F21" s="424"/>
      <c r="G21" s="424"/>
      <c r="H21" s="424"/>
      <c r="I21" s="424"/>
      <c r="J21" s="424"/>
      <c r="K21" s="424"/>
      <c r="L21" s="424"/>
      <c r="M21" s="451"/>
    </row>
    <row r="22" spans="1:13" s="468" customFormat="1" ht="18">
      <c r="A22" s="425"/>
      <c r="B22" s="462"/>
      <c r="C22" s="462"/>
      <c r="D22" s="428"/>
      <c r="E22" s="428" t="s">
        <v>475</v>
      </c>
      <c r="F22" s="428"/>
      <c r="G22" s="428"/>
      <c r="H22" s="462"/>
      <c r="I22" s="462"/>
      <c r="J22" s="462"/>
      <c r="K22" s="462"/>
      <c r="L22" s="462"/>
      <c r="M22" s="467"/>
    </row>
    <row r="23" spans="1:13" s="468" customFormat="1" ht="78">
      <c r="A23" s="430" t="s">
        <v>476</v>
      </c>
      <c r="B23" s="449" t="s">
        <v>496</v>
      </c>
      <c r="C23" s="449" t="s">
        <v>530</v>
      </c>
      <c r="D23" s="449" t="s">
        <v>497</v>
      </c>
      <c r="E23" s="449" t="s">
        <v>498</v>
      </c>
      <c r="F23" s="449" t="s">
        <v>499</v>
      </c>
      <c r="G23" s="449" t="s">
        <v>480</v>
      </c>
      <c r="H23" s="449" t="s">
        <v>500</v>
      </c>
      <c r="I23" s="449" t="s">
        <v>501</v>
      </c>
      <c r="J23" s="449" t="s">
        <v>502</v>
      </c>
      <c r="K23" s="449" t="s">
        <v>503</v>
      </c>
      <c r="L23" s="449" t="s">
        <v>508</v>
      </c>
      <c r="M23" s="452" t="s">
        <v>505</v>
      </c>
    </row>
    <row r="24" spans="1:13" s="438" customFormat="1" ht="18.75">
      <c r="A24" s="421"/>
      <c r="B24" s="432"/>
      <c r="C24" s="432"/>
      <c r="D24" s="432"/>
      <c r="E24" s="432"/>
      <c r="F24" s="432"/>
      <c r="G24" s="432"/>
      <c r="H24" s="432"/>
      <c r="I24" s="432"/>
      <c r="J24" s="432"/>
      <c r="K24" s="432"/>
      <c r="L24" s="421"/>
      <c r="M24" s="434" t="s">
        <v>120</v>
      </c>
    </row>
    <row r="25" spans="1:13" ht="18">
      <c r="A25" s="421" t="s">
        <v>506</v>
      </c>
      <c r="B25" s="435"/>
      <c r="C25" s="435"/>
      <c r="D25" s="435"/>
      <c r="E25" s="435"/>
      <c r="F25" s="435"/>
      <c r="G25" s="435"/>
      <c r="H25" s="463">
        <v>0.35172369999999997</v>
      </c>
      <c r="I25" s="463">
        <v>4.6379216999999997</v>
      </c>
      <c r="J25" s="463">
        <v>0.91656549999999992</v>
      </c>
      <c r="K25" s="463">
        <v>0.27942020000000001</v>
      </c>
      <c r="L25" s="463">
        <v>0.73709570000000002</v>
      </c>
      <c r="M25" s="458">
        <v>6.9227267999999995</v>
      </c>
    </row>
    <row r="26" spans="1:13" ht="18">
      <c r="A26" s="421" t="s">
        <v>507</v>
      </c>
      <c r="B26" s="435"/>
      <c r="C26" s="435"/>
      <c r="D26" s="435"/>
      <c r="E26" s="435"/>
      <c r="F26" s="435"/>
      <c r="G26" s="435"/>
      <c r="H26" s="463">
        <v>0.25582229999999995</v>
      </c>
      <c r="I26" s="463">
        <v>0.39499379999999995</v>
      </c>
      <c r="J26" s="463">
        <v>0.6267666999999999</v>
      </c>
      <c r="K26" s="463">
        <v>6.6374799999999984E-2</v>
      </c>
      <c r="L26" s="463">
        <v>0.53468559999999998</v>
      </c>
      <c r="M26" s="458">
        <v>1.8786431999999997</v>
      </c>
    </row>
    <row r="27" spans="1:13" ht="21">
      <c r="A27" s="421" t="s">
        <v>526</v>
      </c>
      <c r="B27" s="435"/>
      <c r="C27" s="435"/>
      <c r="D27" s="435"/>
      <c r="E27" s="435"/>
      <c r="F27" s="435"/>
      <c r="G27" s="435"/>
      <c r="H27" s="463">
        <v>1.5691649999999997</v>
      </c>
      <c r="I27" s="463">
        <v>0.40750979999999992</v>
      </c>
      <c r="J27" s="463">
        <v>2.5206707000000002</v>
      </c>
      <c r="K27" s="463">
        <v>9.8811599999999986E-2</v>
      </c>
      <c r="L27" s="463">
        <v>1.9968167999999999</v>
      </c>
      <c r="M27" s="458">
        <v>6.5929739000000005</v>
      </c>
    </row>
    <row r="28" spans="1:13" ht="18">
      <c r="A28" s="421" t="s">
        <v>498</v>
      </c>
      <c r="B28" s="435"/>
      <c r="C28" s="435"/>
      <c r="D28" s="435"/>
      <c r="E28" s="435"/>
      <c r="F28" s="435"/>
      <c r="G28" s="435"/>
      <c r="H28" s="463">
        <v>1.4861608999999998</v>
      </c>
      <c r="I28" s="463">
        <v>0.17649859999999998</v>
      </c>
      <c r="J28" s="463">
        <v>0.58366859999999987</v>
      </c>
      <c r="K28" s="463">
        <v>4.9468600000000001E-2</v>
      </c>
      <c r="L28" s="463">
        <v>0.50309789999999999</v>
      </c>
      <c r="M28" s="458">
        <v>2.7988945999999997</v>
      </c>
    </row>
    <row r="29" spans="1:13" ht="18">
      <c r="A29" s="421" t="s">
        <v>499</v>
      </c>
      <c r="B29" s="435"/>
      <c r="C29" s="435"/>
      <c r="D29" s="435"/>
      <c r="E29" s="435"/>
      <c r="F29" s="435"/>
      <c r="G29" s="435"/>
      <c r="H29" s="463">
        <v>7.7781400000000001E-2</v>
      </c>
      <c r="I29" s="463">
        <v>0.26379449999999999</v>
      </c>
      <c r="J29" s="463">
        <v>0.36627159999999992</v>
      </c>
      <c r="K29" s="463">
        <v>0.14339229999999997</v>
      </c>
      <c r="L29" s="463">
        <v>0.36091699999999993</v>
      </c>
      <c r="M29" s="458">
        <v>1.2121567999999998</v>
      </c>
    </row>
    <row r="30" spans="1:13" ht="18">
      <c r="A30" s="421" t="s">
        <v>482</v>
      </c>
      <c r="B30" s="435"/>
      <c r="C30" s="435"/>
      <c r="D30" s="435"/>
      <c r="E30" s="435"/>
      <c r="F30" s="435"/>
      <c r="G30" s="435"/>
      <c r="H30" s="463">
        <v>8.0400499999999986E-2</v>
      </c>
      <c r="I30" s="463">
        <v>0.17060969999999998</v>
      </c>
      <c r="J30" s="463">
        <v>0.61981479999999989</v>
      </c>
      <c r="K30" s="463">
        <v>4.2246299999999987E-2</v>
      </c>
      <c r="L30" s="463">
        <v>0.68532579999999987</v>
      </c>
      <c r="M30" s="458">
        <v>1.5983970999999997</v>
      </c>
    </row>
    <row r="31" spans="1:13" ht="18">
      <c r="A31" s="421" t="s">
        <v>500</v>
      </c>
      <c r="B31" s="435">
        <v>0.40840080000000001</v>
      </c>
      <c r="C31" s="435">
        <v>0.15882049999999998</v>
      </c>
      <c r="D31" s="435">
        <v>0.61866829999999995</v>
      </c>
      <c r="E31" s="435">
        <v>1.7032623</v>
      </c>
      <c r="F31" s="435">
        <v>8.4923600000000002E-2</v>
      </c>
      <c r="G31" s="435">
        <v>0.1048548</v>
      </c>
      <c r="H31" s="463"/>
      <c r="I31" s="463"/>
      <c r="J31" s="463"/>
      <c r="K31" s="463"/>
      <c r="L31" s="463"/>
      <c r="M31" s="466">
        <v>3.0789303000000001</v>
      </c>
    </row>
    <row r="32" spans="1:13" ht="18">
      <c r="A32" s="421" t="s">
        <v>501</v>
      </c>
      <c r="B32" s="435">
        <v>4.8146171999999989</v>
      </c>
      <c r="C32" s="435">
        <v>0.18988260000000001</v>
      </c>
      <c r="D32" s="435">
        <v>0.40527879999999994</v>
      </c>
      <c r="E32" s="435">
        <v>0.25231820000000005</v>
      </c>
      <c r="F32" s="435">
        <v>0.24669479999999996</v>
      </c>
      <c r="G32" s="435">
        <v>0.1293649</v>
      </c>
      <c r="H32" s="463"/>
      <c r="I32" s="463"/>
      <c r="J32" s="463"/>
      <c r="K32" s="463"/>
      <c r="L32" s="463"/>
      <c r="M32" s="466">
        <v>6.0381564999999986</v>
      </c>
    </row>
    <row r="33" spans="1:13" ht="18">
      <c r="A33" s="421" t="s">
        <v>502</v>
      </c>
      <c r="B33" s="435">
        <v>0.82392620000000005</v>
      </c>
      <c r="C33" s="435">
        <v>0.63110580000000005</v>
      </c>
      <c r="D33" s="435">
        <v>2.1392471999999998</v>
      </c>
      <c r="E33" s="435">
        <v>0.75421159999999987</v>
      </c>
      <c r="F33" s="435">
        <v>0.36805939999999998</v>
      </c>
      <c r="G33" s="435">
        <v>0.55164020000000002</v>
      </c>
      <c r="H33" s="463"/>
      <c r="I33" s="463"/>
      <c r="J33" s="463"/>
      <c r="K33" s="463"/>
      <c r="L33" s="463"/>
      <c r="M33" s="466">
        <v>5.2681903999999999</v>
      </c>
    </row>
    <row r="34" spans="1:13" ht="18">
      <c r="A34" s="421" t="s">
        <v>503</v>
      </c>
      <c r="B34" s="435">
        <v>0.21933760000000002</v>
      </c>
      <c r="C34" s="435">
        <v>6.6541400000000001E-2</v>
      </c>
      <c r="D34" s="435">
        <v>8.069469999999998E-2</v>
      </c>
      <c r="E34" s="435">
        <v>5.8748999999999996E-2</v>
      </c>
      <c r="F34" s="435">
        <v>0.11200449999999998</v>
      </c>
      <c r="G34" s="435">
        <v>7.2734500000000007E-2</v>
      </c>
      <c r="H34" s="463"/>
      <c r="I34" s="463"/>
      <c r="J34" s="463"/>
      <c r="K34" s="463"/>
      <c r="L34" s="463"/>
      <c r="M34" s="466">
        <v>0.61006170000000004</v>
      </c>
    </row>
    <row r="35" spans="1:13" ht="18">
      <c r="A35" s="424" t="s">
        <v>508</v>
      </c>
      <c r="B35" s="435">
        <v>0.87641369999999996</v>
      </c>
      <c r="C35" s="435">
        <v>0.53305359999999991</v>
      </c>
      <c r="D35" s="435">
        <v>1.5801790999999998</v>
      </c>
      <c r="E35" s="435">
        <v>0.67764439999999992</v>
      </c>
      <c r="F35" s="435">
        <v>0.5385743999999999</v>
      </c>
      <c r="G35" s="435">
        <v>1.0076956999999997</v>
      </c>
      <c r="H35" s="463"/>
      <c r="I35" s="463"/>
      <c r="J35" s="463"/>
      <c r="K35" s="463"/>
      <c r="L35" s="463"/>
      <c r="M35" s="466">
        <v>5.2135608999999992</v>
      </c>
    </row>
    <row r="36" spans="1:13" ht="18">
      <c r="A36" s="430" t="s">
        <v>505</v>
      </c>
      <c r="B36" s="460">
        <v>7.1426954999999985</v>
      </c>
      <c r="C36" s="460">
        <v>1.5794039</v>
      </c>
      <c r="D36" s="460">
        <v>4.8240680999999999</v>
      </c>
      <c r="E36" s="460">
        <v>3.4461854999999995</v>
      </c>
      <c r="F36" s="460">
        <v>1.3502566999999996</v>
      </c>
      <c r="G36" s="460">
        <v>1.8662900999999998</v>
      </c>
      <c r="H36" s="460">
        <v>3.8210537999999996</v>
      </c>
      <c r="I36" s="460">
        <v>6.0513281000000001</v>
      </c>
      <c r="J36" s="460">
        <v>5.6337579000000009</v>
      </c>
      <c r="K36" s="460">
        <v>0.67971379999999981</v>
      </c>
      <c r="L36" s="460">
        <v>4.8179388000000003</v>
      </c>
      <c r="M36" s="464">
        <v>41.212692199999999</v>
      </c>
    </row>
    <row r="37" spans="1:13" s="438" customFormat="1" ht="17.25" customHeight="1">
      <c r="A37" s="447" t="s">
        <v>484</v>
      </c>
    </row>
    <row r="38" spans="1:13" s="438" customFormat="1" ht="17.25" customHeight="1">
      <c r="A38" s="447"/>
    </row>
    <row r="39" spans="1:13" s="438" customFormat="1" ht="17.25" customHeight="1">
      <c r="A39" s="497" t="s">
        <v>543</v>
      </c>
    </row>
    <row r="40" spans="1:13" s="438" customFormat="1" ht="17.25" customHeight="1">
      <c r="A40" s="40" t="s">
        <v>544</v>
      </c>
    </row>
    <row r="41" spans="1:13" s="438" customFormat="1" ht="17.25" customHeight="1">
      <c r="A41" s="498" t="s">
        <v>545</v>
      </c>
    </row>
    <row r="42" spans="1:13" s="438" customFormat="1" ht="18">
      <c r="A42" s="498"/>
    </row>
    <row r="43" spans="1:13">
      <c r="A43" s="448" t="s">
        <v>510</v>
      </c>
    </row>
    <row r="44" spans="1:13">
      <c r="A44" s="448" t="s">
        <v>487</v>
      </c>
    </row>
    <row r="45" spans="1:13">
      <c r="A45" s="448" t="s">
        <v>511</v>
      </c>
    </row>
    <row r="46" spans="1:13">
      <c r="A46" s="448" t="s">
        <v>490</v>
      </c>
    </row>
    <row r="47" spans="1:13">
      <c r="A47" s="448" t="s">
        <v>491</v>
      </c>
    </row>
    <row r="48" spans="1:13">
      <c r="A48" s="448" t="s">
        <v>492</v>
      </c>
    </row>
    <row r="49" spans="1:1">
      <c r="A49" s="448" t="s">
        <v>493</v>
      </c>
    </row>
  </sheetData>
  <phoneticPr fontId="25" type="noConversion"/>
  <hyperlinks>
    <hyperlink ref="A41" r:id="rId1"/>
  </hyperlinks>
  <pageMargins left="0.75" right="0.75" top="1" bottom="1" header="0.5" footer="0.5"/>
  <pageSetup paperSize="9" scale="43" orientation="portrait" horizontalDpi="300" verticalDpi="300" r:id="rId2"/>
  <headerFooter alignWithMargins="0">
    <oddHeader>&amp;R&amp;"Arial,Bold"&amp;18PERSONAL AND CROSS-MODAL TRAVEL</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7"/>
  <sheetViews>
    <sheetView workbookViewId="0"/>
  </sheetViews>
  <sheetFormatPr defaultRowHeight="12.75"/>
  <cols>
    <col min="1" max="1" width="23.7109375" customWidth="1"/>
    <col min="2" max="2" width="11.140625" customWidth="1"/>
    <col min="3" max="4" width="10.42578125" customWidth="1"/>
    <col min="5" max="5" width="10" customWidth="1"/>
    <col min="6" max="6" width="10.140625" customWidth="1"/>
    <col min="9" max="9" width="10.42578125" customWidth="1"/>
  </cols>
  <sheetData>
    <row r="1" spans="1:11" ht="18.75">
      <c r="A1" s="595" t="s">
        <v>627</v>
      </c>
      <c r="B1" s="582"/>
      <c r="C1" s="582"/>
      <c r="D1" s="582"/>
      <c r="E1" s="582"/>
      <c r="F1" s="582"/>
      <c r="G1" s="582"/>
      <c r="H1" s="582"/>
      <c r="I1" s="582"/>
      <c r="J1" s="582"/>
      <c r="K1" s="582"/>
    </row>
    <row r="2" spans="1:11">
      <c r="A2" s="582"/>
      <c r="B2" s="582"/>
      <c r="C2" s="582"/>
      <c r="D2" s="582"/>
      <c r="E2" s="582"/>
      <c r="F2" s="582"/>
      <c r="G2" s="582"/>
      <c r="H2" s="582"/>
      <c r="I2" s="582"/>
      <c r="J2" s="582"/>
      <c r="K2" s="582"/>
    </row>
    <row r="3" spans="1:11">
      <c r="A3" s="581" t="s">
        <v>474</v>
      </c>
      <c r="B3" s="583"/>
      <c r="C3" s="583"/>
      <c r="D3" s="583"/>
      <c r="E3" s="583"/>
      <c r="F3" s="583"/>
      <c r="G3" s="583"/>
      <c r="H3" s="583"/>
      <c r="I3" s="583"/>
      <c r="J3" s="583"/>
      <c r="K3" s="583"/>
    </row>
    <row r="4" spans="1:11">
      <c r="A4" s="584"/>
      <c r="B4" s="585"/>
      <c r="C4" s="585"/>
      <c r="D4" s="585"/>
      <c r="E4" s="586"/>
      <c r="F4" s="587" t="s">
        <v>475</v>
      </c>
      <c r="G4" s="585"/>
      <c r="H4" s="585"/>
      <c r="I4" s="585"/>
      <c r="J4" s="585"/>
      <c r="K4" s="585"/>
    </row>
    <row r="5" spans="1:11" ht="38.25">
      <c r="A5" s="588" t="s">
        <v>476</v>
      </c>
      <c r="B5" s="589" t="s">
        <v>613</v>
      </c>
      <c r="C5" s="589" t="s">
        <v>614</v>
      </c>
      <c r="D5" s="589" t="s">
        <v>615</v>
      </c>
      <c r="E5" s="589" t="s">
        <v>604</v>
      </c>
      <c r="F5" s="589" t="s">
        <v>478</v>
      </c>
      <c r="G5" s="589" t="s">
        <v>45</v>
      </c>
      <c r="H5" s="589" t="s">
        <v>605</v>
      </c>
      <c r="I5" s="589" t="s">
        <v>482</v>
      </c>
      <c r="J5" s="589" t="s">
        <v>606</v>
      </c>
      <c r="K5" s="589" t="s">
        <v>39</v>
      </c>
    </row>
    <row r="6" spans="1:11">
      <c r="A6" s="582"/>
      <c r="B6" s="590"/>
      <c r="C6" s="590"/>
      <c r="D6" s="590"/>
      <c r="E6" s="590"/>
      <c r="F6" s="590"/>
      <c r="G6" s="590"/>
      <c r="H6" s="590"/>
      <c r="I6" s="590"/>
      <c r="J6" s="590"/>
      <c r="K6" s="591" t="s">
        <v>120</v>
      </c>
    </row>
    <row r="7" spans="1:11" ht="14.25">
      <c r="A7" s="582" t="s">
        <v>618</v>
      </c>
      <c r="B7" s="592">
        <v>1745.2</v>
      </c>
      <c r="C7" s="592">
        <v>44.6</v>
      </c>
      <c r="D7" s="592">
        <v>4</v>
      </c>
      <c r="E7" s="592">
        <v>1.9</v>
      </c>
      <c r="F7" s="592">
        <v>1.7</v>
      </c>
      <c r="G7" s="592">
        <v>52.4</v>
      </c>
      <c r="H7" s="592">
        <v>38.700000000000003</v>
      </c>
      <c r="I7" s="592">
        <v>14.1</v>
      </c>
      <c r="J7" s="592">
        <v>6.2</v>
      </c>
      <c r="K7" s="593">
        <v>1908.8000000000002</v>
      </c>
    </row>
    <row r="8" spans="1:11" ht="14.25">
      <c r="A8" s="582" t="s">
        <v>619</v>
      </c>
      <c r="B8" s="592">
        <v>46.9</v>
      </c>
      <c r="C8" s="592">
        <v>1186</v>
      </c>
      <c r="D8" s="592">
        <v>36.4</v>
      </c>
      <c r="E8" s="592">
        <v>2.5</v>
      </c>
      <c r="F8" s="592">
        <v>0.8</v>
      </c>
      <c r="G8" s="592">
        <v>1.3</v>
      </c>
      <c r="H8" s="592">
        <v>39.1</v>
      </c>
      <c r="I8" s="592">
        <v>2.6</v>
      </c>
      <c r="J8" s="592">
        <v>10.7</v>
      </c>
      <c r="K8" s="593">
        <v>1326.3</v>
      </c>
    </row>
    <row r="9" spans="1:11" ht="14.25">
      <c r="A9" s="582" t="s">
        <v>620</v>
      </c>
      <c r="B9" s="592">
        <v>3.8</v>
      </c>
      <c r="C9" s="592">
        <v>36.299999999999997</v>
      </c>
      <c r="D9" s="592">
        <v>370.1</v>
      </c>
      <c r="E9" s="592">
        <v>5.5</v>
      </c>
      <c r="F9" s="592">
        <v>0.1</v>
      </c>
      <c r="G9" s="592">
        <v>0.3</v>
      </c>
      <c r="H9" s="592">
        <v>6.5</v>
      </c>
      <c r="I9" s="592">
        <v>2</v>
      </c>
      <c r="J9" s="592">
        <v>1.6</v>
      </c>
      <c r="K9" s="593">
        <v>426.2000000000001</v>
      </c>
    </row>
    <row r="10" spans="1:11">
      <c r="A10" s="582" t="s">
        <v>604</v>
      </c>
      <c r="B10" s="592">
        <v>2</v>
      </c>
      <c r="C10" s="592">
        <v>2.5</v>
      </c>
      <c r="D10" s="592">
        <v>6.1</v>
      </c>
      <c r="E10" s="592">
        <v>430.7</v>
      </c>
      <c r="F10" s="592">
        <v>0.1</v>
      </c>
      <c r="G10" s="592">
        <v>0.3</v>
      </c>
      <c r="H10" s="592">
        <v>0.6</v>
      </c>
      <c r="I10" s="592">
        <v>6.6</v>
      </c>
      <c r="J10" s="592">
        <v>1.4</v>
      </c>
      <c r="K10" s="593">
        <v>450.30000000000007</v>
      </c>
    </row>
    <row r="11" spans="1:11">
      <c r="A11" s="582" t="s">
        <v>478</v>
      </c>
      <c r="B11" s="592">
        <v>1.6</v>
      </c>
      <c r="C11" s="592">
        <v>0.9</v>
      </c>
      <c r="D11" s="592">
        <v>0.1</v>
      </c>
      <c r="E11" s="592">
        <v>0.1</v>
      </c>
      <c r="F11" s="592">
        <v>103.5</v>
      </c>
      <c r="G11" s="592">
        <v>1.9</v>
      </c>
      <c r="H11" s="592">
        <v>0.1</v>
      </c>
      <c r="I11" s="592">
        <v>0.2</v>
      </c>
      <c r="J11" s="592">
        <v>3.2</v>
      </c>
      <c r="K11" s="593">
        <v>111.60000000000001</v>
      </c>
    </row>
    <row r="12" spans="1:11">
      <c r="A12" s="582" t="s">
        <v>45</v>
      </c>
      <c r="B12" s="592">
        <v>58.7</v>
      </c>
      <c r="C12" s="592">
        <v>1.4</v>
      </c>
      <c r="D12" s="592">
        <v>0.4</v>
      </c>
      <c r="E12" s="592">
        <v>0.3</v>
      </c>
      <c r="F12" s="592">
        <v>1.9</v>
      </c>
      <c r="G12" s="592">
        <v>277.5</v>
      </c>
      <c r="H12" s="592">
        <v>0.5</v>
      </c>
      <c r="I12" s="592">
        <v>0.6</v>
      </c>
      <c r="J12" s="592">
        <v>1.1000000000000001</v>
      </c>
      <c r="K12" s="593">
        <v>342.40000000000003</v>
      </c>
    </row>
    <row r="13" spans="1:11">
      <c r="A13" s="582" t="s">
        <v>605</v>
      </c>
      <c r="B13" s="592">
        <v>36.200000000000003</v>
      </c>
      <c r="C13" s="592">
        <v>39.799999999999997</v>
      </c>
      <c r="D13" s="592">
        <v>6.4</v>
      </c>
      <c r="E13" s="592">
        <v>0.5</v>
      </c>
      <c r="F13" s="592">
        <v>0</v>
      </c>
      <c r="G13" s="592">
        <v>0.5</v>
      </c>
      <c r="H13" s="592">
        <v>187.2</v>
      </c>
      <c r="I13" s="592">
        <v>1.3</v>
      </c>
      <c r="J13" s="592">
        <v>0.9</v>
      </c>
      <c r="K13" s="593">
        <v>272.8</v>
      </c>
    </row>
    <row r="14" spans="1:11">
      <c r="A14" s="582" t="s">
        <v>482</v>
      </c>
      <c r="B14" s="592">
        <v>14.2</v>
      </c>
      <c r="C14" s="592">
        <v>3</v>
      </c>
      <c r="D14" s="592">
        <v>2.4</v>
      </c>
      <c r="E14" s="592">
        <v>6.7</v>
      </c>
      <c r="F14" s="592">
        <v>0.2</v>
      </c>
      <c r="G14" s="592">
        <v>0.5</v>
      </c>
      <c r="H14" s="592">
        <v>1.4</v>
      </c>
      <c r="I14" s="592">
        <v>268.2</v>
      </c>
      <c r="J14" s="592">
        <v>2.2000000000000002</v>
      </c>
      <c r="K14" s="593">
        <v>298.79999999999995</v>
      </c>
    </row>
    <row r="15" spans="1:11">
      <c r="A15" s="582" t="s">
        <v>606</v>
      </c>
      <c r="B15" s="592">
        <v>5.2</v>
      </c>
      <c r="C15" s="592">
        <v>9.4</v>
      </c>
      <c r="D15" s="592">
        <v>1.5</v>
      </c>
      <c r="E15" s="592">
        <v>1.3</v>
      </c>
      <c r="F15" s="592">
        <v>2.7</v>
      </c>
      <c r="G15" s="592">
        <v>0.9</v>
      </c>
      <c r="H15" s="592">
        <v>0.8</v>
      </c>
      <c r="I15" s="592">
        <v>1.9</v>
      </c>
      <c r="J15" s="592" t="s">
        <v>617</v>
      </c>
      <c r="K15" s="593">
        <v>23.7</v>
      </c>
    </row>
    <row r="16" spans="1:11">
      <c r="A16" s="588" t="s">
        <v>39</v>
      </c>
      <c r="B16" s="594">
        <v>1913.8000000000002</v>
      </c>
      <c r="C16" s="594">
        <v>1323.9</v>
      </c>
      <c r="D16" s="594">
        <v>427.4</v>
      </c>
      <c r="E16" s="594">
        <v>449.5</v>
      </c>
      <c r="F16" s="594">
        <v>111.00000000000001</v>
      </c>
      <c r="G16" s="594">
        <v>335.59999999999997</v>
      </c>
      <c r="H16" s="594">
        <v>274.89999999999998</v>
      </c>
      <c r="I16" s="594">
        <v>297.49999999999994</v>
      </c>
      <c r="J16" s="594">
        <v>27.299999999999997</v>
      </c>
      <c r="K16" s="594">
        <v>5160.9000000000005</v>
      </c>
    </row>
    <row r="17" spans="1:11">
      <c r="A17" s="583"/>
      <c r="B17" s="592"/>
      <c r="C17" s="592"/>
      <c r="D17" s="592"/>
      <c r="E17" s="592"/>
      <c r="F17" s="592"/>
      <c r="G17" s="592"/>
      <c r="H17" s="592"/>
      <c r="I17" s="592"/>
      <c r="J17" s="592"/>
      <c r="K17" s="592"/>
    </row>
    <row r="18" spans="1:11">
      <c r="A18" s="582"/>
      <c r="B18" s="582"/>
      <c r="C18" s="582"/>
      <c r="D18" s="582"/>
      <c r="E18" s="582"/>
      <c r="F18" s="582"/>
      <c r="G18" s="582"/>
      <c r="H18" s="582"/>
      <c r="I18" s="582"/>
      <c r="J18" s="582"/>
      <c r="K18" s="582"/>
    </row>
    <row r="19" spans="1:11">
      <c r="A19" s="588" t="s">
        <v>483</v>
      </c>
      <c r="B19" s="583"/>
      <c r="C19" s="583"/>
      <c r="D19" s="583"/>
      <c r="E19" s="583"/>
      <c r="F19" s="583"/>
      <c r="G19" s="583"/>
      <c r="H19" s="583"/>
      <c r="I19" s="583"/>
      <c r="J19" s="583"/>
      <c r="K19" s="583"/>
    </row>
    <row r="20" spans="1:11">
      <c r="A20" s="581"/>
      <c r="B20" s="585"/>
      <c r="C20" s="585"/>
      <c r="D20" s="585"/>
      <c r="E20" s="586"/>
      <c r="F20" s="587" t="s">
        <v>475</v>
      </c>
      <c r="G20" s="585"/>
      <c r="H20" s="585"/>
      <c r="I20" s="585"/>
      <c r="J20" s="585"/>
      <c r="K20" s="585"/>
    </row>
    <row r="21" spans="1:11" ht="38.25">
      <c r="A21" s="588" t="s">
        <v>476</v>
      </c>
      <c r="B21" s="589" t="s">
        <v>613</v>
      </c>
      <c r="C21" s="589" t="s">
        <v>614</v>
      </c>
      <c r="D21" s="589" t="s">
        <v>615</v>
      </c>
      <c r="E21" s="589" t="s">
        <v>604</v>
      </c>
      <c r="F21" s="589" t="s">
        <v>478</v>
      </c>
      <c r="G21" s="589" t="s">
        <v>45</v>
      </c>
      <c r="H21" s="589" t="s">
        <v>605</v>
      </c>
      <c r="I21" s="589" t="s">
        <v>482</v>
      </c>
      <c r="J21" s="589" t="s">
        <v>606</v>
      </c>
      <c r="K21" s="589" t="s">
        <v>39</v>
      </c>
    </row>
    <row r="22" spans="1:11">
      <c r="A22" s="582"/>
      <c r="B22" s="590"/>
      <c r="C22" s="590"/>
      <c r="D22" s="590"/>
      <c r="E22" s="590"/>
      <c r="F22" s="590"/>
      <c r="G22" s="590"/>
      <c r="H22" s="590"/>
      <c r="I22" s="590"/>
      <c r="J22" s="590"/>
      <c r="K22" s="591" t="s">
        <v>120</v>
      </c>
    </row>
    <row r="23" spans="1:11" ht="14.25">
      <c r="A23" s="582" t="s">
        <v>618</v>
      </c>
      <c r="B23" s="592">
        <v>1332.7</v>
      </c>
      <c r="C23" s="592">
        <v>33.9</v>
      </c>
      <c r="D23" s="592">
        <v>2.7</v>
      </c>
      <c r="E23" s="592">
        <v>1.3</v>
      </c>
      <c r="F23" s="592">
        <v>1</v>
      </c>
      <c r="G23" s="592">
        <v>41</v>
      </c>
      <c r="H23" s="592">
        <v>33.700000000000003</v>
      </c>
      <c r="I23" s="592">
        <v>10.8</v>
      </c>
      <c r="J23" s="592">
        <v>4</v>
      </c>
      <c r="K23" s="593">
        <v>1461.1000000000001</v>
      </c>
    </row>
    <row r="24" spans="1:11" ht="14.25">
      <c r="A24" s="582" t="s">
        <v>619</v>
      </c>
      <c r="B24" s="592">
        <v>36.5</v>
      </c>
      <c r="C24" s="592">
        <v>905.8</v>
      </c>
      <c r="D24" s="592">
        <v>30.6</v>
      </c>
      <c r="E24" s="592">
        <v>1.7</v>
      </c>
      <c r="F24" s="592">
        <v>0.6</v>
      </c>
      <c r="G24" s="592">
        <v>0.8</v>
      </c>
      <c r="H24" s="592">
        <v>33.799999999999997</v>
      </c>
      <c r="I24" s="592">
        <v>2</v>
      </c>
      <c r="J24" s="592">
        <v>5.8</v>
      </c>
      <c r="K24" s="593">
        <v>1017.5999999999999</v>
      </c>
    </row>
    <row r="25" spans="1:11" ht="14.25">
      <c r="A25" s="582" t="s">
        <v>620</v>
      </c>
      <c r="B25" s="592">
        <v>2.7</v>
      </c>
      <c r="C25" s="592">
        <v>30.4</v>
      </c>
      <c r="D25" s="592">
        <v>300.7</v>
      </c>
      <c r="E25" s="592">
        <v>4.5999999999999996</v>
      </c>
      <c r="F25" s="592">
        <v>0.1</v>
      </c>
      <c r="G25" s="592">
        <v>0.2</v>
      </c>
      <c r="H25" s="592">
        <v>5.9</v>
      </c>
      <c r="I25" s="592">
        <v>1.8</v>
      </c>
      <c r="J25" s="592">
        <v>1</v>
      </c>
      <c r="K25" s="593">
        <v>347.40000000000003</v>
      </c>
    </row>
    <row r="26" spans="1:11">
      <c r="A26" s="582" t="s">
        <v>604</v>
      </c>
      <c r="B26" s="592">
        <v>1.5</v>
      </c>
      <c r="C26" s="592">
        <v>1.9</v>
      </c>
      <c r="D26" s="592">
        <v>5.0999999999999996</v>
      </c>
      <c r="E26" s="592">
        <v>368.1</v>
      </c>
      <c r="F26" s="592">
        <v>0</v>
      </c>
      <c r="G26" s="592">
        <v>0.2</v>
      </c>
      <c r="H26" s="592">
        <v>0.5</v>
      </c>
      <c r="I26" s="592">
        <v>5.6</v>
      </c>
      <c r="J26" s="592">
        <v>0.8</v>
      </c>
      <c r="K26" s="593">
        <v>383.70000000000005</v>
      </c>
    </row>
    <row r="27" spans="1:11">
      <c r="A27" s="582" t="s">
        <v>478</v>
      </c>
      <c r="B27" s="592">
        <v>1.1000000000000001</v>
      </c>
      <c r="C27" s="592">
        <v>0.7</v>
      </c>
      <c r="D27" s="592">
        <v>0.1</v>
      </c>
      <c r="E27" s="592">
        <v>0.1</v>
      </c>
      <c r="F27" s="592">
        <v>88.8</v>
      </c>
      <c r="G27" s="592">
        <v>1.7</v>
      </c>
      <c r="H27" s="592">
        <v>0</v>
      </c>
      <c r="I27" s="592">
        <v>0.2</v>
      </c>
      <c r="J27" s="592">
        <v>2.5</v>
      </c>
      <c r="K27" s="593">
        <v>95.2</v>
      </c>
    </row>
    <row r="28" spans="1:11">
      <c r="A28" s="582" t="s">
        <v>45</v>
      </c>
      <c r="B28" s="592">
        <v>45.6</v>
      </c>
      <c r="C28" s="592">
        <v>0.8</v>
      </c>
      <c r="D28" s="592">
        <v>0.3</v>
      </c>
      <c r="E28" s="592">
        <v>0.2</v>
      </c>
      <c r="F28" s="592">
        <v>1.7</v>
      </c>
      <c r="G28" s="592">
        <v>232.6</v>
      </c>
      <c r="H28" s="592">
        <v>0.4</v>
      </c>
      <c r="I28" s="592">
        <v>0.6</v>
      </c>
      <c r="J28" s="592">
        <v>0.8</v>
      </c>
      <c r="K28" s="593">
        <v>283</v>
      </c>
    </row>
    <row r="29" spans="1:11">
      <c r="A29" s="582" t="s">
        <v>605</v>
      </c>
      <c r="B29" s="592">
        <v>30.8</v>
      </c>
      <c r="C29" s="592">
        <v>34.299999999999997</v>
      </c>
      <c r="D29" s="592">
        <v>5.8</v>
      </c>
      <c r="E29" s="592">
        <v>0.5</v>
      </c>
      <c r="F29" s="592">
        <v>0</v>
      </c>
      <c r="G29" s="592">
        <v>0.3</v>
      </c>
      <c r="H29" s="592">
        <v>156.1</v>
      </c>
      <c r="I29" s="592">
        <v>1.2</v>
      </c>
      <c r="J29" s="592">
        <v>0.4</v>
      </c>
      <c r="K29" s="593">
        <v>229.39999999999998</v>
      </c>
    </row>
    <row r="30" spans="1:11">
      <c r="A30" s="582" t="s">
        <v>482</v>
      </c>
      <c r="B30" s="592">
        <v>11</v>
      </c>
      <c r="C30" s="592">
        <v>2.4</v>
      </c>
      <c r="D30" s="592">
        <v>2.1</v>
      </c>
      <c r="E30" s="592">
        <v>5.8</v>
      </c>
      <c r="F30" s="592">
        <v>0.2</v>
      </c>
      <c r="G30" s="592">
        <v>0.5</v>
      </c>
      <c r="H30" s="592">
        <v>1.3</v>
      </c>
      <c r="I30" s="592">
        <v>230.7</v>
      </c>
      <c r="J30" s="592">
        <v>1.6</v>
      </c>
      <c r="K30" s="593">
        <v>255.6</v>
      </c>
    </row>
    <row r="31" spans="1:11">
      <c r="A31" s="582" t="s">
        <v>606</v>
      </c>
      <c r="B31" s="592">
        <v>3.2</v>
      </c>
      <c r="C31" s="592">
        <v>4.8</v>
      </c>
      <c r="D31" s="592">
        <v>0.9</v>
      </c>
      <c r="E31" s="592">
        <v>0.8</v>
      </c>
      <c r="F31" s="592">
        <v>2.2000000000000002</v>
      </c>
      <c r="G31" s="592">
        <v>0.7</v>
      </c>
      <c r="H31" s="592">
        <v>0.4</v>
      </c>
      <c r="I31" s="592">
        <v>1.4</v>
      </c>
      <c r="J31" s="592" t="s">
        <v>617</v>
      </c>
      <c r="K31" s="593">
        <v>14.400000000000002</v>
      </c>
    </row>
    <row r="32" spans="1:11">
      <c r="A32" s="588" t="s">
        <v>39</v>
      </c>
      <c r="B32" s="594">
        <v>1465.1</v>
      </c>
      <c r="C32" s="594">
        <v>1014.9999999999998</v>
      </c>
      <c r="D32" s="594">
        <v>348.30000000000007</v>
      </c>
      <c r="E32" s="594">
        <v>383.10000000000008</v>
      </c>
      <c r="F32" s="594">
        <v>94.600000000000009</v>
      </c>
      <c r="G32" s="594">
        <v>278</v>
      </c>
      <c r="H32" s="594">
        <v>232.10000000000002</v>
      </c>
      <c r="I32" s="594">
        <v>254.29999999999998</v>
      </c>
      <c r="J32" s="594">
        <v>16.900000000000002</v>
      </c>
      <c r="K32" s="594">
        <v>4087.4</v>
      </c>
    </row>
    <row r="33" spans="1:11">
      <c r="A33" s="581"/>
      <c r="B33" s="593"/>
      <c r="C33" s="593"/>
      <c r="D33" s="593"/>
      <c r="E33" s="593"/>
      <c r="F33" s="593"/>
      <c r="G33" s="593"/>
      <c r="H33" s="593"/>
      <c r="I33" s="593"/>
      <c r="J33" s="593"/>
      <c r="K33" s="593"/>
    </row>
    <row r="34" spans="1:11">
      <c r="A34" s="581"/>
      <c r="B34" s="593"/>
      <c r="C34" s="593"/>
      <c r="D34" s="593"/>
      <c r="E34" s="593"/>
      <c r="F34" s="593"/>
      <c r="G34" s="593"/>
      <c r="H34" s="593"/>
      <c r="I34" s="593"/>
      <c r="J34" s="593"/>
      <c r="K34" s="593"/>
    </row>
    <row r="35" spans="1:11">
      <c r="A35" s="581" t="s">
        <v>494</v>
      </c>
      <c r="B35" s="583"/>
      <c r="C35" s="583"/>
      <c r="D35" s="583"/>
      <c r="E35" s="583"/>
      <c r="F35" s="583"/>
      <c r="G35" s="583"/>
      <c r="H35" s="583"/>
      <c r="I35" s="583"/>
      <c r="J35" s="583"/>
      <c r="K35" s="583"/>
    </row>
    <row r="36" spans="1:11">
      <c r="A36" s="584"/>
      <c r="B36" s="585"/>
      <c r="C36" s="585"/>
      <c r="D36" s="585"/>
      <c r="E36" s="586"/>
      <c r="F36" s="587" t="s">
        <v>475</v>
      </c>
      <c r="G36" s="585"/>
      <c r="H36" s="585"/>
      <c r="I36" s="585"/>
      <c r="J36" s="585"/>
      <c r="K36" s="585"/>
    </row>
    <row r="37" spans="1:11" ht="38.25">
      <c r="A37" s="588" t="s">
        <v>476</v>
      </c>
      <c r="B37" s="589" t="s">
        <v>613</v>
      </c>
      <c r="C37" s="589" t="s">
        <v>614</v>
      </c>
      <c r="D37" s="589" t="s">
        <v>615</v>
      </c>
      <c r="E37" s="589" t="s">
        <v>604</v>
      </c>
      <c r="F37" s="589" t="s">
        <v>478</v>
      </c>
      <c r="G37" s="589" t="s">
        <v>45</v>
      </c>
      <c r="H37" s="589" t="s">
        <v>605</v>
      </c>
      <c r="I37" s="589" t="s">
        <v>482</v>
      </c>
      <c r="J37" s="589" t="s">
        <v>606</v>
      </c>
      <c r="K37" s="589" t="s">
        <v>39</v>
      </c>
    </row>
    <row r="38" spans="1:11">
      <c r="A38" s="582"/>
      <c r="B38" s="590"/>
      <c r="C38" s="590"/>
      <c r="D38" s="590"/>
      <c r="E38" s="590"/>
      <c r="F38" s="590"/>
      <c r="G38" s="590"/>
      <c r="H38" s="590"/>
      <c r="I38" s="590"/>
      <c r="J38" s="590"/>
      <c r="K38" s="591" t="s">
        <v>120</v>
      </c>
    </row>
    <row r="39" spans="1:11" ht="14.25">
      <c r="A39" s="582" t="s">
        <v>618</v>
      </c>
      <c r="B39" s="592">
        <v>412.5</v>
      </c>
      <c r="C39" s="592">
        <v>10.7</v>
      </c>
      <c r="D39" s="592">
        <v>1.3</v>
      </c>
      <c r="E39" s="592">
        <v>0.5</v>
      </c>
      <c r="F39" s="592">
        <v>0.7</v>
      </c>
      <c r="G39" s="592">
        <v>11.4</v>
      </c>
      <c r="H39" s="592">
        <v>5</v>
      </c>
      <c r="I39" s="592">
        <v>3.3</v>
      </c>
      <c r="J39" s="592">
        <v>2.2000000000000002</v>
      </c>
      <c r="K39" s="593">
        <v>447.59999999999997</v>
      </c>
    </row>
    <row r="40" spans="1:11" ht="14.25">
      <c r="A40" s="582" t="s">
        <v>619</v>
      </c>
      <c r="B40" s="592">
        <v>10.4</v>
      </c>
      <c r="C40" s="592">
        <v>280.2</v>
      </c>
      <c r="D40" s="592">
        <v>5.9</v>
      </c>
      <c r="E40" s="592">
        <v>0.8</v>
      </c>
      <c r="F40" s="592">
        <v>0.2</v>
      </c>
      <c r="G40" s="592">
        <v>0.5</v>
      </c>
      <c r="H40" s="592">
        <v>5.4</v>
      </c>
      <c r="I40" s="592">
        <v>0.5</v>
      </c>
      <c r="J40" s="592">
        <v>4.9000000000000004</v>
      </c>
      <c r="K40" s="593">
        <v>308.7999999999999</v>
      </c>
    </row>
    <row r="41" spans="1:11" ht="14.25">
      <c r="A41" s="582" t="s">
        <v>620</v>
      </c>
      <c r="B41" s="592">
        <v>1.1000000000000001</v>
      </c>
      <c r="C41" s="592">
        <v>5.8</v>
      </c>
      <c r="D41" s="592">
        <v>69.400000000000006</v>
      </c>
      <c r="E41" s="592">
        <v>0.9</v>
      </c>
      <c r="F41" s="592">
        <v>0</v>
      </c>
      <c r="G41" s="592">
        <v>0.1</v>
      </c>
      <c r="H41" s="592">
        <v>0.5</v>
      </c>
      <c r="I41" s="592">
        <v>0.2</v>
      </c>
      <c r="J41" s="592">
        <v>0.6</v>
      </c>
      <c r="K41" s="593">
        <v>78.600000000000009</v>
      </c>
    </row>
    <row r="42" spans="1:11">
      <c r="A42" s="582" t="s">
        <v>604</v>
      </c>
      <c r="B42" s="592">
        <v>0.5</v>
      </c>
      <c r="C42" s="592">
        <v>0.6</v>
      </c>
      <c r="D42" s="592">
        <v>0.9</v>
      </c>
      <c r="E42" s="592">
        <v>62.6</v>
      </c>
      <c r="F42" s="592">
        <v>0</v>
      </c>
      <c r="G42" s="592">
        <v>0.1</v>
      </c>
      <c r="H42" s="592">
        <v>0.1</v>
      </c>
      <c r="I42" s="592">
        <v>1</v>
      </c>
      <c r="J42" s="592">
        <v>0.6</v>
      </c>
      <c r="K42" s="593">
        <v>66.399999999999977</v>
      </c>
    </row>
    <row r="43" spans="1:11">
      <c r="A43" s="582" t="s">
        <v>478</v>
      </c>
      <c r="B43" s="592">
        <v>0.5</v>
      </c>
      <c r="C43" s="592">
        <v>0.2</v>
      </c>
      <c r="D43" s="592">
        <v>0</v>
      </c>
      <c r="E43" s="592">
        <v>0</v>
      </c>
      <c r="F43" s="592">
        <v>14.7</v>
      </c>
      <c r="G43" s="592">
        <v>0.2</v>
      </c>
      <c r="H43" s="592">
        <v>0</v>
      </c>
      <c r="I43" s="592">
        <v>0</v>
      </c>
      <c r="J43" s="592">
        <v>0.7</v>
      </c>
      <c r="K43" s="593">
        <v>16.299999999999997</v>
      </c>
    </row>
    <row r="44" spans="1:11">
      <c r="A44" s="582" t="s">
        <v>45</v>
      </c>
      <c r="B44" s="592">
        <v>13.1</v>
      </c>
      <c r="C44" s="592">
        <v>0.7</v>
      </c>
      <c r="D44" s="592">
        <v>0.1</v>
      </c>
      <c r="E44" s="592">
        <v>0.1</v>
      </c>
      <c r="F44" s="592">
        <v>0.2</v>
      </c>
      <c r="G44" s="592">
        <v>45</v>
      </c>
      <c r="H44" s="592">
        <v>0.1</v>
      </c>
      <c r="I44" s="592">
        <v>0.1</v>
      </c>
      <c r="J44" s="592">
        <v>0.3</v>
      </c>
      <c r="K44" s="593">
        <v>59.699999999999996</v>
      </c>
    </row>
    <row r="45" spans="1:11">
      <c r="A45" s="582" t="s">
        <v>605</v>
      </c>
      <c r="B45" s="592">
        <v>5.4</v>
      </c>
      <c r="C45" s="592">
        <v>5.5</v>
      </c>
      <c r="D45" s="592">
        <v>0.5</v>
      </c>
      <c r="E45" s="592">
        <v>0.1</v>
      </c>
      <c r="F45" s="592">
        <v>0</v>
      </c>
      <c r="G45" s="592">
        <v>0.1</v>
      </c>
      <c r="H45" s="592">
        <v>31.1</v>
      </c>
      <c r="I45" s="592">
        <v>0.1</v>
      </c>
      <c r="J45" s="592">
        <v>0.5</v>
      </c>
      <c r="K45" s="593">
        <v>43.300000000000004</v>
      </c>
    </row>
    <row r="46" spans="1:11">
      <c r="A46" s="582" t="s">
        <v>482</v>
      </c>
      <c r="B46" s="592">
        <v>3.1</v>
      </c>
      <c r="C46" s="592">
        <v>0.6</v>
      </c>
      <c r="D46" s="592">
        <v>0.3</v>
      </c>
      <c r="E46" s="592">
        <v>0.9</v>
      </c>
      <c r="F46" s="592">
        <v>0</v>
      </c>
      <c r="G46" s="592">
        <v>0.1</v>
      </c>
      <c r="H46" s="592">
        <v>0.1</v>
      </c>
      <c r="I46" s="592">
        <v>37.4</v>
      </c>
      <c r="J46" s="592">
        <v>0.6</v>
      </c>
      <c r="K46" s="593">
        <v>43.1</v>
      </c>
    </row>
    <row r="47" spans="1:11">
      <c r="A47" s="582" t="s">
        <v>606</v>
      </c>
      <c r="B47" s="592">
        <v>2</v>
      </c>
      <c r="C47" s="592">
        <v>4.5999999999999996</v>
      </c>
      <c r="D47" s="592">
        <v>0.6</v>
      </c>
      <c r="E47" s="592">
        <v>0.5</v>
      </c>
      <c r="F47" s="592">
        <v>0.5</v>
      </c>
      <c r="G47" s="592">
        <v>0.3</v>
      </c>
      <c r="H47" s="592">
        <v>0.4</v>
      </c>
      <c r="I47" s="592">
        <v>0.5</v>
      </c>
      <c r="J47" s="592" t="s">
        <v>617</v>
      </c>
      <c r="K47" s="593">
        <v>9.4</v>
      </c>
    </row>
    <row r="48" spans="1:11">
      <c r="A48" s="588" t="s">
        <v>39</v>
      </c>
      <c r="B48" s="594">
        <v>448.6</v>
      </c>
      <c r="C48" s="594">
        <v>308.90000000000003</v>
      </c>
      <c r="D48" s="594">
        <v>79</v>
      </c>
      <c r="E48" s="594">
        <v>66.399999999999991</v>
      </c>
      <c r="F48" s="594">
        <v>16.299999999999997</v>
      </c>
      <c r="G48" s="594">
        <v>57.8</v>
      </c>
      <c r="H48" s="594">
        <v>42.7</v>
      </c>
      <c r="I48" s="594">
        <v>43.099999999999994</v>
      </c>
      <c r="J48" s="594">
        <v>10.4</v>
      </c>
      <c r="K48" s="594">
        <v>1073.1999999999998</v>
      </c>
    </row>
    <row r="49" spans="1:11">
      <c r="A49" s="581"/>
      <c r="B49" s="593"/>
      <c r="C49" s="593"/>
      <c r="D49" s="593"/>
      <c r="E49" s="593"/>
      <c r="F49" s="593"/>
      <c r="G49" s="593"/>
      <c r="H49" s="593"/>
      <c r="I49" s="593"/>
      <c r="J49" s="593"/>
      <c r="K49" s="593"/>
    </row>
    <row r="50" spans="1:11">
      <c r="A50" s="581"/>
      <c r="B50" s="593"/>
      <c r="C50" s="593"/>
      <c r="D50" s="593"/>
      <c r="E50" s="593"/>
      <c r="F50" s="593"/>
      <c r="G50" s="593"/>
      <c r="H50" s="593"/>
      <c r="I50" s="593"/>
      <c r="J50" s="593"/>
      <c r="K50" s="593"/>
    </row>
    <row r="51" spans="1:11">
      <c r="A51" s="581" t="s">
        <v>512</v>
      </c>
      <c r="B51" s="583"/>
      <c r="C51" s="583"/>
      <c r="D51" s="583"/>
      <c r="E51" s="583"/>
      <c r="F51" s="583"/>
      <c r="G51" s="583"/>
      <c r="H51" s="583"/>
      <c r="I51" s="583"/>
      <c r="J51" s="583"/>
      <c r="K51" s="583"/>
    </row>
    <row r="52" spans="1:11">
      <c r="A52" s="584"/>
      <c r="B52" s="585"/>
      <c r="C52" s="585"/>
      <c r="D52" s="585"/>
      <c r="E52" s="586"/>
      <c r="F52" s="587" t="s">
        <v>475</v>
      </c>
      <c r="G52" s="585"/>
      <c r="H52" s="585"/>
      <c r="I52" s="585"/>
      <c r="J52" s="585"/>
      <c r="K52" s="585"/>
    </row>
    <row r="53" spans="1:11" ht="38.25">
      <c r="A53" s="588" t="s">
        <v>476</v>
      </c>
      <c r="B53" s="589" t="s">
        <v>613</v>
      </c>
      <c r="C53" s="589" t="s">
        <v>614</v>
      </c>
      <c r="D53" s="589" t="s">
        <v>615</v>
      </c>
      <c r="E53" s="589" t="s">
        <v>604</v>
      </c>
      <c r="F53" s="589" t="s">
        <v>478</v>
      </c>
      <c r="G53" s="589" t="s">
        <v>45</v>
      </c>
      <c r="H53" s="589" t="s">
        <v>605</v>
      </c>
      <c r="I53" s="589" t="s">
        <v>482</v>
      </c>
      <c r="J53" s="589" t="s">
        <v>606</v>
      </c>
      <c r="K53" s="589" t="s">
        <v>39</v>
      </c>
    </row>
    <row r="54" spans="1:11">
      <c r="A54" s="582"/>
      <c r="B54" s="590"/>
      <c r="C54" s="590"/>
      <c r="D54" s="590"/>
      <c r="E54" s="590"/>
      <c r="F54" s="590"/>
      <c r="G54" s="590"/>
      <c r="H54" s="590"/>
      <c r="I54" s="590"/>
      <c r="J54" s="590"/>
      <c r="K54" s="591" t="s">
        <v>120</v>
      </c>
    </row>
    <row r="55" spans="1:11" ht="14.25">
      <c r="A55" s="582" t="s">
        <v>618</v>
      </c>
      <c r="B55" s="592">
        <v>1395.3</v>
      </c>
      <c r="C55" s="592">
        <v>41.2</v>
      </c>
      <c r="D55" s="592">
        <v>3.7</v>
      </c>
      <c r="E55" s="592">
        <v>1.6</v>
      </c>
      <c r="F55" s="592">
        <v>1.7</v>
      </c>
      <c r="G55" s="592">
        <v>47.1</v>
      </c>
      <c r="H55" s="592">
        <v>34.1</v>
      </c>
      <c r="I55" s="592">
        <v>10.199999999999999</v>
      </c>
      <c r="J55" s="592">
        <v>6.1</v>
      </c>
      <c r="K55" s="593">
        <v>1540.9999999999998</v>
      </c>
    </row>
    <row r="56" spans="1:11" ht="14.25">
      <c r="A56" s="582" t="s">
        <v>619</v>
      </c>
      <c r="B56" s="592">
        <v>39.700000000000003</v>
      </c>
      <c r="C56" s="592">
        <v>973.5</v>
      </c>
      <c r="D56" s="592">
        <v>32.4</v>
      </c>
      <c r="E56" s="592">
        <v>1.9</v>
      </c>
      <c r="F56" s="592">
        <v>1.6</v>
      </c>
      <c r="G56" s="592">
        <v>1.6</v>
      </c>
      <c r="H56" s="592">
        <v>34</v>
      </c>
      <c r="I56" s="592">
        <v>2.1</v>
      </c>
      <c r="J56" s="592">
        <v>7.7</v>
      </c>
      <c r="K56" s="593">
        <v>1094.5</v>
      </c>
    </row>
    <row r="57" spans="1:11" ht="14.25">
      <c r="A57" s="582" t="s">
        <v>620</v>
      </c>
      <c r="B57" s="592">
        <v>3.8</v>
      </c>
      <c r="C57" s="592">
        <v>32</v>
      </c>
      <c r="D57" s="592">
        <v>291.60000000000002</v>
      </c>
      <c r="E57" s="592">
        <v>5.2</v>
      </c>
      <c r="F57" s="592">
        <v>0.1</v>
      </c>
      <c r="G57" s="592">
        <v>0.4</v>
      </c>
      <c r="H57" s="592">
        <v>6.6</v>
      </c>
      <c r="I57" s="592">
        <v>2.1</v>
      </c>
      <c r="J57" s="592">
        <v>1.5</v>
      </c>
      <c r="K57" s="593">
        <v>343.30000000000007</v>
      </c>
    </row>
    <row r="58" spans="1:11">
      <c r="A58" s="582" t="s">
        <v>604</v>
      </c>
      <c r="B58" s="592">
        <v>1.7</v>
      </c>
      <c r="C58" s="592">
        <v>2.1</v>
      </c>
      <c r="D58" s="592">
        <v>5.8</v>
      </c>
      <c r="E58" s="592">
        <v>357.2</v>
      </c>
      <c r="F58" s="592">
        <v>0.1</v>
      </c>
      <c r="G58" s="592">
        <v>0.2</v>
      </c>
      <c r="H58" s="592">
        <v>0.6</v>
      </c>
      <c r="I58" s="592">
        <v>7.1</v>
      </c>
      <c r="J58" s="592">
        <v>1.1000000000000001</v>
      </c>
      <c r="K58" s="593">
        <v>375.90000000000009</v>
      </c>
    </row>
    <row r="59" spans="1:11">
      <c r="A59" s="582" t="s">
        <v>478</v>
      </c>
      <c r="B59" s="592">
        <v>1.9</v>
      </c>
      <c r="C59" s="592">
        <v>1.9</v>
      </c>
      <c r="D59" s="592">
        <v>0.1</v>
      </c>
      <c r="E59" s="592">
        <v>0.1</v>
      </c>
      <c r="F59" s="592">
        <v>95.3</v>
      </c>
      <c r="G59" s="592">
        <v>3</v>
      </c>
      <c r="H59" s="592">
        <v>0.1</v>
      </c>
      <c r="I59" s="592">
        <v>0.2</v>
      </c>
      <c r="J59" s="592">
        <v>2.9</v>
      </c>
      <c r="K59" s="593">
        <v>105.5</v>
      </c>
    </row>
    <row r="60" spans="1:11">
      <c r="A60" s="582" t="s">
        <v>45</v>
      </c>
      <c r="B60" s="592">
        <v>44.8</v>
      </c>
      <c r="C60" s="592">
        <v>1.3</v>
      </c>
      <c r="D60" s="592">
        <v>0.4</v>
      </c>
      <c r="E60" s="592">
        <v>0.2</v>
      </c>
      <c r="F60" s="592">
        <v>1.8</v>
      </c>
      <c r="G60" s="592">
        <v>237.4</v>
      </c>
      <c r="H60" s="592">
        <v>0.6</v>
      </c>
      <c r="I60" s="592">
        <v>0.7</v>
      </c>
      <c r="J60" s="592">
        <v>1.1000000000000001</v>
      </c>
      <c r="K60" s="593">
        <v>288.3</v>
      </c>
    </row>
    <row r="61" spans="1:11">
      <c r="A61" s="582" t="s">
        <v>605</v>
      </c>
      <c r="B61" s="592">
        <v>31.4</v>
      </c>
      <c r="C61" s="592">
        <v>34.799999999999997</v>
      </c>
      <c r="D61" s="592">
        <v>6.3</v>
      </c>
      <c r="E61" s="592">
        <v>0.5</v>
      </c>
      <c r="F61" s="592">
        <v>0.1</v>
      </c>
      <c r="G61" s="592">
        <v>0.7</v>
      </c>
      <c r="H61" s="592">
        <v>186.7</v>
      </c>
      <c r="I61" s="592">
        <v>1.2</v>
      </c>
      <c r="J61" s="592">
        <v>0.8</v>
      </c>
      <c r="K61" s="593">
        <v>262.5</v>
      </c>
    </row>
    <row r="62" spans="1:11">
      <c r="A62" s="582" t="s">
        <v>482</v>
      </c>
      <c r="B62" s="592">
        <v>10.5</v>
      </c>
      <c r="C62" s="592">
        <v>2.2999999999999998</v>
      </c>
      <c r="D62" s="592">
        <v>2.4</v>
      </c>
      <c r="E62" s="592">
        <v>6.4</v>
      </c>
      <c r="F62" s="592">
        <v>0.2</v>
      </c>
      <c r="G62" s="592">
        <v>0.7</v>
      </c>
      <c r="H62" s="592">
        <v>1.2</v>
      </c>
      <c r="I62" s="592">
        <v>220.1</v>
      </c>
      <c r="J62" s="592">
        <v>1.9</v>
      </c>
      <c r="K62" s="593">
        <v>245.7</v>
      </c>
    </row>
    <row r="63" spans="1:11">
      <c r="A63" s="582" t="s">
        <v>606</v>
      </c>
      <c r="B63" s="592">
        <v>4.8</v>
      </c>
      <c r="C63" s="592">
        <v>7.4</v>
      </c>
      <c r="D63" s="592">
        <v>1.4</v>
      </c>
      <c r="E63" s="592">
        <v>1</v>
      </c>
      <c r="F63" s="592">
        <v>2.5</v>
      </c>
      <c r="G63" s="592">
        <v>1.7</v>
      </c>
      <c r="H63" s="592">
        <v>0.6</v>
      </c>
      <c r="I63" s="592">
        <v>1.6</v>
      </c>
      <c r="J63" s="592" t="s">
        <v>617</v>
      </c>
      <c r="K63" s="593">
        <v>21.000000000000004</v>
      </c>
    </row>
    <row r="64" spans="1:11">
      <c r="A64" s="588" t="s">
        <v>39</v>
      </c>
      <c r="B64" s="594">
        <v>1533.9</v>
      </c>
      <c r="C64" s="594">
        <v>1096.5</v>
      </c>
      <c r="D64" s="594">
        <v>344.1</v>
      </c>
      <c r="E64" s="594">
        <v>374.09999999999997</v>
      </c>
      <c r="F64" s="594">
        <v>103.39999999999999</v>
      </c>
      <c r="G64" s="594">
        <v>292.79999999999995</v>
      </c>
      <c r="H64" s="594">
        <v>264.49999999999994</v>
      </c>
      <c r="I64" s="594">
        <v>245.29999999999998</v>
      </c>
      <c r="J64" s="594">
        <v>23.1</v>
      </c>
      <c r="K64" s="594">
        <v>4277.7000000000007</v>
      </c>
    </row>
    <row r="65" spans="1:11" ht="7.5" customHeight="1">
      <c r="A65" s="581"/>
      <c r="B65" s="593"/>
      <c r="C65" s="593"/>
      <c r="D65" s="593"/>
      <c r="E65" s="593"/>
      <c r="F65" s="593"/>
      <c r="G65" s="593"/>
      <c r="H65" s="593"/>
      <c r="I65" s="593"/>
      <c r="J65" s="593"/>
      <c r="K65" s="593"/>
    </row>
    <row r="66" spans="1:11">
      <c r="A66" s="597" t="s">
        <v>616</v>
      </c>
      <c r="B66" s="582"/>
      <c r="C66" s="582"/>
      <c r="D66" s="582"/>
      <c r="E66" s="582"/>
      <c r="F66" s="582"/>
      <c r="G66" s="582"/>
      <c r="H66" s="582"/>
      <c r="I66" s="582"/>
      <c r="J66" s="582"/>
      <c r="K66" s="582"/>
    </row>
    <row r="67" spans="1:11" ht="6.75" customHeight="1">
      <c r="A67" s="1"/>
      <c r="B67" s="582"/>
      <c r="C67" s="582"/>
      <c r="D67" s="582"/>
      <c r="E67" s="582"/>
      <c r="F67" s="582"/>
      <c r="G67" s="582"/>
      <c r="H67" s="582"/>
      <c r="I67" s="582"/>
      <c r="J67" s="582"/>
      <c r="K67" s="582"/>
    </row>
    <row r="68" spans="1:11">
      <c r="A68" s="596" t="s">
        <v>692</v>
      </c>
      <c r="B68" s="582"/>
      <c r="C68" s="582"/>
      <c r="D68" s="582"/>
      <c r="E68" s="582"/>
      <c r="F68" s="582"/>
      <c r="G68" s="582"/>
      <c r="H68" s="582"/>
      <c r="I68" s="582"/>
      <c r="J68" s="582"/>
      <c r="K68" s="582"/>
    </row>
    <row r="69" spans="1:11">
      <c r="A69" s="596" t="s">
        <v>486</v>
      </c>
      <c r="B69" s="582"/>
      <c r="C69" s="582"/>
      <c r="D69" s="582"/>
      <c r="E69" s="582"/>
      <c r="F69" s="582"/>
      <c r="G69" s="582"/>
      <c r="H69" s="582"/>
      <c r="I69" s="582"/>
      <c r="J69" s="582"/>
      <c r="K69" s="582"/>
    </row>
    <row r="70" spans="1:11">
      <c r="A70" s="596" t="s">
        <v>607</v>
      </c>
      <c r="B70" s="582"/>
      <c r="C70" s="582"/>
      <c r="D70" s="582"/>
      <c r="E70" s="582"/>
      <c r="F70" s="582"/>
      <c r="G70" s="582"/>
      <c r="H70" s="582"/>
      <c r="I70" s="582"/>
      <c r="J70" s="582"/>
      <c r="K70" s="582"/>
    </row>
    <row r="71" spans="1:11">
      <c r="A71" s="596" t="s">
        <v>608</v>
      </c>
      <c r="B71" s="582"/>
      <c r="C71" s="582"/>
      <c r="D71" s="582"/>
      <c r="E71" s="582"/>
      <c r="F71" s="582"/>
      <c r="G71" s="582"/>
      <c r="H71" s="582"/>
      <c r="I71" s="582"/>
      <c r="J71" s="582"/>
      <c r="K71" s="582"/>
    </row>
    <row r="72" spans="1:11">
      <c r="A72" s="596" t="s">
        <v>609</v>
      </c>
      <c r="B72" s="582"/>
      <c r="C72" s="582"/>
      <c r="D72" s="582"/>
      <c r="E72" s="582"/>
      <c r="F72" s="582"/>
      <c r="G72" s="582"/>
      <c r="H72" s="582"/>
      <c r="I72" s="582"/>
      <c r="J72" s="582"/>
      <c r="K72" s="582"/>
    </row>
    <row r="73" spans="1:11">
      <c r="A73" s="596" t="s">
        <v>610</v>
      </c>
      <c r="B73" s="582"/>
      <c r="C73" s="582"/>
      <c r="D73" s="582"/>
      <c r="E73" s="582"/>
      <c r="F73" s="582"/>
      <c r="G73" s="582"/>
      <c r="H73" s="582"/>
      <c r="I73" s="582"/>
      <c r="J73" s="582"/>
      <c r="K73" s="582"/>
    </row>
    <row r="74" spans="1:11">
      <c r="A74" s="596" t="s">
        <v>611</v>
      </c>
      <c r="B74" s="582"/>
      <c r="C74" s="582"/>
      <c r="D74" s="582"/>
      <c r="E74" s="582"/>
      <c r="F74" s="582"/>
      <c r="G74" s="582"/>
      <c r="H74" s="582"/>
      <c r="I74" s="582"/>
      <c r="J74" s="582"/>
      <c r="K74" s="582"/>
    </row>
    <row r="75" spans="1:11">
      <c r="A75" s="596" t="s">
        <v>612</v>
      </c>
      <c r="B75" s="582"/>
      <c r="C75" s="582"/>
      <c r="D75" s="582"/>
      <c r="E75" s="582"/>
      <c r="F75" s="582"/>
      <c r="G75" s="582"/>
      <c r="H75" s="582"/>
      <c r="I75" s="582"/>
      <c r="J75" s="582"/>
      <c r="K75" s="582"/>
    </row>
    <row r="76" spans="1:11">
      <c r="A76" s="596" t="s">
        <v>492</v>
      </c>
      <c r="B76" s="582"/>
      <c r="C76" s="582"/>
      <c r="D76" s="582"/>
      <c r="E76" s="582"/>
      <c r="F76" s="582"/>
      <c r="G76" s="582"/>
      <c r="H76" s="582"/>
      <c r="I76" s="582"/>
      <c r="J76" s="582"/>
      <c r="K76" s="582"/>
    </row>
    <row r="77" spans="1:11">
      <c r="A77" s="596" t="s">
        <v>493</v>
      </c>
      <c r="B77" s="582"/>
      <c r="C77" s="582"/>
      <c r="D77" s="582"/>
      <c r="E77" s="582"/>
      <c r="F77" s="582"/>
      <c r="G77" s="582"/>
      <c r="H77" s="582"/>
      <c r="I77" s="582"/>
      <c r="J77" s="582"/>
      <c r="K77" s="582"/>
    </row>
  </sheetData>
  <pageMargins left="0.70866141732283472" right="0.70866141732283472" top="0.74803149606299213" bottom="0.74803149606299213" header="0.31496062992125984" footer="0.31496062992125984"/>
  <pageSetup paperSize="9" scale="69" orientation="portrait" r:id="rId1"/>
  <headerFooter>
    <oddHeader>&amp;R&amp;"Arial,Bold"&amp;14PERSONAL AND CROSS - MODAL TRAVEL</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6"/>
  <sheetViews>
    <sheetView topLeftCell="A28" zoomScale="75" zoomScaleNormal="75" workbookViewId="0"/>
  </sheetViews>
  <sheetFormatPr defaultRowHeight="15"/>
  <cols>
    <col min="1" max="1" width="2.28515625" style="88" customWidth="1"/>
    <col min="2" max="2" width="6" style="88" customWidth="1"/>
    <col min="3" max="3" width="31.28515625" style="88" customWidth="1"/>
    <col min="4" max="5" width="9.5703125" style="88" hidden="1" customWidth="1"/>
    <col min="6" max="10" width="9.7109375" style="88" hidden="1" customWidth="1"/>
    <col min="11" max="13" width="11.7109375" style="88" hidden="1" customWidth="1"/>
    <col min="14" max="18" width="11.7109375" style="88" customWidth="1"/>
    <col min="19" max="21" width="11.7109375" style="81" customWidth="1"/>
    <col min="22" max="22" width="12.42578125" style="88" customWidth="1"/>
    <col min="23" max="23" width="11.85546875" style="88" customWidth="1"/>
    <col min="24" max="24" width="11.7109375" style="88" customWidth="1"/>
    <col min="25" max="25" width="12.7109375" style="88" customWidth="1"/>
    <col min="26" max="16384" width="9.140625" style="88"/>
  </cols>
  <sheetData>
    <row r="1" spans="1:24" s="9" customFormat="1" ht="16.5">
      <c r="A1" s="338" t="s">
        <v>436</v>
      </c>
      <c r="B1" s="12"/>
      <c r="C1" s="12"/>
      <c r="D1" s="12"/>
      <c r="E1" s="12"/>
      <c r="F1" s="12"/>
      <c r="G1" s="12"/>
      <c r="H1" s="12"/>
      <c r="I1" s="12"/>
      <c r="J1" s="12"/>
      <c r="K1" s="12"/>
      <c r="L1" s="12"/>
      <c r="M1" s="12"/>
      <c r="N1" s="12"/>
      <c r="O1" s="12"/>
      <c r="P1" s="12"/>
      <c r="Q1" s="12"/>
      <c r="R1" s="12"/>
      <c r="S1" s="61"/>
      <c r="T1" s="61"/>
      <c r="U1" s="61"/>
    </row>
    <row r="2" spans="1:24">
      <c r="A2" s="85"/>
      <c r="B2" s="85"/>
      <c r="C2" s="85" t="s">
        <v>123</v>
      </c>
      <c r="D2" s="85"/>
      <c r="E2" s="85"/>
      <c r="F2" s="85"/>
      <c r="G2" s="85"/>
      <c r="H2" s="85"/>
      <c r="I2" s="85"/>
      <c r="J2" s="85"/>
      <c r="K2" s="85"/>
      <c r="L2" s="85"/>
      <c r="M2" s="85"/>
      <c r="N2" s="85"/>
      <c r="O2" s="85"/>
      <c r="P2" s="85"/>
      <c r="Q2" s="85"/>
      <c r="R2" s="85"/>
      <c r="S2" s="178"/>
      <c r="T2" s="178"/>
      <c r="U2" s="178"/>
    </row>
    <row r="3" spans="1:24" ht="21" customHeight="1">
      <c r="A3" s="278"/>
      <c r="B3" s="278"/>
      <c r="C3" s="278"/>
      <c r="D3" s="476" t="s">
        <v>535</v>
      </c>
      <c r="E3" s="476" t="s">
        <v>465</v>
      </c>
      <c r="F3" s="279" t="s">
        <v>465</v>
      </c>
      <c r="G3" s="279" t="s">
        <v>466</v>
      </c>
      <c r="H3" s="279" t="s">
        <v>467</v>
      </c>
      <c r="I3" s="279" t="s">
        <v>468</v>
      </c>
      <c r="J3" s="279" t="s">
        <v>469</v>
      </c>
      <c r="K3" s="279" t="s">
        <v>209</v>
      </c>
      <c r="L3" s="280" t="s">
        <v>208</v>
      </c>
      <c r="M3" s="280" t="s">
        <v>207</v>
      </c>
      <c r="N3" s="280" t="s">
        <v>241</v>
      </c>
      <c r="O3" s="280" t="s">
        <v>255</v>
      </c>
      <c r="P3" s="280" t="s">
        <v>284</v>
      </c>
      <c r="Q3" s="280" t="s">
        <v>305</v>
      </c>
      <c r="R3" s="280" t="s">
        <v>315</v>
      </c>
      <c r="S3" s="280" t="s">
        <v>403</v>
      </c>
      <c r="T3" s="280" t="s">
        <v>417</v>
      </c>
      <c r="U3" s="280" t="s">
        <v>470</v>
      </c>
      <c r="V3" s="280" t="s">
        <v>472</v>
      </c>
      <c r="W3" s="342" t="s">
        <v>542</v>
      </c>
      <c r="X3" s="342" t="s">
        <v>586</v>
      </c>
    </row>
    <row r="4" spans="1:24" s="179" customFormat="1" ht="12.75">
      <c r="A4" s="1"/>
      <c r="B4" s="1"/>
      <c r="C4" s="1"/>
      <c r="D4" s="1"/>
      <c r="E4" s="1"/>
      <c r="F4" s="1"/>
      <c r="G4" s="1"/>
      <c r="H4" s="1"/>
      <c r="I4" s="1"/>
      <c r="J4" s="1"/>
      <c r="L4" s="201"/>
      <c r="N4" s="201"/>
      <c r="O4" s="281"/>
      <c r="P4" s="281"/>
      <c r="Q4" s="96"/>
      <c r="R4" s="281"/>
      <c r="S4" s="281"/>
      <c r="T4" s="281"/>
      <c r="U4" s="281"/>
      <c r="V4" s="281"/>
      <c r="X4" s="281" t="s">
        <v>206</v>
      </c>
    </row>
    <row r="5" spans="1:24" ht="18.75">
      <c r="A5" s="263" t="s">
        <v>273</v>
      </c>
      <c r="B5" s="85"/>
      <c r="C5" s="275" t="s">
        <v>437</v>
      </c>
      <c r="D5" s="275"/>
      <c r="E5" s="275"/>
      <c r="F5" s="275"/>
      <c r="G5" s="275"/>
      <c r="H5" s="275"/>
      <c r="I5" s="275"/>
      <c r="J5" s="275"/>
      <c r="L5" s="261"/>
      <c r="N5" s="261"/>
      <c r="O5" s="262"/>
      <c r="P5" s="262"/>
      <c r="Q5" s="81"/>
      <c r="R5" s="262"/>
      <c r="S5" s="262"/>
      <c r="T5" s="262"/>
      <c r="U5" s="262"/>
    </row>
    <row r="6" spans="1:24" ht="6.75" customHeight="1">
      <c r="A6" s="85"/>
      <c r="B6" s="85"/>
      <c r="C6" s="85"/>
      <c r="D6" s="85"/>
      <c r="E6" s="85"/>
      <c r="F6" s="85"/>
      <c r="G6" s="85"/>
      <c r="H6" s="85"/>
      <c r="I6" s="85"/>
      <c r="J6" s="85"/>
      <c r="L6" s="261"/>
      <c r="N6" s="261"/>
      <c r="O6" s="262"/>
      <c r="P6" s="262"/>
      <c r="Q6" s="262"/>
      <c r="S6" s="88"/>
      <c r="T6" s="88"/>
      <c r="U6" s="88"/>
    </row>
    <row r="7" spans="1:24" ht="15.75">
      <c r="A7" s="174" t="s">
        <v>438</v>
      </c>
      <c r="B7" s="85"/>
      <c r="C7" s="85"/>
      <c r="D7" s="85"/>
      <c r="E7" s="85"/>
      <c r="F7" s="85"/>
      <c r="G7" s="85"/>
      <c r="H7" s="85"/>
      <c r="I7" s="85"/>
      <c r="J7" s="85"/>
      <c r="K7" s="94"/>
      <c r="L7" s="94"/>
      <c r="M7" s="94"/>
      <c r="N7" s="94"/>
      <c r="O7" s="94"/>
      <c r="P7" s="94"/>
      <c r="Q7" s="94"/>
      <c r="S7" s="88"/>
      <c r="T7" s="88"/>
      <c r="U7" s="88"/>
    </row>
    <row r="8" spans="1:24">
      <c r="A8" s="85"/>
      <c r="B8" s="85"/>
      <c r="C8" s="85"/>
      <c r="D8" s="85"/>
      <c r="E8" s="85"/>
      <c r="F8" s="85"/>
      <c r="G8" s="85"/>
      <c r="H8" s="85"/>
      <c r="I8" s="85"/>
      <c r="J8" s="85"/>
      <c r="K8" s="94"/>
      <c r="L8" s="94"/>
      <c r="M8" s="94"/>
      <c r="N8" s="94"/>
      <c r="O8" s="94"/>
      <c r="P8" s="94"/>
      <c r="Q8" s="94"/>
      <c r="S8" s="88"/>
      <c r="T8" s="88"/>
      <c r="U8" s="88"/>
    </row>
    <row r="9" spans="1:24" ht="18">
      <c r="B9" s="264" t="s">
        <v>435</v>
      </c>
      <c r="C9" s="175"/>
      <c r="D9" s="175">
        <v>67.5</v>
      </c>
      <c r="E9" s="175">
        <v>66.64</v>
      </c>
      <c r="F9" s="321">
        <v>64.052729999999997</v>
      </c>
      <c r="G9" s="321">
        <v>58.219016000000003</v>
      </c>
      <c r="H9" s="321">
        <v>57.191471</v>
      </c>
      <c r="I9" s="321">
        <v>56.269300000000001</v>
      </c>
      <c r="J9" s="321">
        <v>54.059483</v>
      </c>
      <c r="K9" s="321">
        <v>53.905943999999998</v>
      </c>
      <c r="L9" s="321">
        <v>53.278050999999998</v>
      </c>
      <c r="M9" s="321">
        <v>59.948582999999999</v>
      </c>
      <c r="N9" s="321">
        <v>74.766677999999999</v>
      </c>
      <c r="O9" s="321">
        <v>77.080630999999997</v>
      </c>
      <c r="P9" s="321">
        <v>78.3</v>
      </c>
      <c r="Q9" s="359" t="s">
        <v>434</v>
      </c>
      <c r="R9" s="359" t="s">
        <v>434</v>
      </c>
      <c r="S9" s="359" t="s">
        <v>434</v>
      </c>
      <c r="T9" s="359" t="s">
        <v>434</v>
      </c>
      <c r="U9" s="359" t="s">
        <v>434</v>
      </c>
      <c r="V9" s="359" t="s">
        <v>434</v>
      </c>
      <c r="W9" s="359" t="s">
        <v>434</v>
      </c>
    </row>
    <row r="10" spans="1:24">
      <c r="B10" s="264" t="s">
        <v>204</v>
      </c>
      <c r="C10" s="175"/>
      <c r="D10" s="175">
        <v>3.14</v>
      </c>
      <c r="E10" s="175">
        <v>2.94</v>
      </c>
      <c r="F10" s="321">
        <v>2.9832649999999998</v>
      </c>
      <c r="G10" s="321">
        <v>2.9707669999999999</v>
      </c>
      <c r="H10" s="321">
        <v>3.0668989999999998</v>
      </c>
      <c r="I10" s="321">
        <v>3.064781</v>
      </c>
      <c r="J10" s="321">
        <v>3.0098020000000001</v>
      </c>
      <c r="K10" s="321">
        <v>2.7944429999999998</v>
      </c>
      <c r="L10" s="321">
        <v>2.5941640000000001</v>
      </c>
      <c r="M10" s="321">
        <v>2.3092830000000002</v>
      </c>
      <c r="N10" s="321">
        <v>2.387613</v>
      </c>
      <c r="O10" s="321">
        <v>2.6113689999999998</v>
      </c>
      <c r="P10" s="321">
        <v>2.87</v>
      </c>
      <c r="Q10" s="321">
        <v>2.97</v>
      </c>
      <c r="R10" s="321">
        <v>3.0529999999999999</v>
      </c>
      <c r="S10" s="321">
        <v>3.18</v>
      </c>
      <c r="T10" s="321">
        <v>3.25</v>
      </c>
      <c r="U10" s="321">
        <v>3.29</v>
      </c>
      <c r="V10" s="321">
        <v>3.3650000000000002</v>
      </c>
      <c r="W10" s="88">
        <v>3.19</v>
      </c>
      <c r="X10" s="88">
        <v>3.17</v>
      </c>
    </row>
    <row r="11" spans="1:24">
      <c r="B11" s="264" t="s">
        <v>203</v>
      </c>
      <c r="C11" s="175"/>
      <c r="D11" s="175">
        <v>0.75</v>
      </c>
      <c r="E11" s="175">
        <v>0.76</v>
      </c>
      <c r="F11" s="321">
        <v>0.73784499999999997</v>
      </c>
      <c r="G11" s="321">
        <v>0.69711100000000004</v>
      </c>
      <c r="H11" s="321">
        <v>0.72098399999999996</v>
      </c>
      <c r="I11" s="321">
        <v>0.75457799999999997</v>
      </c>
      <c r="J11" s="321">
        <v>0.78042400000000001</v>
      </c>
      <c r="K11" s="321">
        <v>0.76950399999999997</v>
      </c>
      <c r="L11" s="321">
        <v>0.738483</v>
      </c>
      <c r="M11" s="321">
        <v>0.65099600000000002</v>
      </c>
      <c r="N11" s="321">
        <v>0.67143900000000001</v>
      </c>
      <c r="O11" s="321">
        <v>0.69954700000000003</v>
      </c>
      <c r="P11" s="321">
        <v>0.68</v>
      </c>
      <c r="Q11" s="321">
        <v>0.73</v>
      </c>
      <c r="R11" s="321">
        <v>0.76</v>
      </c>
      <c r="S11" s="321">
        <v>0.79</v>
      </c>
      <c r="T11" s="321">
        <v>0.81</v>
      </c>
      <c r="U11" s="321">
        <v>0.77</v>
      </c>
      <c r="V11" s="321">
        <v>0.71322399999999997</v>
      </c>
      <c r="W11" s="496">
        <v>0.7</v>
      </c>
      <c r="X11" s="496">
        <v>0.77</v>
      </c>
    </row>
    <row r="12" spans="1:24">
      <c r="B12" s="264" t="s">
        <v>202</v>
      </c>
      <c r="C12" s="175"/>
      <c r="D12" s="175">
        <v>0.28999999999999998</v>
      </c>
      <c r="E12" s="175">
        <v>0.31</v>
      </c>
      <c r="F12" s="321">
        <v>0.31904900000000003</v>
      </c>
      <c r="G12" s="321">
        <v>0.331762</v>
      </c>
      <c r="H12" s="321">
        <v>0.34822199999999998</v>
      </c>
      <c r="I12" s="321">
        <v>0.36064800000000002</v>
      </c>
      <c r="J12" s="321">
        <v>0.37862000000000001</v>
      </c>
      <c r="K12" s="321">
        <v>0.39049299999999998</v>
      </c>
      <c r="L12" s="321">
        <v>0.41254999999999997</v>
      </c>
      <c r="M12" s="321">
        <v>0.43279699999999999</v>
      </c>
      <c r="N12" s="321">
        <v>0.53028799999999998</v>
      </c>
      <c r="O12" s="321">
        <v>0.57632499999999998</v>
      </c>
      <c r="P12" s="321">
        <v>0.54</v>
      </c>
      <c r="Q12" s="321">
        <v>0.65</v>
      </c>
      <c r="R12" s="321">
        <v>0.69</v>
      </c>
      <c r="S12" s="321">
        <v>0.70299999999999996</v>
      </c>
      <c r="T12" s="321">
        <v>0.71</v>
      </c>
      <c r="U12" s="321">
        <v>0.68</v>
      </c>
      <c r="V12" s="321">
        <v>0.634579</v>
      </c>
      <c r="W12" s="88">
        <v>0.65</v>
      </c>
      <c r="X12" s="88">
        <v>0.64</v>
      </c>
    </row>
    <row r="13" spans="1:24">
      <c r="B13" s="264" t="s">
        <v>201</v>
      </c>
      <c r="C13" s="175"/>
      <c r="D13" s="477">
        <v>0</v>
      </c>
      <c r="E13" s="477">
        <v>0</v>
      </c>
      <c r="F13" s="321">
        <v>0</v>
      </c>
      <c r="G13" s="321">
        <v>0</v>
      </c>
      <c r="H13" s="321">
        <v>0</v>
      </c>
      <c r="I13" s="321">
        <v>0</v>
      </c>
      <c r="J13" s="321">
        <v>0</v>
      </c>
      <c r="K13" s="321">
        <v>0</v>
      </c>
      <c r="L13" s="321">
        <v>0</v>
      </c>
      <c r="M13" s="321">
        <v>0</v>
      </c>
      <c r="N13" s="321">
        <v>0</v>
      </c>
      <c r="O13" s="321">
        <v>0</v>
      </c>
      <c r="P13" s="321">
        <v>0</v>
      </c>
      <c r="Q13" s="321">
        <v>0</v>
      </c>
      <c r="R13" s="321">
        <v>0</v>
      </c>
      <c r="S13" s="321">
        <v>0</v>
      </c>
      <c r="T13" s="321">
        <v>0</v>
      </c>
      <c r="U13" s="321">
        <v>0</v>
      </c>
      <c r="V13" s="321">
        <v>0</v>
      </c>
      <c r="W13" s="321">
        <v>0</v>
      </c>
      <c r="X13" s="321">
        <v>0</v>
      </c>
    </row>
    <row r="14" spans="1:24">
      <c r="B14" s="264" t="s">
        <v>200</v>
      </c>
      <c r="C14" s="175"/>
      <c r="D14" s="477">
        <v>0</v>
      </c>
      <c r="E14" s="477">
        <v>0</v>
      </c>
      <c r="F14" s="321">
        <v>0</v>
      </c>
      <c r="G14" s="321">
        <v>0</v>
      </c>
      <c r="H14" s="321">
        <v>0</v>
      </c>
      <c r="I14" s="321">
        <v>0</v>
      </c>
      <c r="J14" s="321">
        <v>0</v>
      </c>
      <c r="K14" s="321">
        <v>0</v>
      </c>
      <c r="L14" s="321">
        <v>0</v>
      </c>
      <c r="M14" s="321">
        <v>0</v>
      </c>
      <c r="N14" s="321">
        <v>0</v>
      </c>
      <c r="O14" s="321">
        <v>0</v>
      </c>
      <c r="P14" s="321">
        <v>0</v>
      </c>
      <c r="Q14" s="321">
        <v>0</v>
      </c>
      <c r="R14" s="321">
        <v>0</v>
      </c>
      <c r="S14" s="321">
        <v>0</v>
      </c>
      <c r="T14" s="321">
        <v>0</v>
      </c>
      <c r="U14" s="321">
        <v>0</v>
      </c>
      <c r="V14" s="321">
        <v>0</v>
      </c>
      <c r="W14" s="321">
        <v>0</v>
      </c>
      <c r="X14" s="321">
        <v>0</v>
      </c>
    </row>
    <row r="15" spans="1:24">
      <c r="B15" s="264" t="s">
        <v>39</v>
      </c>
      <c r="C15" s="175"/>
      <c r="D15" s="267">
        <f t="shared" ref="D15:J15" si="0">SUM(D9:D14)</f>
        <v>71.680000000000007</v>
      </c>
      <c r="E15" s="267">
        <f t="shared" si="0"/>
        <v>70.650000000000006</v>
      </c>
      <c r="F15" s="267">
        <f t="shared" si="0"/>
        <v>68.092889</v>
      </c>
      <c r="G15" s="267">
        <f t="shared" si="0"/>
        <v>62.218656000000003</v>
      </c>
      <c r="H15" s="267">
        <f t="shared" si="0"/>
        <v>61.327576000000001</v>
      </c>
      <c r="I15" s="267">
        <f t="shared" si="0"/>
        <v>60.449306999999997</v>
      </c>
      <c r="J15" s="267">
        <f t="shared" si="0"/>
        <v>58.228329000000002</v>
      </c>
      <c r="K15" s="267">
        <f t="shared" ref="K15:X15" si="1">SUM(K9:K14)</f>
        <v>57.860383999999996</v>
      </c>
      <c r="L15" s="267">
        <f t="shared" si="1"/>
        <v>57.023248000000002</v>
      </c>
      <c r="M15" s="267">
        <f t="shared" si="1"/>
        <v>63.341659</v>
      </c>
      <c r="N15" s="267">
        <f t="shared" si="1"/>
        <v>78.356018000000006</v>
      </c>
      <c r="O15" s="267">
        <f t="shared" si="1"/>
        <v>80.967871999999986</v>
      </c>
      <c r="P15" s="267">
        <f t="shared" si="1"/>
        <v>82.390000000000015</v>
      </c>
      <c r="Q15" s="271">
        <f t="shared" si="1"/>
        <v>4.3500000000000005</v>
      </c>
      <c r="R15" s="267">
        <f t="shared" si="1"/>
        <v>4.5030000000000001</v>
      </c>
      <c r="S15" s="267">
        <f t="shared" si="1"/>
        <v>4.673</v>
      </c>
      <c r="T15" s="267">
        <f t="shared" si="1"/>
        <v>4.7700000000000005</v>
      </c>
      <c r="U15" s="267">
        <f t="shared" si="1"/>
        <v>4.74</v>
      </c>
      <c r="V15" s="267">
        <f t="shared" si="1"/>
        <v>4.712803000000001</v>
      </c>
      <c r="W15" s="267">
        <f t="shared" si="1"/>
        <v>4.54</v>
      </c>
      <c r="X15" s="267">
        <f t="shared" si="1"/>
        <v>4.58</v>
      </c>
    </row>
    <row r="16" spans="1:24">
      <c r="C16" s="175"/>
      <c r="D16" s="175"/>
      <c r="E16" s="175"/>
      <c r="F16" s="175"/>
      <c r="G16" s="175"/>
      <c r="H16" s="175"/>
      <c r="I16" s="175"/>
      <c r="J16" s="175"/>
      <c r="K16" s="176"/>
      <c r="L16" s="176"/>
      <c r="M16" s="176"/>
      <c r="N16" s="176"/>
      <c r="O16" s="176"/>
      <c r="P16" s="176"/>
      <c r="Q16" s="176"/>
      <c r="S16" s="88"/>
      <c r="T16" s="88"/>
      <c r="U16" s="88"/>
    </row>
    <row r="17" spans="1:24" ht="18.75">
      <c r="A17" s="276" t="s">
        <v>440</v>
      </c>
      <c r="B17" s="175"/>
      <c r="C17" s="175"/>
      <c r="D17" s="175"/>
      <c r="E17" s="175"/>
      <c r="F17" s="175"/>
      <c r="G17" s="175"/>
      <c r="H17" s="175"/>
      <c r="I17" s="175"/>
      <c r="J17" s="175"/>
      <c r="K17" s="176"/>
      <c r="L17" s="176"/>
      <c r="M17" s="176"/>
      <c r="N17" s="176"/>
      <c r="O17" s="176"/>
      <c r="P17" s="176"/>
      <c r="Q17" s="176"/>
      <c r="S17" s="88"/>
      <c r="T17" s="88"/>
      <c r="U17" s="88"/>
    </row>
    <row r="18" spans="1:24" ht="18">
      <c r="A18" s="175"/>
      <c r="B18" s="264" t="s">
        <v>451</v>
      </c>
      <c r="C18" s="175"/>
      <c r="D18" s="175"/>
      <c r="E18" s="175"/>
      <c r="F18" s="268" t="s">
        <v>130</v>
      </c>
      <c r="G18" s="268" t="s">
        <v>130</v>
      </c>
      <c r="H18" s="268" t="s">
        <v>130</v>
      </c>
      <c r="I18" s="268" t="s">
        <v>130</v>
      </c>
      <c r="J18" s="268" t="s">
        <v>130</v>
      </c>
      <c r="K18" s="268" t="s">
        <v>130</v>
      </c>
      <c r="L18" s="265">
        <v>49.366733000000004</v>
      </c>
      <c r="M18" s="265">
        <v>54.944232</v>
      </c>
      <c r="N18" s="265">
        <v>65.450497999999996</v>
      </c>
      <c r="O18" s="265">
        <v>68.312797000000003</v>
      </c>
      <c r="P18" s="266">
        <v>69.05</v>
      </c>
      <c r="Q18" s="269">
        <v>155.74</v>
      </c>
      <c r="R18" s="270">
        <v>159.19999999999999</v>
      </c>
      <c r="S18" s="310">
        <v>157.6</v>
      </c>
      <c r="T18" s="321">
        <v>151.65</v>
      </c>
      <c r="U18" s="321">
        <v>147.36000000000001</v>
      </c>
      <c r="V18" s="81">
        <v>149.63999999999999</v>
      </c>
      <c r="W18" s="88">
        <v>145.9</v>
      </c>
      <c r="X18" s="88">
        <v>147.22999999999999</v>
      </c>
    </row>
    <row r="19" spans="1:24">
      <c r="A19" s="175"/>
      <c r="B19" s="264" t="s">
        <v>204</v>
      </c>
      <c r="C19" s="175"/>
      <c r="D19" s="175"/>
      <c r="E19" s="175"/>
      <c r="F19" s="268" t="s">
        <v>130</v>
      </c>
      <c r="G19" s="268" t="s">
        <v>130</v>
      </c>
      <c r="H19" s="268" t="s">
        <v>130</v>
      </c>
      <c r="I19" s="268" t="s">
        <v>130</v>
      </c>
      <c r="J19" s="268" t="s">
        <v>130</v>
      </c>
      <c r="K19" s="268" t="s">
        <v>130</v>
      </c>
      <c r="L19" s="265">
        <v>0.60084599999999999</v>
      </c>
      <c r="M19" s="265">
        <v>0.54177200000000003</v>
      </c>
      <c r="N19" s="265">
        <v>0.65618200000000004</v>
      </c>
      <c r="O19" s="265">
        <v>0.78622999999999998</v>
      </c>
      <c r="P19" s="266">
        <v>0.81</v>
      </c>
      <c r="Q19" s="266">
        <v>0.01</v>
      </c>
      <c r="R19" s="266">
        <v>0.21</v>
      </c>
      <c r="S19" s="311">
        <v>0.31</v>
      </c>
      <c r="T19" s="321">
        <v>0.42</v>
      </c>
      <c r="U19" s="321">
        <v>0.46</v>
      </c>
      <c r="V19" s="81">
        <v>0.88</v>
      </c>
      <c r="W19" s="88">
        <v>1.25</v>
      </c>
      <c r="X19" s="88">
        <v>1.46</v>
      </c>
    </row>
    <row r="20" spans="1:24">
      <c r="A20" s="175"/>
      <c r="B20" s="264" t="s">
        <v>203</v>
      </c>
      <c r="C20" s="175"/>
      <c r="D20" s="175"/>
      <c r="E20" s="175"/>
      <c r="F20" s="268" t="s">
        <v>130</v>
      </c>
      <c r="G20" s="268" t="s">
        <v>130</v>
      </c>
      <c r="H20" s="268" t="s">
        <v>130</v>
      </c>
      <c r="I20" s="268" t="s">
        <v>130</v>
      </c>
      <c r="J20" s="268" t="s">
        <v>130</v>
      </c>
      <c r="K20" s="268" t="s">
        <v>130</v>
      </c>
      <c r="L20" s="265">
        <v>0</v>
      </c>
      <c r="M20" s="265">
        <v>0</v>
      </c>
      <c r="N20" s="265">
        <v>0</v>
      </c>
      <c r="O20" s="265">
        <v>0</v>
      </c>
      <c r="P20" s="266">
        <v>0</v>
      </c>
      <c r="Q20" s="266">
        <v>0</v>
      </c>
      <c r="R20" s="266">
        <v>0</v>
      </c>
      <c r="S20" s="311">
        <v>0</v>
      </c>
      <c r="T20" s="321">
        <v>0</v>
      </c>
      <c r="U20" s="321">
        <v>0</v>
      </c>
      <c r="V20" s="81">
        <v>0</v>
      </c>
      <c r="W20" s="81">
        <v>0</v>
      </c>
      <c r="X20" s="81">
        <v>0</v>
      </c>
    </row>
    <row r="21" spans="1:24" ht="18">
      <c r="A21" s="175"/>
      <c r="B21" s="264" t="s">
        <v>443</v>
      </c>
      <c r="C21" s="175"/>
      <c r="D21" s="175"/>
      <c r="E21" s="175"/>
      <c r="F21" s="268" t="s">
        <v>130</v>
      </c>
      <c r="G21" s="268" t="s">
        <v>130</v>
      </c>
      <c r="H21" s="268" t="s">
        <v>130</v>
      </c>
      <c r="I21" s="268" t="s">
        <v>130</v>
      </c>
      <c r="J21" s="268" t="s">
        <v>130</v>
      </c>
      <c r="K21" s="268" t="s">
        <v>130</v>
      </c>
      <c r="L21" s="265">
        <v>0</v>
      </c>
      <c r="M21" s="265">
        <v>0.20236899999999999</v>
      </c>
      <c r="N21" s="265">
        <v>6.4002000000000003E-2</v>
      </c>
      <c r="O21" s="265">
        <v>5.5803999999999999E-2</v>
      </c>
      <c r="P21" s="266">
        <v>0.06</v>
      </c>
      <c r="Q21" s="266">
        <v>0.03</v>
      </c>
      <c r="R21" s="266">
        <v>0.05</v>
      </c>
      <c r="S21" s="311">
        <v>0.05</v>
      </c>
      <c r="T21" s="321">
        <v>0.05</v>
      </c>
      <c r="U21" s="321">
        <v>0.05</v>
      </c>
      <c r="V21" s="81">
        <v>0.05</v>
      </c>
      <c r="W21" s="88">
        <v>0.05</v>
      </c>
      <c r="X21" s="88">
        <v>0.06</v>
      </c>
    </row>
    <row r="22" spans="1:24">
      <c r="A22" s="175"/>
      <c r="B22" s="264" t="s">
        <v>201</v>
      </c>
      <c r="C22" s="175"/>
      <c r="D22" s="175"/>
      <c r="E22" s="175"/>
      <c r="F22" s="268" t="s">
        <v>130</v>
      </c>
      <c r="G22" s="268" t="s">
        <v>130</v>
      </c>
      <c r="H22" s="268" t="s">
        <v>130</v>
      </c>
      <c r="I22" s="268" t="s">
        <v>130</v>
      </c>
      <c r="J22" s="268" t="s">
        <v>130</v>
      </c>
      <c r="K22" s="268" t="s">
        <v>130</v>
      </c>
      <c r="L22" s="265">
        <v>0.58844099999999999</v>
      </c>
      <c r="M22" s="265">
        <v>0.48668899999999998</v>
      </c>
      <c r="N22" s="265">
        <v>0.69885900000000001</v>
      </c>
      <c r="O22" s="265">
        <v>0.79310800000000004</v>
      </c>
      <c r="P22" s="266">
        <v>0.89</v>
      </c>
      <c r="Q22" s="266">
        <v>0</v>
      </c>
      <c r="R22" s="266">
        <v>0</v>
      </c>
      <c r="S22" s="311">
        <v>0</v>
      </c>
      <c r="T22" s="311">
        <v>0</v>
      </c>
      <c r="U22" s="311">
        <v>0</v>
      </c>
      <c r="V22" s="311">
        <v>0</v>
      </c>
      <c r="W22" s="311">
        <v>0</v>
      </c>
      <c r="X22" s="311">
        <v>0</v>
      </c>
    </row>
    <row r="23" spans="1:24">
      <c r="A23" s="175"/>
      <c r="B23" s="264" t="s">
        <v>200</v>
      </c>
      <c r="C23" s="175"/>
      <c r="D23" s="175"/>
      <c r="E23" s="175"/>
      <c r="F23" s="268" t="s">
        <v>130</v>
      </c>
      <c r="G23" s="268" t="s">
        <v>130</v>
      </c>
      <c r="H23" s="268" t="s">
        <v>130</v>
      </c>
      <c r="I23" s="268" t="s">
        <v>130</v>
      </c>
      <c r="J23" s="268" t="s">
        <v>130</v>
      </c>
      <c r="K23" s="268" t="s">
        <v>130</v>
      </c>
      <c r="L23" s="265">
        <v>8.0000000000000004E-4</v>
      </c>
      <c r="M23" s="265">
        <v>2.1035000000000002E-2</v>
      </c>
      <c r="N23" s="265">
        <v>3.3111000000000002E-2</v>
      </c>
      <c r="O23" s="265">
        <v>4.2117000000000002E-2</v>
      </c>
      <c r="P23" s="266">
        <v>0.05</v>
      </c>
      <c r="Q23" s="266">
        <v>0</v>
      </c>
      <c r="R23" s="266">
        <v>0</v>
      </c>
      <c r="S23" s="311">
        <v>0</v>
      </c>
      <c r="T23" s="311">
        <v>0</v>
      </c>
      <c r="U23" s="311">
        <v>0</v>
      </c>
      <c r="V23" s="311">
        <v>0</v>
      </c>
      <c r="W23" s="311">
        <v>0</v>
      </c>
      <c r="X23" s="311">
        <v>0</v>
      </c>
    </row>
    <row r="24" spans="1:24">
      <c r="A24" s="175"/>
      <c r="B24" s="264" t="s">
        <v>39</v>
      </c>
      <c r="C24" s="175"/>
      <c r="D24" s="175"/>
      <c r="E24" s="175"/>
      <c r="F24" s="268" t="s">
        <v>130</v>
      </c>
      <c r="G24" s="268" t="s">
        <v>130</v>
      </c>
      <c r="H24" s="268" t="s">
        <v>130</v>
      </c>
      <c r="I24" s="268" t="s">
        <v>130</v>
      </c>
      <c r="J24" s="268" t="s">
        <v>130</v>
      </c>
      <c r="K24" s="268" t="s">
        <v>130</v>
      </c>
      <c r="L24" s="267">
        <f t="shared" ref="L24:X24" si="2">SUM(L18:L23)</f>
        <v>50.556820000000002</v>
      </c>
      <c r="M24" s="267">
        <f t="shared" si="2"/>
        <v>56.196096999999995</v>
      </c>
      <c r="N24" s="267">
        <f t="shared" si="2"/>
        <v>66.902652000000003</v>
      </c>
      <c r="O24" s="267">
        <f t="shared" si="2"/>
        <v>69.99005600000001</v>
      </c>
      <c r="P24" s="267">
        <f t="shared" si="2"/>
        <v>70.86</v>
      </c>
      <c r="Q24" s="271">
        <f t="shared" si="2"/>
        <v>155.78</v>
      </c>
      <c r="R24" s="272">
        <f t="shared" si="2"/>
        <v>159.46</v>
      </c>
      <c r="S24" s="272">
        <f t="shared" si="2"/>
        <v>157.96</v>
      </c>
      <c r="T24" s="272">
        <f t="shared" si="2"/>
        <v>152.12</v>
      </c>
      <c r="U24" s="272">
        <f t="shared" si="2"/>
        <v>147.87000000000003</v>
      </c>
      <c r="V24" s="272">
        <f t="shared" si="2"/>
        <v>150.57</v>
      </c>
      <c r="W24" s="272">
        <f t="shared" si="2"/>
        <v>147.20000000000002</v>
      </c>
      <c r="X24" s="272">
        <f t="shared" si="2"/>
        <v>148.75</v>
      </c>
    </row>
    <row r="25" spans="1:24">
      <c r="A25" s="175"/>
      <c r="B25" s="175"/>
      <c r="C25" s="175"/>
      <c r="D25" s="175"/>
      <c r="E25" s="175"/>
      <c r="F25" s="176"/>
      <c r="G25" s="176"/>
      <c r="H25" s="176"/>
      <c r="I25" s="176"/>
      <c r="J25" s="176"/>
      <c r="K25" s="176"/>
      <c r="L25" s="176"/>
      <c r="M25" s="176"/>
      <c r="N25" s="176"/>
      <c r="O25" s="176"/>
      <c r="P25" s="176"/>
      <c r="Q25" s="176"/>
      <c r="S25" s="88"/>
      <c r="T25" s="88"/>
      <c r="U25" s="88"/>
    </row>
    <row r="26" spans="1:24" ht="18.75">
      <c r="A26" s="276" t="s">
        <v>441</v>
      </c>
      <c r="B26" s="175"/>
      <c r="C26" s="175"/>
      <c r="D26" s="175"/>
      <c r="E26" s="175"/>
      <c r="F26" s="176"/>
      <c r="G26" s="176"/>
      <c r="H26" s="176"/>
      <c r="I26" s="176"/>
      <c r="J26" s="176"/>
      <c r="K26" s="176"/>
      <c r="L26" s="176"/>
      <c r="M26" s="176"/>
      <c r="N26" s="176"/>
      <c r="O26" s="176"/>
      <c r="P26" s="176"/>
      <c r="Q26" s="176"/>
      <c r="S26" s="88"/>
      <c r="T26" s="88"/>
      <c r="U26" s="88"/>
    </row>
    <row r="27" spans="1:24" ht="18">
      <c r="A27" s="175"/>
      <c r="B27" s="264" t="s">
        <v>450</v>
      </c>
      <c r="C27" s="175"/>
      <c r="D27" s="175"/>
      <c r="E27" s="175"/>
      <c r="F27" s="268" t="s">
        <v>130</v>
      </c>
      <c r="G27" s="268" t="s">
        <v>130</v>
      </c>
      <c r="H27" s="268" t="s">
        <v>130</v>
      </c>
      <c r="I27" s="268" t="s">
        <v>130</v>
      </c>
      <c r="J27" s="268" t="s">
        <v>130</v>
      </c>
      <c r="K27" s="268" t="s">
        <v>130</v>
      </c>
      <c r="L27" s="267">
        <f>L9+L18</f>
        <v>102.644784</v>
      </c>
      <c r="M27" s="267">
        <f>M9+M18</f>
        <v>114.892815</v>
      </c>
      <c r="N27" s="267">
        <f>N9+N18</f>
        <v>140.21717599999999</v>
      </c>
      <c r="O27" s="267">
        <f>O9+O18</f>
        <v>145.393428</v>
      </c>
      <c r="P27" s="267">
        <f>P9+P18</f>
        <v>147.35</v>
      </c>
      <c r="Q27" s="267">
        <f t="shared" ref="Q27:V27" si="3">Q18</f>
        <v>155.74</v>
      </c>
      <c r="R27" s="267">
        <f t="shared" si="3"/>
        <v>159.19999999999999</v>
      </c>
      <c r="S27" s="267">
        <f t="shared" si="3"/>
        <v>157.6</v>
      </c>
      <c r="T27" s="267">
        <f t="shared" si="3"/>
        <v>151.65</v>
      </c>
      <c r="U27" s="267">
        <f t="shared" si="3"/>
        <v>147.36000000000001</v>
      </c>
      <c r="V27" s="267">
        <f t="shared" si="3"/>
        <v>149.63999999999999</v>
      </c>
      <c r="W27" s="267">
        <f>W18</f>
        <v>145.9</v>
      </c>
      <c r="X27" s="267">
        <f>X18</f>
        <v>147.22999999999999</v>
      </c>
    </row>
    <row r="28" spans="1:24">
      <c r="A28" s="273"/>
      <c r="B28" s="264" t="s">
        <v>204</v>
      </c>
      <c r="C28" s="175"/>
      <c r="D28" s="175"/>
      <c r="E28" s="175"/>
      <c r="F28" s="268" t="s">
        <v>130</v>
      </c>
      <c r="G28" s="268" t="s">
        <v>130</v>
      </c>
      <c r="H28" s="268" t="s">
        <v>130</v>
      </c>
      <c r="I28" s="268" t="s">
        <v>130</v>
      </c>
      <c r="J28" s="268" t="s">
        <v>130</v>
      </c>
      <c r="K28" s="268" t="s">
        <v>130</v>
      </c>
      <c r="L28" s="267">
        <f>L10+L19</f>
        <v>3.1950099999999999</v>
      </c>
      <c r="M28" s="267">
        <f t="shared" ref="M28:T28" si="4">M10+M19</f>
        <v>2.8510550000000001</v>
      </c>
      <c r="N28" s="267">
        <f t="shared" si="4"/>
        <v>3.0437950000000003</v>
      </c>
      <c r="O28" s="267">
        <f t="shared" si="4"/>
        <v>3.3975989999999996</v>
      </c>
      <c r="P28" s="267">
        <f t="shared" si="4"/>
        <v>3.68</v>
      </c>
      <c r="Q28" s="267">
        <f t="shared" si="4"/>
        <v>2.98</v>
      </c>
      <c r="R28" s="267">
        <f t="shared" si="4"/>
        <v>3.2629999999999999</v>
      </c>
      <c r="S28" s="267">
        <f t="shared" si="4"/>
        <v>3.49</v>
      </c>
      <c r="T28" s="267">
        <f t="shared" si="4"/>
        <v>3.67</v>
      </c>
      <c r="U28" s="267">
        <f t="shared" ref="U28:V33" si="5">U10+U19</f>
        <v>3.75</v>
      </c>
      <c r="V28" s="267">
        <f t="shared" si="5"/>
        <v>4.2450000000000001</v>
      </c>
      <c r="W28" s="267">
        <f t="shared" ref="W28:X33" si="6">W10+W19</f>
        <v>4.4399999999999995</v>
      </c>
      <c r="X28" s="267">
        <f t="shared" si="6"/>
        <v>4.63</v>
      </c>
    </row>
    <row r="29" spans="1:24">
      <c r="B29" s="264" t="s">
        <v>203</v>
      </c>
      <c r="C29" s="175"/>
      <c r="D29" s="175"/>
      <c r="E29" s="175"/>
      <c r="F29" s="268" t="s">
        <v>130</v>
      </c>
      <c r="G29" s="268" t="s">
        <v>130</v>
      </c>
      <c r="H29" s="268" t="s">
        <v>130</v>
      </c>
      <c r="I29" s="268" t="s">
        <v>130</v>
      </c>
      <c r="J29" s="268" t="s">
        <v>130</v>
      </c>
      <c r="K29" s="268" t="s">
        <v>130</v>
      </c>
      <c r="L29" s="267">
        <f>L11+L20</f>
        <v>0.738483</v>
      </c>
      <c r="M29" s="267">
        <f t="shared" ref="M29:T29" si="7">M11+M20</f>
        <v>0.65099600000000002</v>
      </c>
      <c r="N29" s="267">
        <f t="shared" si="7"/>
        <v>0.67143900000000001</v>
      </c>
      <c r="O29" s="267">
        <f t="shared" si="7"/>
        <v>0.69954700000000003</v>
      </c>
      <c r="P29" s="267">
        <f t="shared" si="7"/>
        <v>0.68</v>
      </c>
      <c r="Q29" s="267">
        <f t="shared" si="7"/>
        <v>0.73</v>
      </c>
      <c r="R29" s="267">
        <f t="shared" si="7"/>
        <v>0.76</v>
      </c>
      <c r="S29" s="267">
        <f t="shared" si="7"/>
        <v>0.79</v>
      </c>
      <c r="T29" s="267">
        <f t="shared" si="7"/>
        <v>0.81</v>
      </c>
      <c r="U29" s="267">
        <f t="shared" si="5"/>
        <v>0.77</v>
      </c>
      <c r="V29" s="267">
        <f t="shared" si="5"/>
        <v>0.71322399999999997</v>
      </c>
      <c r="W29" s="267">
        <f t="shared" si="6"/>
        <v>0.7</v>
      </c>
      <c r="X29" s="267">
        <f t="shared" si="6"/>
        <v>0.77</v>
      </c>
    </row>
    <row r="30" spans="1:24">
      <c r="B30" s="264" t="s">
        <v>202</v>
      </c>
      <c r="C30" s="175"/>
      <c r="D30" s="175"/>
      <c r="E30" s="175"/>
      <c r="F30" s="268" t="s">
        <v>130</v>
      </c>
      <c r="G30" s="268" t="s">
        <v>130</v>
      </c>
      <c r="H30" s="268" t="s">
        <v>130</v>
      </c>
      <c r="I30" s="268" t="s">
        <v>130</v>
      </c>
      <c r="J30" s="268" t="s">
        <v>130</v>
      </c>
      <c r="K30" s="268" t="s">
        <v>130</v>
      </c>
      <c r="L30" s="267">
        <f>L12+L21</f>
        <v>0.41254999999999997</v>
      </c>
      <c r="M30" s="267">
        <f t="shared" ref="M30:T30" si="8">M12+M21</f>
        <v>0.63516600000000001</v>
      </c>
      <c r="N30" s="267">
        <f t="shared" si="8"/>
        <v>0.59428999999999998</v>
      </c>
      <c r="O30" s="267">
        <f t="shared" si="8"/>
        <v>0.63212899999999994</v>
      </c>
      <c r="P30" s="267">
        <f t="shared" si="8"/>
        <v>0.60000000000000009</v>
      </c>
      <c r="Q30" s="267">
        <f t="shared" si="8"/>
        <v>0.68</v>
      </c>
      <c r="R30" s="267">
        <f t="shared" si="8"/>
        <v>0.74</v>
      </c>
      <c r="S30" s="267">
        <f t="shared" si="8"/>
        <v>0.753</v>
      </c>
      <c r="T30" s="267">
        <f t="shared" si="8"/>
        <v>0.76</v>
      </c>
      <c r="U30" s="267">
        <f t="shared" si="5"/>
        <v>0.73000000000000009</v>
      </c>
      <c r="V30" s="267">
        <f t="shared" si="5"/>
        <v>0.68457900000000005</v>
      </c>
      <c r="W30" s="267">
        <f t="shared" si="6"/>
        <v>0.70000000000000007</v>
      </c>
      <c r="X30" s="267">
        <f t="shared" si="6"/>
        <v>0.7</v>
      </c>
    </row>
    <row r="31" spans="1:24">
      <c r="B31" s="264" t="s">
        <v>201</v>
      </c>
      <c r="C31" s="175"/>
      <c r="D31" s="175"/>
      <c r="E31" s="175"/>
      <c r="F31" s="268" t="s">
        <v>130</v>
      </c>
      <c r="G31" s="268" t="s">
        <v>130</v>
      </c>
      <c r="H31" s="268" t="s">
        <v>130</v>
      </c>
      <c r="I31" s="268" t="s">
        <v>130</v>
      </c>
      <c r="J31" s="268" t="s">
        <v>130</v>
      </c>
      <c r="K31" s="268" t="s">
        <v>130</v>
      </c>
      <c r="L31" s="267">
        <f>L13+L22</f>
        <v>0.58844099999999999</v>
      </c>
      <c r="M31" s="267">
        <f t="shared" ref="M31:T31" si="9">M13+M22</f>
        <v>0.48668899999999998</v>
      </c>
      <c r="N31" s="267">
        <f t="shared" si="9"/>
        <v>0.69885900000000001</v>
      </c>
      <c r="O31" s="267">
        <f t="shared" si="9"/>
        <v>0.79310800000000004</v>
      </c>
      <c r="P31" s="267">
        <f t="shared" si="9"/>
        <v>0.89</v>
      </c>
      <c r="Q31" s="267">
        <f t="shared" si="9"/>
        <v>0</v>
      </c>
      <c r="R31" s="267">
        <f t="shared" si="9"/>
        <v>0</v>
      </c>
      <c r="S31" s="267">
        <f t="shared" si="9"/>
        <v>0</v>
      </c>
      <c r="T31" s="267">
        <f t="shared" si="9"/>
        <v>0</v>
      </c>
      <c r="U31" s="267">
        <f t="shared" si="5"/>
        <v>0</v>
      </c>
      <c r="V31" s="267">
        <f t="shared" si="5"/>
        <v>0</v>
      </c>
      <c r="W31" s="267">
        <f t="shared" si="6"/>
        <v>0</v>
      </c>
      <c r="X31" s="267">
        <f t="shared" si="6"/>
        <v>0</v>
      </c>
    </row>
    <row r="32" spans="1:24">
      <c r="B32" s="264" t="s">
        <v>200</v>
      </c>
      <c r="C32" s="175"/>
      <c r="D32" s="175"/>
      <c r="E32" s="175"/>
      <c r="F32" s="268" t="s">
        <v>130</v>
      </c>
      <c r="G32" s="268" t="s">
        <v>130</v>
      </c>
      <c r="H32" s="268" t="s">
        <v>130</v>
      </c>
      <c r="I32" s="268" t="s">
        <v>130</v>
      </c>
      <c r="J32" s="268" t="s">
        <v>130</v>
      </c>
      <c r="K32" s="268" t="s">
        <v>130</v>
      </c>
      <c r="L32" s="267">
        <f>L14+L23</f>
        <v>8.0000000000000004E-4</v>
      </c>
      <c r="M32" s="267">
        <f t="shared" ref="M32:T32" si="10">M14+M23</f>
        <v>2.1035000000000002E-2</v>
      </c>
      <c r="N32" s="267">
        <f t="shared" si="10"/>
        <v>3.3111000000000002E-2</v>
      </c>
      <c r="O32" s="267">
        <f t="shared" si="10"/>
        <v>4.2117000000000002E-2</v>
      </c>
      <c r="P32" s="267">
        <f t="shared" si="10"/>
        <v>0.05</v>
      </c>
      <c r="Q32" s="267">
        <f t="shared" si="10"/>
        <v>0</v>
      </c>
      <c r="R32" s="267">
        <f t="shared" si="10"/>
        <v>0</v>
      </c>
      <c r="S32" s="267">
        <f t="shared" si="10"/>
        <v>0</v>
      </c>
      <c r="T32" s="267">
        <f t="shared" si="10"/>
        <v>0</v>
      </c>
      <c r="U32" s="267">
        <f t="shared" si="5"/>
        <v>0</v>
      </c>
      <c r="V32" s="267">
        <f t="shared" si="5"/>
        <v>0</v>
      </c>
      <c r="W32" s="267">
        <f t="shared" si="6"/>
        <v>0</v>
      </c>
      <c r="X32" s="267">
        <f t="shared" si="6"/>
        <v>0</v>
      </c>
    </row>
    <row r="33" spans="1:24" ht="15.75">
      <c r="B33" s="106" t="s">
        <v>39</v>
      </c>
      <c r="C33" s="257"/>
      <c r="D33" s="257"/>
      <c r="E33" s="257"/>
      <c r="F33" s="360" t="s">
        <v>130</v>
      </c>
      <c r="G33" s="360" t="s">
        <v>130</v>
      </c>
      <c r="H33" s="360" t="s">
        <v>130</v>
      </c>
      <c r="I33" s="360" t="s">
        <v>130</v>
      </c>
      <c r="J33" s="360" t="s">
        <v>130</v>
      </c>
      <c r="K33" s="360" t="s">
        <v>130</v>
      </c>
      <c r="L33" s="361">
        <f t="shared" ref="L33:T33" si="11">L15+L24</f>
        <v>107.58006800000001</v>
      </c>
      <c r="M33" s="361">
        <f t="shared" si="11"/>
        <v>119.537756</v>
      </c>
      <c r="N33" s="361">
        <f t="shared" si="11"/>
        <v>145.25867</v>
      </c>
      <c r="O33" s="361">
        <f t="shared" si="11"/>
        <v>150.95792799999998</v>
      </c>
      <c r="P33" s="361">
        <f t="shared" si="11"/>
        <v>153.25</v>
      </c>
      <c r="Q33" s="361">
        <f t="shared" si="11"/>
        <v>160.13</v>
      </c>
      <c r="R33" s="361">
        <f t="shared" si="11"/>
        <v>163.96300000000002</v>
      </c>
      <c r="S33" s="361">
        <f t="shared" si="11"/>
        <v>162.63300000000001</v>
      </c>
      <c r="T33" s="361">
        <f t="shared" si="11"/>
        <v>156.89000000000001</v>
      </c>
      <c r="U33" s="361">
        <f t="shared" si="5"/>
        <v>152.61000000000004</v>
      </c>
      <c r="V33" s="361">
        <f t="shared" si="5"/>
        <v>155.282803</v>
      </c>
      <c r="W33" s="361">
        <f t="shared" si="6"/>
        <v>151.74</v>
      </c>
      <c r="X33" s="361">
        <f t="shared" si="6"/>
        <v>153.33000000000001</v>
      </c>
    </row>
    <row r="34" spans="1:24">
      <c r="B34" s="264"/>
      <c r="C34" s="175"/>
      <c r="D34" s="175"/>
      <c r="E34" s="175"/>
      <c r="F34" s="268"/>
      <c r="G34" s="268"/>
      <c r="H34" s="268"/>
      <c r="I34" s="268"/>
      <c r="J34" s="268"/>
      <c r="K34" s="268"/>
      <c r="L34" s="268"/>
      <c r="M34" s="268"/>
      <c r="N34" s="268"/>
      <c r="O34" s="267"/>
      <c r="P34" s="267"/>
      <c r="Q34" s="267"/>
      <c r="R34" s="267"/>
      <c r="S34" s="267"/>
      <c r="T34" s="267"/>
      <c r="U34" s="267"/>
    </row>
    <row r="35" spans="1:24" ht="18.75">
      <c r="A35" s="263" t="s">
        <v>274</v>
      </c>
      <c r="B35" s="85"/>
      <c r="C35" s="275" t="s">
        <v>442</v>
      </c>
      <c r="D35" s="275"/>
      <c r="E35" s="275"/>
      <c r="F35" s="268"/>
      <c r="G35" s="268"/>
      <c r="H35" s="268"/>
      <c r="I35" s="268"/>
      <c r="J35" s="268"/>
      <c r="K35" s="268"/>
      <c r="L35" s="268"/>
      <c r="M35" s="268"/>
      <c r="N35" s="268"/>
      <c r="O35" s="267"/>
      <c r="P35" s="267"/>
      <c r="Q35" s="267"/>
      <c r="R35" s="267"/>
      <c r="S35" s="267"/>
      <c r="T35" s="267"/>
      <c r="U35" s="267"/>
    </row>
    <row r="36" spans="1:24" ht="15.75">
      <c r="A36" s="174" t="s">
        <v>438</v>
      </c>
      <c r="B36" s="264"/>
      <c r="C36" s="175"/>
      <c r="D36" s="175"/>
      <c r="E36" s="175"/>
      <c r="F36" s="268"/>
      <c r="G36" s="268"/>
      <c r="H36" s="268"/>
      <c r="I36" s="268"/>
      <c r="J36" s="268"/>
      <c r="K36" s="268"/>
      <c r="L36" s="268"/>
      <c r="M36" s="268"/>
      <c r="N36" s="268"/>
      <c r="O36" s="267"/>
      <c r="P36" s="267"/>
      <c r="Q36" s="267"/>
      <c r="R36" s="267"/>
      <c r="S36" s="267"/>
      <c r="T36" s="267"/>
      <c r="U36" s="267"/>
    </row>
    <row r="37" spans="1:24" ht="18">
      <c r="B37" s="264" t="s">
        <v>435</v>
      </c>
      <c r="C37" s="175"/>
      <c r="D37" s="175"/>
      <c r="E37" s="175"/>
      <c r="F37" s="268" t="s">
        <v>130</v>
      </c>
      <c r="G37" s="268" t="s">
        <v>130</v>
      </c>
      <c r="H37" s="268" t="s">
        <v>130</v>
      </c>
      <c r="I37" s="268" t="s">
        <v>130</v>
      </c>
      <c r="J37" s="268" t="s">
        <v>130</v>
      </c>
      <c r="K37" s="268" t="s">
        <v>130</v>
      </c>
      <c r="L37" s="268" t="s">
        <v>130</v>
      </c>
      <c r="M37" s="265">
        <v>28.090782000000001</v>
      </c>
      <c r="N37" s="265">
        <v>74.766677999999999</v>
      </c>
      <c r="O37" s="265">
        <v>77.080630999999997</v>
      </c>
      <c r="P37" s="346">
        <v>78.3</v>
      </c>
      <c r="Q37" s="359" t="s">
        <v>434</v>
      </c>
      <c r="R37" s="359" t="s">
        <v>434</v>
      </c>
      <c r="S37" s="359" t="s">
        <v>434</v>
      </c>
      <c r="T37" s="359" t="s">
        <v>434</v>
      </c>
      <c r="U37" s="359" t="s">
        <v>434</v>
      </c>
      <c r="V37" s="359" t="s">
        <v>434</v>
      </c>
      <c r="W37" s="359" t="s">
        <v>434</v>
      </c>
    </row>
    <row r="38" spans="1:24">
      <c r="B38" s="264" t="s">
        <v>204</v>
      </c>
      <c r="C38" s="175"/>
      <c r="D38" s="175"/>
      <c r="E38" s="175"/>
      <c r="F38" s="268" t="s">
        <v>130</v>
      </c>
      <c r="G38" s="268" t="s">
        <v>130</v>
      </c>
      <c r="H38" s="268" t="s">
        <v>130</v>
      </c>
      <c r="I38" s="268" t="s">
        <v>130</v>
      </c>
      <c r="J38" s="268" t="s">
        <v>130</v>
      </c>
      <c r="K38" s="268" t="s">
        <v>130</v>
      </c>
      <c r="L38" s="268" t="s">
        <v>130</v>
      </c>
      <c r="M38" s="265">
        <v>0</v>
      </c>
      <c r="N38" s="265">
        <v>0</v>
      </c>
      <c r="O38" s="265">
        <v>0</v>
      </c>
      <c r="P38" s="265">
        <v>0</v>
      </c>
      <c r="Q38" s="265">
        <v>0</v>
      </c>
      <c r="R38" s="265">
        <v>0</v>
      </c>
      <c r="S38" s="265">
        <v>0</v>
      </c>
      <c r="T38" s="321">
        <v>0</v>
      </c>
      <c r="U38" s="321">
        <v>0</v>
      </c>
      <c r="V38" s="473">
        <v>0</v>
      </c>
      <c r="W38" s="473">
        <v>0</v>
      </c>
      <c r="X38" s="473">
        <v>0</v>
      </c>
    </row>
    <row r="39" spans="1:24" ht="18">
      <c r="B39" s="264" t="s">
        <v>453</v>
      </c>
      <c r="C39" s="175"/>
      <c r="D39" s="175"/>
      <c r="E39" s="175"/>
      <c r="F39" s="268" t="s">
        <v>130</v>
      </c>
      <c r="G39" s="268" t="s">
        <v>130</v>
      </c>
      <c r="H39" s="268" t="s">
        <v>130</v>
      </c>
      <c r="I39" s="268" t="s">
        <v>130</v>
      </c>
      <c r="J39" s="268" t="s">
        <v>130</v>
      </c>
      <c r="K39" s="268" t="s">
        <v>130</v>
      </c>
      <c r="L39" s="268" t="s">
        <v>130</v>
      </c>
      <c r="M39" s="265">
        <v>0.20422399999999999</v>
      </c>
      <c r="N39" s="265">
        <v>0.53028799999999998</v>
      </c>
      <c r="O39" s="265">
        <v>0.57632499999999998</v>
      </c>
      <c r="P39" s="265">
        <v>0.54</v>
      </c>
      <c r="Q39" s="265">
        <v>0.65</v>
      </c>
      <c r="R39" s="265">
        <v>0.69</v>
      </c>
      <c r="S39" s="321">
        <v>0.7</v>
      </c>
      <c r="T39" s="321">
        <v>0.71</v>
      </c>
      <c r="U39" s="321">
        <v>0</v>
      </c>
      <c r="V39" s="473">
        <v>0</v>
      </c>
      <c r="W39" s="473">
        <v>0</v>
      </c>
      <c r="X39" s="473">
        <v>0</v>
      </c>
    </row>
    <row r="40" spans="1:24">
      <c r="B40" s="264" t="s">
        <v>108</v>
      </c>
      <c r="C40" s="175"/>
      <c r="D40" s="175"/>
      <c r="E40" s="175"/>
      <c r="F40" s="268" t="s">
        <v>130</v>
      </c>
      <c r="G40" s="268" t="s">
        <v>130</v>
      </c>
      <c r="H40" s="268" t="s">
        <v>130</v>
      </c>
      <c r="I40" s="268" t="s">
        <v>130</v>
      </c>
      <c r="J40" s="268" t="s">
        <v>130</v>
      </c>
      <c r="K40" s="268" t="s">
        <v>130</v>
      </c>
      <c r="L40" s="268" t="s">
        <v>130</v>
      </c>
      <c r="M40" s="265">
        <v>0</v>
      </c>
      <c r="N40" s="265">
        <v>0</v>
      </c>
      <c r="O40" s="265">
        <v>0</v>
      </c>
      <c r="P40" s="265">
        <v>0</v>
      </c>
      <c r="Q40" s="265">
        <v>0</v>
      </c>
      <c r="R40" s="265">
        <v>0</v>
      </c>
      <c r="S40" s="265">
        <v>0</v>
      </c>
      <c r="T40" s="321">
        <v>0</v>
      </c>
      <c r="U40" s="321">
        <v>0</v>
      </c>
      <c r="V40" s="473">
        <v>0</v>
      </c>
      <c r="W40" s="473">
        <v>0</v>
      </c>
      <c r="X40" s="473">
        <v>0</v>
      </c>
    </row>
    <row r="41" spans="1:24">
      <c r="B41" s="264" t="s">
        <v>39</v>
      </c>
      <c r="C41" s="175"/>
      <c r="D41" s="175"/>
      <c r="E41" s="175"/>
      <c r="F41" s="268" t="s">
        <v>130</v>
      </c>
      <c r="G41" s="268" t="s">
        <v>130</v>
      </c>
      <c r="H41" s="268" t="s">
        <v>130</v>
      </c>
      <c r="I41" s="268" t="s">
        <v>130</v>
      </c>
      <c r="J41" s="268" t="s">
        <v>130</v>
      </c>
      <c r="K41" s="268" t="s">
        <v>130</v>
      </c>
      <c r="L41" s="268" t="s">
        <v>130</v>
      </c>
      <c r="M41" s="267">
        <f t="shared" ref="M41:X41" si="12">SUM(M37:M40)</f>
        <v>28.295006000000001</v>
      </c>
      <c r="N41" s="267">
        <f t="shared" si="12"/>
        <v>75.296965999999998</v>
      </c>
      <c r="O41" s="267">
        <f t="shared" si="12"/>
        <v>77.656955999999994</v>
      </c>
      <c r="P41" s="267">
        <f t="shared" si="12"/>
        <v>78.84</v>
      </c>
      <c r="Q41" s="271">
        <f t="shared" si="12"/>
        <v>0.65</v>
      </c>
      <c r="R41" s="272">
        <f t="shared" si="12"/>
        <v>0.69</v>
      </c>
      <c r="S41" s="272">
        <f t="shared" si="12"/>
        <v>0.7</v>
      </c>
      <c r="T41" s="272">
        <f t="shared" si="12"/>
        <v>0.71</v>
      </c>
      <c r="U41" s="272">
        <f t="shared" si="12"/>
        <v>0</v>
      </c>
      <c r="V41" s="272">
        <f t="shared" si="12"/>
        <v>0</v>
      </c>
      <c r="W41" s="272">
        <f t="shared" si="12"/>
        <v>0</v>
      </c>
      <c r="X41" s="272">
        <f t="shared" si="12"/>
        <v>0</v>
      </c>
    </row>
    <row r="42" spans="1:24" ht="6.75" customHeight="1">
      <c r="B42" s="264"/>
      <c r="C42" s="175"/>
      <c r="D42" s="175"/>
      <c r="E42" s="175"/>
      <c r="F42" s="268"/>
      <c r="G42" s="268"/>
      <c r="H42" s="268"/>
      <c r="I42" s="268"/>
      <c r="J42" s="268"/>
      <c r="K42" s="268"/>
      <c r="L42" s="268"/>
      <c r="M42" s="268"/>
      <c r="N42" s="268"/>
      <c r="O42" s="267"/>
      <c r="P42" s="267"/>
      <c r="Q42" s="267"/>
      <c r="R42" s="267"/>
      <c r="S42" s="267"/>
      <c r="T42" s="267"/>
      <c r="U42" s="267"/>
    </row>
    <row r="43" spans="1:24" ht="15.75">
      <c r="A43" s="276" t="s">
        <v>439</v>
      </c>
      <c r="B43" s="264"/>
      <c r="C43" s="175"/>
      <c r="D43" s="175"/>
      <c r="E43" s="175"/>
      <c r="F43" s="268"/>
      <c r="G43" s="268"/>
      <c r="H43" s="268"/>
      <c r="I43" s="268"/>
      <c r="J43" s="268"/>
      <c r="K43" s="268"/>
      <c r="L43" s="268"/>
      <c r="M43" s="268"/>
      <c r="N43" s="268"/>
      <c r="O43" s="267"/>
      <c r="P43" s="267"/>
      <c r="Q43" s="267"/>
      <c r="R43" s="267"/>
      <c r="S43" s="267"/>
      <c r="T43" s="267"/>
      <c r="U43" s="267"/>
    </row>
    <row r="44" spans="1:24" ht="18">
      <c r="B44" s="264" t="s">
        <v>451</v>
      </c>
      <c r="C44" s="175"/>
      <c r="D44" s="175"/>
      <c r="E44" s="175"/>
      <c r="F44" s="268" t="s">
        <v>130</v>
      </c>
      <c r="G44" s="268" t="s">
        <v>130</v>
      </c>
      <c r="H44" s="268" t="s">
        <v>130</v>
      </c>
      <c r="I44" s="268" t="s">
        <v>130</v>
      </c>
      <c r="J44" s="268" t="s">
        <v>130</v>
      </c>
      <c r="K44" s="268" t="s">
        <v>130</v>
      </c>
      <c r="L44" s="268" t="s">
        <v>130</v>
      </c>
      <c r="M44" s="268" t="s">
        <v>130</v>
      </c>
      <c r="N44" s="268" t="s">
        <v>130</v>
      </c>
      <c r="O44" s="265">
        <v>53.859326000000003</v>
      </c>
      <c r="P44" s="345">
        <v>54.32</v>
      </c>
      <c r="Q44" s="274">
        <v>155.71</v>
      </c>
      <c r="R44" s="274">
        <v>158.62</v>
      </c>
      <c r="S44" s="274">
        <v>156.57</v>
      </c>
      <c r="T44" s="274">
        <v>150.41</v>
      </c>
      <c r="U44" s="274">
        <v>145.94999999999999</v>
      </c>
      <c r="V44" s="81">
        <v>148.03</v>
      </c>
      <c r="W44" s="88">
        <v>144.4</v>
      </c>
      <c r="X44" s="88">
        <v>145.47</v>
      </c>
    </row>
    <row r="45" spans="1:24">
      <c r="B45" s="264" t="s">
        <v>204</v>
      </c>
      <c r="C45" s="175"/>
      <c r="D45" s="175"/>
      <c r="E45" s="175"/>
      <c r="F45" s="268" t="s">
        <v>130</v>
      </c>
      <c r="G45" s="268" t="s">
        <v>130</v>
      </c>
      <c r="H45" s="268" t="s">
        <v>130</v>
      </c>
      <c r="I45" s="268" t="s">
        <v>130</v>
      </c>
      <c r="J45" s="268" t="s">
        <v>130</v>
      </c>
      <c r="K45" s="268" t="s">
        <v>130</v>
      </c>
      <c r="L45" s="268" t="s">
        <v>130</v>
      </c>
      <c r="M45" s="268" t="s">
        <v>130</v>
      </c>
      <c r="N45" s="268" t="s">
        <v>130</v>
      </c>
      <c r="O45" s="265">
        <v>0.03</v>
      </c>
      <c r="P45" s="274">
        <v>0.03</v>
      </c>
      <c r="Q45" s="274">
        <v>0</v>
      </c>
      <c r="R45" s="274">
        <v>0</v>
      </c>
      <c r="S45" s="274">
        <v>0</v>
      </c>
      <c r="T45" s="274">
        <v>0</v>
      </c>
      <c r="U45" s="274">
        <v>0</v>
      </c>
      <c r="V45" s="274">
        <v>0</v>
      </c>
      <c r="W45" s="274">
        <v>0</v>
      </c>
      <c r="X45" s="274">
        <v>0</v>
      </c>
    </row>
    <row r="46" spans="1:24">
      <c r="B46" s="264" t="s">
        <v>202</v>
      </c>
      <c r="C46" s="175"/>
      <c r="D46" s="175"/>
      <c r="E46" s="175"/>
      <c r="F46" s="268" t="s">
        <v>130</v>
      </c>
      <c r="G46" s="268" t="s">
        <v>130</v>
      </c>
      <c r="H46" s="268" t="s">
        <v>130</v>
      </c>
      <c r="I46" s="268" t="s">
        <v>130</v>
      </c>
      <c r="J46" s="268" t="s">
        <v>130</v>
      </c>
      <c r="K46" s="268" t="s">
        <v>130</v>
      </c>
      <c r="L46" s="268" t="s">
        <v>130</v>
      </c>
      <c r="M46" s="268" t="s">
        <v>130</v>
      </c>
      <c r="N46" s="268" t="s">
        <v>130</v>
      </c>
      <c r="O46" s="265">
        <v>4.7403000000000001E-2</v>
      </c>
      <c r="P46" s="274">
        <v>0.05</v>
      </c>
      <c r="Q46" s="274">
        <v>0.03</v>
      </c>
      <c r="R46" s="274">
        <v>0.05</v>
      </c>
      <c r="S46" s="274">
        <v>0.05</v>
      </c>
      <c r="T46" s="274">
        <v>0.05</v>
      </c>
      <c r="U46" s="274">
        <v>0.05</v>
      </c>
      <c r="V46" s="81">
        <v>0.05</v>
      </c>
      <c r="W46" s="88">
        <v>0.05</v>
      </c>
      <c r="X46" s="88">
        <v>0.06</v>
      </c>
    </row>
    <row r="47" spans="1:24">
      <c r="B47" s="264" t="s">
        <v>108</v>
      </c>
      <c r="C47" s="175"/>
      <c r="D47" s="175"/>
      <c r="E47" s="175"/>
      <c r="F47" s="268" t="s">
        <v>130</v>
      </c>
      <c r="G47" s="268" t="s">
        <v>130</v>
      </c>
      <c r="H47" s="268" t="s">
        <v>130</v>
      </c>
      <c r="I47" s="268" t="s">
        <v>130</v>
      </c>
      <c r="J47" s="268" t="s">
        <v>130</v>
      </c>
      <c r="K47" s="268" t="s">
        <v>130</v>
      </c>
      <c r="L47" s="268" t="s">
        <v>130</v>
      </c>
      <c r="M47" s="268" t="s">
        <v>130</v>
      </c>
      <c r="N47" s="268" t="s">
        <v>130</v>
      </c>
      <c r="O47" s="265">
        <v>4.6200000000000001E-4</v>
      </c>
      <c r="P47" s="274">
        <v>0</v>
      </c>
      <c r="Q47" s="274">
        <v>0</v>
      </c>
      <c r="R47" s="274">
        <v>0</v>
      </c>
      <c r="S47" s="274">
        <v>0</v>
      </c>
      <c r="T47" s="274">
        <v>0</v>
      </c>
      <c r="U47" s="274">
        <v>0</v>
      </c>
      <c r="V47" s="274">
        <v>0</v>
      </c>
      <c r="W47" s="274">
        <v>0</v>
      </c>
      <c r="X47" s="274">
        <v>0</v>
      </c>
    </row>
    <row r="48" spans="1:24">
      <c r="B48" s="264" t="s">
        <v>39</v>
      </c>
      <c r="C48" s="175"/>
      <c r="D48" s="175"/>
      <c r="E48" s="175"/>
      <c r="F48" s="268" t="s">
        <v>130</v>
      </c>
      <c r="G48" s="268" t="s">
        <v>130</v>
      </c>
      <c r="H48" s="268" t="s">
        <v>130</v>
      </c>
      <c r="I48" s="268" t="s">
        <v>130</v>
      </c>
      <c r="J48" s="268" t="s">
        <v>130</v>
      </c>
      <c r="K48" s="268" t="s">
        <v>130</v>
      </c>
      <c r="L48" s="268" t="s">
        <v>130</v>
      </c>
      <c r="M48" s="268" t="s">
        <v>130</v>
      </c>
      <c r="N48" s="268" t="s">
        <v>130</v>
      </c>
      <c r="O48" s="267">
        <f t="shared" ref="O48:W48" si="13">SUM(O44:O47)</f>
        <v>53.937191000000006</v>
      </c>
      <c r="P48" s="267">
        <f t="shared" si="13"/>
        <v>54.4</v>
      </c>
      <c r="Q48" s="271">
        <f t="shared" si="13"/>
        <v>155.74</v>
      </c>
      <c r="R48" s="272">
        <f t="shared" si="13"/>
        <v>158.67000000000002</v>
      </c>
      <c r="S48" s="272">
        <f t="shared" si="13"/>
        <v>156.62</v>
      </c>
      <c r="T48" s="272">
        <f t="shared" si="13"/>
        <v>150.46</v>
      </c>
      <c r="U48" s="272">
        <f t="shared" si="13"/>
        <v>146</v>
      </c>
      <c r="V48" s="272">
        <f t="shared" si="13"/>
        <v>148.08000000000001</v>
      </c>
      <c r="W48" s="272">
        <f t="shared" si="13"/>
        <v>144.45000000000002</v>
      </c>
      <c r="X48" s="272">
        <v>145.53</v>
      </c>
    </row>
    <row r="49" spans="1:24" ht="6.75" customHeight="1">
      <c r="B49" s="264"/>
      <c r="C49" s="175"/>
      <c r="D49" s="175"/>
      <c r="E49" s="175"/>
      <c r="F49" s="268"/>
      <c r="G49" s="268"/>
      <c r="H49" s="268"/>
      <c r="I49" s="268"/>
      <c r="J49" s="268"/>
      <c r="K49" s="268"/>
      <c r="L49" s="268"/>
      <c r="M49" s="268"/>
      <c r="N49" s="268"/>
      <c r="O49" s="267"/>
      <c r="P49" s="267"/>
      <c r="Q49" s="267"/>
      <c r="R49" s="267"/>
      <c r="S49" s="267"/>
      <c r="T49" s="267"/>
      <c r="U49" s="267"/>
    </row>
    <row r="50" spans="1:24" ht="15.75">
      <c r="A50" s="276" t="s">
        <v>205</v>
      </c>
      <c r="B50" s="264"/>
      <c r="C50" s="175"/>
      <c r="D50" s="175"/>
      <c r="E50" s="175"/>
      <c r="F50" s="268"/>
      <c r="G50" s="268"/>
      <c r="H50" s="268"/>
      <c r="I50" s="268"/>
      <c r="J50" s="268"/>
      <c r="K50" s="268"/>
      <c r="L50" s="268"/>
      <c r="M50" s="268"/>
      <c r="N50" s="268"/>
      <c r="O50" s="267"/>
      <c r="P50" s="267"/>
      <c r="Q50" s="267"/>
      <c r="R50" s="267"/>
      <c r="S50" s="267"/>
      <c r="T50" s="267"/>
      <c r="U50" s="267"/>
    </row>
    <row r="51" spans="1:24" ht="18">
      <c r="B51" s="264" t="s">
        <v>450</v>
      </c>
      <c r="C51" s="175"/>
      <c r="D51" s="175"/>
      <c r="E51" s="175"/>
      <c r="F51" s="268" t="s">
        <v>130</v>
      </c>
      <c r="G51" s="268" t="s">
        <v>130</v>
      </c>
      <c r="H51" s="268" t="s">
        <v>130</v>
      </c>
      <c r="I51" s="268" t="s">
        <v>130</v>
      </c>
      <c r="J51" s="268" t="s">
        <v>130</v>
      </c>
      <c r="K51" s="268" t="s">
        <v>130</v>
      </c>
      <c r="L51" s="268" t="s">
        <v>130</v>
      </c>
      <c r="M51" s="268" t="s">
        <v>130</v>
      </c>
      <c r="N51" s="268" t="s">
        <v>130</v>
      </c>
      <c r="O51" s="267">
        <f t="shared" ref="O51:P55" si="14">O37+O44</f>
        <v>130.93995699999999</v>
      </c>
      <c r="P51" s="272">
        <f t="shared" si="14"/>
        <v>132.62</v>
      </c>
      <c r="Q51" s="267">
        <f t="shared" ref="Q51:V51" si="15">Q44</f>
        <v>155.71</v>
      </c>
      <c r="R51" s="267">
        <f t="shared" si="15"/>
        <v>158.62</v>
      </c>
      <c r="S51" s="267">
        <f t="shared" si="15"/>
        <v>156.57</v>
      </c>
      <c r="T51" s="267">
        <f t="shared" si="15"/>
        <v>150.41</v>
      </c>
      <c r="U51" s="267">
        <f t="shared" si="15"/>
        <v>145.94999999999999</v>
      </c>
      <c r="V51" s="267">
        <f t="shared" si="15"/>
        <v>148.03</v>
      </c>
      <c r="W51" s="267">
        <f>W44</f>
        <v>144.4</v>
      </c>
      <c r="X51" s="267">
        <f>X44</f>
        <v>145.47</v>
      </c>
    </row>
    <row r="52" spans="1:24">
      <c r="B52" s="264" t="s">
        <v>204</v>
      </c>
      <c r="C52" s="175"/>
      <c r="D52" s="175"/>
      <c r="E52" s="175"/>
      <c r="F52" s="268" t="s">
        <v>130</v>
      </c>
      <c r="G52" s="268" t="s">
        <v>130</v>
      </c>
      <c r="H52" s="268" t="s">
        <v>130</v>
      </c>
      <c r="I52" s="268" t="s">
        <v>130</v>
      </c>
      <c r="J52" s="268" t="s">
        <v>130</v>
      </c>
      <c r="K52" s="268" t="s">
        <v>130</v>
      </c>
      <c r="L52" s="268" t="s">
        <v>130</v>
      </c>
      <c r="M52" s="268" t="s">
        <v>130</v>
      </c>
      <c r="N52" s="268" t="s">
        <v>130</v>
      </c>
      <c r="O52" s="267">
        <f t="shared" si="14"/>
        <v>0.03</v>
      </c>
      <c r="P52" s="267">
        <f t="shared" si="14"/>
        <v>0.03</v>
      </c>
      <c r="Q52" s="267">
        <f t="shared" ref="Q52:U55" si="16">Q38+Q45</f>
        <v>0</v>
      </c>
      <c r="R52" s="267">
        <f t="shared" si="16"/>
        <v>0</v>
      </c>
      <c r="S52" s="267">
        <f t="shared" si="16"/>
        <v>0</v>
      </c>
      <c r="T52" s="267">
        <f t="shared" si="16"/>
        <v>0</v>
      </c>
      <c r="U52" s="267">
        <f t="shared" si="16"/>
        <v>0</v>
      </c>
      <c r="V52" s="267">
        <f t="shared" ref="V52:W55" si="17">V38+V45</f>
        <v>0</v>
      </c>
      <c r="W52" s="267">
        <f t="shared" si="17"/>
        <v>0</v>
      </c>
      <c r="X52" s="267">
        <f>X38+X45</f>
        <v>0</v>
      </c>
    </row>
    <row r="53" spans="1:24">
      <c r="B53" s="264" t="s">
        <v>202</v>
      </c>
      <c r="C53" s="175"/>
      <c r="D53" s="175"/>
      <c r="E53" s="175"/>
      <c r="F53" s="268" t="s">
        <v>130</v>
      </c>
      <c r="G53" s="268" t="s">
        <v>130</v>
      </c>
      <c r="H53" s="268" t="s">
        <v>130</v>
      </c>
      <c r="I53" s="268" t="s">
        <v>130</v>
      </c>
      <c r="J53" s="268" t="s">
        <v>130</v>
      </c>
      <c r="K53" s="268" t="s">
        <v>130</v>
      </c>
      <c r="L53" s="268" t="s">
        <v>130</v>
      </c>
      <c r="M53" s="268" t="s">
        <v>130</v>
      </c>
      <c r="N53" s="268" t="s">
        <v>130</v>
      </c>
      <c r="O53" s="267">
        <f t="shared" si="14"/>
        <v>0.62372799999999995</v>
      </c>
      <c r="P53" s="267">
        <f t="shared" si="14"/>
        <v>0.59000000000000008</v>
      </c>
      <c r="Q53" s="267">
        <f t="shared" si="16"/>
        <v>0.68</v>
      </c>
      <c r="R53" s="267">
        <f t="shared" si="16"/>
        <v>0.74</v>
      </c>
      <c r="S53" s="267">
        <f t="shared" si="16"/>
        <v>0.75</v>
      </c>
      <c r="T53" s="267">
        <f t="shared" si="16"/>
        <v>0.76</v>
      </c>
      <c r="U53" s="267">
        <f t="shared" si="16"/>
        <v>0.05</v>
      </c>
      <c r="V53" s="267">
        <f t="shared" si="17"/>
        <v>0.05</v>
      </c>
      <c r="W53" s="267">
        <f t="shared" si="17"/>
        <v>0.05</v>
      </c>
      <c r="X53" s="267">
        <f>X39+X46</f>
        <v>0.06</v>
      </c>
    </row>
    <row r="54" spans="1:24">
      <c r="B54" s="264" t="s">
        <v>108</v>
      </c>
      <c r="C54" s="175"/>
      <c r="D54" s="175"/>
      <c r="E54" s="175"/>
      <c r="F54" s="268" t="s">
        <v>130</v>
      </c>
      <c r="G54" s="268" t="s">
        <v>130</v>
      </c>
      <c r="H54" s="268" t="s">
        <v>130</v>
      </c>
      <c r="I54" s="268" t="s">
        <v>130</v>
      </c>
      <c r="J54" s="268" t="s">
        <v>130</v>
      </c>
      <c r="K54" s="268" t="s">
        <v>130</v>
      </c>
      <c r="L54" s="268" t="s">
        <v>130</v>
      </c>
      <c r="M54" s="268" t="s">
        <v>130</v>
      </c>
      <c r="N54" s="268" t="s">
        <v>130</v>
      </c>
      <c r="O54" s="267">
        <f t="shared" si="14"/>
        <v>4.6200000000000001E-4</v>
      </c>
      <c r="P54" s="267">
        <f t="shared" si="14"/>
        <v>0</v>
      </c>
      <c r="Q54" s="267">
        <f t="shared" si="16"/>
        <v>0</v>
      </c>
      <c r="R54" s="267">
        <f t="shared" si="16"/>
        <v>0</v>
      </c>
      <c r="S54" s="267">
        <f t="shared" si="16"/>
        <v>0</v>
      </c>
      <c r="T54" s="267">
        <f t="shared" si="16"/>
        <v>0</v>
      </c>
      <c r="U54" s="267">
        <f t="shared" si="16"/>
        <v>0</v>
      </c>
      <c r="V54" s="267">
        <f t="shared" si="17"/>
        <v>0</v>
      </c>
      <c r="W54" s="267">
        <f t="shared" si="17"/>
        <v>0</v>
      </c>
      <c r="X54" s="267">
        <f>X40+X47</f>
        <v>0</v>
      </c>
    </row>
    <row r="55" spans="1:24" ht="15.75">
      <c r="A55" s="177"/>
      <c r="B55" s="362" t="s">
        <v>39</v>
      </c>
      <c r="C55" s="363"/>
      <c r="D55" s="363"/>
      <c r="E55" s="363"/>
      <c r="F55" s="364" t="s">
        <v>130</v>
      </c>
      <c r="G55" s="364" t="s">
        <v>130</v>
      </c>
      <c r="H55" s="364" t="s">
        <v>130</v>
      </c>
      <c r="I55" s="364" t="s">
        <v>130</v>
      </c>
      <c r="J55" s="364" t="s">
        <v>130</v>
      </c>
      <c r="K55" s="364" t="s">
        <v>130</v>
      </c>
      <c r="L55" s="364" t="s">
        <v>130</v>
      </c>
      <c r="M55" s="364" t="s">
        <v>130</v>
      </c>
      <c r="N55" s="364" t="s">
        <v>130</v>
      </c>
      <c r="O55" s="365">
        <f t="shared" si="14"/>
        <v>131.59414699999999</v>
      </c>
      <c r="P55" s="365">
        <f t="shared" si="14"/>
        <v>133.24</v>
      </c>
      <c r="Q55" s="365">
        <f t="shared" si="16"/>
        <v>156.39000000000001</v>
      </c>
      <c r="R55" s="365">
        <f t="shared" si="16"/>
        <v>159.36000000000001</v>
      </c>
      <c r="S55" s="365">
        <f t="shared" si="16"/>
        <v>157.32</v>
      </c>
      <c r="T55" s="365">
        <f t="shared" si="16"/>
        <v>151.17000000000002</v>
      </c>
      <c r="U55" s="365">
        <f t="shared" si="16"/>
        <v>146</v>
      </c>
      <c r="V55" s="365">
        <f t="shared" si="17"/>
        <v>148.08000000000001</v>
      </c>
      <c r="W55" s="365">
        <f t="shared" si="17"/>
        <v>144.45000000000002</v>
      </c>
      <c r="X55" s="365">
        <f>X41+X48</f>
        <v>145.53</v>
      </c>
    </row>
    <row r="56" spans="1:24" s="179" customFormat="1" ht="23.25" customHeight="1">
      <c r="A56" s="1" t="s">
        <v>431</v>
      </c>
      <c r="O56" s="267"/>
      <c r="P56" s="267"/>
      <c r="Q56" s="267"/>
      <c r="R56" s="267"/>
      <c r="S56" s="267"/>
      <c r="T56" s="267"/>
      <c r="U56" s="267"/>
      <c r="V56" s="267"/>
    </row>
    <row r="57" spans="1:24" s="179" customFormat="1">
      <c r="A57" s="1"/>
      <c r="O57" s="267"/>
      <c r="P57" s="267"/>
      <c r="Q57" s="267"/>
      <c r="R57" s="267"/>
      <c r="S57" s="267"/>
      <c r="T57" s="267"/>
      <c r="U57" s="267"/>
      <c r="V57" s="267"/>
    </row>
    <row r="58" spans="1:24" s="179" customFormat="1" ht="12" customHeight="1">
      <c r="A58" s="179">
        <v>1</v>
      </c>
      <c r="B58" s="305" t="s">
        <v>446</v>
      </c>
      <c r="R58" s="96"/>
      <c r="S58" s="96"/>
      <c r="T58" s="96"/>
    </row>
    <row r="59" spans="1:24" s="179" customFormat="1" ht="12.75">
      <c r="A59" s="179">
        <v>2</v>
      </c>
      <c r="B59" s="179" t="s">
        <v>444</v>
      </c>
      <c r="R59" s="96"/>
      <c r="S59" s="96"/>
      <c r="T59" s="96"/>
    </row>
    <row r="60" spans="1:24" s="179" customFormat="1" ht="12.75">
      <c r="A60" s="179">
        <v>3</v>
      </c>
      <c r="B60" s="179" t="s">
        <v>432</v>
      </c>
      <c r="R60" s="96"/>
      <c r="S60" s="96"/>
      <c r="T60" s="96"/>
    </row>
    <row r="61" spans="1:24" s="179" customFormat="1" ht="12.75">
      <c r="A61" s="179">
        <v>4</v>
      </c>
      <c r="B61" s="179" t="s">
        <v>433</v>
      </c>
      <c r="R61" s="96"/>
      <c r="S61" s="96"/>
      <c r="T61" s="96"/>
    </row>
    <row r="62" spans="1:24" s="179" customFormat="1" ht="12.75">
      <c r="A62" s="179">
        <v>5</v>
      </c>
      <c r="B62" s="179" t="s">
        <v>449</v>
      </c>
      <c r="R62" s="96"/>
      <c r="S62" s="96"/>
      <c r="T62" s="96"/>
    </row>
    <row r="63" spans="1:24" s="179" customFormat="1" ht="13.5" customHeight="1">
      <c r="A63" s="179">
        <v>6</v>
      </c>
      <c r="B63" s="179" t="s">
        <v>454</v>
      </c>
      <c r="R63" s="96"/>
      <c r="S63" s="96"/>
      <c r="T63" s="96"/>
    </row>
    <row r="64" spans="1:24" s="179" customFormat="1" ht="12.75" customHeight="1">
      <c r="R64" s="96"/>
      <c r="S64" s="96"/>
      <c r="T64" s="96"/>
    </row>
    <row r="65" ht="8.25" customHeight="1"/>
    <row r="66" ht="79.5" customHeight="1"/>
  </sheetData>
  <phoneticPr fontId="25" type="noConversion"/>
  <pageMargins left="0.75" right="0.75" top="1" bottom="1" header="0.5" footer="0.5"/>
  <pageSetup paperSize="9" scale="49" orientation="portrait" horizontalDpi="300" verticalDpi="300" r:id="rId1"/>
  <headerFooter alignWithMargins="0">
    <oddHeader>&amp;R&amp;"Arial,Bold"&amp;18PERSONAL AND CROSS-MODAL TRAVEL</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8"/>
  <sheetViews>
    <sheetView zoomScaleNormal="100" workbookViewId="0">
      <selection activeCell="B20" sqref="B20"/>
    </sheetView>
  </sheetViews>
  <sheetFormatPr defaultRowHeight="15"/>
  <cols>
    <col min="1" max="1" width="1.85546875" style="88" customWidth="1"/>
    <col min="2" max="2" width="27" style="88" customWidth="1"/>
    <col min="3" max="3" width="6.85546875" style="88" hidden="1" customWidth="1"/>
    <col min="4" max="5" width="7.7109375" style="88" hidden="1" customWidth="1"/>
    <col min="6" max="6" width="7.7109375" style="88" customWidth="1"/>
    <col min="7" max="7" width="8.5703125" style="88" customWidth="1"/>
    <col min="8" max="8" width="8.85546875" style="88" customWidth="1"/>
    <col min="9" max="9" width="10.42578125" style="88" customWidth="1"/>
    <col min="10" max="10" width="10" style="88" customWidth="1"/>
    <col min="11" max="11" width="9.140625" style="88"/>
    <col min="12" max="12" width="9" style="88" customWidth="1"/>
    <col min="13" max="13" width="9.28515625" style="88" customWidth="1"/>
    <col min="14" max="14" width="9.140625" style="88"/>
    <col min="15" max="15" width="10.140625" style="88" customWidth="1"/>
    <col min="16" max="16" width="11.28515625" style="88" customWidth="1"/>
    <col min="17" max="16384" width="9.140625" style="88"/>
  </cols>
  <sheetData>
    <row r="1" spans="1:16" ht="19.5">
      <c r="A1" s="338" t="s">
        <v>445</v>
      </c>
    </row>
    <row r="2" spans="1:16" ht="6.75" customHeight="1">
      <c r="A2" s="85"/>
      <c r="B2" s="85"/>
      <c r="C2" s="85"/>
      <c r="D2" s="85"/>
      <c r="E2" s="85"/>
      <c r="F2" s="85"/>
      <c r="G2" s="85"/>
      <c r="H2" s="85"/>
      <c r="I2" s="85"/>
    </row>
    <row r="3" spans="1:16" ht="15.75">
      <c r="A3" s="180"/>
      <c r="B3" s="277"/>
      <c r="C3" s="277">
        <v>2000</v>
      </c>
      <c r="D3" s="277">
        <v>2001</v>
      </c>
      <c r="E3" s="277">
        <v>2002</v>
      </c>
      <c r="F3" s="277">
        <v>2003</v>
      </c>
      <c r="G3" s="277">
        <v>2004</v>
      </c>
      <c r="H3" s="277">
        <v>2005</v>
      </c>
      <c r="I3" s="277">
        <v>2006</v>
      </c>
      <c r="J3" s="277">
        <v>2007</v>
      </c>
      <c r="K3" s="277">
        <v>2008</v>
      </c>
      <c r="L3" s="277">
        <v>2009</v>
      </c>
      <c r="M3" s="277">
        <v>2010</v>
      </c>
      <c r="N3" s="277">
        <v>2011</v>
      </c>
      <c r="O3" s="277">
        <v>2012</v>
      </c>
      <c r="P3" s="277">
        <v>2013</v>
      </c>
    </row>
    <row r="4" spans="1:16" ht="5.25" customHeight="1">
      <c r="B4" s="174"/>
      <c r="H4" s="261"/>
      <c r="I4" s="261"/>
    </row>
    <row r="5" spans="1:16" ht="18.75">
      <c r="A5" s="88" t="s">
        <v>2</v>
      </c>
      <c r="B5" s="174"/>
      <c r="H5" s="172"/>
      <c r="I5" s="172"/>
    </row>
    <row r="6" spans="1:16">
      <c r="B6" s="85" t="s">
        <v>229</v>
      </c>
      <c r="C6" s="283" t="s">
        <v>130</v>
      </c>
      <c r="D6" s="88">
        <v>52</v>
      </c>
      <c r="E6" s="88">
        <v>52</v>
      </c>
      <c r="F6" s="172">
        <v>52</v>
      </c>
      <c r="G6" s="172">
        <v>52</v>
      </c>
      <c r="H6" s="172">
        <v>52</v>
      </c>
      <c r="I6" s="172">
        <v>52</v>
      </c>
      <c r="J6" s="172">
        <v>52</v>
      </c>
      <c r="K6" s="313">
        <v>52</v>
      </c>
      <c r="L6" s="313">
        <v>52</v>
      </c>
      <c r="M6" s="313">
        <v>52</v>
      </c>
      <c r="N6" s="81">
        <v>52</v>
      </c>
      <c r="O6" s="88">
        <v>52</v>
      </c>
      <c r="P6" s="88">
        <v>52</v>
      </c>
    </row>
    <row r="7" spans="1:16">
      <c r="B7" s="85" t="s">
        <v>220</v>
      </c>
      <c r="C7" s="283" t="s">
        <v>130</v>
      </c>
      <c r="D7" s="283" t="s">
        <v>130</v>
      </c>
      <c r="E7" s="284" t="s">
        <v>130</v>
      </c>
      <c r="F7" s="172">
        <v>52</v>
      </c>
      <c r="G7" s="172">
        <v>52</v>
      </c>
      <c r="H7" s="172">
        <v>52</v>
      </c>
      <c r="I7" s="172">
        <v>52</v>
      </c>
      <c r="J7" s="172">
        <v>52</v>
      </c>
      <c r="K7" s="313">
        <v>52</v>
      </c>
      <c r="L7" s="313">
        <v>52</v>
      </c>
      <c r="M7" s="313">
        <v>52</v>
      </c>
      <c r="N7" s="81">
        <v>52</v>
      </c>
      <c r="O7" s="88">
        <v>52</v>
      </c>
      <c r="P7" s="88">
        <v>52</v>
      </c>
    </row>
    <row r="8" spans="1:16" ht="4.5" customHeight="1">
      <c r="B8" s="174"/>
      <c r="H8" s="261"/>
      <c r="I8" s="261"/>
      <c r="J8" s="172"/>
      <c r="K8" s="172"/>
      <c r="L8" s="313"/>
      <c r="M8" s="313"/>
      <c r="N8" s="81"/>
    </row>
    <row r="9" spans="1:16" ht="15.75">
      <c r="B9" s="174"/>
      <c r="D9" s="261"/>
      <c r="H9" s="285"/>
      <c r="J9" s="172"/>
      <c r="K9" s="296"/>
      <c r="L9" s="71"/>
      <c r="M9" s="71"/>
      <c r="P9" s="71" t="s">
        <v>120</v>
      </c>
    </row>
    <row r="10" spans="1:16">
      <c r="A10" s="88" t="s">
        <v>228</v>
      </c>
      <c r="C10" s="283" t="s">
        <v>130</v>
      </c>
      <c r="D10" s="286">
        <v>195.053</v>
      </c>
      <c r="E10" s="286">
        <v>341.98</v>
      </c>
      <c r="F10" s="286">
        <v>456.59</v>
      </c>
      <c r="G10" s="286">
        <v>585.4</v>
      </c>
      <c r="H10" s="172">
        <v>707.4</v>
      </c>
      <c r="I10" s="287">
        <v>728.89300000000003</v>
      </c>
      <c r="J10" s="287">
        <v>665.1</v>
      </c>
      <c r="K10" s="314">
        <v>627.70000000000005</v>
      </c>
      <c r="L10" s="314">
        <v>606.1</v>
      </c>
      <c r="M10" s="314">
        <v>700.7</v>
      </c>
      <c r="N10" s="81">
        <v>503.9</v>
      </c>
      <c r="O10" s="88">
        <v>399.8</v>
      </c>
      <c r="P10" s="88">
        <v>331.7</v>
      </c>
    </row>
    <row r="11" spans="1:16">
      <c r="A11" s="85" t="s">
        <v>227</v>
      </c>
      <c r="C11" s="85"/>
      <c r="D11" s="85"/>
      <c r="E11" s="85"/>
      <c r="F11" s="85"/>
      <c r="G11" s="85"/>
      <c r="H11" s="85"/>
      <c r="I11" s="172"/>
      <c r="J11" s="172" t="s">
        <v>123</v>
      </c>
      <c r="K11" s="172"/>
      <c r="L11" s="313"/>
      <c r="M11" s="313"/>
      <c r="N11" s="81"/>
    </row>
    <row r="12" spans="1:16" ht="18.75">
      <c r="A12" s="174"/>
      <c r="B12" s="88" t="s">
        <v>3</v>
      </c>
      <c r="C12" s="283" t="s">
        <v>130</v>
      </c>
      <c r="D12" s="286">
        <v>2.3849999999999998</v>
      </c>
      <c r="E12" s="286">
        <v>3.94</v>
      </c>
      <c r="F12" s="286">
        <v>4.0069999999999997</v>
      </c>
      <c r="G12" s="286">
        <v>4.5999999999999996</v>
      </c>
      <c r="H12" s="172">
        <v>5.3</v>
      </c>
      <c r="I12" s="287">
        <v>4</v>
      </c>
      <c r="J12" s="287">
        <v>4.7</v>
      </c>
      <c r="K12" s="314">
        <v>7.2</v>
      </c>
      <c r="L12" s="314">
        <v>3.4</v>
      </c>
      <c r="M12" s="314">
        <v>2.8</v>
      </c>
      <c r="N12" s="81">
        <v>0.4</v>
      </c>
      <c r="O12" s="88">
        <v>0.7</v>
      </c>
      <c r="P12" s="563">
        <v>0</v>
      </c>
    </row>
    <row r="13" spans="1:16" ht="18.75">
      <c r="A13" s="174"/>
      <c r="B13" s="9" t="s">
        <v>589</v>
      </c>
      <c r="C13" s="283" t="s">
        <v>130</v>
      </c>
      <c r="D13" s="286">
        <v>3.0870000000000002</v>
      </c>
      <c r="E13" s="286">
        <v>5.9290000000000003</v>
      </c>
      <c r="F13" s="286">
        <v>0.371</v>
      </c>
      <c r="G13" s="286">
        <v>3.6</v>
      </c>
      <c r="H13" s="557">
        <v>0</v>
      </c>
      <c r="I13" s="557">
        <v>0.3</v>
      </c>
      <c r="J13" s="557">
        <v>1</v>
      </c>
      <c r="K13" s="558">
        <v>0</v>
      </c>
      <c r="L13" s="558">
        <v>0.6</v>
      </c>
      <c r="M13" s="558">
        <v>1.9</v>
      </c>
      <c r="N13" s="559">
        <v>0</v>
      </c>
      <c r="O13" s="560">
        <v>0</v>
      </c>
      <c r="P13" s="563">
        <v>0</v>
      </c>
    </row>
    <row r="14" spans="1:16" ht="18.75">
      <c r="A14" s="174"/>
      <c r="B14" s="9" t="s">
        <v>590</v>
      </c>
      <c r="C14" s="283" t="s">
        <v>130</v>
      </c>
      <c r="D14" s="286">
        <v>3.0870000000000002</v>
      </c>
      <c r="E14" s="286">
        <v>1.5209999999999999</v>
      </c>
      <c r="F14" s="286">
        <v>3.7360000000000002</v>
      </c>
      <c r="G14" s="286">
        <v>9.6999999999999993</v>
      </c>
      <c r="H14" s="172">
        <v>4.9000000000000004</v>
      </c>
      <c r="I14" s="172">
        <v>2.2999999999999998</v>
      </c>
      <c r="J14" s="172">
        <v>3.8</v>
      </c>
      <c r="K14" s="313">
        <v>5.9</v>
      </c>
      <c r="L14" s="313">
        <v>2.4</v>
      </c>
      <c r="M14" s="313">
        <v>2.6</v>
      </c>
      <c r="N14" s="81">
        <v>0.3</v>
      </c>
      <c r="O14" s="88">
        <v>2.5</v>
      </c>
      <c r="P14" s="563">
        <v>0</v>
      </c>
    </row>
    <row r="15" spans="1:16">
      <c r="B15" s="88" t="s">
        <v>226</v>
      </c>
      <c r="C15" s="283" t="s">
        <v>130</v>
      </c>
      <c r="D15" s="286">
        <v>8.5589999999999993</v>
      </c>
      <c r="E15" s="286">
        <v>11.39</v>
      </c>
      <c r="F15" s="286">
        <v>8.1140000000000008</v>
      </c>
      <c r="G15" s="286">
        <v>17.899999999999999</v>
      </c>
      <c r="H15" s="172">
        <v>10.3</v>
      </c>
      <c r="I15" s="287">
        <v>6.569</v>
      </c>
      <c r="J15" s="287">
        <v>9.4</v>
      </c>
      <c r="K15" s="314">
        <v>13.1</v>
      </c>
      <c r="L15" s="314">
        <v>6.4</v>
      </c>
      <c r="M15" s="314">
        <v>7.3</v>
      </c>
      <c r="N15" s="322">
        <v>0.7</v>
      </c>
      <c r="O15" s="88">
        <v>3.2</v>
      </c>
      <c r="P15" s="88">
        <v>6.5</v>
      </c>
    </row>
    <row r="16" spans="1:16" ht="15" customHeight="1">
      <c r="A16" s="88" t="s">
        <v>225</v>
      </c>
      <c r="C16" s="283" t="s">
        <v>130</v>
      </c>
      <c r="D16" s="286">
        <v>203.61199999999999</v>
      </c>
      <c r="E16" s="286">
        <v>353.37</v>
      </c>
      <c r="F16" s="286">
        <v>464.70400000000001</v>
      </c>
      <c r="G16" s="286">
        <v>603.29999999999995</v>
      </c>
      <c r="H16" s="172">
        <v>717.7</v>
      </c>
      <c r="I16" s="287">
        <v>735.46199999999999</v>
      </c>
      <c r="J16" s="287">
        <v>674.5</v>
      </c>
      <c r="K16" s="314">
        <v>640.9</v>
      </c>
      <c r="L16" s="314">
        <v>612.5</v>
      </c>
      <c r="M16" s="314">
        <v>708.1</v>
      </c>
      <c r="N16" s="81">
        <v>507.1</v>
      </c>
      <c r="O16" s="524">
        <v>403</v>
      </c>
      <c r="P16" s="88">
        <v>338.2</v>
      </c>
    </row>
    <row r="17" spans="1:16" ht="6" customHeight="1">
      <c r="C17" s="283"/>
      <c r="D17" s="283"/>
      <c r="E17" s="283"/>
      <c r="F17" s="288"/>
      <c r="G17" s="288"/>
      <c r="H17" s="288"/>
      <c r="I17" s="288"/>
      <c r="L17" s="81"/>
      <c r="M17" s="81"/>
    </row>
    <row r="18" spans="1:16" ht="15" customHeight="1">
      <c r="C18" s="283"/>
      <c r="D18" s="283"/>
      <c r="E18" s="283"/>
      <c r="F18" s="288"/>
      <c r="G18" s="288"/>
      <c r="H18" s="285"/>
      <c r="J18" s="285"/>
      <c r="K18" s="297"/>
      <c r="L18" s="315"/>
      <c r="M18" s="315"/>
      <c r="N18" s="315"/>
      <c r="P18" s="315" t="s">
        <v>224</v>
      </c>
    </row>
    <row r="19" spans="1:16" ht="6" customHeight="1">
      <c r="C19" s="288"/>
      <c r="D19" s="288"/>
      <c r="E19" s="288"/>
      <c r="F19" s="288"/>
      <c r="G19" s="288"/>
      <c r="H19" s="288"/>
      <c r="I19" s="288"/>
      <c r="L19" s="81"/>
      <c r="M19" s="81"/>
    </row>
    <row r="20" spans="1:16">
      <c r="A20" s="88" t="s">
        <v>223</v>
      </c>
      <c r="C20" s="283" t="s">
        <v>130</v>
      </c>
      <c r="D20" s="289">
        <f t="shared" ref="D20:I20" si="0">100*D10/D16</f>
        <v>95.79641671414258</v>
      </c>
      <c r="E20" s="289">
        <f t="shared" si="0"/>
        <v>96.776749582590483</v>
      </c>
      <c r="F20" s="289">
        <f t="shared" si="0"/>
        <v>98.2539422944498</v>
      </c>
      <c r="G20" s="289">
        <f t="shared" si="0"/>
        <v>97.032985247803751</v>
      </c>
      <c r="H20" s="289">
        <f t="shared" si="0"/>
        <v>98.564859969346514</v>
      </c>
      <c r="I20" s="289">
        <f t="shared" si="0"/>
        <v>99.106819930873385</v>
      </c>
      <c r="J20" s="289">
        <f t="shared" ref="J20:P20" si="1">100*J10/J16</f>
        <v>98.606375092661224</v>
      </c>
      <c r="K20" s="316">
        <f t="shared" si="1"/>
        <v>97.940396317678278</v>
      </c>
      <c r="L20" s="316">
        <f t="shared" si="1"/>
        <v>98.955102040816328</v>
      </c>
      <c r="M20" s="316">
        <f t="shared" si="1"/>
        <v>98.954949865838159</v>
      </c>
      <c r="N20" s="316">
        <f t="shared" si="1"/>
        <v>99.368960757247081</v>
      </c>
      <c r="O20" s="316">
        <f t="shared" si="1"/>
        <v>99.205955334987593</v>
      </c>
      <c r="P20" s="316">
        <f t="shared" si="1"/>
        <v>98.078060319337666</v>
      </c>
    </row>
    <row r="21" spans="1:16" ht="6.75" customHeight="1">
      <c r="C21" s="290"/>
      <c r="D21" s="288"/>
      <c r="E21" s="288"/>
      <c r="F21" s="288"/>
      <c r="G21" s="288"/>
      <c r="H21" s="288"/>
      <c r="I21" s="288"/>
      <c r="L21" s="81"/>
      <c r="M21" s="81"/>
    </row>
    <row r="22" spans="1:16" ht="15" customHeight="1">
      <c r="C22" s="290"/>
      <c r="D22" s="288"/>
      <c r="E22" s="288"/>
      <c r="F22" s="288"/>
      <c r="G22" s="288"/>
      <c r="H22" s="285"/>
      <c r="J22" s="285"/>
      <c r="K22" s="297"/>
      <c r="L22" s="315"/>
      <c r="M22" s="315"/>
      <c r="N22" s="315"/>
      <c r="P22" s="315" t="s">
        <v>219</v>
      </c>
    </row>
    <row r="23" spans="1:16" ht="6" customHeight="1">
      <c r="C23" s="290"/>
      <c r="D23" s="288"/>
      <c r="E23" s="288"/>
      <c r="F23" s="288"/>
      <c r="G23" s="288"/>
      <c r="H23" s="288"/>
      <c r="I23" s="288"/>
      <c r="K23" s="179"/>
      <c r="L23" s="96"/>
      <c r="M23" s="96"/>
      <c r="N23" s="96"/>
      <c r="O23" s="96"/>
    </row>
    <row r="24" spans="1:16" ht="15" customHeight="1">
      <c r="A24" s="9" t="s">
        <v>592</v>
      </c>
      <c r="C24" s="85"/>
      <c r="D24" s="86">
        <f t="shared" ref="D24:I24" si="2">1000*D10/(D6*7)</f>
        <v>535.8598901098901</v>
      </c>
      <c r="E24" s="86">
        <f t="shared" si="2"/>
        <v>939.50549450549454</v>
      </c>
      <c r="F24" s="86">
        <f t="shared" si="2"/>
        <v>1254.368131868132</v>
      </c>
      <c r="G24" s="86">
        <f t="shared" si="2"/>
        <v>1608.2417582417581</v>
      </c>
      <c r="H24" s="86">
        <f t="shared" si="2"/>
        <v>1943.4065934065934</v>
      </c>
      <c r="I24" s="86">
        <f t="shared" si="2"/>
        <v>2002.4532967032967</v>
      </c>
      <c r="J24" s="86">
        <f t="shared" ref="J24:P24" si="3">1000*J10/(J6*7)</f>
        <v>1827.1978021978023</v>
      </c>
      <c r="K24" s="317">
        <f t="shared" si="3"/>
        <v>1724.4505494505495</v>
      </c>
      <c r="L24" s="317">
        <f t="shared" si="3"/>
        <v>1665.1098901098901</v>
      </c>
      <c r="M24" s="317">
        <f t="shared" si="3"/>
        <v>1925</v>
      </c>
      <c r="N24" s="317">
        <f t="shared" si="3"/>
        <v>1384.3406593406594</v>
      </c>
      <c r="O24" s="317">
        <f t="shared" si="3"/>
        <v>1098.3516483516485</v>
      </c>
      <c r="P24" s="317">
        <f t="shared" si="3"/>
        <v>911.26373626373629</v>
      </c>
    </row>
    <row r="25" spans="1:16" ht="7.5" customHeight="1">
      <c r="C25" s="283"/>
      <c r="D25" s="283"/>
      <c r="E25" s="283"/>
      <c r="F25" s="85"/>
      <c r="G25" s="85"/>
      <c r="H25" s="85"/>
      <c r="I25" s="85"/>
      <c r="L25" s="81"/>
      <c r="M25" s="81"/>
    </row>
    <row r="26" spans="1:16">
      <c r="C26" s="283"/>
      <c r="D26" s="283"/>
      <c r="E26" s="283"/>
      <c r="F26" s="85"/>
      <c r="G26" s="85"/>
      <c r="H26" s="285"/>
      <c r="J26" s="285"/>
      <c r="K26" s="297"/>
      <c r="L26" s="315"/>
      <c r="M26" s="315"/>
      <c r="P26" s="315" t="s">
        <v>222</v>
      </c>
    </row>
    <row r="27" spans="1:16" ht="5.25" customHeight="1">
      <c r="C27" s="283"/>
      <c r="D27" s="283"/>
      <c r="E27" s="283"/>
      <c r="F27" s="85"/>
      <c r="G27" s="85"/>
      <c r="H27" s="85"/>
      <c r="I27" s="85"/>
      <c r="L27" s="81"/>
      <c r="M27" s="81"/>
    </row>
    <row r="28" spans="1:16">
      <c r="A28" s="88" t="s">
        <v>221</v>
      </c>
      <c r="C28" s="283" t="s">
        <v>130</v>
      </c>
      <c r="D28" s="85">
        <v>150.1</v>
      </c>
      <c r="E28" s="85">
        <v>119.5</v>
      </c>
      <c r="F28" s="124">
        <v>115</v>
      </c>
      <c r="G28" s="85">
        <v>115.9</v>
      </c>
      <c r="H28" s="124">
        <v>114</v>
      </c>
      <c r="I28" s="124">
        <v>112</v>
      </c>
      <c r="J28" s="124">
        <v>107.8</v>
      </c>
      <c r="K28" s="318">
        <v>114.9</v>
      </c>
      <c r="L28" s="318">
        <v>111.6</v>
      </c>
      <c r="M28" s="318">
        <v>142.6</v>
      </c>
      <c r="N28" s="81">
        <v>161.5</v>
      </c>
      <c r="O28" s="88">
        <v>178.3</v>
      </c>
      <c r="P28" s="524">
        <v>180</v>
      </c>
    </row>
    <row r="29" spans="1:16" ht="5.25" customHeight="1">
      <c r="C29" s="290"/>
      <c r="D29" s="85"/>
      <c r="E29" s="85"/>
      <c r="F29" s="85"/>
      <c r="G29" s="85"/>
      <c r="H29" s="85"/>
      <c r="I29" s="85"/>
      <c r="L29" s="81"/>
      <c r="M29" s="81"/>
      <c r="N29" s="81"/>
    </row>
    <row r="30" spans="1:16">
      <c r="H30" s="285"/>
      <c r="J30" s="285"/>
      <c r="K30" s="297"/>
      <c r="L30" s="315"/>
      <c r="M30" s="315"/>
      <c r="P30" s="315" t="s">
        <v>120</v>
      </c>
    </row>
    <row r="31" spans="1:16" ht="9" customHeight="1">
      <c r="C31" s="81"/>
      <c r="D31" s="81"/>
      <c r="E31" s="81"/>
      <c r="F31" s="81"/>
      <c r="G31" s="81"/>
      <c r="H31" s="81"/>
      <c r="I31" s="81"/>
      <c r="L31" s="81"/>
      <c r="M31" s="81"/>
      <c r="N31" s="81"/>
    </row>
    <row r="32" spans="1:16" ht="18">
      <c r="A32" s="9" t="s">
        <v>594</v>
      </c>
      <c r="C32" s="283" t="s">
        <v>130</v>
      </c>
      <c r="D32" s="283" t="s">
        <v>130</v>
      </c>
      <c r="E32" s="283" t="s">
        <v>130</v>
      </c>
      <c r="F32" s="286">
        <v>990.49</v>
      </c>
      <c r="G32" s="286">
        <v>1793.8</v>
      </c>
      <c r="H32" s="319">
        <v>2658.5</v>
      </c>
      <c r="I32" s="286">
        <v>1854.365</v>
      </c>
      <c r="J32" s="286">
        <v>2305.4</v>
      </c>
      <c r="K32" s="286">
        <v>1635.2</v>
      </c>
      <c r="L32" s="340">
        <v>3217.4</v>
      </c>
      <c r="M32" s="492">
        <v>4349.7</v>
      </c>
      <c r="N32" s="340">
        <v>7430.9</v>
      </c>
      <c r="O32" s="340">
        <v>10166.9</v>
      </c>
      <c r="P32" s="340">
        <v>11532.4</v>
      </c>
    </row>
    <row r="33" spans="1:16">
      <c r="C33" s="283"/>
      <c r="D33" s="283"/>
      <c r="E33" s="283"/>
      <c r="F33" s="283"/>
      <c r="G33" s="291"/>
      <c r="H33" s="285"/>
      <c r="J33" s="285"/>
      <c r="K33" s="297"/>
      <c r="L33" s="297"/>
      <c r="M33" s="297"/>
      <c r="P33" s="297" t="s">
        <v>219</v>
      </c>
    </row>
    <row r="34" spans="1:16" ht="8.25" customHeight="1">
      <c r="C34" s="291"/>
      <c r="D34" s="291"/>
      <c r="E34" s="291"/>
      <c r="F34" s="291"/>
      <c r="G34" s="291"/>
      <c r="H34" s="292"/>
      <c r="I34" s="292"/>
    </row>
    <row r="35" spans="1:16" ht="18.75" thickBot="1">
      <c r="A35" s="10" t="s">
        <v>593</v>
      </c>
      <c r="B35" s="173"/>
      <c r="C35" s="366" t="s">
        <v>130</v>
      </c>
      <c r="D35" s="366" t="s">
        <v>130</v>
      </c>
      <c r="E35" s="366" t="s">
        <v>130</v>
      </c>
      <c r="F35" s="367">
        <f t="shared" ref="F35:L35" si="4">1000*F32/(F7*7)</f>
        <v>2721.1263736263736</v>
      </c>
      <c r="G35" s="367">
        <f t="shared" si="4"/>
        <v>4928.0219780219777</v>
      </c>
      <c r="H35" s="368">
        <f t="shared" si="4"/>
        <v>7303.5714285714284</v>
      </c>
      <c r="I35" s="367">
        <f t="shared" si="4"/>
        <v>5094.4093406593411</v>
      </c>
      <c r="J35" s="367">
        <f t="shared" si="4"/>
        <v>6333.5164835164833</v>
      </c>
      <c r="K35" s="367">
        <f t="shared" si="4"/>
        <v>4492.3076923076924</v>
      </c>
      <c r="L35" s="367">
        <f t="shared" si="4"/>
        <v>8839.0109890109889</v>
      </c>
      <c r="M35" s="368">
        <f>1000*M32/(M7*7)</f>
        <v>11949.725274725275</v>
      </c>
      <c r="N35" s="367">
        <f>1000*N32/(N7*7)</f>
        <v>20414.560439560439</v>
      </c>
      <c r="O35" s="367">
        <f>1000*O32/(O7*7)</f>
        <v>27931.043956043955</v>
      </c>
      <c r="P35" s="367">
        <f>1000*P32/(P7*7)</f>
        <v>31682.417582417584</v>
      </c>
    </row>
    <row r="36" spans="1:16" s="179" customFormat="1" ht="12.75" customHeight="1">
      <c r="A36" s="1" t="s">
        <v>316</v>
      </c>
      <c r="B36" s="1"/>
      <c r="C36" s="298"/>
      <c r="D36" s="298"/>
      <c r="E36" s="298"/>
      <c r="F36" s="298"/>
      <c r="G36" s="1"/>
    </row>
    <row r="37" spans="1:16" s="179" customFormat="1" ht="12.75">
      <c r="A37" s="282" t="s">
        <v>218</v>
      </c>
      <c r="B37" s="1" t="s">
        <v>4</v>
      </c>
    </row>
    <row r="38" spans="1:16" s="179" customFormat="1" ht="12.75">
      <c r="A38" s="1"/>
      <c r="B38" s="1" t="s">
        <v>234</v>
      </c>
    </row>
    <row r="39" spans="1:16" s="179" customFormat="1" ht="12.75">
      <c r="A39" s="299" t="s">
        <v>217</v>
      </c>
      <c r="B39" s="1" t="s">
        <v>216</v>
      </c>
    </row>
    <row r="40" spans="1:16" s="179" customFormat="1" ht="12.75">
      <c r="A40" s="1"/>
      <c r="B40" s="300" t="s">
        <v>215</v>
      </c>
    </row>
    <row r="41" spans="1:16" s="179" customFormat="1" ht="12.75">
      <c r="A41" s="299" t="s">
        <v>214</v>
      </c>
      <c r="B41" s="564" t="s">
        <v>591</v>
      </c>
    </row>
    <row r="42" spans="1:16" s="179" customFormat="1" ht="12.75">
      <c r="A42" s="301">
        <v>4</v>
      </c>
      <c r="B42" s="302" t="s">
        <v>211</v>
      </c>
    </row>
    <row r="43" spans="1:16" s="179" customFormat="1" ht="12.75">
      <c r="B43" s="302" t="s">
        <v>210</v>
      </c>
      <c r="C43" s="303"/>
      <c r="D43" s="303"/>
      <c r="E43" s="303"/>
      <c r="F43" s="304"/>
      <c r="G43" s="304"/>
      <c r="H43" s="1"/>
      <c r="I43" s="1"/>
    </row>
    <row r="44" spans="1:16" s="179" customFormat="1" ht="12.75">
      <c r="A44" s="301" t="s">
        <v>213</v>
      </c>
      <c r="B44" s="369" t="s">
        <v>452</v>
      </c>
      <c r="C44" s="303"/>
      <c r="D44" s="303"/>
      <c r="E44" s="303"/>
      <c r="F44" s="304"/>
      <c r="G44" s="304"/>
      <c r="H44" s="1"/>
      <c r="I44" s="1"/>
    </row>
    <row r="45" spans="1:16" s="179" customFormat="1" ht="12" customHeight="1">
      <c r="B45" s="302" t="s">
        <v>402</v>
      </c>
      <c r="C45" s="303"/>
      <c r="D45" s="303"/>
      <c r="E45" s="303"/>
      <c r="F45" s="304"/>
      <c r="G45" s="304"/>
      <c r="H45" s="1"/>
      <c r="I45" s="1"/>
    </row>
    <row r="46" spans="1:16" s="179" customFormat="1" ht="12" customHeight="1">
      <c r="A46" s="301" t="s">
        <v>212</v>
      </c>
      <c r="B46" s="302" t="s">
        <v>533</v>
      </c>
      <c r="C46" s="303"/>
      <c r="D46" s="303"/>
      <c r="E46" s="303"/>
      <c r="F46" s="304"/>
      <c r="G46" s="304"/>
      <c r="H46" s="1"/>
      <c r="I46" s="1"/>
    </row>
    <row r="47" spans="1:16" s="179" customFormat="1" ht="12" customHeight="1">
      <c r="B47" s="302" t="s">
        <v>532</v>
      </c>
      <c r="C47" s="303"/>
      <c r="D47" s="303"/>
      <c r="E47" s="303"/>
      <c r="F47" s="304"/>
      <c r="G47" s="304"/>
      <c r="H47" s="1"/>
      <c r="I47" s="1"/>
    </row>
    <row r="48" spans="1:16" ht="6" customHeight="1">
      <c r="B48" s="293"/>
      <c r="C48" s="294"/>
      <c r="D48" s="294"/>
      <c r="E48" s="294"/>
      <c r="F48" s="295"/>
      <c r="G48" s="295"/>
      <c r="H48" s="85"/>
      <c r="I48" s="85"/>
    </row>
    <row r="49" spans="2:9">
      <c r="C49" s="294"/>
      <c r="D49" s="294"/>
      <c r="E49" s="294"/>
      <c r="F49" s="295"/>
      <c r="G49" s="295"/>
      <c r="H49" s="85"/>
      <c r="I49" s="85"/>
    </row>
    <row r="50" spans="2:9">
      <c r="C50" s="294"/>
      <c r="D50" s="294"/>
      <c r="E50" s="294"/>
      <c r="F50" s="295"/>
      <c r="G50" s="295"/>
      <c r="H50" s="85"/>
      <c r="I50" s="85"/>
    </row>
    <row r="51" spans="2:9">
      <c r="C51" s="294"/>
      <c r="D51" s="294"/>
      <c r="E51" s="294"/>
      <c r="F51" s="295"/>
      <c r="G51" s="295"/>
      <c r="H51" s="85"/>
      <c r="I51" s="85"/>
    </row>
    <row r="52" spans="2:9">
      <c r="C52" s="85"/>
      <c r="D52" s="85"/>
      <c r="E52" s="85"/>
      <c r="F52" s="85"/>
      <c r="G52" s="85"/>
      <c r="H52" s="85"/>
      <c r="I52" s="85"/>
    </row>
    <row r="53" spans="2:9">
      <c r="C53" s="85"/>
      <c r="D53" s="85"/>
      <c r="E53" s="85"/>
      <c r="F53" s="85"/>
      <c r="G53" s="85"/>
      <c r="H53" s="85"/>
      <c r="I53" s="85"/>
    </row>
    <row r="54" spans="2:9">
      <c r="B54" s="85"/>
      <c r="C54" s="85"/>
      <c r="D54" s="85"/>
      <c r="E54" s="85"/>
      <c r="F54" s="85"/>
      <c r="G54" s="85"/>
      <c r="H54" s="85"/>
      <c r="I54" s="85"/>
    </row>
    <row r="55" spans="2:9">
      <c r="B55" s="85"/>
      <c r="C55" s="85"/>
      <c r="D55" s="85"/>
      <c r="E55" s="85"/>
      <c r="F55" s="85"/>
      <c r="G55" s="85"/>
      <c r="H55" s="85"/>
      <c r="I55" s="85"/>
    </row>
    <row r="56" spans="2:9">
      <c r="B56" s="85"/>
      <c r="C56" s="85"/>
      <c r="D56" s="85"/>
      <c r="E56" s="85"/>
      <c r="F56" s="85"/>
      <c r="G56" s="85"/>
      <c r="H56" s="85"/>
      <c r="I56" s="85"/>
    </row>
    <row r="57" spans="2:9">
      <c r="B57" s="85"/>
      <c r="C57" s="85"/>
      <c r="D57" s="85"/>
      <c r="E57" s="85"/>
      <c r="F57" s="85"/>
      <c r="G57" s="85"/>
      <c r="H57" s="85"/>
      <c r="I57" s="85"/>
    </row>
    <row r="58" spans="2:9">
      <c r="B58" s="85"/>
      <c r="C58" s="85"/>
      <c r="D58" s="85"/>
      <c r="E58" s="85"/>
      <c r="F58" s="85"/>
      <c r="G58" s="85"/>
      <c r="H58" s="85"/>
      <c r="I58" s="85"/>
    </row>
  </sheetData>
  <phoneticPr fontId="25" type="noConversion"/>
  <pageMargins left="0.75" right="0.75" top="1" bottom="1" header="0.5" footer="0.5"/>
  <pageSetup paperSize="9" scale="66" orientation="portrait" horizontalDpi="300" verticalDpi="300" r:id="rId1"/>
  <headerFooter alignWithMargins="0">
    <oddHeader>&amp;R&amp;"Arial,Bold"&amp;14PERSONAL AND CROSS-MODAL TRAVEL</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9"/>
  <sheetViews>
    <sheetView zoomScale="75" zoomScaleNormal="75" workbookViewId="0">
      <selection activeCell="M73" sqref="M73"/>
    </sheetView>
  </sheetViews>
  <sheetFormatPr defaultRowHeight="12.75"/>
  <cols>
    <col min="1" max="1" width="28.5703125" customWidth="1"/>
    <col min="3" max="3" width="17.28515625" customWidth="1"/>
    <col min="4" max="4" width="16.140625" customWidth="1"/>
    <col min="5" max="5" width="11.140625" customWidth="1"/>
    <col min="6" max="6" width="13.7109375" customWidth="1"/>
    <col min="8" max="8" width="14.5703125" customWidth="1"/>
    <col min="9" max="9" width="13.42578125" customWidth="1"/>
    <col min="10" max="10" width="12" customWidth="1"/>
    <col min="11" max="11" width="13.140625" customWidth="1"/>
    <col min="12" max="12" width="12.28515625" customWidth="1"/>
    <col min="13" max="13" width="13" customWidth="1"/>
    <col min="14" max="14" width="11.85546875" customWidth="1"/>
  </cols>
  <sheetData>
    <row r="1" spans="1:17" ht="19.5">
      <c r="A1" s="337" t="s">
        <v>683</v>
      </c>
      <c r="B1" s="12"/>
      <c r="C1" s="12"/>
      <c r="D1" s="12"/>
      <c r="E1" s="12"/>
      <c r="F1" s="12"/>
      <c r="G1" s="12"/>
      <c r="H1" s="12"/>
      <c r="I1" s="12"/>
      <c r="J1" s="12"/>
      <c r="K1" s="12"/>
    </row>
    <row r="2" spans="1:17" ht="3.75" customHeight="1">
      <c r="A2" s="337"/>
      <c r="B2" s="12"/>
      <c r="C2" s="12"/>
      <c r="D2" s="12"/>
      <c r="E2" s="12"/>
      <c r="F2" s="12"/>
      <c r="G2" s="12"/>
      <c r="H2" s="12"/>
      <c r="I2" s="12"/>
      <c r="J2" s="12"/>
      <c r="K2" s="12"/>
    </row>
    <row r="3" spans="1:17" ht="28.5" customHeight="1">
      <c r="A3" s="643"/>
      <c r="B3" s="169"/>
      <c r="C3" s="169"/>
      <c r="D3" s="202"/>
      <c r="E3" s="202"/>
      <c r="F3" s="202"/>
      <c r="G3" s="202" t="s">
        <v>672</v>
      </c>
      <c r="H3" s="202"/>
      <c r="I3" s="202"/>
      <c r="J3" s="202"/>
      <c r="K3" s="202"/>
      <c r="L3" s="551"/>
      <c r="M3" s="629"/>
    </row>
    <row r="4" spans="1:17" ht="75.75" customHeight="1">
      <c r="A4" s="690"/>
      <c r="B4" s="692" t="s">
        <v>629</v>
      </c>
      <c r="C4" s="642"/>
      <c r="D4" s="692" t="s">
        <v>630</v>
      </c>
      <c r="E4" s="692" t="s">
        <v>631</v>
      </c>
      <c r="F4" s="692" t="s">
        <v>632</v>
      </c>
      <c r="G4" s="692" t="s">
        <v>633</v>
      </c>
      <c r="H4" s="692" t="s">
        <v>634</v>
      </c>
      <c r="I4" s="692" t="s">
        <v>635</v>
      </c>
      <c r="J4" s="692" t="s">
        <v>636</v>
      </c>
      <c r="K4" s="692" t="s">
        <v>637</v>
      </c>
      <c r="L4" s="692" t="s">
        <v>638</v>
      </c>
      <c r="M4" s="688" t="s">
        <v>688</v>
      </c>
    </row>
    <row r="5" spans="1:17" ht="15.75">
      <c r="A5" s="691"/>
      <c r="B5" s="674"/>
      <c r="C5" s="639"/>
      <c r="D5" s="674"/>
      <c r="E5" s="674"/>
      <c r="F5" s="674"/>
      <c r="G5" s="674"/>
      <c r="H5" s="674"/>
      <c r="I5" s="674"/>
      <c r="J5" s="674"/>
      <c r="K5" s="674"/>
      <c r="L5" s="674"/>
      <c r="M5" s="689"/>
    </row>
    <row r="6" spans="1:17" ht="15">
      <c r="A6" s="9"/>
      <c r="B6" s="9"/>
      <c r="C6" s="9"/>
      <c r="D6" s="9"/>
      <c r="E6" s="9"/>
      <c r="F6" s="9"/>
      <c r="G6" s="9"/>
      <c r="H6" s="9"/>
      <c r="I6" s="9"/>
      <c r="J6" s="49"/>
      <c r="K6" s="49"/>
      <c r="L6" s="49" t="s">
        <v>89</v>
      </c>
    </row>
    <row r="7" spans="1:17" ht="15" customHeight="1">
      <c r="A7" s="362" t="s">
        <v>134</v>
      </c>
      <c r="B7" s="613">
        <v>10.8</v>
      </c>
      <c r="C7" s="613"/>
      <c r="D7" s="613">
        <v>14.7</v>
      </c>
      <c r="E7" s="613">
        <v>21.6</v>
      </c>
      <c r="F7" s="613">
        <v>19.2</v>
      </c>
      <c r="G7" s="613">
        <v>17</v>
      </c>
      <c r="H7" s="613">
        <v>7.2</v>
      </c>
      <c r="I7" s="613">
        <v>3.3</v>
      </c>
      <c r="J7" s="613">
        <v>2.5</v>
      </c>
      <c r="K7" s="613">
        <v>2.2999999999999998</v>
      </c>
      <c r="L7" s="614">
        <v>12.3</v>
      </c>
      <c r="M7" s="207">
        <v>2400925</v>
      </c>
      <c r="Q7" s="323"/>
    </row>
    <row r="8" spans="1:17">
      <c r="A8" s="638" t="s">
        <v>671</v>
      </c>
    </row>
    <row r="9" spans="1:17">
      <c r="A9" s="616" t="s">
        <v>639</v>
      </c>
      <c r="H9" s="617"/>
    </row>
    <row r="10" spans="1:17" ht="15">
      <c r="A10" s="616" t="s">
        <v>640</v>
      </c>
      <c r="H10" s="617"/>
      <c r="Q10" s="323"/>
    </row>
    <row r="11" spans="1:17">
      <c r="A11" s="615" t="s">
        <v>673</v>
      </c>
    </row>
    <row r="12" spans="1:17" ht="15">
      <c r="Q12" s="323"/>
    </row>
    <row r="13" spans="1:17" ht="15">
      <c r="Q13" s="323"/>
    </row>
    <row r="14" spans="1:17" ht="19.5">
      <c r="A14" s="337" t="s">
        <v>684</v>
      </c>
      <c r="B14" s="12"/>
      <c r="C14" s="12"/>
      <c r="D14" s="12"/>
      <c r="E14" s="12"/>
      <c r="F14" s="12"/>
      <c r="G14" s="12"/>
      <c r="H14" s="12"/>
      <c r="I14" s="12"/>
      <c r="J14" s="12"/>
      <c r="K14" s="12"/>
      <c r="N14" s="323"/>
      <c r="O14" s="323"/>
      <c r="Q14" s="323"/>
    </row>
    <row r="15" spans="1:17" ht="21.75" customHeight="1">
      <c r="A15" s="643"/>
      <c r="B15" s="169"/>
      <c r="C15" s="169"/>
      <c r="D15" s="169"/>
      <c r="E15" s="169"/>
      <c r="F15" s="169"/>
      <c r="G15" s="202" t="s">
        <v>672</v>
      </c>
      <c r="H15" s="169"/>
      <c r="I15" s="169"/>
      <c r="J15" s="169"/>
      <c r="K15" s="169"/>
      <c r="L15" s="629"/>
      <c r="M15" s="629"/>
      <c r="N15" s="644"/>
      <c r="O15" s="323"/>
      <c r="Q15" s="323"/>
    </row>
    <row r="16" spans="1:17" ht="82.5" customHeight="1">
      <c r="A16" s="74"/>
      <c r="B16" s="639" t="s">
        <v>629</v>
      </c>
      <c r="C16" s="639"/>
      <c r="D16" s="618" t="s">
        <v>641</v>
      </c>
      <c r="E16" s="618" t="s">
        <v>183</v>
      </c>
      <c r="F16" s="618" t="s">
        <v>642</v>
      </c>
      <c r="G16" s="618" t="s">
        <v>643</v>
      </c>
      <c r="H16" s="618" t="s">
        <v>644</v>
      </c>
      <c r="I16" s="618" t="s">
        <v>645</v>
      </c>
      <c r="J16" s="618" t="s">
        <v>646</v>
      </c>
      <c r="K16" s="618" t="s">
        <v>12</v>
      </c>
      <c r="L16" s="618" t="s">
        <v>647</v>
      </c>
      <c r="M16" s="618" t="s">
        <v>108</v>
      </c>
      <c r="N16" s="640" t="s">
        <v>689</v>
      </c>
      <c r="O16" s="323"/>
    </row>
    <row r="17" spans="1:17" ht="15">
      <c r="A17" s="9"/>
      <c r="B17" s="9"/>
      <c r="C17" s="9"/>
      <c r="D17" s="9"/>
      <c r="E17" s="9"/>
      <c r="F17" s="9"/>
      <c r="G17" s="9"/>
      <c r="H17" s="9"/>
      <c r="I17" s="9"/>
      <c r="J17" s="49"/>
      <c r="K17" s="49"/>
      <c r="L17" s="49"/>
      <c r="M17" s="49" t="s">
        <v>89</v>
      </c>
      <c r="O17" s="323"/>
    </row>
    <row r="18" spans="1:17" ht="15.75">
      <c r="A18" s="362" t="s">
        <v>134</v>
      </c>
      <c r="B18" s="613">
        <v>10.8</v>
      </c>
      <c r="C18" s="613"/>
      <c r="D18" s="613">
        <v>0.3</v>
      </c>
      <c r="E18" s="613">
        <v>4.2</v>
      </c>
      <c r="F18" s="613">
        <v>11.2</v>
      </c>
      <c r="G18" s="613">
        <v>0.7</v>
      </c>
      <c r="H18" s="613">
        <v>62.8</v>
      </c>
      <c r="I18" s="613">
        <v>6.5</v>
      </c>
      <c r="J18" s="613">
        <v>0.3</v>
      </c>
      <c r="K18" s="613">
        <v>1.6</v>
      </c>
      <c r="L18" s="614">
        <v>11.1</v>
      </c>
      <c r="M18" s="614">
        <v>1.3</v>
      </c>
      <c r="N18" s="207">
        <v>2400925</v>
      </c>
      <c r="O18" s="323"/>
      <c r="P18" s="323"/>
      <c r="Q18" s="389"/>
    </row>
    <row r="19" spans="1:17" ht="15">
      <c r="A19" s="638" t="s">
        <v>671</v>
      </c>
      <c r="B19" s="119"/>
      <c r="C19" s="119"/>
      <c r="D19" s="645"/>
      <c r="E19" s="645"/>
      <c r="F19" s="646"/>
      <c r="G19" s="646"/>
      <c r="H19" s="645"/>
      <c r="I19" s="645"/>
      <c r="J19" s="645"/>
      <c r="K19" s="645"/>
      <c r="L19" s="647"/>
      <c r="M19" s="647"/>
      <c r="N19" s="323"/>
      <c r="O19" s="323"/>
      <c r="P19" s="323"/>
    </row>
    <row r="20" spans="1:17" ht="15">
      <c r="A20" s="616" t="s">
        <v>639</v>
      </c>
      <c r="B20" s="119"/>
      <c r="C20" s="119"/>
      <c r="D20" s="119"/>
      <c r="E20" s="119"/>
      <c r="F20" s="619"/>
      <c r="G20" s="619"/>
      <c r="H20" s="119"/>
      <c r="I20" s="119"/>
      <c r="J20" s="119"/>
      <c r="K20" s="119"/>
      <c r="L20" s="323"/>
      <c r="M20" s="323"/>
      <c r="N20" s="323"/>
      <c r="O20" s="323"/>
      <c r="P20" s="323"/>
      <c r="Q20" s="323"/>
    </row>
    <row r="21" spans="1:17" ht="15">
      <c r="A21" s="616" t="s">
        <v>640</v>
      </c>
      <c r="B21" s="35"/>
      <c r="C21" s="35"/>
      <c r="D21" s="35"/>
      <c r="E21" s="35"/>
      <c r="F21" s="238"/>
      <c r="G21" s="87"/>
      <c r="H21" s="35"/>
      <c r="I21" s="35"/>
      <c r="J21" s="35"/>
      <c r="K21" s="35"/>
      <c r="L21" s="324"/>
      <c r="M21" s="324"/>
      <c r="N21" s="388"/>
      <c r="O21" s="388"/>
      <c r="P21" s="323"/>
    </row>
    <row r="22" spans="1:17" ht="15">
      <c r="A22" s="615" t="s">
        <v>674</v>
      </c>
      <c r="B22" s="116"/>
      <c r="C22" s="116"/>
      <c r="D22" s="116"/>
      <c r="E22" s="116"/>
      <c r="F22" s="116"/>
      <c r="G22" s="116"/>
      <c r="H22" s="116"/>
      <c r="I22" s="116"/>
      <c r="J22" s="116"/>
      <c r="K22" s="116"/>
      <c r="L22" s="116"/>
      <c r="M22" s="116"/>
      <c r="N22" s="389"/>
      <c r="O22" s="389"/>
      <c r="P22" s="323"/>
      <c r="Q22" s="609"/>
    </row>
    <row r="23" spans="1:17" ht="15">
      <c r="A23" s="615"/>
      <c r="B23" s="116"/>
      <c r="C23" s="116"/>
      <c r="D23" s="116"/>
      <c r="E23" s="116"/>
      <c r="F23" s="116"/>
      <c r="G23" s="116"/>
      <c r="H23" s="116"/>
      <c r="I23" s="116"/>
      <c r="J23" s="116"/>
      <c r="K23" s="116"/>
      <c r="L23" s="116"/>
      <c r="M23" s="116"/>
      <c r="N23" s="389"/>
      <c r="O23" s="389"/>
      <c r="P23" s="323"/>
      <c r="Q23" s="609"/>
    </row>
    <row r="24" spans="1:17" ht="19.5">
      <c r="A24" s="337" t="s">
        <v>685</v>
      </c>
      <c r="B24" s="12"/>
      <c r="C24" s="12"/>
      <c r="D24" s="12"/>
      <c r="E24" s="12"/>
      <c r="F24" s="12"/>
      <c r="G24" s="12"/>
      <c r="H24" s="12"/>
      <c r="I24" s="12"/>
      <c r="J24" s="12"/>
      <c r="K24" s="12"/>
      <c r="N24" s="388"/>
      <c r="O24" s="388"/>
      <c r="P24" s="323"/>
    </row>
    <row r="25" spans="1:17" ht="6" customHeight="1">
      <c r="A25" s="337"/>
      <c r="B25" s="12"/>
      <c r="C25" s="12"/>
      <c r="D25" s="12"/>
      <c r="E25" s="12"/>
      <c r="F25" s="12"/>
      <c r="G25" s="12"/>
      <c r="H25" s="12"/>
      <c r="I25" s="12"/>
      <c r="J25" s="12"/>
      <c r="K25" s="12"/>
      <c r="N25" s="388"/>
      <c r="O25" s="388"/>
      <c r="P25" s="323"/>
    </row>
    <row r="26" spans="1:17" ht="17.25" customHeight="1">
      <c r="A26" s="643"/>
      <c r="B26" s="169"/>
      <c r="C26" s="169"/>
      <c r="D26" s="169"/>
      <c r="E26" s="169"/>
      <c r="F26" s="202" t="s">
        <v>672</v>
      </c>
      <c r="G26" s="169"/>
      <c r="H26" s="169"/>
      <c r="I26" s="169"/>
      <c r="J26" s="169"/>
      <c r="K26" s="169"/>
      <c r="N26" s="388"/>
      <c r="O26" s="388"/>
      <c r="P26" s="323"/>
    </row>
    <row r="27" spans="1:17" ht="66" customHeight="1">
      <c r="A27" s="690"/>
      <c r="B27" s="692" t="s">
        <v>629</v>
      </c>
      <c r="C27" s="642"/>
      <c r="D27" s="673" t="s">
        <v>630</v>
      </c>
      <c r="E27" s="673" t="s">
        <v>631</v>
      </c>
      <c r="F27" s="673" t="s">
        <v>632</v>
      </c>
      <c r="G27" s="673" t="s">
        <v>633</v>
      </c>
      <c r="H27" s="673" t="s">
        <v>634</v>
      </c>
      <c r="I27" s="673" t="s">
        <v>648</v>
      </c>
      <c r="J27" s="673" t="s">
        <v>108</v>
      </c>
      <c r="K27" s="688" t="s">
        <v>690</v>
      </c>
      <c r="L27" s="354"/>
      <c r="M27" s="323"/>
      <c r="N27" s="323"/>
    </row>
    <row r="28" spans="1:17" ht="15.75">
      <c r="A28" s="691"/>
      <c r="B28" s="674"/>
      <c r="C28" s="639"/>
      <c r="D28" s="674"/>
      <c r="E28" s="674"/>
      <c r="F28" s="674"/>
      <c r="G28" s="674"/>
      <c r="H28" s="674"/>
      <c r="I28" s="674"/>
      <c r="J28" s="674"/>
      <c r="K28" s="689"/>
      <c r="L28" s="620"/>
      <c r="M28" s="390"/>
      <c r="N28" s="323"/>
    </row>
    <row r="29" spans="1:17" ht="15">
      <c r="A29" s="9"/>
      <c r="B29" s="9"/>
      <c r="C29" s="9"/>
      <c r="D29" s="9"/>
      <c r="E29" s="9"/>
      <c r="F29" s="9"/>
      <c r="G29" s="9"/>
      <c r="H29" s="9"/>
      <c r="I29" s="9"/>
      <c r="J29" s="49" t="s">
        <v>89</v>
      </c>
      <c r="L29" s="621"/>
      <c r="M29" s="391"/>
      <c r="N29" s="323"/>
    </row>
    <row r="30" spans="1:17" ht="15.75">
      <c r="A30" s="622" t="s">
        <v>134</v>
      </c>
      <c r="B30" s="619">
        <v>10.7</v>
      </c>
      <c r="C30" s="619"/>
      <c r="D30" s="619">
        <v>14.6</v>
      </c>
      <c r="E30" s="619">
        <v>21.6</v>
      </c>
      <c r="F30" s="619">
        <v>19.3</v>
      </c>
      <c r="G30" s="619">
        <v>17</v>
      </c>
      <c r="H30" s="619">
        <v>7.3</v>
      </c>
      <c r="I30" s="619">
        <v>8</v>
      </c>
      <c r="J30" s="619">
        <v>12.3</v>
      </c>
      <c r="K30" s="325">
        <v>2390595</v>
      </c>
      <c r="L30" s="623"/>
      <c r="N30" s="323"/>
    </row>
    <row r="31" spans="1:17" ht="12" customHeight="1">
      <c r="B31" s="547"/>
      <c r="D31" s="547"/>
      <c r="E31" s="547"/>
      <c r="F31" s="547"/>
      <c r="G31" s="619"/>
      <c r="H31" s="619"/>
      <c r="I31" s="619"/>
      <c r="J31" s="619"/>
      <c r="K31" s="619"/>
      <c r="L31" s="354"/>
      <c r="M31" s="354"/>
      <c r="N31" s="623"/>
      <c r="P31" s="323"/>
    </row>
    <row r="32" spans="1:17" ht="31.5">
      <c r="A32" s="624" t="s">
        <v>649</v>
      </c>
      <c r="B32" s="648"/>
      <c r="C32" s="625"/>
      <c r="D32" s="648"/>
      <c r="E32" s="648"/>
      <c r="F32" s="648"/>
      <c r="G32" s="648"/>
      <c r="H32" s="648"/>
      <c r="I32" s="648"/>
      <c r="J32" s="648"/>
      <c r="K32" s="625"/>
      <c r="P32" s="388"/>
    </row>
    <row r="33" spans="1:16" ht="15.75">
      <c r="A33" s="624"/>
      <c r="B33" s="648"/>
      <c r="C33" s="625"/>
      <c r="D33" s="648"/>
      <c r="E33" s="648"/>
      <c r="F33" s="648"/>
      <c r="G33" s="648"/>
      <c r="H33" s="648"/>
      <c r="I33" s="648"/>
      <c r="J33" s="648"/>
      <c r="K33" s="625"/>
      <c r="P33" s="389"/>
    </row>
    <row r="34" spans="1:16" ht="15">
      <c r="A34" s="623" t="s">
        <v>650</v>
      </c>
      <c r="B34" s="648">
        <v>10.8</v>
      </c>
      <c r="C34" s="625"/>
      <c r="D34" s="648">
        <v>24.8</v>
      </c>
      <c r="E34" s="648">
        <v>30.9</v>
      </c>
      <c r="F34" s="648">
        <v>17.899999999999999</v>
      </c>
      <c r="G34" s="648">
        <v>9.4</v>
      </c>
      <c r="H34" s="648">
        <v>3</v>
      </c>
      <c r="I34" s="648">
        <v>3.6</v>
      </c>
      <c r="J34" s="648">
        <v>10.5</v>
      </c>
      <c r="K34" s="325">
        <v>314494</v>
      </c>
      <c r="P34" s="388"/>
    </row>
    <row r="35" spans="1:16" ht="15">
      <c r="A35" s="623" t="s">
        <v>651</v>
      </c>
      <c r="B35" s="648">
        <v>10</v>
      </c>
      <c r="C35" s="625"/>
      <c r="D35" s="648">
        <v>16.399999999999999</v>
      </c>
      <c r="E35" s="648">
        <v>23.7</v>
      </c>
      <c r="F35" s="648">
        <v>19.7</v>
      </c>
      <c r="G35" s="648">
        <v>15.9</v>
      </c>
      <c r="H35" s="648">
        <v>6.2</v>
      </c>
      <c r="I35" s="648">
        <v>6.7</v>
      </c>
      <c r="J35" s="648">
        <v>11.4</v>
      </c>
      <c r="K35" s="325">
        <v>932787</v>
      </c>
      <c r="P35" s="323"/>
    </row>
    <row r="36" spans="1:16" ht="15">
      <c r="A36" s="626" t="s">
        <v>652</v>
      </c>
      <c r="B36" s="649">
        <v>11.1</v>
      </c>
      <c r="C36" s="627"/>
      <c r="D36" s="649">
        <v>10.199999999999999</v>
      </c>
      <c r="E36" s="649">
        <v>17.3</v>
      </c>
      <c r="F36" s="649">
        <v>19.3</v>
      </c>
      <c r="G36" s="649">
        <v>20.100000000000001</v>
      </c>
      <c r="H36" s="649">
        <v>9.3000000000000007</v>
      </c>
      <c r="I36" s="649">
        <v>10.3</v>
      </c>
      <c r="J36" s="649">
        <v>13.5</v>
      </c>
      <c r="K36" s="207">
        <v>1143314</v>
      </c>
      <c r="P36" s="390"/>
    </row>
    <row r="37" spans="1:16" ht="15">
      <c r="A37" s="638" t="s">
        <v>671</v>
      </c>
      <c r="B37" s="619"/>
      <c r="C37" s="619"/>
      <c r="D37" s="619"/>
      <c r="E37" s="625"/>
      <c r="F37" s="625"/>
      <c r="G37" s="625"/>
      <c r="H37" s="625"/>
      <c r="I37" s="625"/>
      <c r="J37" s="625"/>
      <c r="K37" s="325"/>
      <c r="P37" s="391"/>
    </row>
    <row r="38" spans="1:16" ht="15">
      <c r="A38" s="1" t="s">
        <v>639</v>
      </c>
      <c r="B38" s="619"/>
      <c r="C38" s="619"/>
      <c r="D38" s="619"/>
      <c r="E38" s="625"/>
      <c r="F38" s="625"/>
      <c r="G38" s="625"/>
      <c r="H38" s="625"/>
      <c r="I38" s="625"/>
      <c r="J38" s="625"/>
      <c r="K38" s="625"/>
    </row>
    <row r="39" spans="1:16" ht="15">
      <c r="A39" s="616" t="s">
        <v>640</v>
      </c>
      <c r="B39" s="625"/>
      <c r="C39" s="625"/>
      <c r="D39" s="625"/>
      <c r="E39" s="625"/>
      <c r="F39" s="625"/>
      <c r="G39" s="625"/>
      <c r="H39" s="625"/>
      <c r="I39" s="625"/>
      <c r="J39" s="625"/>
      <c r="K39" s="625"/>
    </row>
    <row r="40" spans="1:16" ht="15">
      <c r="A40" s="657" t="s">
        <v>686</v>
      </c>
      <c r="B40" s="625"/>
      <c r="C40" s="625"/>
      <c r="D40" s="625"/>
      <c r="E40" s="625"/>
      <c r="F40" s="625"/>
      <c r="G40" s="625"/>
      <c r="H40" s="625"/>
      <c r="I40" s="625"/>
      <c r="J40" s="625"/>
      <c r="K40" s="625"/>
    </row>
    <row r="41" spans="1:16" ht="15">
      <c r="A41" s="615" t="s">
        <v>675</v>
      </c>
      <c r="B41" s="625"/>
      <c r="C41" s="625"/>
      <c r="D41" s="625"/>
      <c r="E41" s="625"/>
      <c r="F41" s="625"/>
      <c r="G41" s="625"/>
      <c r="H41" s="625"/>
      <c r="I41" s="625"/>
      <c r="J41" s="625"/>
      <c r="K41" s="625"/>
    </row>
    <row r="42" spans="1:16" ht="15">
      <c r="A42" s="615"/>
      <c r="B42" s="625"/>
      <c r="C42" s="625"/>
      <c r="D42" s="625"/>
      <c r="E42" s="625"/>
      <c r="F42" s="625"/>
      <c r="G42" s="625"/>
      <c r="H42" s="625"/>
      <c r="I42" s="625"/>
      <c r="J42" s="625"/>
      <c r="K42" s="625"/>
    </row>
    <row r="43" spans="1:16" ht="20.25" customHeight="1">
      <c r="A43" s="337" t="s">
        <v>676</v>
      </c>
      <c r="B43" s="12"/>
      <c r="C43" s="12"/>
      <c r="D43" s="12"/>
      <c r="E43" s="12"/>
      <c r="F43" s="12"/>
      <c r="G43" s="12"/>
      <c r="H43" s="12"/>
      <c r="I43" s="12"/>
      <c r="J43" s="12"/>
      <c r="K43" s="12"/>
    </row>
    <row r="44" spans="1:16" ht="3.75" customHeight="1">
      <c r="A44" s="337"/>
      <c r="B44" s="12"/>
      <c r="C44" s="12"/>
      <c r="D44" s="12"/>
      <c r="E44" s="12"/>
      <c r="F44" s="12"/>
      <c r="G44" s="12"/>
      <c r="H44" s="12"/>
      <c r="I44" s="12"/>
      <c r="J44" s="12"/>
      <c r="K44" s="12"/>
    </row>
    <row r="45" spans="1:16" ht="15.75" customHeight="1">
      <c r="A45" s="643"/>
      <c r="B45" s="169"/>
      <c r="C45" s="169"/>
      <c r="D45" s="169"/>
      <c r="E45" s="169"/>
      <c r="F45" s="169"/>
      <c r="G45" s="202" t="s">
        <v>677</v>
      </c>
      <c r="H45" s="169"/>
      <c r="I45" s="169"/>
      <c r="J45" s="169"/>
      <c r="K45" s="169"/>
      <c r="L45" s="629"/>
      <c r="M45" s="629"/>
    </row>
    <row r="46" spans="1:16" ht="65.25" customHeight="1">
      <c r="A46" s="690"/>
      <c r="B46" s="692" t="s">
        <v>653</v>
      </c>
      <c r="C46" s="642"/>
      <c r="D46" s="673" t="s">
        <v>630</v>
      </c>
      <c r="E46" s="673" t="s">
        <v>631</v>
      </c>
      <c r="F46" s="673" t="s">
        <v>632</v>
      </c>
      <c r="G46" s="673" t="s">
        <v>633</v>
      </c>
      <c r="H46" s="673" t="s">
        <v>634</v>
      </c>
      <c r="I46" s="673" t="s">
        <v>635</v>
      </c>
      <c r="J46" s="673" t="s">
        <v>636</v>
      </c>
      <c r="K46" s="673" t="s">
        <v>637</v>
      </c>
      <c r="L46" s="673" t="s">
        <v>108</v>
      </c>
      <c r="M46" s="688" t="s">
        <v>689</v>
      </c>
      <c r="N46" s="623"/>
    </row>
    <row r="47" spans="1:16" ht="15.75">
      <c r="A47" s="691"/>
      <c r="B47" s="674"/>
      <c r="C47" s="639"/>
      <c r="D47" s="674"/>
      <c r="E47" s="674"/>
      <c r="F47" s="674"/>
      <c r="G47" s="674"/>
      <c r="H47" s="674"/>
      <c r="I47" s="674"/>
      <c r="J47" s="674"/>
      <c r="K47" s="674"/>
      <c r="L47" s="674"/>
      <c r="M47" s="688"/>
      <c r="N47" s="623"/>
    </row>
    <row r="48" spans="1:16" ht="15">
      <c r="A48" s="9"/>
      <c r="B48" s="9"/>
      <c r="C48" s="9"/>
      <c r="D48" s="9"/>
      <c r="E48" s="9"/>
      <c r="F48" s="9"/>
      <c r="G48" s="9"/>
      <c r="H48" s="169"/>
      <c r="I48" s="169"/>
      <c r="J48" s="628"/>
      <c r="K48" s="628"/>
      <c r="L48" s="628" t="s">
        <v>89</v>
      </c>
      <c r="M48" s="629"/>
      <c r="N48" s="623"/>
    </row>
    <row r="49" spans="1:17" ht="15.75">
      <c r="A49" s="622" t="s">
        <v>134</v>
      </c>
      <c r="B49" s="619">
        <v>12.4</v>
      </c>
      <c r="C49" s="619"/>
      <c r="D49" s="619">
        <v>49.3</v>
      </c>
      <c r="E49" s="619">
        <v>23.4</v>
      </c>
      <c r="F49" s="619">
        <v>11.7</v>
      </c>
      <c r="G49" s="619">
        <v>7.5</v>
      </c>
      <c r="H49" s="619">
        <v>2.7</v>
      </c>
      <c r="I49" s="619">
        <v>1.4</v>
      </c>
      <c r="J49" s="619">
        <v>1.2</v>
      </c>
      <c r="K49" s="619">
        <v>1</v>
      </c>
      <c r="L49" s="354">
        <v>1.7</v>
      </c>
      <c r="M49" s="325">
        <v>996282</v>
      </c>
      <c r="N49" s="623"/>
    </row>
    <row r="50" spans="1:17" ht="15">
      <c r="G50" s="619"/>
      <c r="H50" s="619"/>
      <c r="I50" s="619"/>
      <c r="J50" s="619"/>
      <c r="K50" s="619"/>
      <c r="L50" s="625"/>
      <c r="M50" s="325"/>
      <c r="N50" s="625"/>
    </row>
    <row r="51" spans="1:17" ht="15.75">
      <c r="A51" s="624" t="s">
        <v>654</v>
      </c>
      <c r="B51" s="625"/>
      <c r="C51" s="625"/>
      <c r="D51" s="625"/>
      <c r="E51" s="625"/>
      <c r="F51" s="625"/>
      <c r="G51" s="625"/>
      <c r="H51" s="625"/>
      <c r="I51" s="625"/>
      <c r="J51" s="625"/>
      <c r="K51" s="625"/>
      <c r="L51" s="625"/>
      <c r="M51" s="325"/>
      <c r="N51" s="625"/>
    </row>
    <row r="52" spans="1:17" ht="15">
      <c r="A52" s="623" t="s">
        <v>655</v>
      </c>
      <c r="B52" s="625">
        <v>11.8</v>
      </c>
      <c r="C52" s="625"/>
      <c r="D52" s="648">
        <v>72.3</v>
      </c>
      <c r="E52" s="648">
        <v>15.9</v>
      </c>
      <c r="F52" s="648">
        <v>6.3</v>
      </c>
      <c r="G52" s="648">
        <v>2.9</v>
      </c>
      <c r="H52" s="648">
        <v>0.9</v>
      </c>
      <c r="I52" s="648">
        <v>0.4</v>
      </c>
      <c r="J52" s="648">
        <v>0.4</v>
      </c>
      <c r="K52" s="648">
        <v>0.4</v>
      </c>
      <c r="L52" s="625">
        <v>0.4</v>
      </c>
      <c r="M52" s="325">
        <v>386410</v>
      </c>
    </row>
    <row r="53" spans="1:17" ht="15">
      <c r="A53" s="623" t="s">
        <v>656</v>
      </c>
      <c r="B53" s="625">
        <v>11.1</v>
      </c>
      <c r="C53" s="625"/>
      <c r="D53" s="648">
        <v>42</v>
      </c>
      <c r="E53" s="648">
        <v>32</v>
      </c>
      <c r="F53" s="648">
        <v>13.6</v>
      </c>
      <c r="G53" s="648">
        <v>8</v>
      </c>
      <c r="H53" s="648">
        <v>2</v>
      </c>
      <c r="I53" s="648">
        <v>0.8</v>
      </c>
      <c r="J53" s="648">
        <v>0.5</v>
      </c>
      <c r="K53" s="598">
        <v>0.6</v>
      </c>
      <c r="L53" s="625">
        <v>0.4</v>
      </c>
      <c r="M53" s="325">
        <v>241975</v>
      </c>
    </row>
    <row r="54" spans="1:17" ht="15">
      <c r="A54" s="623" t="s">
        <v>657</v>
      </c>
      <c r="B54" s="625">
        <v>10.7</v>
      </c>
      <c r="C54" s="625"/>
      <c r="D54" s="648">
        <v>34.200000000000003</v>
      </c>
      <c r="E54" s="648">
        <v>30.6</v>
      </c>
      <c r="F54" s="648">
        <v>15.8</v>
      </c>
      <c r="G54" s="648">
        <v>10.9</v>
      </c>
      <c r="H54" s="648">
        <v>3.8</v>
      </c>
      <c r="I54" s="648">
        <v>1.6</v>
      </c>
      <c r="J54" s="648">
        <v>1.2</v>
      </c>
      <c r="K54" s="598">
        <v>1.1000000000000001</v>
      </c>
      <c r="L54" s="625">
        <v>0.7</v>
      </c>
      <c r="M54" s="325">
        <v>101169</v>
      </c>
    </row>
    <row r="55" spans="1:17" ht="15">
      <c r="A55" s="626" t="s">
        <v>658</v>
      </c>
      <c r="B55" s="627">
        <v>15.2</v>
      </c>
      <c r="C55" s="627"/>
      <c r="D55" s="649">
        <v>27.6</v>
      </c>
      <c r="E55" s="649">
        <v>23.5</v>
      </c>
      <c r="F55" s="649">
        <v>16.399999999999999</v>
      </c>
      <c r="G55" s="649">
        <v>12.4</v>
      </c>
      <c r="H55" s="649">
        <v>5.8</v>
      </c>
      <c r="I55" s="649">
        <v>3.5</v>
      </c>
      <c r="J55" s="649">
        <v>3</v>
      </c>
      <c r="K55" s="219">
        <v>2.2999999999999998</v>
      </c>
      <c r="L55" s="627">
        <v>5.2</v>
      </c>
      <c r="M55" s="207">
        <v>266728</v>
      </c>
    </row>
    <row r="56" spans="1:17" ht="15">
      <c r="A56" s="638" t="s">
        <v>671</v>
      </c>
      <c r="B56" s="619"/>
      <c r="C56" s="619"/>
      <c r="D56" s="619"/>
      <c r="E56" s="625"/>
      <c r="F56" s="625"/>
      <c r="G56" s="625"/>
      <c r="H56" s="625"/>
      <c r="I56" s="625"/>
      <c r="J56" s="625"/>
      <c r="K56" s="325"/>
    </row>
    <row r="57" spans="1:17" ht="15">
      <c r="A57" s="1" t="s">
        <v>687</v>
      </c>
      <c r="B57" s="619"/>
      <c r="C57" s="619"/>
      <c r="D57" s="619"/>
      <c r="E57" s="625"/>
      <c r="F57" s="625"/>
      <c r="G57" s="625"/>
      <c r="H57" s="625"/>
      <c r="I57" s="625"/>
      <c r="J57" s="625"/>
      <c r="K57" s="625"/>
    </row>
    <row r="58" spans="1:17" ht="17.25" customHeight="1">
      <c r="A58" s="615" t="s">
        <v>678</v>
      </c>
    </row>
    <row r="59" spans="1:17" ht="11.25" customHeight="1">
      <c r="A59" s="615"/>
    </row>
    <row r="60" spans="1:17" ht="16.5">
      <c r="A60" s="337" t="s">
        <v>659</v>
      </c>
      <c r="B60" s="12"/>
      <c r="C60" s="12"/>
      <c r="D60" s="12"/>
      <c r="E60" s="12"/>
      <c r="F60" s="12"/>
      <c r="G60" s="12"/>
      <c r="H60" s="12"/>
      <c r="I60" s="12"/>
      <c r="J60" s="12"/>
      <c r="K60" s="12"/>
      <c r="M60" s="2"/>
    </row>
    <row r="61" spans="1:17" ht="16.5">
      <c r="A61" s="643"/>
      <c r="B61" s="169"/>
      <c r="C61" s="169"/>
      <c r="D61" s="169"/>
      <c r="E61" s="169"/>
      <c r="F61" s="202" t="s">
        <v>677</v>
      </c>
      <c r="G61" s="169"/>
      <c r="H61" s="169"/>
      <c r="I61" s="169"/>
      <c r="J61" s="169"/>
      <c r="K61" s="169"/>
      <c r="M61" s="2"/>
    </row>
    <row r="62" spans="1:17" ht="78.75">
      <c r="A62" s="74"/>
      <c r="B62" s="639" t="s">
        <v>653</v>
      </c>
      <c r="C62" s="639"/>
      <c r="D62" s="618" t="s">
        <v>660</v>
      </c>
      <c r="E62" s="618" t="s">
        <v>642</v>
      </c>
      <c r="F62" s="618" t="s">
        <v>644</v>
      </c>
      <c r="G62" s="618" t="s">
        <v>645</v>
      </c>
      <c r="H62" s="618" t="s">
        <v>12</v>
      </c>
      <c r="I62" s="618" t="s">
        <v>647</v>
      </c>
      <c r="J62" s="618" t="s">
        <v>108</v>
      </c>
      <c r="K62" s="640" t="s">
        <v>688</v>
      </c>
      <c r="M62" s="2"/>
    </row>
    <row r="63" spans="1:17" ht="15">
      <c r="A63" s="9"/>
      <c r="B63" s="9"/>
      <c r="C63" s="9"/>
      <c r="D63" s="9"/>
      <c r="E63" s="9"/>
      <c r="F63" s="9"/>
      <c r="G63" s="9"/>
      <c r="H63" s="49"/>
      <c r="I63" s="49"/>
      <c r="J63" s="49" t="s">
        <v>89</v>
      </c>
      <c r="M63" s="2"/>
      <c r="N63" s="2"/>
      <c r="O63" s="2"/>
      <c r="P63" s="2"/>
      <c r="Q63" s="2"/>
    </row>
    <row r="64" spans="1:17" ht="15.75">
      <c r="A64" s="622" t="s">
        <v>661</v>
      </c>
      <c r="B64" s="9"/>
      <c r="C64" s="9"/>
      <c r="D64" s="9"/>
      <c r="E64" s="9"/>
      <c r="F64" s="9"/>
      <c r="G64" s="9"/>
      <c r="H64" s="33"/>
      <c r="I64" s="33"/>
      <c r="J64" s="33"/>
      <c r="M64" s="2"/>
      <c r="N64" s="2"/>
      <c r="O64" s="2"/>
      <c r="P64" s="2"/>
      <c r="Q64" s="2"/>
    </row>
    <row r="65" spans="1:17" ht="15">
      <c r="A65" s="217" t="s">
        <v>662</v>
      </c>
      <c r="B65" s="56">
        <v>12.439148755071356</v>
      </c>
      <c r="C65" s="56"/>
      <c r="D65" s="56">
        <v>3.6947199126958932</v>
      </c>
      <c r="E65" s="56">
        <v>24.551643658014587</v>
      </c>
      <c r="F65" s="56">
        <v>5.2664460373266326</v>
      </c>
      <c r="G65" s="56">
        <v>19.124712129149554</v>
      </c>
      <c r="H65" s="630">
        <v>1.1889682273116502</v>
      </c>
      <c r="I65" s="630">
        <v>44.659902585306639</v>
      </c>
      <c r="J65" s="630">
        <v>1.5136074501950472</v>
      </c>
      <c r="K65" s="650">
        <v>996282</v>
      </c>
      <c r="M65" s="2"/>
      <c r="N65" s="2"/>
      <c r="O65" s="2"/>
      <c r="P65" s="2"/>
      <c r="Q65" s="2"/>
    </row>
    <row r="66" spans="1:17" ht="15">
      <c r="A66" s="651"/>
      <c r="B66" s="56"/>
      <c r="C66" s="56"/>
      <c r="D66" s="56"/>
      <c r="E66" s="56"/>
      <c r="F66" s="56"/>
      <c r="G66" s="56"/>
      <c r="H66" s="630"/>
      <c r="I66" s="630"/>
      <c r="J66" s="630"/>
      <c r="K66" s="650"/>
      <c r="M66" s="2"/>
      <c r="N66" s="631"/>
      <c r="O66" s="631"/>
      <c r="P66" s="687"/>
      <c r="Q66" s="687"/>
    </row>
    <row r="67" spans="1:17" ht="15">
      <c r="A67" s="651" t="s">
        <v>663</v>
      </c>
      <c r="B67" s="632"/>
      <c r="C67" s="632"/>
      <c r="D67" s="632">
        <v>0.30585947675933162</v>
      </c>
      <c r="E67" s="632">
        <v>6.2183673849131029</v>
      </c>
      <c r="F67" s="632">
        <v>0.83779911428677767</v>
      </c>
      <c r="G67" s="632">
        <v>17.265360425737782</v>
      </c>
      <c r="H67" s="632">
        <v>1.2252986491012616</v>
      </c>
      <c r="I67" s="633">
        <v>73.300212124595291</v>
      </c>
      <c r="J67" s="633">
        <v>0.84710282460645303</v>
      </c>
      <c r="K67" s="650">
        <v>429936</v>
      </c>
      <c r="M67" s="2"/>
      <c r="N67" s="631"/>
      <c r="O67" s="631"/>
      <c r="P67" s="687"/>
      <c r="Q67" s="687"/>
    </row>
    <row r="68" spans="1:17" ht="15">
      <c r="A68" s="651" t="s">
        <v>664</v>
      </c>
      <c r="B68" s="632"/>
      <c r="C68" s="632"/>
      <c r="D68" s="632">
        <v>2.5595001642905837</v>
      </c>
      <c r="E68" s="632">
        <v>40.930914583609194</v>
      </c>
      <c r="F68" s="632">
        <v>4.5888566846650676</v>
      </c>
      <c r="G68" s="632">
        <v>26.228623833414254</v>
      </c>
      <c r="H68" s="632">
        <v>1.6321166021764824</v>
      </c>
      <c r="I68" s="632">
        <v>22.215519820310238</v>
      </c>
      <c r="J68" s="632">
        <v>1.8444683115341798</v>
      </c>
      <c r="K68" s="650">
        <v>203907</v>
      </c>
      <c r="L68" s="323"/>
      <c r="M68" s="2"/>
      <c r="N68" s="631"/>
      <c r="O68" s="631"/>
      <c r="P68" s="631"/>
      <c r="Q68" s="631"/>
    </row>
    <row r="69" spans="1:17" ht="15">
      <c r="A69" s="651" t="s">
        <v>665</v>
      </c>
      <c r="B69" s="648"/>
      <c r="C69" s="648"/>
      <c r="D69" s="648">
        <v>6.1479177669542082</v>
      </c>
      <c r="E69" s="648">
        <v>52.122332413981965</v>
      </c>
      <c r="F69" s="648">
        <v>9.437043991941005</v>
      </c>
      <c r="G69" s="648">
        <v>20.172916299904152</v>
      </c>
      <c r="H69" s="648">
        <v>0.75699782876591748</v>
      </c>
      <c r="I69" s="648">
        <v>8.9754122410656656</v>
      </c>
      <c r="J69" s="648">
        <v>2.3873794573870861</v>
      </c>
      <c r="K69" s="650">
        <v>102246</v>
      </c>
      <c r="M69" s="2"/>
      <c r="N69" s="637"/>
      <c r="O69" s="641"/>
      <c r="P69" s="652"/>
      <c r="Q69" s="652"/>
    </row>
    <row r="70" spans="1:17" ht="30">
      <c r="A70" s="651" t="s">
        <v>666</v>
      </c>
      <c r="B70" s="648"/>
      <c r="C70" s="648"/>
      <c r="D70" s="648">
        <v>11.529776808343959</v>
      </c>
      <c r="E70" s="648">
        <v>46.185158446106819</v>
      </c>
      <c r="F70" s="648">
        <v>14.651080628561775</v>
      </c>
      <c r="G70" s="648">
        <v>16.411422251578315</v>
      </c>
      <c r="H70" s="648">
        <v>0.31950354065221731</v>
      </c>
      <c r="I70" s="648">
        <v>8.2794427120935161</v>
      </c>
      <c r="J70" s="648">
        <v>2.6236156126634</v>
      </c>
      <c r="K70" s="650">
        <v>65101</v>
      </c>
      <c r="M70" s="2"/>
      <c r="N70" s="637"/>
      <c r="O70" s="641"/>
      <c r="P70" s="652"/>
      <c r="Q70" s="652"/>
    </row>
    <row r="71" spans="1:17" ht="30">
      <c r="A71" s="651" t="s">
        <v>667</v>
      </c>
      <c r="B71" s="648"/>
      <c r="C71" s="648"/>
      <c r="D71" s="648">
        <v>17.935467607764053</v>
      </c>
      <c r="E71" s="648">
        <v>35.698680783127465</v>
      </c>
      <c r="F71" s="648">
        <v>20.527686749012688</v>
      </c>
      <c r="G71" s="648">
        <v>14.477774976892698</v>
      </c>
      <c r="H71" s="648">
        <v>0.30249558860599951</v>
      </c>
      <c r="I71" s="648">
        <v>8.9236198638769846</v>
      </c>
      <c r="J71" s="648">
        <v>2.1342744307201076</v>
      </c>
      <c r="K71" s="650">
        <v>23802</v>
      </c>
      <c r="M71" s="2"/>
      <c r="N71" s="637"/>
      <c r="O71" s="641"/>
      <c r="P71" s="652"/>
      <c r="Q71" s="652"/>
    </row>
    <row r="72" spans="1:17" ht="30">
      <c r="A72" s="651" t="s">
        <v>668</v>
      </c>
      <c r="B72" s="648"/>
      <c r="C72" s="648"/>
      <c r="D72" s="648">
        <v>25.527970336933741</v>
      </c>
      <c r="E72" s="648">
        <v>29.68724810575528</v>
      </c>
      <c r="F72" s="648">
        <v>20.933419313235532</v>
      </c>
      <c r="G72" s="648">
        <v>11.575044333387071</v>
      </c>
      <c r="H72" s="648">
        <v>0.37884894405932612</v>
      </c>
      <c r="I72" s="648">
        <v>10.124133483798161</v>
      </c>
      <c r="J72" s="648">
        <v>1.7733354828308883</v>
      </c>
      <c r="K72" s="650">
        <v>12406</v>
      </c>
      <c r="M72" s="2"/>
      <c r="N72" s="637"/>
      <c r="O72" s="641"/>
      <c r="P72" s="652"/>
      <c r="Q72" s="652"/>
    </row>
    <row r="73" spans="1:17" ht="30">
      <c r="A73" s="651" t="s">
        <v>669</v>
      </c>
      <c r="B73" s="648"/>
      <c r="C73" s="648"/>
      <c r="D73" s="648">
        <v>23.324159622567329</v>
      </c>
      <c r="E73" s="648">
        <v>27.668566935325341</v>
      </c>
      <c r="F73" s="648">
        <v>22.783565952427757</v>
      </c>
      <c r="G73" s="648">
        <v>10.674267741301357</v>
      </c>
      <c r="H73" s="648">
        <v>0.45213288775309607</v>
      </c>
      <c r="I73" s="648">
        <v>13.328091212895615</v>
      </c>
      <c r="J73" s="648">
        <v>1.7692156477295065</v>
      </c>
      <c r="K73" s="650">
        <v>10174</v>
      </c>
      <c r="M73" s="2"/>
      <c r="N73" s="637"/>
      <c r="O73" s="641"/>
      <c r="P73" s="652"/>
      <c r="Q73" s="652"/>
    </row>
    <row r="74" spans="1:17" ht="15">
      <c r="A74" s="651" t="s">
        <v>670</v>
      </c>
      <c r="B74" s="648"/>
      <c r="C74" s="648"/>
      <c r="D74" s="648">
        <v>14.143484626647146</v>
      </c>
      <c r="E74" s="648">
        <v>25.163494387506102</v>
      </c>
      <c r="F74" s="648">
        <v>15.597852611029769</v>
      </c>
      <c r="G74" s="648">
        <v>10.746705710102489</v>
      </c>
      <c r="H74" s="648">
        <v>1.5519765739385067</v>
      </c>
      <c r="I74" s="648">
        <v>30.717423133235727</v>
      </c>
      <c r="J74" s="648">
        <v>2.0790629575402635</v>
      </c>
      <c r="K74" s="650">
        <v>10245</v>
      </c>
      <c r="M74" s="2"/>
      <c r="N74" s="637"/>
      <c r="O74" s="641"/>
      <c r="P74" s="652"/>
      <c r="Q74" s="652"/>
    </row>
    <row r="75" spans="1:17" ht="15">
      <c r="A75" s="653" t="s">
        <v>679</v>
      </c>
      <c r="B75" s="649"/>
      <c r="C75" s="649"/>
      <c r="D75" s="649">
        <v>4.4510181618051732</v>
      </c>
      <c r="E75" s="649">
        <v>20.968629609246008</v>
      </c>
      <c r="F75" s="649">
        <v>16.490093560814529</v>
      </c>
      <c r="G75" s="649">
        <v>5.1183269124931208</v>
      </c>
      <c r="H75" s="649">
        <v>3.2333516785910845</v>
      </c>
      <c r="I75" s="649">
        <v>46.085580627407815</v>
      </c>
      <c r="J75" s="649">
        <v>3.6529994496422677</v>
      </c>
      <c r="K75" s="654">
        <v>14536</v>
      </c>
      <c r="M75" s="2"/>
      <c r="N75" s="637"/>
      <c r="O75" s="641"/>
      <c r="P75" s="652"/>
      <c r="Q75" s="652"/>
    </row>
    <row r="76" spans="1:17" ht="15">
      <c r="A76" s="638" t="s">
        <v>671</v>
      </c>
      <c r="B76" s="625"/>
      <c r="C76" s="625"/>
      <c r="D76" s="625"/>
      <c r="E76" s="625"/>
      <c r="F76" s="625"/>
      <c r="G76" s="625"/>
      <c r="H76" s="625"/>
      <c r="I76" s="625"/>
      <c r="J76" s="625"/>
      <c r="M76" s="2"/>
      <c r="N76" s="637"/>
      <c r="O76" s="641"/>
      <c r="P76" s="652"/>
      <c r="Q76" s="652"/>
    </row>
    <row r="77" spans="1:17" ht="15">
      <c r="A77" s="1" t="s">
        <v>687</v>
      </c>
      <c r="B77" s="625"/>
      <c r="C77" s="625"/>
      <c r="D77" s="625"/>
      <c r="E77" s="625"/>
      <c r="F77" s="625"/>
      <c r="G77" s="625"/>
      <c r="H77" s="625"/>
      <c r="I77" s="625"/>
      <c r="J77" s="625"/>
      <c r="M77" s="2"/>
      <c r="N77" s="637"/>
      <c r="O77" s="641"/>
      <c r="P77" s="652"/>
      <c r="Q77" s="652"/>
    </row>
    <row r="78" spans="1:17">
      <c r="A78" s="615" t="s">
        <v>678</v>
      </c>
      <c r="B78" s="641"/>
      <c r="C78" s="641"/>
      <c r="D78" s="634"/>
      <c r="E78" s="635"/>
      <c r="F78" s="636"/>
      <c r="G78" s="636"/>
      <c r="H78" s="636"/>
      <c r="I78" s="636"/>
      <c r="J78" s="635"/>
      <c r="K78" s="636"/>
      <c r="L78" s="637"/>
      <c r="M78" s="2"/>
      <c r="N78" s="637"/>
      <c r="O78" s="641"/>
      <c r="P78" s="652"/>
      <c r="Q78" s="652"/>
    </row>
    <row r="79" spans="1:17">
      <c r="A79" s="656"/>
      <c r="B79" s="641"/>
      <c r="C79" s="641"/>
      <c r="D79" s="634"/>
      <c r="E79" s="635"/>
      <c r="F79" s="635"/>
      <c r="G79" s="636"/>
      <c r="H79" s="636"/>
      <c r="I79" s="635"/>
      <c r="J79" s="635"/>
      <c r="K79" s="636"/>
      <c r="L79" s="637"/>
      <c r="M79" s="2"/>
      <c r="N79" s="637"/>
      <c r="O79" s="641"/>
      <c r="P79" s="652"/>
      <c r="Q79" s="652"/>
    </row>
  </sheetData>
  <mergeCells count="36">
    <mergeCell ref="K46:K47"/>
    <mergeCell ref="L46:L47"/>
    <mergeCell ref="M46:M47"/>
    <mergeCell ref="K4:K5"/>
    <mergeCell ref="A4:A5"/>
    <mergeCell ref="B4:B5"/>
    <mergeCell ref="D4:D5"/>
    <mergeCell ref="E4:E5"/>
    <mergeCell ref="L4:L5"/>
    <mergeCell ref="H27:H28"/>
    <mergeCell ref="J27:J28"/>
    <mergeCell ref="F4:F5"/>
    <mergeCell ref="G4:G5"/>
    <mergeCell ref="H4:H5"/>
    <mergeCell ref="I4:I5"/>
    <mergeCell ref="J4:J5"/>
    <mergeCell ref="I46:I47"/>
    <mergeCell ref="J46:J47"/>
    <mergeCell ref="M4:M5"/>
    <mergeCell ref="A27:A28"/>
    <mergeCell ref="B27:B28"/>
    <mergeCell ref="D27:D28"/>
    <mergeCell ref="E27:E28"/>
    <mergeCell ref="F27:F28"/>
    <mergeCell ref="G27:G28"/>
    <mergeCell ref="I27:I28"/>
    <mergeCell ref="P66:P67"/>
    <mergeCell ref="Q66:Q67"/>
    <mergeCell ref="K27:K28"/>
    <mergeCell ref="A46:A47"/>
    <mergeCell ref="B46:B47"/>
    <mergeCell ref="D46:D47"/>
    <mergeCell ref="E46:E47"/>
    <mergeCell ref="F46:F47"/>
    <mergeCell ref="G46:G47"/>
    <mergeCell ref="H46:H47"/>
  </mergeCells>
  <pageMargins left="0.7" right="0.7" top="0.75" bottom="0.75" header="0.3" footer="0.3"/>
  <pageSetup paperSize="9" scale="47"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5:B76"/>
  <sheetViews>
    <sheetView workbookViewId="0"/>
  </sheetViews>
  <sheetFormatPr defaultRowHeight="12.75"/>
  <cols>
    <col min="1" max="1" width="4.140625" customWidth="1"/>
  </cols>
  <sheetData>
    <row r="35" spans="2:2" ht="13.5" customHeight="1"/>
    <row r="36" spans="2:2" ht="13.5" customHeight="1">
      <c r="B36" s="7"/>
    </row>
    <row r="76" spans="2:2">
      <c r="B76" s="7"/>
    </row>
  </sheetData>
  <phoneticPr fontId="25" type="noConversion"/>
  <pageMargins left="0.75" right="0.75" top="1" bottom="1" header="0.5" footer="0.5"/>
  <pageSetup paperSize="9" scale="74" orientation="portrait" horizontalDpi="300" verticalDpi="300" r:id="rId1"/>
  <headerFooter alignWithMargins="0">
    <oddHeader>&amp;R&amp;"Arial,Bold"&amp;14PERSONAL AND CROSS-MODAL TRAVEL</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H57"/>
  <sheetViews>
    <sheetView workbookViewId="0"/>
  </sheetViews>
  <sheetFormatPr defaultRowHeight="12.75"/>
  <cols>
    <col min="1" max="1" width="17" customWidth="1"/>
    <col min="2" max="2" width="19.28515625" customWidth="1"/>
    <col min="7" max="7" width="17.42578125" bestFit="1" customWidth="1"/>
    <col min="8" max="8" width="10.5703125" customWidth="1"/>
  </cols>
  <sheetData>
    <row r="4" spans="1:8" ht="25.5">
      <c r="B4" s="89" t="s">
        <v>232</v>
      </c>
      <c r="C4" s="89" t="s">
        <v>233</v>
      </c>
      <c r="D4" s="89" t="s">
        <v>230</v>
      </c>
      <c r="E4" s="89" t="s">
        <v>231</v>
      </c>
      <c r="G4" s="89" t="s">
        <v>306</v>
      </c>
      <c r="H4" s="89" t="s">
        <v>534</v>
      </c>
    </row>
    <row r="5" spans="1:8">
      <c r="A5" s="320"/>
      <c r="B5" s="494">
        <v>41280</v>
      </c>
      <c r="C5" s="471">
        <v>13333</v>
      </c>
      <c r="D5" s="471">
        <v>13052</v>
      </c>
      <c r="E5" s="471">
        <v>281</v>
      </c>
      <c r="F5" s="326"/>
      <c r="G5" s="470">
        <v>41305</v>
      </c>
      <c r="H5" s="472">
        <v>1002010</v>
      </c>
    </row>
    <row r="6" spans="1:8">
      <c r="A6" s="320"/>
      <c r="B6" s="494">
        <f>B5+7</f>
        <v>41287</v>
      </c>
      <c r="C6" s="471">
        <v>5113</v>
      </c>
      <c r="D6" s="471">
        <v>5001</v>
      </c>
      <c r="E6" s="471">
        <v>112</v>
      </c>
      <c r="F6" s="326"/>
      <c r="G6" s="470">
        <v>41333</v>
      </c>
      <c r="H6" s="472">
        <v>960679</v>
      </c>
    </row>
    <row r="7" spans="1:8">
      <c r="A7" s="320"/>
      <c r="B7" s="494">
        <f t="shared" ref="B7:B56" si="0">B6+7</f>
        <v>41294</v>
      </c>
      <c r="C7" s="471">
        <v>5602</v>
      </c>
      <c r="D7" s="471">
        <v>5436</v>
      </c>
      <c r="E7" s="471">
        <v>166</v>
      </c>
      <c r="F7" s="326"/>
      <c r="G7" s="470">
        <v>41364</v>
      </c>
      <c r="H7" s="472">
        <v>1133326</v>
      </c>
    </row>
    <row r="8" spans="1:8">
      <c r="A8" s="320"/>
      <c r="B8" s="494">
        <f t="shared" si="0"/>
        <v>41301</v>
      </c>
      <c r="C8" s="471">
        <v>7760</v>
      </c>
      <c r="D8" s="471">
        <v>7615</v>
      </c>
      <c r="E8" s="471">
        <v>145</v>
      </c>
      <c r="F8" s="326"/>
      <c r="G8" s="470">
        <v>41394</v>
      </c>
      <c r="H8" s="472">
        <v>996407</v>
      </c>
    </row>
    <row r="9" spans="1:8">
      <c r="A9" s="320"/>
      <c r="B9" s="494">
        <f t="shared" si="0"/>
        <v>41308</v>
      </c>
      <c r="C9" s="471">
        <v>5503</v>
      </c>
      <c r="D9" s="471">
        <v>5336</v>
      </c>
      <c r="E9" s="471">
        <v>167</v>
      </c>
      <c r="F9" s="326"/>
      <c r="G9" s="470">
        <v>41425</v>
      </c>
      <c r="H9" s="472">
        <v>1122770</v>
      </c>
    </row>
    <row r="10" spans="1:8">
      <c r="A10" s="320"/>
      <c r="B10" s="494">
        <f t="shared" si="0"/>
        <v>41315</v>
      </c>
      <c r="C10" s="471">
        <v>6179</v>
      </c>
      <c r="D10" s="471">
        <v>6010</v>
      </c>
      <c r="E10" s="471">
        <v>169</v>
      </c>
      <c r="F10" s="326"/>
      <c r="G10" s="470">
        <v>41455</v>
      </c>
      <c r="H10" s="472">
        <v>980588</v>
      </c>
    </row>
    <row r="11" spans="1:8">
      <c r="A11" s="320"/>
      <c r="B11" s="494">
        <f t="shared" si="0"/>
        <v>41322</v>
      </c>
      <c r="C11" s="471">
        <v>6231</v>
      </c>
      <c r="D11" s="471">
        <v>6096</v>
      </c>
      <c r="E11" s="471">
        <v>135</v>
      </c>
      <c r="F11" s="326"/>
      <c r="G11" s="470">
        <v>41486</v>
      </c>
      <c r="H11" s="472">
        <v>953943</v>
      </c>
    </row>
    <row r="12" spans="1:8">
      <c r="A12" s="320"/>
      <c r="B12" s="494">
        <f t="shared" si="0"/>
        <v>41329</v>
      </c>
      <c r="C12" s="471">
        <v>5446</v>
      </c>
      <c r="D12" s="471">
        <v>5327</v>
      </c>
      <c r="E12" s="471">
        <v>119</v>
      </c>
      <c r="F12" s="326"/>
      <c r="G12" s="470">
        <v>41517</v>
      </c>
      <c r="H12" s="472">
        <v>1087251</v>
      </c>
    </row>
    <row r="13" spans="1:8">
      <c r="A13" s="320"/>
      <c r="B13" s="494">
        <f t="shared" si="0"/>
        <v>41336</v>
      </c>
      <c r="C13" s="471">
        <v>5650</v>
      </c>
      <c r="D13" s="471">
        <v>5515</v>
      </c>
      <c r="E13" s="471">
        <v>135</v>
      </c>
      <c r="F13" s="326"/>
      <c r="G13" s="470">
        <v>41547</v>
      </c>
      <c r="H13" s="472">
        <v>1127481</v>
      </c>
    </row>
    <row r="14" spans="1:8">
      <c r="A14" s="320"/>
      <c r="B14" s="494">
        <f t="shared" si="0"/>
        <v>41343</v>
      </c>
      <c r="C14" s="471">
        <v>5305</v>
      </c>
      <c r="D14" s="471">
        <v>5192</v>
      </c>
      <c r="E14" s="471">
        <v>113</v>
      </c>
      <c r="F14" s="326"/>
      <c r="G14" s="470">
        <v>41578</v>
      </c>
      <c r="H14" s="472">
        <v>1068146</v>
      </c>
    </row>
    <row r="15" spans="1:8">
      <c r="A15" s="320"/>
      <c r="B15" s="494">
        <f t="shared" si="0"/>
        <v>41350</v>
      </c>
      <c r="C15" s="471">
        <v>6086</v>
      </c>
      <c r="D15" s="471">
        <v>5930</v>
      </c>
      <c r="E15" s="471">
        <v>156</v>
      </c>
      <c r="F15" s="326"/>
      <c r="G15" s="470">
        <v>41608</v>
      </c>
      <c r="H15" s="472">
        <v>1052448</v>
      </c>
    </row>
    <row r="16" spans="1:8">
      <c r="A16" s="320"/>
      <c r="B16" s="494">
        <f t="shared" si="0"/>
        <v>41357</v>
      </c>
      <c r="C16" s="471">
        <v>10236</v>
      </c>
      <c r="D16" s="471">
        <v>10014</v>
      </c>
      <c r="E16" s="471">
        <v>222</v>
      </c>
      <c r="F16" s="326"/>
      <c r="G16" s="470">
        <v>41639</v>
      </c>
      <c r="H16" s="472">
        <v>1140643</v>
      </c>
    </row>
    <row r="17" spans="1:8">
      <c r="A17" s="320"/>
      <c r="B17" s="494">
        <f t="shared" si="0"/>
        <v>41364</v>
      </c>
      <c r="C17" s="471">
        <v>7504</v>
      </c>
      <c r="D17" s="471">
        <v>7278</v>
      </c>
      <c r="E17" s="471">
        <v>226</v>
      </c>
      <c r="F17" s="326"/>
      <c r="G17" s="90"/>
      <c r="H17" s="137"/>
    </row>
    <row r="18" spans="1:8">
      <c r="A18" s="320"/>
      <c r="B18" s="494">
        <f t="shared" si="0"/>
        <v>41371</v>
      </c>
      <c r="C18" s="471">
        <v>6295</v>
      </c>
      <c r="D18" s="471">
        <v>5915</v>
      </c>
      <c r="E18" s="471">
        <v>380</v>
      </c>
      <c r="F18" s="326"/>
      <c r="G18" s="90"/>
      <c r="H18" s="137"/>
    </row>
    <row r="19" spans="1:8">
      <c r="A19" s="320"/>
      <c r="B19" s="494">
        <f t="shared" si="0"/>
        <v>41378</v>
      </c>
      <c r="C19" s="471">
        <v>5731</v>
      </c>
      <c r="D19" s="471">
        <v>5621</v>
      </c>
      <c r="E19" s="471">
        <v>110</v>
      </c>
      <c r="F19" s="326"/>
      <c r="G19" s="90"/>
      <c r="H19" s="137"/>
    </row>
    <row r="20" spans="1:8">
      <c r="A20" s="320"/>
      <c r="B20" s="494">
        <f t="shared" si="0"/>
        <v>41385</v>
      </c>
      <c r="C20" s="471">
        <v>5660</v>
      </c>
      <c r="D20" s="471">
        <v>5583</v>
      </c>
      <c r="E20" s="471">
        <v>77</v>
      </c>
      <c r="F20" s="326"/>
      <c r="G20" s="90"/>
      <c r="H20" s="137"/>
    </row>
    <row r="21" spans="1:8">
      <c r="A21" s="320"/>
      <c r="B21" s="494">
        <f t="shared" si="0"/>
        <v>41392</v>
      </c>
      <c r="C21" s="471">
        <v>5601</v>
      </c>
      <c r="D21" s="471">
        <v>5540</v>
      </c>
      <c r="E21" s="471">
        <v>61</v>
      </c>
      <c r="F21" s="326"/>
      <c r="G21" s="90"/>
      <c r="H21" s="137"/>
    </row>
    <row r="22" spans="1:8">
      <c r="A22" s="320"/>
      <c r="B22" s="494">
        <f t="shared" si="0"/>
        <v>41399</v>
      </c>
      <c r="C22" s="471">
        <v>6605</v>
      </c>
      <c r="D22" s="471">
        <v>6542</v>
      </c>
      <c r="E22" s="471">
        <v>63</v>
      </c>
      <c r="F22" s="326"/>
      <c r="G22" s="90"/>
      <c r="H22" s="137"/>
    </row>
    <row r="23" spans="1:8">
      <c r="A23" s="320"/>
      <c r="B23" s="494">
        <f t="shared" si="0"/>
        <v>41406</v>
      </c>
      <c r="C23" s="471">
        <v>6873</v>
      </c>
      <c r="D23" s="471">
        <v>6772</v>
      </c>
      <c r="E23" s="471">
        <v>101</v>
      </c>
      <c r="F23" s="326"/>
      <c r="G23" s="90"/>
      <c r="H23" s="137"/>
    </row>
    <row r="24" spans="1:8">
      <c r="A24" s="320"/>
      <c r="B24" s="494">
        <f t="shared" si="0"/>
        <v>41413</v>
      </c>
      <c r="C24" s="471">
        <v>5404</v>
      </c>
      <c r="D24" s="471">
        <v>5336</v>
      </c>
      <c r="E24" s="471">
        <v>68</v>
      </c>
      <c r="F24" s="326"/>
      <c r="G24" s="90"/>
      <c r="H24" s="137"/>
    </row>
    <row r="25" spans="1:8">
      <c r="A25" s="320"/>
      <c r="B25" s="494">
        <f t="shared" si="0"/>
        <v>41420</v>
      </c>
      <c r="C25" s="471">
        <v>6767</v>
      </c>
      <c r="D25" s="471">
        <v>6644</v>
      </c>
      <c r="E25" s="471">
        <v>123</v>
      </c>
      <c r="F25" s="326"/>
      <c r="G25" s="90"/>
      <c r="H25" s="137"/>
    </row>
    <row r="26" spans="1:8">
      <c r="A26" s="320"/>
      <c r="B26" s="494">
        <f t="shared" si="0"/>
        <v>41427</v>
      </c>
      <c r="C26" s="471">
        <v>7675</v>
      </c>
      <c r="D26" s="471">
        <v>7435</v>
      </c>
      <c r="E26" s="471">
        <v>240</v>
      </c>
      <c r="F26" s="326"/>
      <c r="G26" s="90"/>
      <c r="H26" s="137"/>
    </row>
    <row r="27" spans="1:8">
      <c r="A27" s="320"/>
      <c r="B27" s="494">
        <f t="shared" si="0"/>
        <v>41434</v>
      </c>
      <c r="C27" s="471">
        <v>6567</v>
      </c>
      <c r="D27" s="471">
        <v>6480</v>
      </c>
      <c r="E27" s="471">
        <v>87</v>
      </c>
      <c r="F27" s="326"/>
      <c r="G27" s="90"/>
      <c r="H27" s="137"/>
    </row>
    <row r="28" spans="1:8">
      <c r="A28" s="320"/>
      <c r="B28" s="494">
        <f t="shared" si="0"/>
        <v>41441</v>
      </c>
      <c r="C28" s="471">
        <v>6078</v>
      </c>
      <c r="D28" s="471">
        <v>5997</v>
      </c>
      <c r="E28" s="471">
        <v>81</v>
      </c>
      <c r="F28" s="326"/>
      <c r="G28" s="90"/>
      <c r="H28" s="137"/>
    </row>
    <row r="29" spans="1:8">
      <c r="A29" s="320"/>
      <c r="B29" s="494">
        <f t="shared" si="0"/>
        <v>41448</v>
      </c>
      <c r="C29" s="471">
        <v>6220</v>
      </c>
      <c r="D29" s="471">
        <v>6168</v>
      </c>
      <c r="E29" s="471">
        <v>52</v>
      </c>
      <c r="F29" s="326"/>
      <c r="G29" s="90"/>
      <c r="H29" s="137"/>
    </row>
    <row r="30" spans="1:8">
      <c r="A30" s="320"/>
      <c r="B30" s="494">
        <f t="shared" si="0"/>
        <v>41455</v>
      </c>
      <c r="C30" s="471">
        <v>6280</v>
      </c>
      <c r="D30" s="471">
        <v>6219</v>
      </c>
      <c r="E30" s="471">
        <v>61</v>
      </c>
      <c r="F30" s="326"/>
      <c r="G30" s="90"/>
      <c r="H30" s="137"/>
    </row>
    <row r="31" spans="1:8">
      <c r="A31" s="320"/>
      <c r="B31" s="494">
        <f t="shared" si="0"/>
        <v>41462</v>
      </c>
      <c r="C31" s="471">
        <v>6261</v>
      </c>
      <c r="D31" s="471">
        <v>6190</v>
      </c>
      <c r="E31" s="471">
        <v>71</v>
      </c>
      <c r="F31" s="326"/>
      <c r="G31" s="90"/>
      <c r="H31" s="137"/>
    </row>
    <row r="32" spans="1:8">
      <c r="A32" s="320"/>
      <c r="B32" s="494">
        <f t="shared" si="0"/>
        <v>41469</v>
      </c>
      <c r="C32" s="471">
        <v>7044</v>
      </c>
      <c r="D32" s="471">
        <v>6896</v>
      </c>
      <c r="E32" s="471">
        <v>148</v>
      </c>
      <c r="F32" s="326"/>
      <c r="G32" s="90"/>
      <c r="H32" s="137"/>
    </row>
    <row r="33" spans="1:8">
      <c r="A33" s="320"/>
      <c r="B33" s="494">
        <f t="shared" si="0"/>
        <v>41476</v>
      </c>
      <c r="C33" s="471">
        <v>7191</v>
      </c>
      <c r="D33" s="471">
        <v>7056</v>
      </c>
      <c r="E33" s="471">
        <v>135</v>
      </c>
      <c r="F33" s="326"/>
      <c r="G33" s="90"/>
      <c r="H33" s="137"/>
    </row>
    <row r="34" spans="1:8">
      <c r="A34" s="320"/>
      <c r="B34" s="494">
        <f t="shared" si="0"/>
        <v>41483</v>
      </c>
      <c r="C34" s="471">
        <v>6509</v>
      </c>
      <c r="D34" s="471">
        <v>6351</v>
      </c>
      <c r="E34" s="471">
        <v>158</v>
      </c>
      <c r="F34" s="326"/>
      <c r="G34" s="90"/>
      <c r="H34" s="137"/>
    </row>
    <row r="35" spans="1:8">
      <c r="A35" s="320"/>
      <c r="B35" s="494">
        <f t="shared" si="0"/>
        <v>41490</v>
      </c>
      <c r="C35" s="471">
        <v>6660</v>
      </c>
      <c r="D35" s="471">
        <v>6486</v>
      </c>
      <c r="E35" s="471">
        <v>174</v>
      </c>
      <c r="F35" s="326"/>
      <c r="G35" s="90"/>
      <c r="H35" s="137"/>
    </row>
    <row r="36" spans="1:8">
      <c r="A36" s="320"/>
      <c r="B36" s="494">
        <f t="shared" si="0"/>
        <v>41497</v>
      </c>
      <c r="C36" s="471">
        <v>6526</v>
      </c>
      <c r="D36" s="471">
        <v>6370</v>
      </c>
      <c r="E36" s="471">
        <v>156</v>
      </c>
      <c r="F36" s="326"/>
      <c r="G36" s="90"/>
      <c r="H36" s="137"/>
    </row>
    <row r="37" spans="1:8">
      <c r="A37" s="320"/>
      <c r="B37" s="494">
        <f t="shared" si="0"/>
        <v>41504</v>
      </c>
      <c r="C37" s="471">
        <v>6702</v>
      </c>
      <c r="D37" s="471">
        <v>6552</v>
      </c>
      <c r="E37" s="471">
        <v>150</v>
      </c>
      <c r="F37" s="326"/>
      <c r="G37" s="90"/>
      <c r="H37" s="137"/>
    </row>
    <row r="38" spans="1:8">
      <c r="A38" s="320"/>
      <c r="B38" s="494">
        <f t="shared" si="0"/>
        <v>41511</v>
      </c>
      <c r="C38" s="471">
        <v>7307</v>
      </c>
      <c r="D38" s="471">
        <v>7171</v>
      </c>
      <c r="E38" s="471">
        <v>136</v>
      </c>
      <c r="F38" s="326"/>
      <c r="G38" s="90"/>
      <c r="H38" s="137"/>
    </row>
    <row r="39" spans="1:8">
      <c r="A39" s="320"/>
      <c r="B39" s="494">
        <f t="shared" si="0"/>
        <v>41518</v>
      </c>
      <c r="C39" s="471">
        <v>6544</v>
      </c>
      <c r="D39" s="471">
        <v>6404</v>
      </c>
      <c r="E39" s="471">
        <v>140</v>
      </c>
      <c r="F39" s="326"/>
      <c r="G39" s="90"/>
      <c r="H39" s="137"/>
    </row>
    <row r="40" spans="1:8">
      <c r="A40" s="320"/>
      <c r="B40" s="494">
        <f t="shared" si="0"/>
        <v>41525</v>
      </c>
      <c r="C40" s="471">
        <v>6070</v>
      </c>
      <c r="D40" s="471">
        <v>5935</v>
      </c>
      <c r="E40" s="471">
        <v>135</v>
      </c>
      <c r="F40" s="326"/>
      <c r="G40" s="90"/>
      <c r="H40" s="137"/>
    </row>
    <row r="41" spans="1:8">
      <c r="A41" s="320"/>
      <c r="B41" s="494">
        <f t="shared" si="0"/>
        <v>41532</v>
      </c>
      <c r="C41" s="471">
        <v>5631</v>
      </c>
      <c r="D41" s="471">
        <v>5553</v>
      </c>
      <c r="E41" s="471">
        <v>78</v>
      </c>
      <c r="F41" s="326"/>
      <c r="G41" s="90"/>
      <c r="H41" s="137"/>
    </row>
    <row r="42" spans="1:8">
      <c r="A42" s="320"/>
      <c r="B42" s="494">
        <f t="shared" si="0"/>
        <v>41539</v>
      </c>
      <c r="C42" s="471">
        <v>5843</v>
      </c>
      <c r="D42" s="471">
        <v>5773</v>
      </c>
      <c r="E42" s="471">
        <v>70</v>
      </c>
      <c r="F42" s="326"/>
      <c r="G42" s="90"/>
      <c r="H42" s="137"/>
    </row>
    <row r="43" spans="1:8">
      <c r="A43" s="320"/>
      <c r="B43" s="494">
        <f t="shared" si="0"/>
        <v>41546</v>
      </c>
      <c r="C43" s="471">
        <v>5974</v>
      </c>
      <c r="D43" s="471">
        <v>5874</v>
      </c>
      <c r="E43" s="471">
        <v>100</v>
      </c>
      <c r="F43" s="326"/>
      <c r="G43" s="90"/>
      <c r="H43" s="137"/>
    </row>
    <row r="44" spans="1:8">
      <c r="A44" s="320"/>
      <c r="B44" s="494">
        <f t="shared" si="0"/>
        <v>41553</v>
      </c>
      <c r="C44" s="471">
        <v>6270</v>
      </c>
      <c r="D44" s="471">
        <v>6142</v>
      </c>
      <c r="E44" s="471">
        <v>128</v>
      </c>
      <c r="F44" s="326"/>
      <c r="G44" s="90"/>
      <c r="H44" s="137"/>
    </row>
    <row r="45" spans="1:8">
      <c r="A45" s="320"/>
      <c r="B45" s="494">
        <f t="shared" si="0"/>
        <v>41560</v>
      </c>
      <c r="C45" s="471">
        <v>5525</v>
      </c>
      <c r="D45" s="471">
        <v>5403</v>
      </c>
      <c r="E45" s="471">
        <v>122</v>
      </c>
      <c r="F45" s="326"/>
      <c r="G45" s="90"/>
      <c r="H45" s="137"/>
    </row>
    <row r="46" spans="1:8">
      <c r="A46" s="320"/>
      <c r="B46" s="494">
        <f t="shared" si="0"/>
        <v>41567</v>
      </c>
      <c r="C46" s="471">
        <v>5772</v>
      </c>
      <c r="D46" s="471">
        <v>5651</v>
      </c>
      <c r="E46" s="471">
        <v>121</v>
      </c>
      <c r="F46" s="326"/>
      <c r="G46" s="90"/>
      <c r="H46" s="137"/>
    </row>
    <row r="47" spans="1:8">
      <c r="A47" s="320"/>
      <c r="B47" s="494">
        <f t="shared" si="0"/>
        <v>41574</v>
      </c>
      <c r="C47" s="471">
        <v>5642</v>
      </c>
      <c r="D47" s="471">
        <v>5512</v>
      </c>
      <c r="E47" s="471">
        <v>130</v>
      </c>
      <c r="F47" s="326"/>
      <c r="G47" s="90"/>
      <c r="H47" s="137"/>
    </row>
    <row r="48" spans="1:8">
      <c r="A48" s="320"/>
      <c r="B48" s="494">
        <f t="shared" si="0"/>
        <v>41581</v>
      </c>
      <c r="C48" s="471">
        <v>5135</v>
      </c>
      <c r="D48" s="471">
        <v>5042</v>
      </c>
      <c r="E48" s="471">
        <v>93</v>
      </c>
      <c r="F48" s="326"/>
      <c r="G48" s="90"/>
      <c r="H48" s="137"/>
    </row>
    <row r="49" spans="1:8">
      <c r="A49" s="320"/>
      <c r="B49" s="494">
        <f t="shared" si="0"/>
        <v>41588</v>
      </c>
      <c r="C49" s="471">
        <v>5369</v>
      </c>
      <c r="D49" s="471">
        <v>5299</v>
      </c>
      <c r="E49" s="471">
        <v>70</v>
      </c>
      <c r="F49" s="326"/>
      <c r="G49" s="90"/>
      <c r="H49" s="137"/>
    </row>
    <row r="50" spans="1:8">
      <c r="A50" s="320"/>
      <c r="B50" s="494">
        <f t="shared" si="0"/>
        <v>41595</v>
      </c>
      <c r="C50" s="471">
        <v>5025</v>
      </c>
      <c r="D50" s="471">
        <v>4969</v>
      </c>
      <c r="E50" s="471">
        <v>56</v>
      </c>
      <c r="F50" s="326"/>
      <c r="G50" s="90"/>
      <c r="H50" s="137"/>
    </row>
    <row r="51" spans="1:8">
      <c r="A51" s="320"/>
      <c r="B51" s="494">
        <f t="shared" si="0"/>
        <v>41602</v>
      </c>
      <c r="C51" s="471">
        <v>5100</v>
      </c>
      <c r="D51" s="471">
        <v>5058</v>
      </c>
      <c r="E51" s="471">
        <v>42</v>
      </c>
      <c r="F51" s="326"/>
      <c r="G51" s="90"/>
      <c r="H51" s="137"/>
    </row>
    <row r="52" spans="1:8">
      <c r="A52" s="320"/>
      <c r="B52" s="494">
        <f t="shared" si="0"/>
        <v>41609</v>
      </c>
      <c r="C52" s="471">
        <v>5227</v>
      </c>
      <c r="D52" s="471">
        <v>5166</v>
      </c>
      <c r="E52" s="471">
        <v>61</v>
      </c>
      <c r="F52" s="326"/>
      <c r="G52" s="90"/>
      <c r="H52" s="137"/>
    </row>
    <row r="53" spans="1:8">
      <c r="A53" s="320"/>
      <c r="B53" s="494">
        <f t="shared" si="0"/>
        <v>41616</v>
      </c>
      <c r="C53" s="471">
        <v>9783</v>
      </c>
      <c r="D53" s="471">
        <v>9698</v>
      </c>
      <c r="E53" s="471">
        <v>85</v>
      </c>
      <c r="F53" s="326"/>
      <c r="G53" s="90"/>
      <c r="H53" s="137"/>
    </row>
    <row r="54" spans="1:8">
      <c r="A54" s="320"/>
      <c r="B54" s="494">
        <f t="shared" si="0"/>
        <v>41623</v>
      </c>
      <c r="C54" s="471">
        <v>5232</v>
      </c>
      <c r="D54" s="471">
        <v>5160</v>
      </c>
      <c r="E54" s="471">
        <v>72</v>
      </c>
      <c r="F54" s="326"/>
      <c r="G54" s="90"/>
      <c r="H54" s="137"/>
    </row>
    <row r="55" spans="1:8">
      <c r="A55" s="320"/>
      <c r="B55" s="494">
        <f t="shared" si="0"/>
        <v>41630</v>
      </c>
      <c r="C55" s="471">
        <v>6049</v>
      </c>
      <c r="D55" s="471">
        <v>5952</v>
      </c>
      <c r="E55" s="471">
        <v>97</v>
      </c>
      <c r="F55" s="326"/>
      <c r="G55" s="90"/>
      <c r="H55" s="138"/>
    </row>
    <row r="56" spans="1:8">
      <c r="A56" s="320"/>
      <c r="B56" s="494">
        <f t="shared" si="0"/>
        <v>41637</v>
      </c>
      <c r="C56" s="471">
        <v>12140</v>
      </c>
      <c r="D56" s="471">
        <v>11999</v>
      </c>
      <c r="E56" s="469">
        <v>141</v>
      </c>
      <c r="F56" s="326"/>
      <c r="G56" s="90"/>
      <c r="H56" s="138"/>
    </row>
    <row r="57" spans="1:8">
      <c r="B57" s="104"/>
      <c r="C57" s="91"/>
      <c r="D57" s="91"/>
      <c r="G57" s="105"/>
      <c r="H57" s="91"/>
    </row>
  </sheetData>
  <phoneticPr fontId="25" type="noConversion"/>
  <pageMargins left="0.75" right="0.75" top="1" bottom="1" header="0.5" footer="0.5"/>
  <pageSetup paperSize="9" scale="87"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59"/>
  <sheetViews>
    <sheetView topLeftCell="A10" workbookViewId="0">
      <selection activeCell="A27" sqref="A27"/>
    </sheetView>
  </sheetViews>
  <sheetFormatPr defaultRowHeight="12.75"/>
  <cols>
    <col min="1" max="1" width="23.5703125" style="42" customWidth="1"/>
    <col min="2" max="4" width="9.7109375" style="42" customWidth="1"/>
    <col min="5" max="5" width="10.5703125" style="42" customWidth="1"/>
    <col min="6" max="12" width="9.7109375" style="42" customWidth="1"/>
    <col min="13" max="16384" width="9.140625" style="42"/>
  </cols>
  <sheetData>
    <row r="2" spans="1:12">
      <c r="A2" s="42" t="s">
        <v>40</v>
      </c>
    </row>
    <row r="3" spans="1:12" ht="48.75" customHeight="1">
      <c r="B3" s="43" t="s">
        <v>41</v>
      </c>
      <c r="C3" s="43" t="s">
        <v>42</v>
      </c>
      <c r="D3" s="43" t="s">
        <v>43</v>
      </c>
      <c r="E3" s="43" t="s">
        <v>44</v>
      </c>
      <c r="F3" s="43" t="s">
        <v>45</v>
      </c>
      <c r="G3" s="43" t="s">
        <v>46</v>
      </c>
      <c r="H3" s="43" t="s">
        <v>47</v>
      </c>
      <c r="I3" s="43" t="s">
        <v>48</v>
      </c>
      <c r="J3" s="43" t="s">
        <v>49</v>
      </c>
      <c r="K3" s="43" t="s">
        <v>50</v>
      </c>
      <c r="L3" s="43" t="s">
        <v>39</v>
      </c>
    </row>
    <row r="4" spans="1:12">
      <c r="A4" s="42" t="s">
        <v>41</v>
      </c>
      <c r="B4" s="42">
        <v>832545.72800000012</v>
      </c>
      <c r="C4" s="42">
        <v>31083.471000000001</v>
      </c>
      <c r="D4" s="42">
        <v>23566.947</v>
      </c>
      <c r="E4" s="42">
        <v>36049.627</v>
      </c>
      <c r="F4" s="42">
        <v>200.84300000000002</v>
      </c>
      <c r="G4" s="42">
        <v>45.837999999999994</v>
      </c>
      <c r="H4" s="42">
        <v>3947.3530000000001</v>
      </c>
      <c r="I4" s="42">
        <v>1998.624</v>
      </c>
      <c r="J4" s="42">
        <v>306.02100000000002</v>
      </c>
      <c r="K4" s="42">
        <v>0</v>
      </c>
      <c r="L4" s="42">
        <v>929744.45200000005</v>
      </c>
    </row>
    <row r="5" spans="1:12">
      <c r="A5" s="42" t="s">
        <v>42</v>
      </c>
      <c r="B5" s="42">
        <v>38454.050000000003</v>
      </c>
      <c r="C5" s="42">
        <v>218356.65599999999</v>
      </c>
      <c r="D5" s="42">
        <v>15074.388999999999</v>
      </c>
      <c r="E5" s="42">
        <v>6619.3249999999998</v>
      </c>
      <c r="F5" s="42">
        <v>26.074999999999999</v>
      </c>
      <c r="G5" s="42">
        <v>0.81799999999999995</v>
      </c>
      <c r="H5" s="42">
        <v>86.534999999999997</v>
      </c>
      <c r="I5" s="42">
        <v>11153.362999999999</v>
      </c>
      <c r="J5" s="42">
        <v>14162.223</v>
      </c>
      <c r="K5" s="42">
        <v>0</v>
      </c>
      <c r="L5" s="42">
        <v>303933.43400000001</v>
      </c>
    </row>
    <row r="6" spans="1:12">
      <c r="A6" s="42" t="s">
        <v>43</v>
      </c>
      <c r="B6" s="42">
        <v>30737.608999999997</v>
      </c>
      <c r="C6" s="42">
        <v>14807.97</v>
      </c>
      <c r="D6" s="42">
        <v>115582.52800000001</v>
      </c>
      <c r="E6" s="42">
        <v>47332.794000000002</v>
      </c>
      <c r="F6" s="42">
        <v>231.88200000000001</v>
      </c>
      <c r="G6" s="42">
        <v>4.8639999999999999</v>
      </c>
      <c r="H6" s="42">
        <v>72.894000000000005</v>
      </c>
      <c r="I6" s="42">
        <v>4179.8459999999995</v>
      </c>
      <c r="J6" s="42">
        <v>287.98099999999999</v>
      </c>
      <c r="K6" s="42">
        <v>0</v>
      </c>
      <c r="L6" s="42">
        <v>213238.36800000002</v>
      </c>
    </row>
    <row r="7" spans="1:12">
      <c r="A7" s="42" t="s">
        <v>44</v>
      </c>
      <c r="B7" s="42">
        <v>40854.794999999998</v>
      </c>
      <c r="C7" s="42">
        <v>6003.0429999999997</v>
      </c>
      <c r="D7" s="42">
        <v>43211.376000000004</v>
      </c>
      <c r="E7" s="42">
        <v>2278712.608</v>
      </c>
      <c r="F7" s="42">
        <v>17894.490000000002</v>
      </c>
      <c r="G7" s="42">
        <v>247.554</v>
      </c>
      <c r="H7" s="42">
        <v>436.56900000000002</v>
      </c>
      <c r="I7" s="42">
        <v>1507.078</v>
      </c>
      <c r="J7" s="42">
        <v>123.07</v>
      </c>
      <c r="K7" s="42">
        <v>0</v>
      </c>
      <c r="L7" s="42">
        <v>2388990.5830000006</v>
      </c>
    </row>
    <row r="8" spans="1:12">
      <c r="A8" s="42" t="s">
        <v>45</v>
      </c>
      <c r="B8" s="42">
        <v>500.464</v>
      </c>
      <c r="C8" s="42">
        <v>33.746000000000002</v>
      </c>
      <c r="D8" s="42">
        <v>338.06799999999998</v>
      </c>
      <c r="E8" s="42">
        <v>32425.127</v>
      </c>
      <c r="F8" s="42">
        <v>70804.432000000001</v>
      </c>
      <c r="G8" s="42">
        <v>556.56799999999998</v>
      </c>
      <c r="H8" s="42">
        <v>10.079000000000001</v>
      </c>
      <c r="I8" s="42">
        <v>9.5069999999999997</v>
      </c>
      <c r="J8" s="42">
        <v>0.8</v>
      </c>
      <c r="K8" s="42">
        <v>0</v>
      </c>
      <c r="L8" s="42">
        <v>104678.791</v>
      </c>
    </row>
    <row r="9" spans="1:12">
      <c r="A9" s="42" t="s">
        <v>46</v>
      </c>
      <c r="B9" s="42">
        <v>554.95800000000008</v>
      </c>
      <c r="C9" s="42">
        <v>6.9889999999999999</v>
      </c>
      <c r="D9" s="42">
        <v>46.459000000000003</v>
      </c>
      <c r="E9" s="42">
        <v>1834.4459999999999</v>
      </c>
      <c r="F9" s="42">
        <v>2291.837</v>
      </c>
      <c r="G9" s="42">
        <v>90491.607999999993</v>
      </c>
      <c r="H9" s="42">
        <v>234.07499999999999</v>
      </c>
      <c r="I9" s="42">
        <v>1.341</v>
      </c>
      <c r="J9" s="42">
        <v>5.8999999999999997E-2</v>
      </c>
      <c r="K9" s="42">
        <v>0</v>
      </c>
      <c r="L9" s="42">
        <v>95461.771999999983</v>
      </c>
    </row>
    <row r="10" spans="1:12">
      <c r="A10" s="42" t="s">
        <v>47</v>
      </c>
      <c r="B10" s="42">
        <v>6950.9780000000001</v>
      </c>
      <c r="C10" s="42">
        <v>120.232</v>
      </c>
      <c r="D10" s="42">
        <v>104.133</v>
      </c>
      <c r="E10" s="42">
        <v>570.25800000000004</v>
      </c>
      <c r="F10" s="42">
        <v>7.0640000000000001</v>
      </c>
      <c r="G10" s="42">
        <v>33.588999999999999</v>
      </c>
      <c r="H10" s="42">
        <v>12002.98</v>
      </c>
      <c r="I10" s="42">
        <v>6.6420000000000003</v>
      </c>
      <c r="J10" s="42">
        <v>0.74199999999999999</v>
      </c>
      <c r="K10" s="42">
        <v>0</v>
      </c>
      <c r="L10" s="42">
        <v>19796.617999999999</v>
      </c>
    </row>
    <row r="11" spans="1:12">
      <c r="A11" s="42" t="s">
        <v>48</v>
      </c>
      <c r="B11" s="42">
        <v>2991.4479999999999</v>
      </c>
      <c r="C11" s="42">
        <v>11025.662</v>
      </c>
      <c r="D11" s="42">
        <v>4831.0690000000004</v>
      </c>
      <c r="E11" s="42">
        <v>1921.4749999999999</v>
      </c>
      <c r="F11" s="42">
        <v>7.67</v>
      </c>
      <c r="G11" s="42">
        <v>0.14899999999999999</v>
      </c>
      <c r="H11" s="42">
        <v>5.0839999999999996</v>
      </c>
      <c r="I11" s="42">
        <v>33928.387999999999</v>
      </c>
      <c r="J11" s="42">
        <v>9543.8690000000006</v>
      </c>
      <c r="K11" s="42">
        <v>0</v>
      </c>
      <c r="L11" s="42">
        <v>64254.813999999991</v>
      </c>
    </row>
    <row r="12" spans="1:12">
      <c r="A12" s="42" t="s">
        <v>49</v>
      </c>
      <c r="B12" s="42">
        <v>534.22800000000007</v>
      </c>
      <c r="C12" s="42">
        <v>10999.209000000001</v>
      </c>
      <c r="D12" s="42">
        <v>344.17500000000001</v>
      </c>
      <c r="E12" s="42">
        <v>151.309</v>
      </c>
      <c r="F12" s="42">
        <v>0.45700000000000002</v>
      </c>
      <c r="G12" s="42">
        <v>3.0000000000000001E-3</v>
      </c>
      <c r="H12" s="42">
        <v>0.64600000000000002</v>
      </c>
      <c r="I12" s="42">
        <v>9831.1689999999999</v>
      </c>
      <c r="J12" s="42">
        <v>69765.240000000005</v>
      </c>
      <c r="K12" s="42">
        <v>0</v>
      </c>
      <c r="L12" s="42">
        <v>91626.436000000016</v>
      </c>
    </row>
    <row r="13" spans="1:12">
      <c r="A13" s="42" t="s">
        <v>50</v>
      </c>
      <c r="B13" s="42">
        <v>0</v>
      </c>
      <c r="C13" s="42">
        <v>0</v>
      </c>
      <c r="D13" s="42">
        <v>0</v>
      </c>
      <c r="E13" s="42">
        <v>0</v>
      </c>
      <c r="F13" s="42">
        <v>0</v>
      </c>
      <c r="G13" s="42">
        <v>0</v>
      </c>
      <c r="H13" s="42">
        <v>0</v>
      </c>
      <c r="I13" s="42">
        <v>0</v>
      </c>
      <c r="J13" s="42">
        <v>0</v>
      </c>
      <c r="K13" s="42">
        <v>0</v>
      </c>
      <c r="L13" s="42">
        <v>0</v>
      </c>
    </row>
    <row r="14" spans="1:12">
      <c r="A14" s="42" t="s">
        <v>39</v>
      </c>
      <c r="B14" s="42">
        <v>954124.25800000015</v>
      </c>
      <c r="C14" s="42">
        <v>292436.97799999994</v>
      </c>
      <c r="D14" s="42">
        <v>203099.14399999997</v>
      </c>
      <c r="E14" s="42">
        <v>2405616.9689999996</v>
      </c>
      <c r="F14" s="42">
        <v>91464.75</v>
      </c>
      <c r="G14" s="42">
        <v>91380.991000000009</v>
      </c>
      <c r="H14" s="42">
        <v>16796.215</v>
      </c>
      <c r="I14" s="42">
        <v>62615.958000000006</v>
      </c>
      <c r="J14" s="42">
        <v>94190.005000000005</v>
      </c>
      <c r="K14" s="42">
        <v>0</v>
      </c>
      <c r="L14" s="42">
        <v>4211725.2680000002</v>
      </c>
    </row>
    <row r="17" spans="1:12">
      <c r="A17" s="42" t="s">
        <v>51</v>
      </c>
    </row>
    <row r="18" spans="1:12" ht="38.25">
      <c r="B18" s="43" t="s">
        <v>41</v>
      </c>
      <c r="C18" s="43" t="s">
        <v>42</v>
      </c>
      <c r="D18" s="43" t="s">
        <v>43</v>
      </c>
      <c r="E18" s="43" t="s">
        <v>44</v>
      </c>
      <c r="F18" s="43" t="s">
        <v>45</v>
      </c>
      <c r="G18" s="43" t="s">
        <v>46</v>
      </c>
      <c r="H18" s="43" t="s">
        <v>47</v>
      </c>
      <c r="I18" s="43" t="s">
        <v>48</v>
      </c>
      <c r="J18" s="43" t="s">
        <v>49</v>
      </c>
      <c r="K18" s="43" t="s">
        <v>50</v>
      </c>
      <c r="L18" s="43" t="s">
        <v>39</v>
      </c>
    </row>
    <row r="19" spans="1:12">
      <c r="A19" s="42" t="s">
        <v>41</v>
      </c>
      <c r="B19" s="42">
        <v>578089.38</v>
      </c>
      <c r="C19" s="42">
        <v>26293.756000000001</v>
      </c>
      <c r="D19" s="42">
        <v>21240.641</v>
      </c>
      <c r="E19" s="42">
        <v>32598.906999999999</v>
      </c>
      <c r="F19" s="42">
        <v>188.33</v>
      </c>
      <c r="G19" s="42">
        <v>35.070999999999998</v>
      </c>
      <c r="H19" s="42">
        <v>3313.6170000000002</v>
      </c>
      <c r="I19" s="42">
        <v>1791.1289999999999</v>
      </c>
      <c r="J19" s="42">
        <v>265.142</v>
      </c>
      <c r="K19" s="42">
        <v>0</v>
      </c>
      <c r="L19" s="42">
        <v>663815.97299999988</v>
      </c>
    </row>
    <row r="20" spans="1:12">
      <c r="A20" s="42" t="s">
        <v>42</v>
      </c>
      <c r="B20" s="42">
        <v>33276.33</v>
      </c>
      <c r="C20" s="42">
        <v>217903.34400000001</v>
      </c>
      <c r="D20" s="42">
        <v>14623.553</v>
      </c>
      <c r="E20" s="42">
        <v>6316.0429999999997</v>
      </c>
      <c r="F20" s="42">
        <v>25.120999999999999</v>
      </c>
      <c r="G20" s="42">
        <v>0.747</v>
      </c>
      <c r="H20" s="42">
        <v>85.138000000000005</v>
      </c>
      <c r="I20" s="42">
        <v>10911.027</v>
      </c>
      <c r="J20" s="42">
        <v>13546.466</v>
      </c>
      <c r="K20" s="42">
        <v>0</v>
      </c>
      <c r="L20" s="42">
        <v>296687.76899999997</v>
      </c>
    </row>
    <row r="21" spans="1:12">
      <c r="A21" s="42" t="s">
        <v>43</v>
      </c>
      <c r="B21" s="42">
        <v>27702.105</v>
      </c>
      <c r="C21" s="42">
        <v>14628.665000000001</v>
      </c>
      <c r="D21" s="42">
        <v>109891.208</v>
      </c>
      <c r="E21" s="42">
        <v>44692.29</v>
      </c>
      <c r="F21" s="42">
        <v>219.03800000000001</v>
      </c>
      <c r="G21" s="42">
        <v>4.7229999999999999</v>
      </c>
      <c r="H21" s="42">
        <v>70.453999999999994</v>
      </c>
      <c r="I21" s="42">
        <v>4058.9670000000001</v>
      </c>
      <c r="J21" s="42">
        <v>279.76</v>
      </c>
      <c r="K21" s="42">
        <v>0</v>
      </c>
      <c r="L21" s="42">
        <v>201547.21</v>
      </c>
    </row>
    <row r="22" spans="1:12">
      <c r="A22" s="42" t="s">
        <v>44</v>
      </c>
      <c r="B22" s="42">
        <v>33962.695</v>
      </c>
      <c r="C22" s="42">
        <v>5182.9539999999997</v>
      </c>
      <c r="D22" s="42">
        <v>36220.691999999995</v>
      </c>
      <c r="E22" s="42">
        <v>1825896.1920000003</v>
      </c>
      <c r="F22" s="42">
        <v>15397.710999999999</v>
      </c>
      <c r="G22" s="42">
        <v>196.78899999999999</v>
      </c>
      <c r="H22" s="42">
        <v>425.505</v>
      </c>
      <c r="I22" s="42">
        <v>1300.769</v>
      </c>
      <c r="J22" s="42">
        <v>92.551000000000002</v>
      </c>
      <c r="K22" s="42">
        <v>0</v>
      </c>
      <c r="L22" s="42">
        <v>1918675.8580000002</v>
      </c>
    </row>
    <row r="23" spans="1:12">
      <c r="A23" s="42" t="s">
        <v>45</v>
      </c>
      <c r="B23" s="42">
        <v>418.84699999999998</v>
      </c>
      <c r="C23" s="42">
        <v>30.196000000000002</v>
      </c>
      <c r="D23" s="42">
        <v>268.62900000000002</v>
      </c>
      <c r="E23" s="42">
        <v>23582.323</v>
      </c>
      <c r="F23" s="42">
        <v>66215.784</v>
      </c>
      <c r="G23" s="42">
        <v>542.67999999999995</v>
      </c>
      <c r="H23" s="42">
        <v>9.9949999999999992</v>
      </c>
      <c r="I23" s="42">
        <v>7.5679999999999996</v>
      </c>
      <c r="J23" s="42">
        <v>0.35</v>
      </c>
      <c r="K23" s="42">
        <v>0</v>
      </c>
      <c r="L23" s="42">
        <v>91076.371999999988</v>
      </c>
    </row>
    <row r="24" spans="1:12">
      <c r="A24" s="42" t="s">
        <v>46</v>
      </c>
      <c r="B24" s="42">
        <v>553.95500000000004</v>
      </c>
      <c r="C24" s="42">
        <v>6.9770000000000003</v>
      </c>
      <c r="D24" s="42">
        <v>46.433999999999997</v>
      </c>
      <c r="E24" s="42">
        <v>1830.521</v>
      </c>
      <c r="F24" s="42">
        <v>2287.1999999999998</v>
      </c>
      <c r="G24" s="42">
        <v>90327.343999999997</v>
      </c>
      <c r="H24" s="42">
        <v>234.017</v>
      </c>
      <c r="I24" s="42">
        <v>1.339</v>
      </c>
      <c r="J24" s="42">
        <v>5.6000000000000001E-2</v>
      </c>
      <c r="K24" s="42">
        <v>0</v>
      </c>
      <c r="L24" s="42">
        <v>95287.843000000008</v>
      </c>
    </row>
    <row r="25" spans="1:12">
      <c r="A25" s="42" t="s">
        <v>47</v>
      </c>
      <c r="B25" s="42">
        <v>6752.8730000000005</v>
      </c>
      <c r="C25" s="42">
        <v>118.45099999999999</v>
      </c>
      <c r="D25" s="42">
        <v>103.09</v>
      </c>
      <c r="E25" s="42">
        <v>569.53499999999997</v>
      </c>
      <c r="F25" s="42">
        <v>7.056</v>
      </c>
      <c r="G25" s="42">
        <v>33.421999999999997</v>
      </c>
      <c r="H25" s="42">
        <v>11948.254999999999</v>
      </c>
      <c r="I25" s="42">
        <v>6.5170000000000003</v>
      </c>
      <c r="J25" s="42">
        <v>0.72699999999999998</v>
      </c>
      <c r="K25" s="42">
        <v>0</v>
      </c>
      <c r="L25" s="42">
        <v>19539.925999999999</v>
      </c>
    </row>
    <row r="26" spans="1:12">
      <c r="A26" s="42" t="s">
        <v>48</v>
      </c>
      <c r="B26" s="42">
        <v>2765.6489999999999</v>
      </c>
      <c r="C26" s="42">
        <v>10939.992</v>
      </c>
      <c r="D26" s="42">
        <v>4489.5249999999996</v>
      </c>
      <c r="E26" s="42">
        <v>1851.0070000000001</v>
      </c>
      <c r="F26" s="42">
        <v>7.4459999999999997</v>
      </c>
      <c r="G26" s="42">
        <v>0.14299999999999999</v>
      </c>
      <c r="H26" s="42">
        <v>4.9450000000000003</v>
      </c>
      <c r="I26" s="42">
        <v>32925.519999999997</v>
      </c>
      <c r="J26" s="42">
        <v>9406.82</v>
      </c>
      <c r="K26" s="42">
        <v>0</v>
      </c>
      <c r="L26" s="42">
        <v>62391.046999999999</v>
      </c>
    </row>
    <row r="27" spans="1:12">
      <c r="A27" s="42" t="s">
        <v>49</v>
      </c>
      <c r="B27" s="42">
        <v>517.80899999999997</v>
      </c>
      <c r="C27" s="42">
        <v>10843.007</v>
      </c>
      <c r="D27" s="42">
        <v>339.82799999999997</v>
      </c>
      <c r="E27" s="42">
        <v>148.77099999999999</v>
      </c>
      <c r="F27" s="42">
        <v>0.44600000000000001</v>
      </c>
      <c r="G27" s="42">
        <v>3.0000000000000001E-3</v>
      </c>
      <c r="H27" s="42">
        <v>0.629</v>
      </c>
      <c r="I27" s="42">
        <v>9730.2800000000007</v>
      </c>
      <c r="J27" s="42">
        <v>68526.504000000001</v>
      </c>
      <c r="K27" s="42">
        <v>0</v>
      </c>
      <c r="L27" s="42">
        <v>90107.277000000002</v>
      </c>
    </row>
    <row r="28" spans="1:12">
      <c r="A28" s="42" t="s">
        <v>50</v>
      </c>
      <c r="B28" s="42">
        <v>0</v>
      </c>
      <c r="C28" s="42">
        <v>0</v>
      </c>
      <c r="D28" s="42">
        <v>0</v>
      </c>
      <c r="E28" s="42">
        <v>0</v>
      </c>
      <c r="F28" s="42">
        <v>0</v>
      </c>
      <c r="G28" s="42">
        <v>0</v>
      </c>
      <c r="H28" s="42">
        <v>0</v>
      </c>
      <c r="I28" s="42">
        <v>0</v>
      </c>
      <c r="J28" s="42">
        <v>0</v>
      </c>
      <c r="K28" s="42">
        <v>0</v>
      </c>
      <c r="L28" s="42">
        <v>0</v>
      </c>
    </row>
    <row r="29" spans="1:12">
      <c r="A29" s="42" t="s">
        <v>39</v>
      </c>
      <c r="B29" s="42">
        <v>684039.64299999981</v>
      </c>
      <c r="C29" s="42">
        <v>285947.34200000006</v>
      </c>
      <c r="D29" s="42">
        <v>187223.6</v>
      </c>
      <c r="E29" s="42">
        <v>1937485.5890000002</v>
      </c>
      <c r="F29" s="42">
        <v>84348.131999999983</v>
      </c>
      <c r="G29" s="42">
        <v>91140.921999999991</v>
      </c>
      <c r="H29" s="42">
        <v>16092.555</v>
      </c>
      <c r="I29" s="42">
        <v>60733.115999999995</v>
      </c>
      <c r="J29" s="42">
        <v>92118.376000000004</v>
      </c>
      <c r="K29" s="42">
        <v>0</v>
      </c>
      <c r="L29" s="42">
        <v>3439129.2749999994</v>
      </c>
    </row>
    <row r="32" spans="1:12">
      <c r="A32" s="44" t="s">
        <v>52</v>
      </c>
    </row>
    <row r="33" spans="1:12" ht="38.25">
      <c r="B33" s="43" t="s">
        <v>41</v>
      </c>
      <c r="C33" s="43" t="s">
        <v>42</v>
      </c>
      <c r="D33" s="43" t="s">
        <v>43</v>
      </c>
      <c r="E33" s="43" t="s">
        <v>44</v>
      </c>
      <c r="F33" s="43" t="s">
        <v>45</v>
      </c>
      <c r="G33" s="43" t="s">
        <v>46</v>
      </c>
      <c r="H33" s="43" t="s">
        <v>47</v>
      </c>
      <c r="I33" s="43" t="s">
        <v>48</v>
      </c>
      <c r="J33" s="43" t="s">
        <v>49</v>
      </c>
      <c r="K33" s="43" t="s">
        <v>50</v>
      </c>
      <c r="L33" s="43" t="s">
        <v>39</v>
      </c>
    </row>
    <row r="34" spans="1:12">
      <c r="A34" s="42" t="s">
        <v>41</v>
      </c>
      <c r="B34" s="44">
        <v>254456.432</v>
      </c>
      <c r="C34" s="44">
        <v>4789.7150000000001</v>
      </c>
      <c r="D34" s="44">
        <v>2326.3049999999998</v>
      </c>
      <c r="E34" s="44">
        <v>3450.72</v>
      </c>
      <c r="F34" s="44">
        <v>12.513</v>
      </c>
      <c r="G34" s="44">
        <v>10.767000000000001</v>
      </c>
      <c r="H34" s="44">
        <v>633.73599999999999</v>
      </c>
      <c r="I34" s="44">
        <v>207.495</v>
      </c>
      <c r="J34" s="44">
        <v>40.879000000000005</v>
      </c>
      <c r="K34" s="44">
        <v>1798.5329999999999</v>
      </c>
      <c r="L34" s="44">
        <v>267727.09499999991</v>
      </c>
    </row>
    <row r="35" spans="1:12">
      <c r="A35" s="42" t="s">
        <v>42</v>
      </c>
      <c r="B35" s="44">
        <v>5177.7</v>
      </c>
      <c r="C35" s="44">
        <v>453.34199999999998</v>
      </c>
      <c r="D35" s="44">
        <v>450.83699999999999</v>
      </c>
      <c r="E35" s="44">
        <v>303.28199999999998</v>
      </c>
      <c r="F35" s="44">
        <v>0.95399999999999996</v>
      </c>
      <c r="G35" s="44">
        <v>7.0999999999999994E-2</v>
      </c>
      <c r="H35" s="44">
        <v>1.397</v>
      </c>
      <c r="I35" s="44">
        <v>242.33500000000001</v>
      </c>
      <c r="J35" s="44">
        <v>615.75599999999997</v>
      </c>
      <c r="K35" s="44">
        <v>693.38</v>
      </c>
      <c r="L35" s="44">
        <v>7939.0539999999992</v>
      </c>
    </row>
    <row r="36" spans="1:12">
      <c r="A36" s="42" t="s">
        <v>43</v>
      </c>
      <c r="B36" s="44">
        <v>3035.5009999999997</v>
      </c>
      <c r="C36" s="44">
        <v>179.30199999999999</v>
      </c>
      <c r="D36" s="44">
        <v>5691.3710000000001</v>
      </c>
      <c r="E36" s="44">
        <v>2640.5039999999999</v>
      </c>
      <c r="F36" s="44">
        <v>12.843999999999999</v>
      </c>
      <c r="G36" s="44">
        <v>0.14099999999999999</v>
      </c>
      <c r="H36" s="44">
        <v>2.44</v>
      </c>
      <c r="I36" s="44">
        <v>120.879</v>
      </c>
      <c r="J36" s="44">
        <v>8.2210000000000001</v>
      </c>
      <c r="K36" s="44">
        <v>691.23900000000003</v>
      </c>
      <c r="L36" s="44">
        <v>12382.441999999999</v>
      </c>
    </row>
    <row r="37" spans="1:12">
      <c r="A37" s="42" t="s">
        <v>44</v>
      </c>
      <c r="B37" s="44">
        <v>6892.1030000000001</v>
      </c>
      <c r="C37" s="44">
        <v>820.08799999999997</v>
      </c>
      <c r="D37" s="44">
        <v>6990.6660000000002</v>
      </c>
      <c r="E37" s="44">
        <v>452817.70799999998</v>
      </c>
      <c r="F37" s="44">
        <v>2496.7800000000002</v>
      </c>
      <c r="G37" s="44">
        <v>50.765000000000001</v>
      </c>
      <c r="H37" s="44">
        <v>11.064</v>
      </c>
      <c r="I37" s="44">
        <v>206.309</v>
      </c>
      <c r="J37" s="44">
        <v>30.518999999999998</v>
      </c>
      <c r="K37" s="44">
        <v>4374.2619999999997</v>
      </c>
      <c r="L37" s="44">
        <v>474690.26400000002</v>
      </c>
    </row>
    <row r="38" spans="1:12">
      <c r="A38" s="42" t="s">
        <v>45</v>
      </c>
      <c r="B38" s="44">
        <v>81.61699999999999</v>
      </c>
      <c r="C38" s="44">
        <v>3.55</v>
      </c>
      <c r="D38" s="44">
        <v>69.438999999999993</v>
      </c>
      <c r="E38" s="44">
        <v>8842.8009999999995</v>
      </c>
      <c r="F38" s="44">
        <v>4588.6540000000005</v>
      </c>
      <c r="G38" s="44">
        <v>13.888</v>
      </c>
      <c r="H38" s="44">
        <v>8.4000000000000005E-2</v>
      </c>
      <c r="I38" s="44">
        <v>1.9390000000000001</v>
      </c>
      <c r="J38" s="44">
        <v>0.45</v>
      </c>
      <c r="K38" s="44">
        <v>89.076999999999998</v>
      </c>
      <c r="L38" s="44">
        <v>13691.499000000002</v>
      </c>
    </row>
    <row r="39" spans="1:12">
      <c r="A39" s="42" t="s">
        <v>46</v>
      </c>
      <c r="B39" s="44">
        <v>1.0030000000000001</v>
      </c>
      <c r="C39" s="44">
        <v>1.2E-2</v>
      </c>
      <c r="D39" s="44">
        <v>2.5000000000000001E-2</v>
      </c>
      <c r="E39" s="44">
        <v>3.9249999999999998</v>
      </c>
      <c r="F39" s="44">
        <v>4.6379999999999999</v>
      </c>
      <c r="G39" s="44">
        <v>164.268</v>
      </c>
      <c r="H39" s="44">
        <v>5.8000000000000003E-2</v>
      </c>
      <c r="I39" s="44">
        <v>2E-3</v>
      </c>
      <c r="J39" s="44">
        <v>3.0000000000000001E-3</v>
      </c>
      <c r="K39" s="44">
        <v>11.198</v>
      </c>
      <c r="L39" s="44">
        <v>185.13200000000001</v>
      </c>
    </row>
    <row r="40" spans="1:12">
      <c r="A40" s="42" t="s">
        <v>47</v>
      </c>
      <c r="B40" s="44">
        <v>198.10499999999999</v>
      </c>
      <c r="C40" s="44">
        <v>1.7809999999999999</v>
      </c>
      <c r="D40" s="44">
        <v>1.0429999999999999</v>
      </c>
      <c r="E40" s="44">
        <v>0.72299999999999998</v>
      </c>
      <c r="F40" s="44">
        <v>8.0000000000000002E-3</v>
      </c>
      <c r="G40" s="44">
        <v>0.16700000000000001</v>
      </c>
      <c r="H40" s="44">
        <v>54.723999999999997</v>
      </c>
      <c r="I40" s="44">
        <v>0.125</v>
      </c>
      <c r="J40" s="44">
        <v>1.4999999999999999E-2</v>
      </c>
      <c r="K40" s="44">
        <v>27.289000000000001</v>
      </c>
      <c r="L40" s="44">
        <v>283.98</v>
      </c>
    </row>
    <row r="41" spans="1:12">
      <c r="A41" s="42" t="s">
        <v>48</v>
      </c>
      <c r="B41" s="44">
        <v>225.79900000000001</v>
      </c>
      <c r="C41" s="44">
        <v>85.667000000000002</v>
      </c>
      <c r="D41" s="44">
        <v>341.54500000000002</v>
      </c>
      <c r="E41" s="44">
        <v>70.468999999999994</v>
      </c>
      <c r="F41" s="44">
        <v>0.224</v>
      </c>
      <c r="G41" s="44">
        <v>6.0000000000000001E-3</v>
      </c>
      <c r="H41" s="44">
        <v>0.13900000000000001</v>
      </c>
      <c r="I41" s="44">
        <v>1002.87</v>
      </c>
      <c r="J41" s="44">
        <v>137.05000000000001</v>
      </c>
      <c r="K41" s="44">
        <v>133.78299999999999</v>
      </c>
      <c r="L41" s="44">
        <v>1997.5519999999999</v>
      </c>
    </row>
    <row r="42" spans="1:12">
      <c r="A42" s="42" t="s">
        <v>49</v>
      </c>
      <c r="B42" s="44">
        <v>16.419</v>
      </c>
      <c r="C42" s="44">
        <v>156.20099999999999</v>
      </c>
      <c r="D42" s="44">
        <v>4.3470000000000004</v>
      </c>
      <c r="E42" s="44">
        <v>2.5380000000000003</v>
      </c>
      <c r="F42" s="44">
        <v>1.0999999999999999E-2</v>
      </c>
      <c r="G42" s="44">
        <v>0</v>
      </c>
      <c r="H42" s="44">
        <v>1.7000000000000001E-2</v>
      </c>
      <c r="I42" s="44">
        <v>100.889</v>
      </c>
      <c r="J42" s="44">
        <v>1238.7360000000001</v>
      </c>
      <c r="K42" s="44">
        <v>272.108</v>
      </c>
      <c r="L42" s="44">
        <v>1791.2660000000001</v>
      </c>
    </row>
    <row r="43" spans="1:12">
      <c r="A43" s="42" t="s">
        <v>50</v>
      </c>
      <c r="B43" s="44">
        <v>1156.1869999999999</v>
      </c>
      <c r="C43" s="44">
        <v>1004.25</v>
      </c>
      <c r="D43" s="44">
        <v>515.88699999999994</v>
      </c>
      <c r="E43" s="44">
        <v>3176.0630000000001</v>
      </c>
      <c r="F43" s="44">
        <v>113.623</v>
      </c>
      <c r="G43" s="44">
        <v>5.28</v>
      </c>
      <c r="H43" s="44">
        <v>26.922999999999998</v>
      </c>
      <c r="I43" s="44">
        <v>146.62299999999999</v>
      </c>
      <c r="J43" s="44">
        <v>212.96100000000001</v>
      </c>
      <c r="K43" s="44">
        <v>1166.9770000000001</v>
      </c>
      <c r="L43" s="44">
        <v>7524.7739999999985</v>
      </c>
    </row>
    <row r="44" spans="1:12">
      <c r="A44" s="42" t="s">
        <v>39</v>
      </c>
      <c r="B44" s="44">
        <v>271240.86600000004</v>
      </c>
      <c r="C44" s="44">
        <v>7493.9079999999994</v>
      </c>
      <c r="D44" s="44">
        <v>16391.465</v>
      </c>
      <c r="E44" s="44">
        <v>471308.73299999995</v>
      </c>
      <c r="F44" s="44">
        <v>7230.2490000000007</v>
      </c>
      <c r="G44" s="44">
        <v>245.35300000000001</v>
      </c>
      <c r="H44" s="44">
        <v>730.58200000000011</v>
      </c>
      <c r="I44" s="44">
        <v>2029.4659999999999</v>
      </c>
      <c r="J44" s="44">
        <v>2284.59</v>
      </c>
      <c r="K44" s="44">
        <v>9257.8460000000014</v>
      </c>
      <c r="L44" s="44">
        <v>788213.05799999984</v>
      </c>
    </row>
    <row r="47" spans="1:12">
      <c r="A47" s="44" t="s">
        <v>53</v>
      </c>
    </row>
    <row r="48" spans="1:12" ht="38.25">
      <c r="B48" s="43" t="s">
        <v>41</v>
      </c>
      <c r="C48" s="43" t="s">
        <v>42</v>
      </c>
      <c r="D48" s="43" t="s">
        <v>43</v>
      </c>
      <c r="E48" s="43" t="s">
        <v>44</v>
      </c>
      <c r="F48" s="43" t="s">
        <v>45</v>
      </c>
      <c r="G48" s="43" t="s">
        <v>46</v>
      </c>
      <c r="H48" s="43" t="s">
        <v>47</v>
      </c>
      <c r="I48" s="43" t="s">
        <v>48</v>
      </c>
      <c r="J48" s="43" t="s">
        <v>49</v>
      </c>
      <c r="K48" s="43" t="s">
        <v>50</v>
      </c>
      <c r="L48" s="43" t="s">
        <v>39</v>
      </c>
    </row>
    <row r="49" spans="1:12">
      <c r="A49" s="42" t="s">
        <v>41</v>
      </c>
      <c r="B49" s="44">
        <v>513280.90399999998</v>
      </c>
      <c r="C49" s="44">
        <v>18814.383999999998</v>
      </c>
      <c r="D49" s="44">
        <v>17595.657999999999</v>
      </c>
      <c r="E49" s="44">
        <v>28977.557999999997</v>
      </c>
      <c r="F49" s="44">
        <v>460.26299999999998</v>
      </c>
      <c r="G49" s="44">
        <v>653.822</v>
      </c>
      <c r="H49" s="44">
        <v>2841.0189999999998</v>
      </c>
      <c r="I49" s="44">
        <v>1689.1610000000001</v>
      </c>
      <c r="J49" s="44">
        <v>335.548</v>
      </c>
      <c r="K49" s="44">
        <v>6095.2192000000005</v>
      </c>
      <c r="L49" s="44">
        <v>590743.53619999997</v>
      </c>
    </row>
    <row r="50" spans="1:12">
      <c r="A50" s="42" t="s">
        <v>42</v>
      </c>
      <c r="B50" s="44">
        <v>23536.878000000001</v>
      </c>
      <c r="C50" s="44">
        <v>169925.03599999999</v>
      </c>
      <c r="D50" s="44">
        <v>11421.655999999999</v>
      </c>
      <c r="E50" s="44">
        <v>5750.491</v>
      </c>
      <c r="F50" s="44">
        <v>145.80000000000001</v>
      </c>
      <c r="G50" s="44">
        <v>103.949</v>
      </c>
      <c r="H50" s="44">
        <v>118.629</v>
      </c>
      <c r="I50" s="44">
        <v>8512.8410000000003</v>
      </c>
      <c r="J50" s="44">
        <v>10332.847</v>
      </c>
      <c r="K50" s="44">
        <v>4609.1013999999996</v>
      </c>
      <c r="L50" s="44">
        <v>234457.22839999996</v>
      </c>
    </row>
    <row r="51" spans="1:12">
      <c r="A51" s="42" t="s">
        <v>43</v>
      </c>
      <c r="B51" s="44">
        <v>22021.833000000002</v>
      </c>
      <c r="C51" s="44">
        <v>11456.458999999999</v>
      </c>
      <c r="D51" s="44">
        <v>119126.984</v>
      </c>
      <c r="E51" s="44">
        <v>34863.036</v>
      </c>
      <c r="F51" s="44">
        <v>454.48900000000003</v>
      </c>
      <c r="G51" s="44">
        <v>64.123000000000005</v>
      </c>
      <c r="H51" s="44">
        <v>77.147999999999996</v>
      </c>
      <c r="I51" s="44">
        <v>2991.645</v>
      </c>
      <c r="J51" s="44">
        <v>332.48</v>
      </c>
      <c r="K51" s="44">
        <v>2546.085</v>
      </c>
      <c r="L51" s="44">
        <v>193934.28199999998</v>
      </c>
    </row>
    <row r="52" spans="1:12">
      <c r="A52" s="42" t="s">
        <v>44</v>
      </c>
      <c r="B52" s="44">
        <v>29510.303</v>
      </c>
      <c r="C52" s="44">
        <v>5151.6990000000005</v>
      </c>
      <c r="D52" s="44">
        <v>28748.9</v>
      </c>
      <c r="E52" s="44">
        <v>1431130.436</v>
      </c>
      <c r="F52" s="44">
        <v>14567.510999999999</v>
      </c>
      <c r="G52" s="44">
        <v>825.26100000000008</v>
      </c>
      <c r="H52" s="44">
        <v>505.20799999999997</v>
      </c>
      <c r="I52" s="44">
        <v>1190.732</v>
      </c>
      <c r="J52" s="44">
        <v>603.59800000000007</v>
      </c>
      <c r="K52" s="44">
        <v>9825.5920000000006</v>
      </c>
      <c r="L52" s="44">
        <v>1522059.24</v>
      </c>
    </row>
    <row r="53" spans="1:12">
      <c r="A53" s="42" t="s">
        <v>45</v>
      </c>
      <c r="B53" s="44">
        <v>713.71900000000005</v>
      </c>
      <c r="C53" s="44">
        <v>148.04</v>
      </c>
      <c r="D53" s="44">
        <v>534.76400000000001</v>
      </c>
      <c r="E53" s="44">
        <v>19685.635000000002</v>
      </c>
      <c r="F53" s="44">
        <v>50009.54</v>
      </c>
      <c r="G53" s="44">
        <v>618.84799999999996</v>
      </c>
      <c r="H53" s="44">
        <v>114.523</v>
      </c>
      <c r="I53" s="44">
        <v>64.076999999999998</v>
      </c>
      <c r="J53" s="44">
        <v>35.283999999999999</v>
      </c>
      <c r="K53" s="44">
        <v>3870.2284</v>
      </c>
      <c r="L53" s="44">
        <v>75794.658400000015</v>
      </c>
    </row>
    <row r="54" spans="1:12">
      <c r="A54" s="42" t="s">
        <v>46</v>
      </c>
      <c r="B54" s="44">
        <v>1188.7819999999999</v>
      </c>
      <c r="C54" s="44">
        <v>195.84800000000001</v>
      </c>
      <c r="D54" s="44">
        <v>98.820999999999998</v>
      </c>
      <c r="E54" s="44">
        <v>2116.4430000000002</v>
      </c>
      <c r="F54" s="44">
        <v>1803.9279999999999</v>
      </c>
      <c r="G54" s="44">
        <v>72132.637999999992</v>
      </c>
      <c r="H54" s="44">
        <v>322.59100000000001</v>
      </c>
      <c r="I54" s="44">
        <v>25.21</v>
      </c>
      <c r="J54" s="44">
        <v>7.8869999999999996</v>
      </c>
      <c r="K54" s="44">
        <v>1528.9740000000002</v>
      </c>
      <c r="L54" s="44">
        <v>79421.122000000003</v>
      </c>
    </row>
    <row r="55" spans="1:12">
      <c r="A55" s="42" t="s">
        <v>47</v>
      </c>
      <c r="B55" s="44">
        <v>5345.4870000000001</v>
      </c>
      <c r="C55" s="44">
        <v>112.08199999999999</v>
      </c>
      <c r="D55" s="44">
        <v>105.211</v>
      </c>
      <c r="E55" s="44">
        <v>808.60299999999995</v>
      </c>
      <c r="F55" s="44">
        <v>241.24700000000001</v>
      </c>
      <c r="G55" s="44">
        <v>356.238</v>
      </c>
      <c r="H55" s="44">
        <v>8862.5670000000009</v>
      </c>
      <c r="I55" s="44">
        <v>37.206999999999994</v>
      </c>
      <c r="J55" s="44">
        <v>20.324000000000002</v>
      </c>
      <c r="K55" s="44">
        <v>4422.5012000000006</v>
      </c>
      <c r="L55" s="44">
        <v>20311.467200000003</v>
      </c>
    </row>
    <row r="56" spans="1:12">
      <c r="A56" s="42" t="s">
        <v>48</v>
      </c>
      <c r="B56" s="44">
        <v>2439.25</v>
      </c>
      <c r="C56" s="44">
        <v>8380.6650000000009</v>
      </c>
      <c r="D56" s="44">
        <v>3271.09</v>
      </c>
      <c r="E56" s="44">
        <v>1492.4369999999999</v>
      </c>
      <c r="F56" s="44">
        <v>60.819000000000003</v>
      </c>
      <c r="G56" s="44">
        <v>50.88</v>
      </c>
      <c r="H56" s="44">
        <v>99.129000000000005</v>
      </c>
      <c r="I56" s="44">
        <v>26309.432000000001</v>
      </c>
      <c r="J56" s="44">
        <v>7170.4220000000005</v>
      </c>
      <c r="K56" s="44">
        <v>11378.298999999999</v>
      </c>
      <c r="L56" s="44">
        <v>60652.423000000003</v>
      </c>
    </row>
    <row r="57" spans="1:12">
      <c r="A57" s="42" t="s">
        <v>49</v>
      </c>
      <c r="B57" s="44">
        <v>498.77099999999996</v>
      </c>
      <c r="C57" s="44">
        <v>8113.853000000001</v>
      </c>
      <c r="D57" s="44">
        <v>307.32600000000002</v>
      </c>
      <c r="E57" s="44">
        <v>358.06799999999998</v>
      </c>
      <c r="F57" s="44">
        <v>20.763999999999999</v>
      </c>
      <c r="G57" s="44">
        <v>5.8860000000000001</v>
      </c>
      <c r="H57" s="44">
        <v>20.164000000000001</v>
      </c>
      <c r="I57" s="44">
        <v>7367.91</v>
      </c>
      <c r="J57" s="44">
        <v>50573.063999999998</v>
      </c>
      <c r="K57" s="44">
        <v>26436.487799999999</v>
      </c>
      <c r="L57" s="44">
        <v>93702.293799999999</v>
      </c>
    </row>
    <row r="58" spans="1:12">
      <c r="A58" s="42" t="s">
        <v>50</v>
      </c>
      <c r="B58" s="44">
        <v>6849.7352000000001</v>
      </c>
      <c r="C58" s="44">
        <v>4429.7451999999994</v>
      </c>
      <c r="D58" s="44">
        <v>1587.575</v>
      </c>
      <c r="E58" s="44">
        <v>9291.8089999999993</v>
      </c>
      <c r="F58" s="44">
        <v>3579.4542000000001</v>
      </c>
      <c r="G58" s="44">
        <v>1262.9079999999999</v>
      </c>
      <c r="H58" s="44">
        <v>5087.415</v>
      </c>
      <c r="I58" s="44">
        <v>10637.9174</v>
      </c>
      <c r="J58" s="44">
        <v>26310.849399999999</v>
      </c>
      <c r="K58" s="44">
        <v>5335.3184000000001</v>
      </c>
      <c r="L58" s="44">
        <v>74372.726800000004</v>
      </c>
    </row>
    <row r="59" spans="1:12">
      <c r="A59" s="42" t="s">
        <v>39</v>
      </c>
      <c r="B59" s="44">
        <v>605385.6621999999</v>
      </c>
      <c r="C59" s="44">
        <v>226727.8112</v>
      </c>
      <c r="D59" s="44">
        <v>182797.98500000002</v>
      </c>
      <c r="E59" s="44">
        <v>1534474.5159999996</v>
      </c>
      <c r="F59" s="44">
        <v>71343.815200000012</v>
      </c>
      <c r="G59" s="44">
        <v>76074.552999999985</v>
      </c>
      <c r="H59" s="44">
        <v>18048.393000000004</v>
      </c>
      <c r="I59" s="44">
        <v>58826.132399999995</v>
      </c>
      <c r="J59" s="44">
        <v>95722.303400000004</v>
      </c>
      <c r="K59" s="44">
        <v>76047.806400000001</v>
      </c>
      <c r="L59" s="44">
        <v>2945448.9777999995</v>
      </c>
    </row>
  </sheetData>
  <phoneticPr fontId="0" type="noConversion"/>
  <pageMargins left="0.75" right="0.75" top="1" bottom="1" header="0.5" footer="0.5"/>
  <pageSetup paperSize="9" scale="67" orientation="portrait" verticalDpi="30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14</vt:i4>
      </vt:variant>
    </vt:vector>
  </HeadingPairs>
  <TitlesOfParts>
    <vt:vector size="39" baseType="lpstr">
      <vt:lpstr>comments</vt:lpstr>
      <vt:lpstr>T12.1 - T12.3a</vt:lpstr>
      <vt:lpstr>T12.4 - T12.6a</vt:lpstr>
      <vt:lpstr>T12.7-T12.9a</vt:lpstr>
      <vt:lpstr>Table 11.1-11.10</vt:lpstr>
      <vt:lpstr>T11.11</vt:lpstr>
      <vt:lpstr>T11.12-T11.13</vt:lpstr>
      <vt:lpstr>T11.14-T11.17</vt:lpstr>
      <vt:lpstr>Figs11.3-11.4</vt:lpstr>
      <vt:lpstr>T11.18</vt:lpstr>
      <vt:lpstr>T11.19-T11.20</vt:lpstr>
      <vt:lpstr>T11.21-T11.23a</vt:lpstr>
      <vt:lpstr>T11.24-T11.25</vt:lpstr>
      <vt:lpstr>T11.26</vt:lpstr>
      <vt:lpstr>T11.27 page 1</vt:lpstr>
      <vt:lpstr>T11.27 page 2</vt:lpstr>
      <vt:lpstr>T11.28 page 1</vt:lpstr>
      <vt:lpstr>T11.28 page 2</vt:lpstr>
      <vt:lpstr>T11.27</vt:lpstr>
      <vt:lpstr>T11.29</vt:lpstr>
      <vt:lpstr>T11.30</vt:lpstr>
      <vt:lpstr>T11.31-T11.35</vt:lpstr>
      <vt:lpstr>Fig11.1-11.2</vt:lpstr>
      <vt:lpstr>Data for Traveline charts</vt:lpstr>
      <vt:lpstr>T12.15b</vt:lpstr>
      <vt:lpstr>'Figs11.3-11.4'!Print_Area</vt:lpstr>
      <vt:lpstr>T11.11!Print_Area</vt:lpstr>
      <vt:lpstr>'T11.12-T11.13'!Print_Area</vt:lpstr>
      <vt:lpstr>'T11.14-T11.17'!Print_Area</vt:lpstr>
      <vt:lpstr>T11.18!Print_Area</vt:lpstr>
      <vt:lpstr>'T11.21-T11.23a'!Print_Area</vt:lpstr>
      <vt:lpstr>'T11.24-T11.25'!Print_Area</vt:lpstr>
      <vt:lpstr>T11.26!Print_Area</vt:lpstr>
      <vt:lpstr>T11.29!Print_Area</vt:lpstr>
      <vt:lpstr>'T11.31-T11.35'!Print_Area</vt:lpstr>
      <vt:lpstr>'T12.1 - T12.3a'!Print_Area</vt:lpstr>
      <vt:lpstr>'T12.4 - T12.6a'!Print_Area</vt:lpstr>
      <vt:lpstr>'T12.7-T12.9a'!Print_Area</vt:lpstr>
      <vt:lpstr>'Table 11.1-11.10'!Print_Area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NTS results: average distance, journeys, etc</dc:title>
  <dc:creator>Frank Dixon</dc:creator>
  <cp:lastModifiedBy>xlParse</cp:lastModifiedBy>
  <cp:lastPrinted>2015-02-06T15:05:37Z</cp:lastPrinted>
  <dcterms:created xsi:type="dcterms:W3CDTF">1999-02-18T16:30:58Z</dcterms:created>
  <dcterms:modified xsi:type="dcterms:W3CDTF">2017-10-10T23:50:15Z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ctive-Id">
    <vt:lpwstr>A7813865</vt:lpwstr>
  </property>
  <property fmtid="{D5CDD505-2E9C-101B-9397-08002B2CF9AE}" pid="3" name="Objective-Comment">
    <vt:lpwstr/>
  </property>
  <property fmtid="{D5CDD505-2E9C-101B-9397-08002B2CF9AE}" pid="4" name="Objective-CreationStamp">
    <vt:filetime>2014-02-19T13:37:51Z</vt:filetime>
  </property>
  <property fmtid="{D5CDD505-2E9C-101B-9397-08002B2CF9AE}" pid="5" name="Objective-IsApproved">
    <vt:bool>false</vt:bool>
  </property>
  <property fmtid="{D5CDD505-2E9C-101B-9397-08002B2CF9AE}" pid="6" name="Objective-IsPublished">
    <vt:bool>true</vt:bool>
  </property>
  <property fmtid="{D5CDD505-2E9C-101B-9397-08002B2CF9AE}" pid="7" name="Objective-DatePublished">
    <vt:filetime>2015-02-09T10:23:05Z</vt:filetime>
  </property>
  <property fmtid="{D5CDD505-2E9C-101B-9397-08002B2CF9AE}" pid="8" name="Objective-ModificationStamp">
    <vt:filetime>2015-02-09T10:23:10Z</vt:filetime>
  </property>
  <property fmtid="{D5CDD505-2E9C-101B-9397-08002B2CF9AE}" pid="9" name="Objective-Owner">
    <vt:lpwstr>Knight, Andrew A (U016789)</vt:lpwstr>
  </property>
  <property fmtid="{D5CDD505-2E9C-101B-9397-08002B2CF9AE}" pid="10" name="Objective-Path">
    <vt:lpwstr>Objective Global Folder:SG File Plan:Business and industry:Transport:Roads and road transport - Road safety:Research and analysis: Roads and road transport - Road safety:Transport statistics: Scottish Transport Statistics: 2014: Research and analysis: Transport: 2014-2019:</vt:lpwstr>
  </property>
  <property fmtid="{D5CDD505-2E9C-101B-9397-08002B2CF9AE}" pid="11" name="Objective-Parent">
    <vt:lpwstr>Transport statistics: Scottish Transport Statistics: 2014: Research and analysis: Transport: 2014-2019</vt:lpwstr>
  </property>
  <property fmtid="{D5CDD505-2E9C-101B-9397-08002B2CF9AE}" pid="12" name="Objective-State">
    <vt:lpwstr>Published</vt:lpwstr>
  </property>
  <property fmtid="{D5CDD505-2E9C-101B-9397-08002B2CF9AE}" pid="13" name="Objective-Title">
    <vt:lpwstr>chapter11 - personal</vt:lpwstr>
  </property>
  <property fmtid="{D5CDD505-2E9C-101B-9397-08002B2CF9AE}" pid="14" name="Objective-Version">
    <vt:lpwstr>34.0</vt:lpwstr>
  </property>
  <property fmtid="{D5CDD505-2E9C-101B-9397-08002B2CF9AE}" pid="15" name="Objective-VersionComment">
    <vt:lpwstr/>
  </property>
  <property fmtid="{D5CDD505-2E9C-101B-9397-08002B2CF9AE}" pid="16" name="Objective-VersionNumber">
    <vt:i4>41</vt:i4>
  </property>
  <property fmtid="{D5CDD505-2E9C-101B-9397-08002B2CF9AE}" pid="17" name="Objective-FileNumber">
    <vt:lpwstr/>
  </property>
  <property fmtid="{D5CDD505-2E9C-101B-9397-08002B2CF9AE}" pid="18" name="Objective-Classification">
    <vt:lpwstr>[Inherited - Restricted]</vt:lpwstr>
  </property>
  <property fmtid="{D5CDD505-2E9C-101B-9397-08002B2CF9AE}" pid="19" name="Objective-Caveats">
    <vt:lpwstr/>
  </property>
  <property fmtid="{D5CDD505-2E9C-101B-9397-08002B2CF9AE}" pid="20" name="Objective-Date of Original [system]">
    <vt:lpwstr/>
  </property>
  <property fmtid="{D5CDD505-2E9C-101B-9397-08002B2CF9AE}" pid="21" name="Objective-Date Received [system]">
    <vt:lpwstr/>
  </property>
  <property fmtid="{D5CDD505-2E9C-101B-9397-08002B2CF9AE}" pid="22" name="Objective-SG Web Publication - Category [system]">
    <vt:lpwstr/>
  </property>
  <property fmtid="{D5CDD505-2E9C-101B-9397-08002B2CF9AE}" pid="23" name="Objective-SG Web Publication - Category 2 Classification [system]">
    <vt:lpwstr/>
  </property>
</Properties>
</file>