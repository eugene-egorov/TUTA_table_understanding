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4.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5.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6.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7.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charts/chart8.xml" ContentType="application/vnd.openxmlformats-officedocument.drawingml.chart+xml"/>
  <Override PartName="/xl/drawings/drawing17.xml" ContentType="application/vnd.openxmlformats-officedocument.drawingml.chartshapes+xml"/>
  <Override PartName="/xl/drawings/drawing18.xml" ContentType="application/vnd.openxmlformats-officedocument.drawing+xml"/>
  <Override PartName="/xl/charts/chart9.xml" ContentType="application/vnd.openxmlformats-officedocument.drawingml.chart+xml"/>
  <Override PartName="/xl/drawings/drawing19.xml" ContentType="application/vnd.openxmlformats-officedocument.drawingml.chartshapes+xml"/>
  <Override PartName="/xl/drawings/drawing20.xml" ContentType="application/vnd.openxmlformats-officedocument.drawing+xml"/>
  <Override PartName="/xl/charts/chart10.xml" ContentType="application/vnd.openxmlformats-officedocument.drawingml.chart+xml"/>
  <Override PartName="/xl/drawings/drawing21.xml" ContentType="application/vnd.openxmlformats-officedocument.drawingml.chartshapes+xml"/>
  <Override PartName="/xl/drawings/drawing22.xml" ContentType="application/vnd.openxmlformats-officedocument.drawing+xml"/>
  <Override PartName="/xl/charts/chart11.xml" ContentType="application/vnd.openxmlformats-officedocument.drawingml.chart+xml"/>
  <Override PartName="/xl/drawings/drawing23.xml" ContentType="application/vnd.openxmlformats-officedocument.drawingml.chartshapes+xml"/>
  <Override PartName="/xl/drawings/drawing24.xml" ContentType="application/vnd.openxmlformats-officedocument.drawing+xml"/>
  <Override PartName="/xl/charts/chart12.xml" ContentType="application/vnd.openxmlformats-officedocument.drawingml.chart+xml"/>
  <Override PartName="/xl/drawings/drawing25.xml" ContentType="application/vnd.openxmlformats-officedocument.drawingml.chartshapes+xml"/>
  <Override PartName="/xl/drawings/drawing26.xml" ContentType="application/vnd.openxmlformats-officedocument.drawing+xml"/>
  <Override PartName="/xl/charts/chart13.xml" ContentType="application/vnd.openxmlformats-officedocument.drawingml.chart+xml"/>
  <Override PartName="/xl/drawings/drawing27.xml" ContentType="application/vnd.openxmlformats-officedocument.drawingml.chartshapes+xml"/>
  <Override PartName="/xl/drawings/drawing28.xml" ContentType="application/vnd.openxmlformats-officedocument.drawing+xml"/>
  <Override PartName="/xl/charts/chart14.xml" ContentType="application/vnd.openxmlformats-officedocument.drawingml.chart+xml"/>
  <Override PartName="/xl/drawings/drawing29.xml" ContentType="application/vnd.openxmlformats-officedocument.drawingml.chartshapes+xml"/>
  <Override PartName="/xl/drawings/drawing30.xml" ContentType="application/vnd.openxmlformats-officedocument.drawing+xml"/>
  <Override PartName="/xl/charts/chart15.xml" ContentType="application/vnd.openxmlformats-officedocument.drawingml.chart+xml"/>
  <Override PartName="/xl/drawings/drawing31.xml" ContentType="application/vnd.openxmlformats-officedocument.drawingml.chartshapes+xml"/>
  <Override PartName="/xl/drawings/drawing32.xml" ContentType="application/vnd.openxmlformats-officedocument.drawing+xml"/>
  <Override PartName="/xl/charts/chart16.xml" ContentType="application/vnd.openxmlformats-officedocument.drawingml.chart+xml"/>
  <Override PartName="/xl/drawings/drawing33.xml" ContentType="application/vnd.openxmlformats-officedocument.drawingml.chartshapes+xml"/>
  <Override PartName="/xl/drawings/drawing34.xml" ContentType="application/vnd.openxmlformats-officedocument.drawing+xml"/>
  <Override PartName="/xl/charts/chart17.xml" ContentType="application/vnd.openxmlformats-officedocument.drawingml.chart+xml"/>
  <Override PartName="/xl/drawings/drawing35.xml" ContentType="application/vnd.openxmlformats-officedocument.drawingml.chartshapes+xml"/>
  <Override PartName="/xl/drawings/drawing36.xml" ContentType="application/vnd.openxmlformats-officedocument.drawing+xml"/>
  <Override PartName="/xl/charts/chart18.xml" ContentType="application/vnd.openxmlformats-officedocument.drawingml.chart+xml"/>
  <Override PartName="/xl/drawings/drawing37.xml" ContentType="application/vnd.openxmlformats-officedocument.drawingml.chartshapes+xml"/>
  <Override PartName="/xl/drawings/drawing38.xml" ContentType="application/vnd.openxmlformats-officedocument.drawing+xml"/>
  <Override PartName="/xl/charts/chart19.xml" ContentType="application/vnd.openxmlformats-officedocument.drawingml.chart+xml"/>
  <Override PartName="/xl/drawings/drawing39.xml" ContentType="application/vnd.openxmlformats-officedocument.drawingml.chartshapes+xml"/>
  <Override PartName="/xl/drawings/drawing40.xml" ContentType="application/vnd.openxmlformats-officedocument.drawing+xml"/>
  <Override PartName="/xl/charts/chart20.xml" ContentType="application/vnd.openxmlformats-officedocument.drawingml.chart+xml"/>
  <Override PartName="/xl/drawings/drawing41.xml" ContentType="application/vnd.openxmlformats-officedocument.drawingml.chartshapes+xml"/>
  <Override PartName="/xl/drawings/drawing42.xml" ContentType="application/vnd.openxmlformats-officedocument.drawing+xml"/>
  <Override PartName="/xl/charts/chart21.xml" ContentType="application/vnd.openxmlformats-officedocument.drawingml.chart+xml"/>
  <Override PartName="/xl/drawings/drawing43.xml" ContentType="application/vnd.openxmlformats-officedocument.drawingml.chartshapes+xml"/>
  <Override PartName="/xl/drawings/drawing44.xml" ContentType="application/vnd.openxmlformats-officedocument.drawing+xml"/>
  <Override PartName="/xl/charts/chart22.xml" ContentType="application/vnd.openxmlformats-officedocument.drawingml.chart+xml"/>
  <Override PartName="/xl/drawings/drawing45.xml" ContentType="application/vnd.openxmlformats-officedocument.drawingml.chartshapes+xml"/>
  <Override PartName="/xl/drawings/drawing46.xml" ContentType="application/vnd.openxmlformats-officedocument.drawing+xml"/>
  <Override PartName="/xl/charts/chart23.xml" ContentType="application/vnd.openxmlformats-officedocument.drawingml.chart+xml"/>
  <Override PartName="/xl/drawings/drawing47.xml" ContentType="application/vnd.openxmlformats-officedocument.drawingml.chartshapes+xml"/>
  <Override PartName="/xl/drawings/drawing48.xml" ContentType="application/vnd.openxmlformats-officedocument.drawing+xml"/>
  <Override PartName="/xl/charts/chart24.xml" ContentType="application/vnd.openxmlformats-officedocument.drawingml.chart+xml"/>
  <Override PartName="/xl/drawings/drawing49.xml" ContentType="application/vnd.openxmlformats-officedocument.drawingml.chartshapes+xml"/>
  <Override PartName="/xl/drawings/drawing50.xml" ContentType="application/vnd.openxmlformats-officedocument.drawing+xml"/>
  <Override PartName="/xl/charts/chart25.xml" ContentType="application/vnd.openxmlformats-officedocument.drawingml.chart+xml"/>
  <Override PartName="/xl/drawings/drawing51.xml" ContentType="application/vnd.openxmlformats-officedocument.drawingml.chartshapes+xml"/>
  <Override PartName="/xl/drawings/drawing52.xml" ContentType="application/vnd.openxmlformats-officedocument.drawing+xml"/>
  <Override PartName="/xl/charts/chart26.xml" ContentType="application/vnd.openxmlformats-officedocument.drawingml.chart+xml"/>
  <Override PartName="/xl/drawings/drawing53.xml" ContentType="application/vnd.openxmlformats-officedocument.drawingml.chartshapes+xml"/>
  <Override PartName="/xl/drawings/drawing54.xml" ContentType="application/vnd.openxmlformats-officedocument.drawing+xml"/>
  <Override PartName="/xl/charts/chart27.xml" ContentType="application/vnd.openxmlformats-officedocument.drawingml.chart+xml"/>
  <Override PartName="/xl/drawings/drawing55.xml" ContentType="application/vnd.openxmlformats-officedocument.drawingml.chartshapes+xml"/>
  <Override PartName="/xl/drawings/drawing56.xml" ContentType="application/vnd.openxmlformats-officedocument.drawing+xml"/>
  <Override PartName="/xl/charts/chart28.xml" ContentType="application/vnd.openxmlformats-officedocument.drawingml.chart+xml"/>
  <Override PartName="/xl/drawings/drawing57.xml" ContentType="application/vnd.openxmlformats-officedocument.drawingml.chartshapes+xml"/>
  <Override PartName="/xl/drawings/drawing58.xml" ContentType="application/vnd.openxmlformats-officedocument.drawing+xml"/>
  <Override PartName="/xl/charts/chart29.xml" ContentType="application/vnd.openxmlformats-officedocument.drawingml.chart+xml"/>
  <Override PartName="/xl/drawings/drawing59.xml" ContentType="application/vnd.openxmlformats-officedocument.drawingml.chartshapes+xml"/>
  <Override PartName="/xl/drawings/drawing60.xml" ContentType="application/vnd.openxmlformats-officedocument.drawing+xml"/>
  <Override PartName="/xl/charts/chart30.xml" ContentType="application/vnd.openxmlformats-officedocument.drawingml.chart+xml"/>
  <Override PartName="/xl/drawings/drawing61.xml" ContentType="application/vnd.openxmlformats-officedocument.drawingml.chartshapes+xml"/>
  <Override PartName="/xl/drawings/drawing62.xml" ContentType="application/vnd.openxmlformats-officedocument.drawing+xml"/>
  <Override PartName="/xl/charts/chart31.xml" ContentType="application/vnd.openxmlformats-officedocument.drawingml.chart+xml"/>
  <Override PartName="/xl/drawings/drawing63.xml" ContentType="application/vnd.openxmlformats-officedocument.drawingml.chartshapes+xml"/>
  <Override PartName="/xl/drawings/drawing64.xml" ContentType="application/vnd.openxmlformats-officedocument.drawing+xml"/>
  <Override PartName="/xl/charts/chart32.xml" ContentType="application/vnd.openxmlformats-officedocument.drawingml.chart+xml"/>
  <Override PartName="/xl/drawings/drawing65.xml" ContentType="application/vnd.openxmlformats-officedocument.drawingml.chartshapes+xml"/>
  <Override PartName="/xl/drawings/drawing66.xml" ContentType="application/vnd.openxmlformats-officedocument.drawing+xml"/>
  <Override PartName="/xl/charts/chart33.xml" ContentType="application/vnd.openxmlformats-officedocument.drawingml.chart+xml"/>
  <Override PartName="/xl/drawings/drawing67.xml" ContentType="application/vnd.openxmlformats-officedocument.drawingml.chartshapes+xml"/>
  <Override PartName="/xl/drawings/drawing68.xml" ContentType="application/vnd.openxmlformats-officedocument.drawing+xml"/>
  <Override PartName="/xl/charts/chart34.xml" ContentType="application/vnd.openxmlformats-officedocument.drawingml.chart+xml"/>
  <Override PartName="/xl/drawings/drawing69.xml" ContentType="application/vnd.openxmlformats-officedocument.drawingml.chartshapes+xml"/>
  <Override PartName="/xl/drawings/drawing70.xml" ContentType="application/vnd.openxmlformats-officedocument.drawing+xml"/>
  <Override PartName="/xl/charts/chart35.xml" ContentType="application/vnd.openxmlformats-officedocument.drawingml.chart+xml"/>
  <Override PartName="/xl/drawings/drawing71.xml" ContentType="application/vnd.openxmlformats-officedocument.drawingml.chartshapes+xml"/>
  <Override PartName="/xl/drawings/drawing72.xml" ContentType="application/vnd.openxmlformats-officedocument.drawing+xml"/>
  <Override PartName="/xl/charts/chart36.xml" ContentType="application/vnd.openxmlformats-officedocument.drawingml.chart+xml"/>
  <Override PartName="/xl/drawings/drawing73.xml" ContentType="application/vnd.openxmlformats-officedocument.drawingml.chartshapes+xml"/>
  <Override PartName="/xl/drawings/drawing74.xml" ContentType="application/vnd.openxmlformats-officedocument.drawing+xml"/>
  <Override PartName="/xl/charts/chart37.xml" ContentType="application/vnd.openxmlformats-officedocument.drawingml.chart+xml"/>
  <Override PartName="/xl/drawings/drawing75.xml" ContentType="application/vnd.openxmlformats-officedocument.drawingml.chartshapes+xml"/>
  <Override PartName="/xl/drawings/drawing76.xml" ContentType="application/vnd.openxmlformats-officedocument.drawing+xml"/>
  <Override PartName="/xl/charts/chart38.xml" ContentType="application/vnd.openxmlformats-officedocument.drawingml.chart+xml"/>
  <Override PartName="/xl/drawings/drawing77.xml" ContentType="application/vnd.openxmlformats-officedocument.drawingml.chartshapes+xml"/>
  <Override PartName="/xl/drawings/drawing78.xml" ContentType="application/vnd.openxmlformats-officedocument.drawing+xml"/>
  <Override PartName="/xl/charts/chart39.xml" ContentType="application/vnd.openxmlformats-officedocument.drawingml.chart+xml"/>
  <Override PartName="/xl/drawings/drawing79.xml" ContentType="application/vnd.openxmlformats-officedocument.drawingml.chartshapes+xml"/>
  <Override PartName="/xl/drawings/drawing80.xml" ContentType="application/vnd.openxmlformats-officedocument.drawing+xml"/>
  <Override PartName="/xl/charts/chart40.xml" ContentType="application/vnd.openxmlformats-officedocument.drawingml.chart+xml"/>
  <Override PartName="/xl/drawings/drawing81.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backupFile="1" defaultThemeVersion="124226"/>
  <mc:AlternateContent xmlns:mc="http://schemas.openxmlformats.org/markup-compatibility/2006">
    <mc:Choice Requires="x15">
      <x15ac:absPath xmlns:x15ac="http://schemas.microsoft.com/office/spreadsheetml/2010/11/ac" url="C:\Users\xlParse\AppData\Local\Temp\2\"/>
    </mc:Choice>
  </mc:AlternateContent>
  <bookViews>
    <workbookView xWindow="720" yWindow="405" windowWidth="27555" windowHeight="14085" activeTab="1"/>
  </bookViews>
  <sheets>
    <sheet name="Explanatory note" sheetId="41" r:id="rId1"/>
    <sheet name="crco_total" sheetId="1" r:id="rId2"/>
    <sheet name="esra_02" sheetId="2" r:id="rId3"/>
    <sheet name="belgium_luxembourg_eb" sheetId="3" r:id="rId4"/>
    <sheet name="germany_ed" sheetId="4" r:id="rId5"/>
    <sheet name="france_lf" sheetId="5" r:id="rId6"/>
    <sheet name="united_kingdom_eg" sheetId="6" r:id="rId7"/>
    <sheet name="netherlands_eh" sheetId="7" r:id="rId8"/>
    <sheet name="ireland_ei" sheetId="8" r:id="rId9"/>
    <sheet name="switzerland_ls" sheetId="9" r:id="rId10"/>
    <sheet name="portugal_lisbon_lp" sheetId="10" r:id="rId11"/>
    <sheet name="austria_lo" sheetId="11" r:id="rId12"/>
    <sheet name="spain_continental_le" sheetId="12" r:id="rId13"/>
    <sheet name="spain_canaries_gc" sheetId="13" r:id="rId14"/>
    <sheet name="portugal_santa_maria_az" sheetId="14" r:id="rId15"/>
    <sheet name="greece_lg" sheetId="15" r:id="rId16"/>
    <sheet name="turkey_lt" sheetId="16" r:id="rId17"/>
    <sheet name="malta_lm" sheetId="17" r:id="rId18"/>
    <sheet name="italy_li" sheetId="18" r:id="rId19"/>
    <sheet name="cyprus_lc" sheetId="19" r:id="rId20"/>
    <sheet name="hungary_lh" sheetId="20" r:id="rId21"/>
    <sheet name="norway_en" sheetId="21" r:id="rId22"/>
    <sheet name="denmark_ek" sheetId="22" r:id="rId23"/>
    <sheet name="slovenia_lj" sheetId="23" r:id="rId24"/>
    <sheet name="romania_lr" sheetId="24" r:id="rId25"/>
    <sheet name="czech_republic_lk" sheetId="25" r:id="rId26"/>
    <sheet name="sweden_es" sheetId="26" r:id="rId27"/>
    <sheet name="slovak_republic_lz" sheetId="27" r:id="rId28"/>
    <sheet name="croatia_ld" sheetId="28" r:id="rId29"/>
    <sheet name="bulgaria_lb" sheetId="29" r:id="rId30"/>
    <sheet name="fyrom_lw" sheetId="30" r:id="rId31"/>
    <sheet name="moldova_lu" sheetId="31" r:id="rId32"/>
    <sheet name="finland_ef" sheetId="32" r:id="rId33"/>
    <sheet name="albania_la" sheetId="33" r:id="rId34"/>
    <sheet name="bosnia_herzegovina_lq" sheetId="34" r:id="rId35"/>
    <sheet name="armenia_ud" sheetId="35" r:id="rId36"/>
    <sheet name="serbia_montenegro_kfor" sheetId="36" r:id="rId37"/>
    <sheet name="poland_ep" sheetId="37" r:id="rId38"/>
    <sheet name="lithuania_ey" sheetId="38" r:id="rId39"/>
    <sheet name="latvia_ev" sheetId="39" r:id="rId40"/>
    <sheet name="georgia_ug" sheetId="40" r:id="rId41"/>
  </sheets>
  <externalReferences>
    <externalReference r:id="rId42"/>
    <externalReference r:id="rId43"/>
    <externalReference r:id="rId44"/>
  </externalReferences>
  <definedNames>
    <definedName name="_" localSheetId="1">#REF!</definedName>
    <definedName name="_" localSheetId="40">#REF!</definedName>
    <definedName name="_">#REF!</definedName>
    <definedName name="_qry1999" localSheetId="1">#REF!</definedName>
    <definedName name="_qry1999" localSheetId="40">#REF!</definedName>
    <definedName name="_qry1999">#REF!</definedName>
    <definedName name="_qry2000" localSheetId="1">#REF!</definedName>
    <definedName name="_qry2000" localSheetId="40">#REF!</definedName>
    <definedName name="_qry2000">#REF!</definedName>
    <definedName name="_TAb1" localSheetId="1">#REF!</definedName>
    <definedName name="_TAb1" localSheetId="40">#REF!</definedName>
    <definedName name="_TAb1" localSheetId="39">#REF!</definedName>
    <definedName name="_TAb1">#REF!</definedName>
    <definedName name="_tblType" localSheetId="1">#REF!</definedName>
    <definedName name="_tblType" localSheetId="40">#REF!</definedName>
    <definedName name="_tblType">#REF!</definedName>
    <definedName name="aa" localSheetId="1">#REF!</definedName>
    <definedName name="aa" localSheetId="40">#REF!</definedName>
    <definedName name="aa">#REF!</definedName>
    <definedName name="aaaa" localSheetId="1">#REF!</definedName>
    <definedName name="aaaa" localSheetId="40">#REF!</definedName>
    <definedName name="aaaa" localSheetId="39">#REF!</definedName>
    <definedName name="aaaa">#REF!</definedName>
    <definedName name="Array" localSheetId="1">#REF!</definedName>
    <definedName name="Array" localSheetId="40">#REF!</definedName>
    <definedName name="Array" localSheetId="39">#REF!</definedName>
    <definedName name="Array">#REF!</definedName>
    <definedName name="Array2" localSheetId="1">#REF!</definedName>
    <definedName name="Array2" localSheetId="40">#REF!</definedName>
    <definedName name="Array2" localSheetId="39">#REF!</definedName>
    <definedName name="Array2">#REF!</definedName>
    <definedName name="Array3" localSheetId="1">#REF!</definedName>
    <definedName name="Array3" localSheetId="40">#REF!</definedName>
    <definedName name="Array3" localSheetId="39">#REF!</definedName>
    <definedName name="Array3">#REF!</definedName>
    <definedName name="base" localSheetId="1">#REF!</definedName>
    <definedName name="base" localSheetId="40">#REF!</definedName>
    <definedName name="base" localSheetId="39">#REF!</definedName>
    <definedName name="base">#REF!</definedName>
    <definedName name="Belux" localSheetId="1">#REF!</definedName>
    <definedName name="Belux" localSheetId="40">#REF!</definedName>
    <definedName name="Belux">#REF!</definedName>
    <definedName name="ceats" localSheetId="1">#REF!</definedName>
    <definedName name="ceats" localSheetId="40">#REF!</definedName>
    <definedName name="ceats">#REF!</definedName>
    <definedName name="ceats2" localSheetId="1">#REF!</definedName>
    <definedName name="ceats2" localSheetId="40">#REF!</definedName>
    <definedName name="ceats2">#REF!</definedName>
    <definedName name="_xlnm.Database" localSheetId="1">#REF!</definedName>
    <definedName name="_xlnm.Database" localSheetId="40">#REF!</definedName>
    <definedName name="_xlnm.Database" localSheetId="39">#REF!</definedName>
    <definedName name="_xlnm.Database">#REF!</definedName>
    <definedName name="ddb" localSheetId="1">#REF!</definedName>
    <definedName name="ddb" localSheetId="40">#REF!</definedName>
    <definedName name="ddb">#REF!</definedName>
    <definedName name="ddc" localSheetId="1">#REF!</definedName>
    <definedName name="ddc" localSheetId="40">#REF!</definedName>
    <definedName name="ddc">#REF!</definedName>
    <definedName name="ddd" localSheetId="1">#REF!</definedName>
    <definedName name="ddd" localSheetId="40">#REF!</definedName>
    <definedName name="ddd">#REF!</definedName>
    <definedName name="establ_fr" localSheetId="1">#REF!</definedName>
    <definedName name="establ_fr" localSheetId="40">#REF!</definedName>
    <definedName name="establ_fr">#REF!</definedName>
    <definedName name="establishment" localSheetId="1">#REF!</definedName>
    <definedName name="establishment" localSheetId="40">#REF!</definedName>
    <definedName name="establishment">#REF!</definedName>
    <definedName name="EV__LASTREFTIME__" hidden="1">39363.6565856481</definedName>
    <definedName name="General" localSheetId="1">#REF!</definedName>
    <definedName name="General" localSheetId="40">#REF!</definedName>
    <definedName name="General">#REF!</definedName>
    <definedName name="HH" localSheetId="1">#REF!</definedName>
    <definedName name="HH" localSheetId="40">#REF!</definedName>
    <definedName name="HH">#REF!</definedName>
    <definedName name="joures" localSheetId="1">#REF!</definedName>
    <definedName name="joures" localSheetId="40">#REF!</definedName>
    <definedName name="joures" localSheetId="39">#REF!</definedName>
    <definedName name="joures">#REF!</definedName>
    <definedName name="jours" localSheetId="1">#REF!</definedName>
    <definedName name="jours" localSheetId="40">#REF!</definedName>
    <definedName name="jours" localSheetId="39">#REF!</definedName>
    <definedName name="jours">#REF!</definedName>
    <definedName name="mapperDesc" localSheetId="1">#REF!</definedName>
    <definedName name="mapperDesc" localSheetId="40">#REF!</definedName>
    <definedName name="mapperDesc">#REF!</definedName>
    <definedName name="monthlyforcst0" localSheetId="1">#REF!</definedName>
    <definedName name="monthlyforcst0" localSheetId="40">#REF!</definedName>
    <definedName name="monthlyforcst0" localSheetId="39">#REF!</definedName>
    <definedName name="monthlyforcst0">#REF!</definedName>
    <definedName name="outturn1999" localSheetId="1">#REF!</definedName>
    <definedName name="outturn1999" localSheetId="40">#REF!</definedName>
    <definedName name="outturn1999">#REF!</definedName>
    <definedName name="Phasing1999" localSheetId="1">#REF!</definedName>
    <definedName name="Phasing1999" localSheetId="40">#REF!</definedName>
    <definedName name="Phasing1999">#REF!</definedName>
    <definedName name="_xlnm.Print_Area" localSheetId="1">crco_total!$B$1:$M$49</definedName>
    <definedName name="_xlnm.Print_Area" localSheetId="2">esra_02!$B$1:$M$49</definedName>
    <definedName name="_xlnm.Print_Area" localSheetId="14">portugal_santa_maria_az!$A$1:$M$49</definedName>
    <definedName name="_xlnm.Print_Area" localSheetId="6">united_kingdom_eg!$B$1:$M$48</definedName>
    <definedName name="qry1999Cats" localSheetId="1">#REF!</definedName>
    <definedName name="qry1999Cats" localSheetId="40">#REF!</definedName>
    <definedName name="qry1999Cats">#REF!</definedName>
    <definedName name="qry1999Rephasing" localSheetId="1">#REF!</definedName>
    <definedName name="qry1999Rephasing" localSheetId="40">#REF!</definedName>
    <definedName name="qry1999Rephasing">#REF!</definedName>
    <definedName name="__qry2000">#REF!</definedName>
    <definedName name="qry2000Categories" localSheetId="1">#REF!</definedName>
    <definedName name="qry2000Categories" localSheetId="40">#REF!</definedName>
    <definedName name="qry2000Categories">#REF!</definedName>
    <definedName name="qry2000Cats" localSheetId="1">#REF!</definedName>
    <definedName name="qry2000Cats" localSheetId="40">#REF!</definedName>
    <definedName name="qry2000Cats">#REF!</definedName>
    <definedName name="qry2000type" localSheetId="1">#REF!</definedName>
    <definedName name="qry2000type" localSheetId="40">#REF!</definedName>
    <definedName name="qry2000type">#REF!</definedName>
    <definedName name="qry2001Categories" localSheetId="1">#REF!</definedName>
    <definedName name="qry2001Categories" localSheetId="40">#REF!</definedName>
    <definedName name="qry2001Categories">#REF!</definedName>
    <definedName name="qry2001type" localSheetId="1">#REF!</definedName>
    <definedName name="qry2001type" localSheetId="40">#REF!</definedName>
    <definedName name="qry2001type">#REF!</definedName>
    <definedName name="qryCATtotals" localSheetId="1">#REF!</definedName>
    <definedName name="qryCATtotals" localSheetId="40">#REF!</definedName>
    <definedName name="qryCATtotals">#REF!</definedName>
    <definedName name="_xlnm.Recorder" localSheetId="1">#REF!</definedName>
    <definedName name="_xlnm.Recorder" localSheetId="40">#REF!</definedName>
    <definedName name="_xlnm.Recorder">#REF!</definedName>
    <definedName name="SAPBEXdnldView" hidden="1">"D3P6O4JMXIHFGVEM2GX1TIU40"</definedName>
    <definedName name="SAPBEXsysID" hidden="1">"BWP"</definedName>
    <definedName name="section" localSheetId="1">#REF!</definedName>
    <definedName name="section" localSheetId="40">#REF!</definedName>
    <definedName name="section">#REF!</definedName>
    <definedName name="solver_cvg" localSheetId="3" hidden="1">0.0001</definedName>
    <definedName name="solver_drv" localSheetId="3" hidden="1">1</definedName>
    <definedName name="solver_est" localSheetId="3" hidden="1">1</definedName>
    <definedName name="solver_itr" localSheetId="3" hidden="1">100</definedName>
    <definedName name="solver_lin" localSheetId="3" hidden="1">2</definedName>
    <definedName name="solver_neg" localSheetId="3" hidden="1">2</definedName>
    <definedName name="solver_num" localSheetId="3" hidden="1">0</definedName>
    <definedName name="solver_nwt" localSheetId="3" hidden="1">1</definedName>
    <definedName name="solver_opt" localSheetId="3" hidden="1">belgium_luxembourg_eb!$K$16</definedName>
    <definedName name="solver_pre" localSheetId="3" hidden="1">0.000001</definedName>
    <definedName name="solver_scl" localSheetId="3" hidden="1">2</definedName>
    <definedName name="solver_sho" localSheetId="3" hidden="1">2</definedName>
    <definedName name="solver_tim" localSheetId="3" hidden="1">100</definedName>
    <definedName name="solver_tol" localSheetId="3" hidden="1">0.05</definedName>
    <definedName name="solver_typ" localSheetId="3" hidden="1">1</definedName>
    <definedName name="solver_val" localSheetId="3" hidden="1">0</definedName>
    <definedName name="ss" localSheetId="1">#REF!</definedName>
    <definedName name="ss" localSheetId="40">#REF!</definedName>
    <definedName name="ss">#REF!</definedName>
    <definedName name="__TAb1">#REF!</definedName>
    <definedName name="table" localSheetId="1">#REF!</definedName>
    <definedName name="table" localSheetId="40">#REF!</definedName>
    <definedName name="table">#REF!</definedName>
    <definedName name="tblMapDescriptions" localSheetId="1">#REF!</definedName>
    <definedName name="tblMapDescriptions" localSheetId="40">#REF!</definedName>
    <definedName name="tblMapDescriptions">#REF!</definedName>
    <definedName name="tot" localSheetId="1">#REF!</definedName>
    <definedName name="tot" localSheetId="40">#REF!</definedName>
    <definedName name="tot">#REF!</definedName>
    <definedName name="tota" localSheetId="1">#REF!</definedName>
    <definedName name="tota" localSheetId="40">#REF!</definedName>
    <definedName name="tota">#REF!</definedName>
    <definedName name="totb" localSheetId="1">#REF!</definedName>
    <definedName name="totb" localSheetId="40">#REF!</definedName>
    <definedName name="totb">#REF!</definedName>
    <definedName name="totc" localSheetId="1">#REF!</definedName>
    <definedName name="totc" localSheetId="40">#REF!</definedName>
    <definedName name="totc">#REF!</definedName>
    <definedName name="totd" localSheetId="1">#REF!</definedName>
    <definedName name="totd" localSheetId="40">#REF!</definedName>
    <definedName name="totd">#REF!</definedName>
    <definedName name="x">"Chart 4"</definedName>
  </definedNames>
  <calcPr calcId="145621"/>
</workbook>
</file>

<file path=xl/sharedStrings.xml><?xml version="1.0" encoding="utf-8"?>
<sst xmlns="http://schemas.openxmlformats.org/spreadsheetml/2006/main" count="1885" uniqueCount="92">
  <si>
    <t>Charge area :</t>
  </si>
  <si>
    <t>CRCO TOTAL</t>
  </si>
  <si>
    <t>Date of issue:</t>
  </si>
  <si>
    <t>Month</t>
  </si>
  <si>
    <t>2016
Actual</t>
  </si>
  <si>
    <t>2016 Unit
Rate Basis</t>
  </si>
  <si>
    <t>2015
Actual</t>
  </si>
  <si>
    <t>2014
Actual</t>
  </si>
  <si>
    <t>% 2016 A        
 / 2016 F</t>
  </si>
  <si>
    <t>% 2016 A
 / 2015 A</t>
  </si>
  <si>
    <t>% 2015 A
 / 2014 A</t>
  </si>
  <si>
    <t xml:space="preserve">Latest Service Units' Forecast
</t>
  </si>
  <si>
    <t>(1)</t>
  </si>
  <si>
    <t>(2)</t>
  </si>
  <si>
    <t>(3)</t>
  </si>
  <si>
    <t>(4)</t>
  </si>
  <si>
    <t>(1)/(2)</t>
  </si>
  <si>
    <t>(1)/(3)</t>
  </si>
  <si>
    <t>(3)/(4)</t>
  </si>
  <si>
    <t>STATFOR Forecast (September 2015)</t>
  </si>
  <si>
    <t>January</t>
  </si>
  <si>
    <t>STATFOR Rev. 1 (SUF 1 - March 2016)</t>
  </si>
  <si>
    <t>February</t>
  </si>
  <si>
    <t>STATFOR Rev. 2 (SUF 2 - May 2016)</t>
  </si>
  <si>
    <t>March</t>
  </si>
  <si>
    <t>STATFOR Rev. 3 (SUF 3 - October 2016)</t>
  </si>
  <si>
    <t>April</t>
  </si>
  <si>
    <t>May</t>
  </si>
  <si>
    <t>June</t>
  </si>
  <si>
    <t>July</t>
  </si>
  <si>
    <t>2016 Unit Rate Basis</t>
  </si>
  <si>
    <t>August</t>
  </si>
  <si>
    <t>Latest forecast/Unit Rate Basis</t>
  </si>
  <si>
    <t>September</t>
  </si>
  <si>
    <t>October</t>
  </si>
  <si>
    <t>2015 Actual (System Report)</t>
  </si>
  <si>
    <t>November</t>
  </si>
  <si>
    <t>Latest Forecast/2015 Actual</t>
  </si>
  <si>
    <t>December</t>
  </si>
  <si>
    <t>2016 Unit Rate basis/2015 Actual</t>
  </si>
  <si>
    <t>TOTAL</t>
  </si>
  <si>
    <t/>
  </si>
  <si>
    <t>ESRA 02</t>
  </si>
  <si>
    <t>ESRA: EUROCONTROL STATISTICAL REFERENCE AREA</t>
  </si>
  <si>
    <t>EB</t>
  </si>
  <si>
    <t>ED</t>
  </si>
  <si>
    <t>LF</t>
  </si>
  <si>
    <t>EG</t>
  </si>
  <si>
    <t>EH</t>
  </si>
  <si>
    <t>EI</t>
  </si>
  <si>
    <t>LS</t>
  </si>
  <si>
    <t>LP</t>
  </si>
  <si>
    <t>LO</t>
  </si>
  <si>
    <t>LE</t>
  </si>
  <si>
    <t>GC</t>
  </si>
  <si>
    <t>AZ</t>
  </si>
  <si>
    <t xml:space="preserve">  </t>
  </si>
  <si>
    <t>LG</t>
  </si>
  <si>
    <t>LT</t>
  </si>
  <si>
    <t>LM</t>
  </si>
  <si>
    <t>LI</t>
  </si>
  <si>
    <t>LC</t>
  </si>
  <si>
    <t>LH</t>
  </si>
  <si>
    <t>EN</t>
  </si>
  <si>
    <t>EK</t>
  </si>
  <si>
    <t>LJ</t>
  </si>
  <si>
    <t>LR</t>
  </si>
  <si>
    <t>LK</t>
  </si>
  <si>
    <t>ES</t>
  </si>
  <si>
    <t>LZ</t>
  </si>
  <si>
    <t>LD</t>
  </si>
  <si>
    <t>LB</t>
  </si>
  <si>
    <t>LW</t>
  </si>
  <si>
    <t>LU</t>
  </si>
  <si>
    <t>EF</t>
  </si>
  <si>
    <t>LA</t>
  </si>
  <si>
    <t>2016 Unit
Rate Basis *</t>
  </si>
  <si>
    <t>2016 Unit Rate Basis *</t>
  </si>
  <si>
    <t>2016 Unit Rate basis */2015 Actual</t>
  </si>
  <si>
    <t>*</t>
  </si>
  <si>
    <t xml:space="preserve">2016 revised service unit forecast used as a basis for the Mid Year adjustement of the 2016 Unit Rate </t>
  </si>
  <si>
    <t>LQ</t>
  </si>
  <si>
    <t>UD</t>
  </si>
  <si>
    <t>LY</t>
  </si>
  <si>
    <t>EP</t>
  </si>
  <si>
    <t>EY</t>
  </si>
  <si>
    <t>EV</t>
  </si>
  <si>
    <t>UG</t>
  </si>
  <si>
    <t>STATFOR Rev. 1 (SUF 1 - March 16)</t>
  </si>
  <si>
    <t>STATFOR Rev. 2 (SUF 2 - May  16)</t>
  </si>
  <si>
    <t>STATFOR Rev. 3 (SUF 3 - Sep. 16)</t>
  </si>
  <si>
    <t>N.B. Georgia was integrated into the Multilateral System on 01.01.14 - 2013 service unit figures are estimates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</si>
</sst>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9" formatCode="_ * #,##0_ ;_ * \-#,##0_ ;_ * &quot;-&quot;_ ;_ @_ "/>
    <numFmt numFmtId="171" formatCode="_ * #,##0.00_ ;_ * \-#,##0.00_ ;_ * &quot;-&quot;??_ ;_ @_ "/>
    <numFmt numFmtId="172" formatCode="dd\-mm\-yy"/>
    <numFmt numFmtId="173" formatCode="0.0%"/>
    <numFmt numFmtId="174" formatCode="#,##0&quot; &quot;"/>
    <numFmt numFmtId="175" formatCode="#,##0.00%;[Red]\(#,##0.00%\);&quot;-&quot;"/>
    <numFmt numFmtId="176" formatCode="#,##0;[Red]\(#,##0\);&quot;-&quot;"/>
    <numFmt numFmtId="177" formatCode="#,##0.00;[Red]\(#,##0.00\);&quot;-&quot;"/>
    <numFmt numFmtId="178" formatCode="_(* #,##0_);_(* \(#,##0\)"/>
    <numFmt numFmtId="179" formatCode="mmm\-yyyy"/>
    <numFmt numFmtId="180" formatCode="dd\ mmm\ yy"/>
    <numFmt numFmtId="181" formatCode="#,##0;\(#,##0\)"/>
    <numFmt numFmtId="182" formatCode="#,##0;\-#,##0;\-"/>
    <numFmt numFmtId="183" formatCode="#,##0_ ;[Red]\(#,##0\);\-\ "/>
    <numFmt numFmtId="184" formatCode="#,##0;\(#,##0\);\-"/>
    <numFmt numFmtId="185" formatCode="&quot;þ&quot;;&quot;ý&quot;;&quot;¨&quot;"/>
    <numFmt numFmtId="186" formatCode="&quot;þ&quot;;;&quot;o&quot;;"/>
    <numFmt numFmtId="187" formatCode="#,##0.00\ ;[Red]\(#,##0.00\)"/>
    <numFmt numFmtId="188" formatCode="_-* #,##0.00_-;\-* #,##0.00_-;_-* &quot;-&quot;??_-;_-@_-"/>
    <numFmt numFmtId="189" formatCode="_-* #,##0.00\ _л_в_._-;\-* #,##0.00\ _л_в_._-;_-* &quot;-&quot;??\ _л_в_._-;_-@_-"/>
    <numFmt numFmtId="190" formatCode="_-* #,##0.00\ _F_-;\-* #,##0.00\ _F_-;_-* &quot;-&quot;??\ _F_-;_-@_-"/>
    <numFmt numFmtId="191" formatCode="_-* #,##0.00\ _€_-;\-* #,##0.00\ _€_-;_-* &quot;-&quot;??\ _€_-;_-@_-"/>
    <numFmt numFmtId="192" formatCode="_-* #,##0.00\ _F_B_-;\-* #,##0.00\ _F_B_-;_-* &quot;-&quot;??\ _F_B_-;_-@_-"/>
    <numFmt numFmtId="193" formatCode="_-&quot;£&quot;* #,##0.00_-;\-&quot;£&quot;* #,##0.00_-;_-&quot;£&quot;* &quot;-&quot;??_-;_-@_-"/>
    <numFmt numFmtId="194" formatCode="#,##0_);\(#,##0\);&quot;- &quot;;&quot;  &quot;@"/>
    <numFmt numFmtId="195" formatCode="_-* #,##0\ _D_M_-;\-* #,##0\ _D_M_-;_-* &quot;-&quot;\ _D_M_-;_-@_-"/>
    <numFmt numFmtId="196" formatCode="_-* #,##0.00\ _D_M_-;\-* #,##0.00\ _D_M_-;_-* &quot;-&quot;??\ _D_M_-;_-@_-"/>
    <numFmt numFmtId="197" formatCode="[Green]&quot;é&quot;;[Red]&quot;ê&quot;;&quot;ù&quot;;"/>
    <numFmt numFmtId="198" formatCode="_-* #,##0.00\ [$€-1]_-;\-* #,##0.00\ [$€-1]_-;_-* &quot;-&quot;??\ [$€-1]_-"/>
    <numFmt numFmtId="199" formatCode="_-[$€-2]\ * #,##0.00_-;\-[$€-2]\ * #,##0.00_-;_-[$€-2]\ * &quot;-&quot;??_-"/>
    <numFmt numFmtId="200" formatCode="_-* #,##0.00\ [$€]_-;\-* #,##0.00\ [$€]_-;_-* &quot;-&quot;??\ [$€]_-;_-@_-"/>
    <numFmt numFmtId="201" formatCode="_-[$€-2]\ * #,##0.00_-;\-[$€-2]\ * #,##0.00_-;_-[$€-2]\ * &quot;-&quot;??_-;_-@_-"/>
    <numFmt numFmtId="202" formatCode="_([$€-2]* #,##0.00_);_([$€-2]* \(#,##0.00\);_([$€-2]* &quot;-&quot;??_)"/>
    <numFmt numFmtId="203" formatCode="#,##0;\(#,##0\);0"/>
    <numFmt numFmtId="204" formatCode="_(* #,##0.0_%_);_(* \(#,##0.0_%\);_(* &quot; - &quot;_%_);_(@_)"/>
    <numFmt numFmtId="205" formatCode="_(* #,##0.0%_);_(* \(#,##0.0%\);_(* &quot; - &quot;\%_);_(@_)"/>
    <numFmt numFmtId="206" formatCode="_(* #,##0.0_);_(* \(#,##0.0\);_(* &quot; - &quot;_);_(@_)"/>
    <numFmt numFmtId="207" formatCode="_(* #,##0.00_);_(* \(#,##0.00\);_(* &quot; - &quot;_);_(@_)"/>
    <numFmt numFmtId="208" formatCode="_(* #,##0.000_);_(* \(#,##0.000\);_(* &quot; - &quot;_);_(@_)"/>
    <numFmt numFmtId="209" formatCode="#,##0;\(#,##0\);&quot;-&quot;"/>
    <numFmt numFmtId="210" formatCode="#,##0.0"/>
    <numFmt numFmtId="211" formatCode="_-* #,##0.00\ _F_t_-;\-* #,##0.00\ _F_t_-;_-* &quot;-&quot;??\ _F_t_-;_-@_-"/>
    <numFmt numFmtId="212" formatCode="#,##0.0000_);\(#,##0.0000\);&quot;- &quot;;&quot;  &quot;@"/>
    <numFmt numFmtId="213" formatCode="#.00"/>
    <numFmt numFmtId="214" formatCode="#,##0\ ;[Red]\(#,##0\);\-\ "/>
    <numFmt numFmtId="215" formatCode="&quot;Lookup&quot;\ 0"/>
    <numFmt numFmtId="216" formatCode="_-* #,##0_-;\-* #,##0_-;_-* &quot;-&quot;_-;_-@_-"/>
    <numFmt numFmtId="217" formatCode="###0_);\(###0\);&quot;- &quot;;&quot;  &quot;@"/>
    <numFmt numFmtId="218" formatCode="_-* #,##0\ _m_k_-;_-* #,##0\ _m_k\-;_-* &quot;-&quot;\ _m_k_-;_-@_-"/>
    <numFmt numFmtId="219" formatCode="_-* #,##0\ &quot;mk&quot;_-;_-* #,##0\ &quot;mk&quot;\-;_-* &quot;-&quot;\ &quot;mk&quot;_-;_-@_-"/>
    <numFmt numFmtId="220" formatCode="_-&quot;€&quot;\ * #,##0.00_-;\-&quot;€&quot;\ * #,##0.00_-;_-&quot;€&quot;\ * &quot;-&quot;??_-;_-@_-"/>
    <numFmt numFmtId="221" formatCode="_-* #,##0\ &quot;DM&quot;_-;\-* #,##0\ &quot;DM&quot;_-;_-* &quot;-&quot;\ &quot;DM&quot;_-;_-@_-"/>
    <numFmt numFmtId="222" formatCode="_-* #,##0.00\ &quot;DM&quot;_-;\-* #,##0.00\ &quot;DM&quot;_-;_-* &quot;-&quot;??\ &quot;DM&quot;_-;_-@_-"/>
    <numFmt numFmtId="223" formatCode="#,##0&quot;  &quot;;[Red]\-#,##0&quot;  &quot;"/>
  </numFmts>
  <fonts count="165">
    <font>
      <sz val="11"/>
      <color theme="1"/>
      <name val="Calibri"/>
      <family val="2"/>
      <scheme val="minor"/>
    </font>
    <font>
      <sz val="10"/>
      <name val="Times New Roman"/>
      <family val="1"/>
    </font>
    <font>
      <sz val="9"/>
      <name val="Tahoma"/>
      <family val="2"/>
    </font>
    <font>
      <b/>
      <sz val="9"/>
      <color indexed="10"/>
      <name val="Tahoma"/>
      <family val="2"/>
    </font>
    <font>
      <sz val="10"/>
      <name val="Tahoma"/>
      <family val="2"/>
    </font>
    <font>
      <sz val="8"/>
      <name val="Tahoma"/>
      <family val="2"/>
    </font>
    <font>
      <b/>
      <sz val="9"/>
      <name val="Tahoma"/>
      <family val="2"/>
    </font>
    <font>
      <i/>
      <sz val="9"/>
      <name val="Tahoma"/>
      <family val="2"/>
    </font>
    <font>
      <b/>
      <i/>
      <sz val="9"/>
      <name val="Tahoma"/>
      <family val="2"/>
    </font>
    <font>
      <b/>
      <sz val="8"/>
      <name val="Tahoma"/>
      <family val="2"/>
    </font>
    <font>
      <sz val="11"/>
      <name val="Times New Roman"/>
      <family val="1"/>
    </font>
    <font>
      <sz val="10"/>
      <name val="Arial"/>
      <family val="2"/>
    </font>
    <font>
      <sz val="10"/>
      <name val="Book Antiqua"/>
      <family val="1"/>
    </font>
    <font>
      <b/>
      <sz val="15"/>
      <color indexed="56"/>
      <name val="Calibri"/>
      <family val="2"/>
    </font>
    <font>
      <b/>
      <sz val="13"/>
      <color indexed="56"/>
      <name val="Calibri"/>
      <family val="2"/>
    </font>
    <font>
      <sz val="11"/>
      <color indexed="8"/>
      <name val="Calibri"/>
      <family val="2"/>
    </font>
    <font>
      <sz val="11"/>
      <color indexed="8"/>
      <name val="Calibri"/>
      <family val="2"/>
      <charset val="238"/>
    </font>
    <font>
      <sz val="11"/>
      <color indexed="8"/>
      <name val="Calibri"/>
      <family val="2"/>
      <charset val="186"/>
    </font>
    <font>
      <b/>
      <sz val="11"/>
      <color indexed="56"/>
      <name val="Calibri"/>
      <family val="2"/>
    </font>
    <font>
      <sz val="11"/>
      <color indexed="9"/>
      <name val="Calibri"/>
      <family val="2"/>
    </font>
    <font>
      <sz val="11"/>
      <color indexed="9"/>
      <name val="Calibri"/>
      <family val="2"/>
      <charset val="238"/>
    </font>
    <font>
      <sz val="11"/>
      <color indexed="9"/>
      <name val="Calibri"/>
      <family val="2"/>
      <charset val="186"/>
    </font>
    <font>
      <sz val="11"/>
      <color indexed="10"/>
      <name val="Calibri"/>
      <family val="2"/>
    </font>
    <font>
      <i/>
      <sz val="11"/>
      <color indexed="23"/>
      <name val="Calibri"/>
      <family val="2"/>
    </font>
    <font>
      <b/>
      <sz val="9"/>
      <name val="Helv"/>
    </font>
    <font>
      <b/>
      <sz val="11"/>
      <color indexed="52"/>
      <name val="Calibri"/>
      <family val="2"/>
    </font>
    <font>
      <b/>
      <sz val="11"/>
      <color indexed="52"/>
      <name val="Calibri"/>
      <family val="2"/>
      <charset val="186"/>
    </font>
    <font>
      <sz val="10"/>
      <color indexed="12"/>
      <name val="Arial"/>
      <family val="2"/>
    </font>
    <font>
      <sz val="10"/>
      <name val="MS Sans Serif"/>
      <family val="2"/>
    </font>
    <font>
      <sz val="9"/>
      <color indexed="12"/>
      <name val="Arial"/>
      <family val="2"/>
    </font>
    <font>
      <b/>
      <sz val="11"/>
      <color indexed="63"/>
      <name val="Calibri"/>
      <family val="2"/>
    </font>
    <font>
      <sz val="11"/>
      <color indexed="20"/>
      <name val="Calibri"/>
      <family val="2"/>
    </font>
    <font>
      <sz val="11"/>
      <color indexed="62"/>
      <name val="Calibri"/>
      <family val="2"/>
      <charset val="238"/>
    </font>
    <font>
      <b/>
      <sz val="11"/>
      <name val="Arial"/>
      <family val="2"/>
    </font>
    <font>
      <sz val="11"/>
      <color indexed="17"/>
      <name val="Calibri"/>
      <family val="2"/>
    </font>
    <font>
      <sz val="10"/>
      <name val="ZapfDingbats"/>
      <family val="2"/>
    </font>
    <font>
      <sz val="10"/>
      <color indexed="9"/>
      <name val="Arial"/>
      <family val="2"/>
    </font>
    <font>
      <sz val="10"/>
      <color indexed="40"/>
      <name val="Arial"/>
      <family val="2"/>
    </font>
    <font>
      <sz val="11"/>
      <name val="Arial"/>
      <family val="2"/>
    </font>
    <font>
      <b/>
      <sz val="11"/>
      <color indexed="9"/>
      <name val="Calibri"/>
      <family val="2"/>
    </font>
    <font>
      <sz val="11"/>
      <color indexed="52"/>
      <name val="Calibri"/>
      <family val="2"/>
    </font>
    <font>
      <sz val="14"/>
      <name val="Wingdings"/>
      <charset val="2"/>
    </font>
    <font>
      <sz val="22"/>
      <color indexed="12"/>
      <name val="Wingdings"/>
      <charset val="2"/>
    </font>
    <font>
      <sz val="22"/>
      <name val="Wingdings"/>
      <charset val="2"/>
    </font>
    <font>
      <b/>
      <sz val="18"/>
      <color indexed="56"/>
      <name val="Cambria"/>
      <family val="2"/>
      <charset val="238"/>
    </font>
    <font>
      <b/>
      <sz val="15"/>
      <color indexed="56"/>
      <name val="Calibri"/>
      <family val="2"/>
      <charset val="238"/>
    </font>
    <font>
      <b/>
      <sz val="13"/>
      <color indexed="56"/>
      <name val="Calibri"/>
      <family val="2"/>
      <charset val="238"/>
    </font>
    <font>
      <b/>
      <sz val="11"/>
      <color indexed="56"/>
      <name val="Calibri"/>
      <family val="2"/>
      <charset val="238"/>
    </font>
    <font>
      <b/>
      <u val="singleAccounting"/>
      <sz val="11"/>
      <name val="Arial"/>
      <family val="2"/>
    </font>
    <font>
      <sz val="11"/>
      <name val="Arial"/>
      <family val="2"/>
      <charset val="204"/>
    </font>
    <font>
      <sz val="11"/>
      <name val="Arial"/>
      <family val="2"/>
      <charset val="238"/>
    </font>
    <font>
      <sz val="11"/>
      <name val="Arial"/>
      <family val="2"/>
      <charset val="186"/>
    </font>
    <font>
      <sz val="11"/>
      <name val="Arial"/>
      <family val="2"/>
      <charset val="161"/>
    </font>
    <font>
      <sz val="10"/>
      <name val="Times New Roman"/>
      <family val="1"/>
      <charset val="238"/>
    </font>
    <font>
      <sz val="10"/>
      <name val="Times New Roman"/>
      <family val="1"/>
      <charset val="204"/>
    </font>
    <font>
      <b/>
      <sz val="8"/>
      <color indexed="10"/>
      <name val="Arial"/>
      <family val="2"/>
    </font>
    <font>
      <b/>
      <sz val="16"/>
      <color indexed="9"/>
      <name val="Arial"/>
      <family val="2"/>
    </font>
    <font>
      <b/>
      <sz val="16"/>
      <name val="Arial"/>
      <family val="2"/>
    </font>
    <font>
      <sz val="10"/>
      <name val="BERNHARD"/>
    </font>
    <font>
      <sz val="10"/>
      <color indexed="50"/>
      <name val="Arial"/>
      <family val="2"/>
    </font>
    <font>
      <sz val="16"/>
      <name val="Wingdings"/>
      <charset val="2"/>
    </font>
    <font>
      <sz val="11"/>
      <color indexed="62"/>
      <name val="Calibri"/>
      <family val="2"/>
    </font>
    <font>
      <b/>
      <sz val="11"/>
      <color indexed="9"/>
      <name val="Calibri"/>
      <family val="2"/>
      <charset val="238"/>
    </font>
    <font>
      <b/>
      <sz val="11"/>
      <color indexed="8"/>
      <name val="Calibri"/>
      <family val="2"/>
    </font>
    <font>
      <sz val="10"/>
      <name val="Arial"/>
      <family val="2"/>
      <charset val="204"/>
    </font>
    <font>
      <b/>
      <sz val="32"/>
      <name val="Helvetica"/>
      <family val="2"/>
    </font>
    <font>
      <sz val="12"/>
      <name val="Times New Roman"/>
      <family val="1"/>
    </font>
    <font>
      <i/>
      <sz val="8"/>
      <name val="Times New Roman"/>
      <family val="1"/>
    </font>
    <font>
      <sz val="9"/>
      <name val="Times New Roman"/>
      <family val="1"/>
    </font>
    <font>
      <b/>
      <u val="singleAccounting"/>
      <sz val="9"/>
      <name val="Times New Roman"/>
      <family val="1"/>
    </font>
    <font>
      <b/>
      <sz val="11"/>
      <name val="Times New Roman"/>
      <family val="1"/>
    </font>
    <font>
      <b/>
      <sz val="10"/>
      <name val="Times New Roman"/>
      <family val="1"/>
    </font>
    <font>
      <b/>
      <i/>
      <sz val="9.5"/>
      <name val="Times New Roman"/>
      <family val="1"/>
    </font>
    <font>
      <sz val="8"/>
      <name val="MS Serif"/>
      <family val="1"/>
      <charset val="238"/>
    </font>
    <font>
      <sz val="10"/>
      <name val="Arial"/>
      <family val="2"/>
      <charset val="238"/>
    </font>
    <font>
      <b/>
      <sz val="10"/>
      <name val="Arial"/>
      <family val="2"/>
    </font>
    <font>
      <sz val="11"/>
      <color indexed="10"/>
      <name val="Calibri"/>
      <family val="2"/>
      <charset val="238"/>
    </font>
    <font>
      <sz val="10"/>
      <name val="Helvetica"/>
      <family val="2"/>
    </font>
    <font>
      <sz val="1"/>
      <color indexed="8"/>
      <name val="Courier"/>
      <family val="1"/>
      <charset val="238"/>
    </font>
    <font>
      <sz val="10"/>
      <color indexed="18"/>
      <name val="Arial"/>
      <family val="2"/>
    </font>
    <font>
      <sz val="10"/>
      <color indexed="23"/>
      <name val="Arial"/>
      <family val="2"/>
    </font>
    <font>
      <sz val="11"/>
      <color indexed="20"/>
      <name val="Calibri"/>
      <family val="2"/>
      <charset val="186"/>
    </font>
    <font>
      <sz val="11"/>
      <color indexed="17"/>
      <name val="Calibri"/>
      <family val="2"/>
      <charset val="186"/>
    </font>
    <font>
      <b/>
      <sz val="12"/>
      <name val="Arial"/>
      <family val="2"/>
    </font>
    <font>
      <b/>
      <u/>
      <sz val="16"/>
      <color indexed="10"/>
      <name val="Palatino"/>
      <family val="1"/>
    </font>
    <font>
      <b/>
      <sz val="10"/>
      <color indexed="18"/>
      <name val="Arial"/>
      <family val="2"/>
    </font>
    <font>
      <sz val="8"/>
      <color indexed="12"/>
      <name val="Helv"/>
    </font>
    <font>
      <u/>
      <sz val="12"/>
      <color indexed="12"/>
      <name val="Courier"/>
      <family val="3"/>
    </font>
    <font>
      <sz val="11"/>
      <color indexed="52"/>
      <name val="Calibri"/>
      <family val="2"/>
      <charset val="238"/>
    </font>
    <font>
      <sz val="11"/>
      <color indexed="10"/>
      <name val="Calibri"/>
      <family val="2"/>
      <charset val="186"/>
    </font>
    <font>
      <u/>
      <sz val="10"/>
      <color indexed="12"/>
      <name val="MS Sans Serif"/>
      <family val="2"/>
    </font>
    <font>
      <u/>
      <sz val="11"/>
      <color indexed="12"/>
      <name val="Calibri"/>
      <family val="2"/>
    </font>
    <font>
      <b/>
      <sz val="8"/>
      <color indexed="12"/>
      <name val="Arial"/>
      <family val="2"/>
    </font>
    <font>
      <sz val="10"/>
      <color indexed="12"/>
      <name val="Times New Roman"/>
      <family val="1"/>
    </font>
    <font>
      <sz val="10"/>
      <color indexed="24"/>
      <name val="Arial"/>
      <family val="2"/>
    </font>
    <font>
      <b/>
      <sz val="10"/>
      <color indexed="14"/>
      <name val="Times New Roman"/>
      <family val="1"/>
    </font>
    <font>
      <sz val="8"/>
      <color indexed="17"/>
      <name val="Arial"/>
      <family val="2"/>
    </font>
    <font>
      <sz val="10"/>
      <name val="Arial CE"/>
      <charset val="238"/>
    </font>
    <font>
      <sz val="11"/>
      <color indexed="17"/>
      <name val="Calibri"/>
      <family val="2"/>
      <charset val="238"/>
    </font>
    <font>
      <b/>
      <sz val="11"/>
      <color indexed="63"/>
      <name val="Calibri"/>
      <family val="2"/>
      <charset val="238"/>
    </font>
    <font>
      <b/>
      <sz val="11"/>
      <color indexed="8"/>
      <name val="Calibri"/>
      <family val="2"/>
      <charset val="186"/>
    </font>
    <font>
      <b/>
      <sz val="11"/>
      <color indexed="9"/>
      <name val="Calibri"/>
      <family val="2"/>
      <charset val="186"/>
    </font>
    <font>
      <sz val="18"/>
      <name val="Times New Roman"/>
      <family val="1"/>
    </font>
    <font>
      <b/>
      <sz val="13"/>
      <name val="Times New Roman"/>
      <family val="1"/>
    </font>
    <font>
      <b/>
      <i/>
      <sz val="12"/>
      <name val="Times New Roman"/>
      <family val="1"/>
    </font>
    <font>
      <i/>
      <sz val="12"/>
      <name val="Times New Roman"/>
      <family val="1"/>
    </font>
    <font>
      <b/>
      <sz val="18"/>
      <name val="Helvetica"/>
      <family val="2"/>
    </font>
    <font>
      <sz val="11"/>
      <color indexed="52"/>
      <name val="Calibri"/>
      <family val="2"/>
      <charset val="186"/>
    </font>
    <font>
      <sz val="8"/>
      <color indexed="47"/>
      <name val="Arial"/>
      <family val="2"/>
    </font>
    <font>
      <i/>
      <sz val="11"/>
      <color indexed="23"/>
      <name val="Calibri"/>
      <family val="2"/>
      <charset val="238"/>
    </font>
    <font>
      <sz val="10"/>
      <name val="Times New Roman"/>
      <family val="1"/>
      <charset val="186"/>
    </font>
    <font>
      <sz val="14"/>
      <name val="Helvetica"/>
      <family val="2"/>
    </font>
    <font>
      <sz val="8"/>
      <color indexed="40"/>
      <name val="Arial"/>
      <family val="2"/>
    </font>
    <font>
      <sz val="8"/>
      <color indexed="10"/>
      <name val="Arial"/>
      <family val="2"/>
    </font>
    <font>
      <sz val="11"/>
      <color indexed="60"/>
      <name val="Calibri"/>
      <family val="2"/>
    </font>
    <font>
      <sz val="11"/>
      <color indexed="60"/>
      <name val="Calibri"/>
      <family val="2"/>
      <charset val="186"/>
    </font>
    <font>
      <sz val="10"/>
      <color indexed="64"/>
      <name val="Arial"/>
      <family val="2"/>
      <charset val="204"/>
    </font>
    <font>
      <sz val="12"/>
      <name val="Times New Roman"/>
      <family val="1"/>
      <charset val="238"/>
    </font>
    <font>
      <sz val="11"/>
      <name val="Arial"/>
      <family val="2"/>
      <charset val="162"/>
    </font>
    <font>
      <sz val="8"/>
      <name val="Arial"/>
      <family val="2"/>
    </font>
    <font>
      <sz val="11"/>
      <color indexed="8"/>
      <name val="Arial"/>
      <family val="2"/>
    </font>
    <font>
      <sz val="11"/>
      <color indexed="8"/>
      <name val="Czcionka tekstu podstawowego"/>
      <family val="2"/>
    </font>
    <font>
      <sz val="8"/>
      <name val="Times New Roman"/>
      <family val="1"/>
    </font>
    <font>
      <sz val="10"/>
      <color indexed="54"/>
      <name val="Arial"/>
      <family val="2"/>
    </font>
    <font>
      <sz val="9"/>
      <color indexed="8"/>
      <name val="Arial"/>
      <family val="2"/>
    </font>
    <font>
      <b/>
      <sz val="11"/>
      <color indexed="8"/>
      <name val="Calibri"/>
      <family val="2"/>
      <charset val="238"/>
    </font>
    <font>
      <b/>
      <sz val="18"/>
      <color indexed="56"/>
      <name val="Cambria"/>
      <family val="2"/>
    </font>
    <font>
      <b/>
      <sz val="15"/>
      <color indexed="56"/>
      <name val="Calibri"/>
      <family val="2"/>
      <charset val="186"/>
    </font>
    <font>
      <b/>
      <sz val="13"/>
      <color indexed="56"/>
      <name val="Calibri"/>
      <family val="2"/>
      <charset val="186"/>
    </font>
    <font>
      <b/>
      <sz val="11"/>
      <color indexed="56"/>
      <name val="Calibri"/>
      <family val="2"/>
      <charset val="186"/>
    </font>
    <font>
      <b/>
      <sz val="18"/>
      <color indexed="56"/>
      <name val="Cambria"/>
      <family val="2"/>
      <charset val="186"/>
    </font>
    <font>
      <b/>
      <sz val="10"/>
      <color indexed="64"/>
      <name val="Arial"/>
      <family val="2"/>
      <charset val="204"/>
    </font>
    <font>
      <b/>
      <sz val="10"/>
      <color indexed="8"/>
      <name val="Arial"/>
      <family val="2"/>
    </font>
    <font>
      <sz val="10"/>
      <color indexed="8"/>
      <name val="Arial"/>
      <family val="2"/>
    </font>
    <font>
      <sz val="11"/>
      <color indexed="20"/>
      <name val="Calibri"/>
      <family val="2"/>
      <charset val="238"/>
    </font>
    <font>
      <b/>
      <sz val="18"/>
      <color indexed="62"/>
      <name val="Cambria"/>
      <family val="2"/>
    </font>
    <font>
      <sz val="10"/>
      <color indexed="39"/>
      <name val="Arial"/>
      <family val="2"/>
    </font>
    <font>
      <b/>
      <sz val="12"/>
      <color indexed="8"/>
      <name val="Arial"/>
      <family val="2"/>
    </font>
    <font>
      <b/>
      <sz val="16"/>
      <color indexed="23"/>
      <name val="Arial"/>
      <family val="2"/>
    </font>
    <font>
      <sz val="10"/>
      <color indexed="10"/>
      <name val="Arial"/>
      <family val="2"/>
    </font>
    <font>
      <i/>
      <sz val="11"/>
      <color indexed="23"/>
      <name val="Calibri"/>
      <family val="2"/>
      <charset val="186"/>
    </font>
    <font>
      <sz val="11"/>
      <color indexed="60"/>
      <name val="Calibri"/>
      <family val="2"/>
      <charset val="238"/>
    </font>
    <font>
      <sz val="11"/>
      <color indexed="62"/>
      <name val="Calibri"/>
      <family val="2"/>
      <charset val="186"/>
    </font>
    <font>
      <sz val="8"/>
      <name val="Helvetica"/>
      <family val="2"/>
    </font>
    <font>
      <b/>
      <u/>
      <sz val="10"/>
      <name val="Helv"/>
    </font>
    <font>
      <sz val="8"/>
      <name val="Helv"/>
    </font>
    <font>
      <sz val="10"/>
      <name val="Century Gothic"/>
      <family val="2"/>
    </font>
    <font>
      <sz val="10"/>
      <color indexed="19"/>
      <name val="Arial"/>
      <family val="2"/>
    </font>
    <font>
      <b/>
      <sz val="11"/>
      <color indexed="52"/>
      <name val="Calibri"/>
      <family val="2"/>
      <charset val="238"/>
    </font>
    <font>
      <sz val="10"/>
      <name val="MS Serif"/>
      <family val="1"/>
      <charset val="238"/>
    </font>
    <font>
      <sz val="12"/>
      <name val="Arial MT"/>
    </font>
    <font>
      <b/>
      <sz val="16"/>
      <color indexed="24"/>
      <name val="Univers 45 Light"/>
      <family val="2"/>
    </font>
    <font>
      <b/>
      <sz val="14"/>
      <name val="Arial"/>
      <family val="2"/>
    </font>
    <font>
      <b/>
      <sz val="10"/>
      <name val="Helv"/>
    </font>
    <font>
      <b/>
      <sz val="10"/>
      <color indexed="57"/>
      <name val="Arial"/>
      <family val="2"/>
    </font>
    <font>
      <b/>
      <sz val="11"/>
      <color indexed="63"/>
      <name val="Calibri"/>
      <family val="2"/>
      <charset val="186"/>
    </font>
    <font>
      <b/>
      <sz val="24"/>
      <name val="Helvetica"/>
      <family val="2"/>
    </font>
    <font>
      <b/>
      <sz val="8"/>
      <color indexed="10"/>
      <name val="Tahoma"/>
      <family val="2"/>
    </font>
    <font>
      <sz val="6"/>
      <name val="Tahoma"/>
      <family val="2"/>
    </font>
    <font>
      <sz val="10"/>
      <name val="Times New Roman"/>
    </font>
    <font>
      <sz val="11"/>
      <color theme="1"/>
      <name val="Calibri"/>
      <family val="2"/>
      <scheme val="minor"/>
    </font>
    <font>
      <sz val="11"/>
      <color theme="0"/>
      <name val="Calibri"/>
      <family val="2"/>
      <scheme val="minor"/>
    </font>
    <font>
      <sz val="11"/>
      <color theme="1"/>
      <name val="Calibri"/>
      <family val="2"/>
      <charset val="238"/>
      <scheme val="minor"/>
    </font>
    <font>
      <sz val="11"/>
      <color theme="1"/>
      <name val="Calibri"/>
      <family val="2"/>
      <charset val="204"/>
      <scheme val="minor"/>
    </font>
    <font>
      <sz val="11"/>
      <color theme="1"/>
      <name val="Arial"/>
      <family val="2"/>
    </font>
  </fonts>
  <fills count="59">
    <fill>
      <patternFill patternType="none"/>
    </fill>
    <fill>
      <patternFill patternType="gray125"/>
    </fill>
    <fill>
      <patternFill patternType="solid">
        <fgColor indexed="1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bgColor indexed="64"/>
      </patternFill>
    </fill>
    <fill>
      <patternFill patternType="solid">
        <fgColor indexed="62"/>
        <bgColor indexed="64"/>
      </patternFill>
    </fill>
    <fill>
      <patternFill patternType="solid">
        <fgColor indexed="27"/>
        <bgColor indexed="64"/>
      </patternFill>
    </fill>
    <fill>
      <patternFill patternType="solid">
        <fgColor indexed="26"/>
        <bgColor indexed="64"/>
      </patternFill>
    </fill>
    <fill>
      <patternFill patternType="solid">
        <fgColor indexed="28"/>
        <bgColor indexed="64"/>
      </patternFill>
    </fill>
    <fill>
      <patternFill patternType="solid">
        <fgColor indexed="22"/>
        <bgColor indexed="64"/>
      </patternFill>
    </fill>
    <fill>
      <patternFill patternType="solid">
        <fgColor indexed="22"/>
        <bgColor indexed="22"/>
      </patternFill>
    </fill>
    <fill>
      <patternFill patternType="solid">
        <fgColor indexed="31"/>
        <bgColor indexed="64"/>
      </patternFill>
    </fill>
    <fill>
      <patternFill patternType="solid">
        <fgColor indexed="55"/>
      </patternFill>
    </fill>
    <fill>
      <patternFill patternType="solid">
        <fgColor indexed="29"/>
        <bgColor indexed="64"/>
      </patternFill>
    </fill>
    <fill>
      <patternFill patternType="solid">
        <fgColor indexed="14"/>
        <bgColor indexed="64"/>
      </patternFill>
    </fill>
    <fill>
      <patternFill patternType="solid">
        <fgColor indexed="51"/>
        <bgColor indexed="64"/>
      </patternFill>
    </fill>
    <fill>
      <patternFill patternType="solid">
        <fgColor indexed="42"/>
        <bgColor indexed="64"/>
      </patternFill>
    </fill>
    <fill>
      <patternFill patternType="gray0625">
        <fgColor indexed="23"/>
        <bgColor indexed="9"/>
      </patternFill>
    </fill>
    <fill>
      <patternFill patternType="solid">
        <fgColor indexed="40"/>
        <bgColor indexed="64"/>
      </patternFill>
    </fill>
    <fill>
      <patternFill patternType="solid">
        <fgColor indexed="44"/>
        <bgColor indexed="64"/>
      </patternFill>
    </fill>
    <fill>
      <patternFill patternType="solid">
        <fgColor indexed="30"/>
        <bgColor indexed="64"/>
      </patternFill>
    </fill>
    <fill>
      <patternFill patternType="solid">
        <fgColor indexed="43"/>
      </patternFill>
    </fill>
    <fill>
      <patternFill patternType="mediumGray">
        <fgColor indexed="11"/>
      </patternFill>
    </fill>
    <fill>
      <patternFill patternType="solid">
        <fgColor indexed="45"/>
        <bgColor indexed="64"/>
      </patternFill>
    </fill>
    <fill>
      <patternFill patternType="solid">
        <fgColor indexed="10"/>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61"/>
        <bgColor indexed="64"/>
      </patternFill>
    </fill>
    <fill>
      <patternFill patternType="solid">
        <fgColor indexed="9"/>
      </patternFill>
    </fill>
    <fill>
      <patternFill patternType="solid">
        <fgColor indexed="24"/>
        <bgColor indexed="64"/>
      </patternFill>
    </fill>
    <fill>
      <patternFill patternType="darkUp">
        <fgColor indexed="8"/>
        <bgColor indexed="13"/>
      </patternFill>
    </fill>
    <fill>
      <patternFill patternType="solid">
        <fgColor indexed="9"/>
        <bgColor indexed="64"/>
      </patternFill>
    </fill>
  </fills>
  <borders count="67">
    <border>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hair">
        <color indexed="64"/>
      </left>
      <right style="hair">
        <color indexed="64"/>
      </right>
      <top style="hair">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dashed">
        <color indexed="63"/>
      </left>
      <right style="dashed">
        <color indexed="63"/>
      </right>
      <top style="dashed">
        <color indexed="63"/>
      </top>
      <bottom style="dashed">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ashed">
        <color indexed="28"/>
      </left>
      <right style="dashed">
        <color indexed="28"/>
      </right>
      <top style="dashed">
        <color indexed="28"/>
      </top>
      <bottom style="dashed">
        <color indexed="28"/>
      </bottom>
      <diagonal/>
    </border>
    <border>
      <left style="thin">
        <color indexed="64"/>
      </left>
      <right style="thin">
        <color indexed="64"/>
      </right>
      <top/>
      <bottom style="hair">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style="dotted">
        <color indexed="28"/>
      </left>
      <right style="dotted">
        <color indexed="28"/>
      </right>
      <top style="dotted">
        <color indexed="28"/>
      </top>
      <bottom style="dotted">
        <color indexed="28"/>
      </bottom>
      <diagonal/>
    </border>
    <border>
      <left style="dashed">
        <color indexed="55"/>
      </left>
      <right style="dashed">
        <color indexed="55"/>
      </right>
      <top style="dashed">
        <color indexed="55"/>
      </top>
      <bottom style="dashed">
        <color indexed="55"/>
      </bottom>
      <diagonal/>
    </border>
    <border>
      <left style="hair">
        <color indexed="12"/>
      </left>
      <right style="hair">
        <color indexed="12"/>
      </right>
      <top style="hair">
        <color indexed="12"/>
      </top>
      <bottom style="hair">
        <color indexed="12"/>
      </bottom>
      <diagonal/>
    </border>
    <border>
      <left style="thin">
        <color indexed="54"/>
      </left>
      <right style="thin">
        <color indexed="54"/>
      </right>
      <top style="thin">
        <color indexed="54"/>
      </top>
      <bottom style="thin">
        <color indexed="54"/>
      </bottom>
      <diagonal/>
    </border>
    <border>
      <left style="dotted">
        <color indexed="10"/>
      </left>
      <right style="dotted">
        <color indexed="10"/>
      </right>
      <top style="dotted">
        <color indexed="10"/>
      </top>
      <bottom style="dotted">
        <color indexed="10"/>
      </bottom>
      <diagonal/>
    </border>
    <border>
      <left style="thin">
        <color indexed="8"/>
      </left>
      <right style="thin">
        <color indexed="8"/>
      </right>
      <top style="thin">
        <color indexed="8"/>
      </top>
      <bottom style="thin">
        <color indexed="8"/>
      </bottom>
      <diagonal/>
    </border>
    <border>
      <left/>
      <right style="thin">
        <color indexed="64"/>
      </right>
      <top/>
      <bottom/>
      <diagonal/>
    </border>
    <border>
      <left style="thin">
        <color indexed="8"/>
      </left>
      <right style="thin">
        <color indexed="8"/>
      </right>
      <top/>
      <bottom/>
      <diagonal/>
    </border>
    <border>
      <left style="thin">
        <color indexed="64"/>
      </left>
      <right style="thin">
        <color indexed="64"/>
      </right>
      <top style="thick">
        <color indexed="64"/>
      </top>
      <bottom style="hair">
        <color indexed="64"/>
      </bottom>
      <diagonal/>
    </border>
    <border>
      <left style="thin">
        <color indexed="63"/>
      </left>
      <right style="thin">
        <color indexed="63"/>
      </right>
      <top style="thin">
        <color indexed="64"/>
      </top>
      <bottom style="thin">
        <color indexed="63"/>
      </bottom>
      <diagonal/>
    </border>
    <border>
      <left style="medium">
        <color indexed="64"/>
      </left>
      <right/>
      <top style="medium">
        <color indexed="64"/>
      </top>
      <bottom/>
      <diagonal/>
    </border>
    <border>
      <left style="thin">
        <color indexed="64"/>
      </left>
      <right/>
      <top/>
      <bottom/>
      <diagonal/>
    </border>
    <border>
      <left/>
      <right/>
      <top style="thin">
        <color indexed="64"/>
      </top>
      <bottom/>
      <diagonal/>
    </border>
    <border>
      <left/>
      <right/>
      <top style="thin">
        <color indexed="19"/>
      </top>
      <bottom/>
      <diagonal/>
    </border>
    <border>
      <left style="thin">
        <color indexed="64"/>
      </left>
      <right style="thin">
        <color indexed="64"/>
      </right>
      <top style="hair">
        <color indexed="64"/>
      </top>
      <bottom style="hair">
        <color indexed="64"/>
      </bottom>
      <diagonal/>
    </border>
    <border>
      <left/>
      <right/>
      <top style="thin">
        <color indexed="19"/>
      </top>
      <bottom style="double">
        <color indexed="19"/>
      </bottom>
      <diagonal/>
    </border>
    <border>
      <left/>
      <right/>
      <top style="thin">
        <color indexed="64"/>
      </top>
      <bottom style="double">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hair">
        <color indexed="64"/>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bottom/>
      <diagonal/>
    </border>
    <border>
      <left style="medium">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medium">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hair">
        <color indexed="64"/>
      </right>
      <top style="hair">
        <color indexed="64"/>
      </top>
      <bottom style="medium">
        <color indexed="64"/>
      </bottom>
      <diagonal/>
    </border>
    <border>
      <left/>
      <right style="medium">
        <color indexed="64"/>
      </right>
      <top style="hair">
        <color indexed="64"/>
      </top>
      <bottom/>
      <diagonal/>
    </border>
    <border>
      <left style="medium">
        <color indexed="64"/>
      </left>
      <right style="hair">
        <color indexed="64"/>
      </right>
      <top/>
      <bottom style="medium">
        <color indexed="64"/>
      </bottom>
      <diagonal/>
    </border>
    <border>
      <left/>
      <right style="hair">
        <color indexed="64"/>
      </right>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hair">
        <color indexed="64"/>
      </left>
      <right style="hair">
        <color indexed="64"/>
      </right>
      <top style="hair">
        <color indexed="64"/>
      </top>
      <bottom/>
      <diagonal/>
    </border>
    <border>
      <left/>
      <right style="medium">
        <color indexed="64"/>
      </right>
      <top/>
      <bottom/>
      <diagonal/>
    </border>
    <border>
      <left style="medium">
        <color indexed="64"/>
      </left>
      <right/>
      <top style="medium">
        <color indexed="64"/>
      </top>
      <bottom style="hair">
        <color indexed="64"/>
      </bottom>
      <diagonal/>
    </border>
    <border>
      <left style="medium">
        <color indexed="64"/>
      </left>
      <right style="medium">
        <color indexed="64"/>
      </right>
      <top/>
      <bottom/>
      <diagonal/>
    </border>
    <border>
      <left style="hair">
        <color indexed="64"/>
      </left>
      <right style="medium">
        <color indexed="64"/>
      </right>
      <top style="hair">
        <color indexed="64"/>
      </top>
      <bottom/>
      <diagonal/>
    </border>
    <border>
      <left style="hair">
        <color indexed="64"/>
      </left>
      <right/>
      <top style="hair">
        <color indexed="64"/>
      </top>
      <bottom style="hair">
        <color indexed="64"/>
      </bottom>
      <diagonal/>
    </border>
    <border>
      <left style="hair">
        <color indexed="64"/>
      </left>
      <right/>
      <top style="medium">
        <color indexed="64"/>
      </top>
      <bottom style="medium">
        <color indexed="64"/>
      </bottom>
      <diagonal/>
    </border>
    <border>
      <left/>
      <right style="medium">
        <color indexed="64"/>
      </right>
      <top style="medium">
        <color indexed="64"/>
      </top>
      <bottom style="hair">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medium">
        <color indexed="64"/>
      </left>
      <right/>
      <top/>
      <bottom style="medium">
        <color indexed="64"/>
      </bottom>
      <diagonal/>
    </border>
    <border>
      <left style="medium">
        <color indexed="64"/>
      </left>
      <right style="hair">
        <color indexed="64"/>
      </right>
      <top style="medium">
        <color indexed="64"/>
      </top>
      <bottom style="medium">
        <color indexed="64"/>
      </bottom>
      <diagonal/>
    </border>
    <border>
      <left/>
      <right/>
      <top style="medium">
        <color indexed="64"/>
      </top>
      <bottom style="medium">
        <color indexed="64"/>
      </bottom>
      <diagonal/>
    </border>
    <border>
      <left style="hair">
        <color indexed="64"/>
      </left>
      <right style="hair">
        <color indexed="64"/>
      </right>
      <top/>
      <bottom style="medium">
        <color indexed="64"/>
      </bottom>
      <diagonal/>
    </border>
  </borders>
  <cellStyleXfs count="2632">
    <xf numFmtId="0" fontId="0" fillId="0" borderId="0"/>
    <xf numFmtId="175" fontId="10" fillId="2" borderId="0" applyBorder="0">
      <alignment horizontal="center"/>
      <protection locked="0"/>
    </xf>
    <xf numFmtId="175" fontId="10" fillId="0" borderId="0" applyFill="0" applyBorder="0">
      <alignment horizontal="center"/>
    </xf>
    <xf numFmtId="0" fontId="11" fillId="0" borderId="0" applyNumberFormat="0" applyFill="0" applyBorder="0" applyAlignment="0" applyProtection="0"/>
    <xf numFmtId="0" fontId="12" fillId="0" borderId="0" applyFont="0" applyFill="0" applyBorder="0" applyAlignment="0" applyProtection="0"/>
    <xf numFmtId="0" fontId="11" fillId="0" borderId="0" applyFont="0" applyFill="0" applyBorder="0" applyAlignment="0" applyProtection="0"/>
    <xf numFmtId="176" fontId="10" fillId="2" borderId="0" applyBorder="0">
      <alignment horizontal="center"/>
      <protection locked="0"/>
    </xf>
    <xf numFmtId="176" fontId="10" fillId="0" borderId="0" applyFill="0" applyBorder="0">
      <alignment horizontal="center"/>
    </xf>
    <xf numFmtId="0" fontId="13" fillId="0" borderId="1" applyNumberFormat="0" applyFill="0" applyAlignment="0" applyProtection="0"/>
    <xf numFmtId="0" fontId="14" fillId="0" borderId="2" applyNumberFormat="0" applyFill="0" applyAlignment="0" applyProtection="0"/>
    <xf numFmtId="177" fontId="10" fillId="2" borderId="0" applyBorder="0">
      <alignment horizontal="center"/>
      <protection locked="0"/>
    </xf>
    <xf numFmtId="177" fontId="10" fillId="0" borderId="0" applyFill="0" applyBorder="0">
      <alignment horizontal="center"/>
    </xf>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8"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7"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7"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7"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7"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7"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7"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8" fillId="0" borderId="3" applyNumberFormat="0" applyFill="0" applyAlignment="0" applyProtection="0"/>
    <xf numFmtId="0" fontId="18" fillId="0" borderId="0" applyNumberFormat="0" applyFill="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6" fillId="6" borderId="0" applyNumberFormat="0" applyBorder="0" applyAlignment="0" applyProtection="0"/>
    <xf numFmtId="0" fontId="16" fillId="9" borderId="0" applyNumberFormat="0" applyBorder="0" applyAlignment="0" applyProtection="0"/>
    <xf numFmtId="0" fontId="16" fillId="12"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7"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7"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7"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7"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7"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7"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9" fillId="13"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3"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3"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20" fillId="13" borderId="0" applyNumberFormat="0" applyBorder="0" applyAlignment="0" applyProtection="0"/>
    <xf numFmtId="0" fontId="20" fillId="10" borderId="0" applyNumberFormat="0" applyBorder="0" applyAlignment="0" applyProtection="0"/>
    <xf numFmtId="0" fontId="20" fillId="11"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19" fillId="13"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3"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3"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3"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3"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21" fillId="13"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21" fillId="10"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21" fillId="11"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21" fillId="14"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21" fillId="15"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21" fillId="16" borderId="0" applyNumberFormat="0" applyBorder="0" applyAlignment="0" applyProtection="0"/>
    <xf numFmtId="0" fontId="11" fillId="0" borderId="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9" fillId="17"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61" fillId="15"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20" borderId="0" applyNumberFormat="0" applyBorder="0" applyAlignment="0" applyProtection="0"/>
    <xf numFmtId="0" fontId="19" fillId="20" borderId="0" applyNumberFormat="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20"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20" borderId="0" applyNumberFormat="0" applyBorder="0" applyAlignment="0" applyProtection="0"/>
    <xf numFmtId="0" fontId="24" fillId="0" borderId="4">
      <alignment horizontal="center" vertical="center"/>
    </xf>
    <xf numFmtId="0" fontId="11" fillId="21" borderId="5" applyNumberFormat="0" applyFont="0" applyAlignment="0" applyProtection="0"/>
    <xf numFmtId="0" fontId="25" fillId="22" borderId="6" applyNumberFormat="0" applyAlignment="0" applyProtection="0"/>
    <xf numFmtId="0" fontId="25" fillId="22" borderId="6" applyNumberFormat="0" applyAlignment="0" applyProtection="0"/>
    <xf numFmtId="0" fontId="26" fillId="22" borderId="6" applyNumberFormat="0" applyAlignment="0" applyProtection="0"/>
    <xf numFmtId="0" fontId="27" fillId="23" borderId="4"/>
    <xf numFmtId="0" fontId="28" fillId="0" borderId="0" applyFont="0" applyFill="0" applyBorder="0" applyAlignment="0" applyProtection="0"/>
    <xf numFmtId="178" fontId="29" fillId="23" borderId="4" applyBorder="0"/>
    <xf numFmtId="0" fontId="27" fillId="23" borderId="4">
      <alignment horizontal="center"/>
      <protection locked="0"/>
    </xf>
    <xf numFmtId="0" fontId="30" fillId="22" borderId="7"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31" fillId="4" borderId="0" applyNumberFormat="0" applyBorder="0" applyAlignment="0" applyProtection="0"/>
    <xf numFmtId="0" fontId="31" fillId="4" borderId="0" applyNumberFormat="0" applyBorder="0" applyAlignment="0" applyProtection="0"/>
    <xf numFmtId="0" fontId="1" fillId="21" borderId="5" applyNumberFormat="0" applyFont="0" applyAlignment="0" applyProtection="0"/>
    <xf numFmtId="0" fontId="25" fillId="22" borderId="6" applyNumberFormat="0" applyAlignment="0" applyProtection="0"/>
    <xf numFmtId="0" fontId="25" fillId="22" borderId="6" applyNumberFormat="0" applyAlignment="0" applyProtection="0"/>
    <xf numFmtId="0" fontId="25" fillId="22" borderId="6" applyNumberFormat="0" applyAlignment="0" applyProtection="0"/>
    <xf numFmtId="0" fontId="32" fillId="8" borderId="6" applyNumberFormat="0" applyAlignment="0" applyProtection="0"/>
    <xf numFmtId="179" fontId="33" fillId="0" borderId="0" applyNumberFormat="0" applyFont="0" applyAlignment="0">
      <alignment vertical="top"/>
    </xf>
    <xf numFmtId="0" fontId="31" fillId="4" borderId="0" applyNumberFormat="0" applyBorder="0" applyAlignment="0" applyProtection="0"/>
    <xf numFmtId="0" fontId="34" fillId="5" borderId="0" applyNumberFormat="0" applyBorder="0" applyAlignment="0" applyProtection="0"/>
    <xf numFmtId="0" fontId="34" fillId="5" borderId="0" applyNumberFormat="0" applyBorder="0" applyAlignment="0" applyProtection="0"/>
    <xf numFmtId="0" fontId="35" fillId="0" borderId="0"/>
    <xf numFmtId="180" fontId="36" fillId="24" borderId="8">
      <alignment horizontal="center"/>
    </xf>
    <xf numFmtId="181" fontId="11" fillId="25" borderId="9" applyNumberFormat="0">
      <alignment vertical="center"/>
    </xf>
    <xf numFmtId="182" fontId="11" fillId="26" borderId="9" applyNumberFormat="0">
      <alignment vertical="center"/>
    </xf>
    <xf numFmtId="1" fontId="11" fillId="27" borderId="9" applyNumberFormat="0">
      <alignment vertical="center"/>
    </xf>
    <xf numFmtId="181" fontId="11" fillId="27" borderId="9" applyNumberFormat="0">
      <alignment vertical="center"/>
    </xf>
    <xf numFmtId="181" fontId="11" fillId="28" borderId="9" applyNumberFormat="0">
      <alignment vertical="center"/>
    </xf>
    <xf numFmtId="183" fontId="37" fillId="0" borderId="0"/>
    <xf numFmtId="3" fontId="11" fillId="0" borderId="9" applyNumberFormat="0">
      <alignment vertical="center"/>
    </xf>
    <xf numFmtId="184" fontId="38" fillId="29" borderId="9" applyNumberFormat="0" applyFont="0" applyAlignment="0">
      <alignment vertical="center"/>
    </xf>
    <xf numFmtId="184" fontId="38" fillId="29" borderId="9" applyNumberFormat="0" applyFont="0" applyAlignment="0">
      <alignment vertical="center"/>
    </xf>
    <xf numFmtId="184" fontId="38" fillId="29" borderId="9" applyNumberFormat="0" applyFont="0" applyAlignment="0">
      <alignment vertical="center"/>
    </xf>
    <xf numFmtId="181" fontId="38" fillId="30" borderId="9" applyNumberFormat="0">
      <alignment vertical="center"/>
    </xf>
    <xf numFmtId="0" fontId="25" fillId="22" borderId="6" applyNumberFormat="0" applyAlignment="0" applyProtection="0"/>
    <xf numFmtId="0" fontId="25" fillId="22" borderId="6" applyNumberFormat="0" applyAlignment="0" applyProtection="0"/>
    <xf numFmtId="0" fontId="25" fillId="22" borderId="6" applyNumberFormat="0" applyAlignment="0" applyProtection="0"/>
    <xf numFmtId="0" fontId="25" fillId="22" borderId="6" applyNumberFormat="0" applyAlignment="0" applyProtection="0"/>
    <xf numFmtId="0" fontId="39" fillId="31" borderId="10" applyNumberFormat="0" applyAlignment="0" applyProtection="0"/>
    <xf numFmtId="0" fontId="40" fillId="0" borderId="11" applyNumberFormat="0" applyFill="0" applyAlignment="0" applyProtection="0"/>
    <xf numFmtId="0" fontId="40" fillId="0" borderId="11" applyNumberFormat="0" applyFill="0" applyAlignment="0" applyProtection="0"/>
    <xf numFmtId="0" fontId="40" fillId="0" borderId="11" applyNumberFormat="0" applyFill="0" applyAlignment="0" applyProtection="0"/>
    <xf numFmtId="185" fontId="41" fillId="0" borderId="0" applyFill="0" applyBorder="0" applyProtection="0">
      <alignment horizontal="center" vertical="center"/>
    </xf>
    <xf numFmtId="186" fontId="42" fillId="2" borderId="12">
      <alignment horizontal="center" vertical="center"/>
      <protection locked="0"/>
    </xf>
    <xf numFmtId="186" fontId="43" fillId="0" borderId="0" applyFill="0" applyBorder="0">
      <alignment horizontal="center" vertical="center"/>
    </xf>
    <xf numFmtId="0" fontId="39" fillId="31" borderId="10" applyNumberFormat="0" applyAlignment="0" applyProtection="0"/>
    <xf numFmtId="0" fontId="44" fillId="0" borderId="0" applyNumberFormat="0" applyFill="0" applyBorder="0" applyAlignment="0" applyProtection="0"/>
    <xf numFmtId="0" fontId="45" fillId="0" borderId="1" applyNumberFormat="0" applyFill="0" applyAlignment="0" applyProtection="0"/>
    <xf numFmtId="0" fontId="46" fillId="0" borderId="2" applyNumberFormat="0" applyFill="0" applyAlignment="0" applyProtection="0"/>
    <xf numFmtId="0" fontId="47" fillId="0" borderId="3" applyNumberFormat="0" applyFill="0" applyAlignment="0" applyProtection="0"/>
    <xf numFmtId="0" fontId="47" fillId="0" borderId="0" applyNumberFormat="0" applyFill="0" applyBorder="0" applyAlignment="0" applyProtection="0"/>
    <xf numFmtId="0" fontId="48" fillId="0" borderId="0" applyNumberFormat="0">
      <alignment horizontal="center" wrapText="1"/>
    </xf>
    <xf numFmtId="187" fontId="11"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49" fillId="0" borderId="0" applyFont="0" applyFill="0" applyBorder="0" applyAlignment="0" applyProtection="0"/>
    <xf numFmtId="188" fontId="38" fillId="0" borderId="0" applyFont="0" applyFill="0" applyBorder="0" applyAlignment="0" applyProtection="0"/>
    <xf numFmtId="188" fontId="49" fillId="0" borderId="0" applyFont="0" applyFill="0" applyBorder="0" applyAlignment="0" applyProtection="0"/>
    <xf numFmtId="188" fontId="50" fillId="0" borderId="0" applyFont="0" applyFill="0" applyBorder="0" applyAlignment="0" applyProtection="0"/>
    <xf numFmtId="188" fontId="51" fillId="0" borderId="0" applyFont="0" applyFill="0" applyBorder="0" applyAlignment="0" applyProtection="0"/>
    <xf numFmtId="188" fontId="38" fillId="0" borderId="0" applyFont="0" applyFill="0" applyBorder="0" applyAlignment="0" applyProtection="0"/>
    <xf numFmtId="188" fontId="52" fillId="0" borderId="0" applyFont="0" applyFill="0" applyBorder="0" applyAlignment="0" applyProtection="0"/>
    <xf numFmtId="188" fontId="38" fillId="0" borderId="0" applyFont="0" applyFill="0" applyBorder="0" applyAlignment="0" applyProtection="0"/>
    <xf numFmtId="188" fontId="49" fillId="0" borderId="0" applyFont="0" applyFill="0" applyBorder="0" applyAlignment="0" applyProtection="0"/>
    <xf numFmtId="188" fontId="38"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88" fontId="38"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88" fontId="38"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71" fontId="38"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71" fontId="11" fillId="0" borderId="0" applyFont="0" applyFill="0" applyBorder="0" applyAlignment="0" applyProtection="0"/>
    <xf numFmtId="171" fontId="38" fillId="0" borderId="0" applyFont="0" applyFill="0" applyBorder="0" applyAlignment="0" applyProtection="0"/>
    <xf numFmtId="188" fontId="49" fillId="0" borderId="0" applyFont="0" applyFill="0" applyBorder="0" applyAlignment="0" applyProtection="0"/>
    <xf numFmtId="171" fontId="38"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71" fontId="38"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88" fontId="50" fillId="0" borderId="0" applyFont="0" applyFill="0" applyBorder="0" applyAlignment="0" applyProtection="0"/>
    <xf numFmtId="188" fontId="1"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1" fillId="0" borderId="0" applyFont="0" applyFill="0" applyBorder="0" applyAlignment="0" applyProtection="0"/>
    <xf numFmtId="188" fontId="38" fillId="0" borderId="0" applyFont="0" applyFill="0" applyBorder="0" applyAlignment="0" applyProtection="0"/>
    <xf numFmtId="188" fontId="52" fillId="0" borderId="0" applyFont="0" applyFill="0" applyBorder="0" applyAlignment="0" applyProtection="0"/>
    <xf numFmtId="188" fontId="49" fillId="0" borderId="0" applyFont="0" applyFill="0" applyBorder="0" applyAlignment="0" applyProtection="0"/>
    <xf numFmtId="188" fontId="38" fillId="0" borderId="0" applyFont="0" applyFill="0" applyBorder="0" applyAlignment="0" applyProtection="0"/>
    <xf numFmtId="188" fontId="49" fillId="0" borderId="0" applyFont="0" applyFill="0" applyBorder="0" applyAlignment="0" applyProtection="0"/>
    <xf numFmtId="188" fontId="50" fillId="0" borderId="0" applyFont="0" applyFill="0" applyBorder="0" applyAlignment="0" applyProtection="0"/>
    <xf numFmtId="188" fontId="50" fillId="0" borderId="0" applyFont="0" applyFill="0" applyBorder="0" applyAlignment="0" applyProtection="0"/>
    <xf numFmtId="188" fontId="15" fillId="0" borderId="0" applyFont="0" applyFill="0" applyBorder="0" applyAlignment="0" applyProtection="0"/>
    <xf numFmtId="171" fontId="38"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71" fontId="38"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49" fillId="0" borderId="0" applyFont="0" applyFill="0" applyBorder="0" applyAlignment="0" applyProtection="0"/>
    <xf numFmtId="188" fontId="49"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38" fillId="0" borderId="0" applyFont="0" applyFill="0" applyBorder="0" applyAlignment="0" applyProtection="0"/>
    <xf numFmtId="188" fontId="53"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51" fillId="0" borderId="0" applyFont="0" applyFill="0" applyBorder="0" applyAlignment="0" applyProtection="0"/>
    <xf numFmtId="188" fontId="51"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90" fontId="11" fillId="0" borderId="0" applyFont="0" applyFill="0" applyBorder="0" applyAlignment="0" applyProtection="0"/>
    <xf numFmtId="190" fontId="11" fillId="0" borderId="0" applyFont="0" applyFill="0" applyBorder="0" applyAlignment="0" applyProtection="0"/>
    <xf numFmtId="191" fontId="38" fillId="0" borderId="0" applyFont="0" applyFill="0" applyBorder="0" applyAlignment="0" applyProtection="0"/>
    <xf numFmtId="188" fontId="50" fillId="0" borderId="0" applyFont="0" applyFill="0" applyBorder="0" applyAlignment="0" applyProtection="0"/>
    <xf numFmtId="188" fontId="38" fillId="0" borderId="0" applyFont="0" applyFill="0" applyBorder="0" applyAlignment="0" applyProtection="0"/>
    <xf numFmtId="188" fontId="49" fillId="0" borderId="0" applyFont="0" applyFill="0" applyBorder="0" applyAlignment="0" applyProtection="0"/>
    <xf numFmtId="188" fontId="49" fillId="0" borderId="0" applyFont="0" applyFill="0" applyBorder="0" applyAlignment="0" applyProtection="0"/>
    <xf numFmtId="188" fontId="50" fillId="0" borderId="0" applyFont="0" applyFill="0" applyBorder="0" applyAlignment="0" applyProtection="0"/>
    <xf numFmtId="188" fontId="50" fillId="0" borderId="0" applyFont="0" applyFill="0" applyBorder="0" applyAlignment="0" applyProtection="0"/>
    <xf numFmtId="191" fontId="38" fillId="0" borderId="0" applyFont="0" applyFill="0" applyBorder="0" applyAlignment="0" applyProtection="0"/>
    <xf numFmtId="191" fontId="38" fillId="0" borderId="0" applyFont="0" applyFill="0" applyBorder="0" applyAlignment="0" applyProtection="0"/>
    <xf numFmtId="191" fontId="38" fillId="0" borderId="0" applyFont="0" applyFill="0" applyBorder="0" applyAlignment="0" applyProtection="0"/>
    <xf numFmtId="191" fontId="38" fillId="0" borderId="0" applyFont="0" applyFill="0" applyBorder="0" applyAlignment="0" applyProtection="0"/>
    <xf numFmtId="191"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51" fillId="0" borderId="0" applyFont="0" applyFill="0" applyBorder="0" applyAlignment="0" applyProtection="0"/>
    <xf numFmtId="188" fontId="51" fillId="0" borderId="0" applyFont="0" applyFill="0" applyBorder="0" applyAlignment="0" applyProtection="0"/>
    <xf numFmtId="192" fontId="11" fillId="0" borderId="0" applyFont="0" applyFill="0" applyBorder="0" applyAlignment="0" applyProtection="0"/>
    <xf numFmtId="188" fontId="38" fillId="0" borderId="0" applyFont="0" applyFill="0" applyBorder="0" applyAlignment="0" applyProtection="0"/>
    <xf numFmtId="171" fontId="15"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90" fontId="11"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92" fontId="11"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91" fontId="38" fillId="0" borderId="0" applyFont="0" applyFill="0" applyBorder="0" applyAlignment="0" applyProtection="0"/>
    <xf numFmtId="191" fontId="38" fillId="0" borderId="0" applyFont="0" applyFill="0" applyBorder="0" applyAlignment="0" applyProtection="0"/>
    <xf numFmtId="191" fontId="38" fillId="0" borderId="0" applyFont="0" applyFill="0" applyBorder="0" applyAlignment="0" applyProtection="0"/>
    <xf numFmtId="191" fontId="38"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38" fillId="0" borderId="0" applyFont="0" applyFill="0" applyBorder="0" applyAlignment="0" applyProtection="0"/>
    <xf numFmtId="188" fontId="15" fillId="0" borderId="0" applyFont="0" applyFill="0" applyBorder="0" applyAlignment="0" applyProtection="0"/>
    <xf numFmtId="188" fontId="15" fillId="0" borderId="0" applyFont="0" applyFill="0" applyBorder="0" applyAlignment="0" applyProtection="0"/>
    <xf numFmtId="188" fontId="15"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90" fontId="11" fillId="0" borderId="0" applyFont="0" applyFill="0" applyBorder="0" applyAlignment="0" applyProtection="0"/>
    <xf numFmtId="191" fontId="15" fillId="0" borderId="0" applyFont="0" applyFill="0" applyBorder="0" applyAlignment="0" applyProtection="0"/>
    <xf numFmtId="191" fontId="15" fillId="0" borderId="0" applyFont="0" applyFill="0" applyBorder="0" applyAlignment="0" applyProtection="0"/>
    <xf numFmtId="191" fontId="15" fillId="0" borderId="0" applyFont="0" applyFill="0" applyBorder="0" applyAlignment="0" applyProtection="0"/>
    <xf numFmtId="191" fontId="15"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88" fontId="50" fillId="0" borderId="0" applyFont="0" applyFill="0" applyBorder="0" applyAlignment="0" applyProtection="0"/>
    <xf numFmtId="188" fontId="38" fillId="0" borderId="0" applyFont="0" applyFill="0" applyBorder="0" applyAlignment="0" applyProtection="0"/>
    <xf numFmtId="188" fontId="50" fillId="0" borderId="0" applyFont="0" applyFill="0" applyBorder="0" applyAlignment="0" applyProtection="0"/>
    <xf numFmtId="188" fontId="50"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0" fontId="11" fillId="0" borderId="13" applyFont="0" applyFill="0" applyBorder="0" applyAlignment="0" applyProtection="0">
      <alignment horizontal="right"/>
    </xf>
    <xf numFmtId="0" fontId="1" fillId="21" borderId="5" applyNumberFormat="0" applyFont="0" applyAlignment="0" applyProtection="0"/>
    <xf numFmtId="0" fontId="1" fillId="21" borderId="5" applyNumberFormat="0" applyFont="0" applyAlignment="0" applyProtection="0"/>
    <xf numFmtId="0" fontId="54" fillId="21" borderId="5" applyNumberFormat="0" applyFont="0" applyAlignment="0" applyProtection="0"/>
    <xf numFmtId="0" fontId="55" fillId="0" borderId="0" applyFill="0" applyBorder="0"/>
    <xf numFmtId="181" fontId="56" fillId="32" borderId="0" applyFont="0" applyAlignment="0">
      <alignment vertical="center" wrapText="1"/>
    </xf>
    <xf numFmtId="181" fontId="57" fillId="32" borderId="8" applyNumberFormat="0" applyBorder="0" applyAlignment="0">
      <alignment vertical="center" wrapText="1"/>
    </xf>
    <xf numFmtId="0" fontId="58" fillId="0" borderId="0"/>
    <xf numFmtId="0" fontId="58" fillId="0" borderId="0"/>
    <xf numFmtId="193" fontId="1" fillId="0" borderId="0" applyFont="0" applyFill="0" applyBorder="0" applyAlignment="0" applyProtection="0"/>
    <xf numFmtId="0" fontId="31" fillId="4" borderId="0" applyNumberFormat="0" applyBorder="0" applyAlignment="0" applyProtection="0"/>
    <xf numFmtId="38" fontId="59" fillId="23" borderId="14"/>
    <xf numFmtId="0" fontId="11" fillId="0" borderId="0" applyFont="0" applyFill="0" applyBorder="0" applyAlignment="0" applyProtection="0"/>
    <xf numFmtId="194" fontId="11" fillId="33" borderId="0" applyNumberFormat="0" applyFont="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60" fillId="0" borderId="0" applyFill="0" applyBorder="0">
      <alignment horizontal="center" vertical="center"/>
    </xf>
    <xf numFmtId="0" fontId="61" fillId="8" borderId="6" applyNumberFormat="0" applyAlignment="0" applyProtection="0"/>
    <xf numFmtId="0" fontId="62" fillId="31" borderId="10" applyNumberFormat="0" applyAlignment="0" applyProtection="0"/>
    <xf numFmtId="0" fontId="18" fillId="0" borderId="0" applyNumberFormat="0" applyFill="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20" borderId="0" applyNumberFormat="0" applyBorder="0" applyAlignment="0" applyProtection="0"/>
    <xf numFmtId="0" fontId="61" fillId="8" borderId="6" applyNumberFormat="0" applyAlignment="0" applyProtection="0"/>
    <xf numFmtId="0" fontId="61" fillId="8" borderId="6" applyNumberFormat="0" applyAlignment="0" applyProtection="0"/>
    <xf numFmtId="0" fontId="61" fillId="8" borderId="6" applyNumberFormat="0" applyAlignment="0" applyProtection="0"/>
    <xf numFmtId="0" fontId="63" fillId="0" borderId="15" applyNumberFormat="0" applyFill="0" applyAlignment="0" applyProtection="0"/>
    <xf numFmtId="0" fontId="23" fillId="0" borderId="0" applyNumberFormat="0" applyFill="0" applyBorder="0" applyAlignment="0" applyProtection="0"/>
    <xf numFmtId="198" fontId="11" fillId="0" borderId="0" applyFont="0" applyFill="0" applyBorder="0" applyAlignment="0" applyProtection="0"/>
    <xf numFmtId="198" fontId="64" fillId="0" borderId="0" applyFont="0" applyFill="0" applyBorder="0" applyAlignment="0" applyProtection="0"/>
    <xf numFmtId="199" fontId="11" fillId="0" borderId="0" applyFont="0" applyFill="0" applyBorder="0" applyAlignment="0" applyProtection="0"/>
    <xf numFmtId="198" fontId="11" fillId="0" borderId="0" applyFont="0" applyFill="0" applyBorder="0" applyAlignment="0" applyProtection="0"/>
    <xf numFmtId="200" fontId="11" fillId="0" borderId="0" applyFont="0" applyFill="0" applyBorder="0" applyAlignment="0" applyProtection="0"/>
    <xf numFmtId="198" fontId="11" fillId="0" borderId="0" applyFont="0" applyFill="0" applyBorder="0" applyAlignment="0" applyProtection="0"/>
    <xf numFmtId="200" fontId="11" fillId="0" borderId="0" applyFont="0" applyFill="0" applyBorder="0" applyAlignment="0" applyProtection="0"/>
    <xf numFmtId="199" fontId="11" fillId="0" borderId="0" applyFont="0" applyFill="0" applyBorder="0" applyAlignment="0" applyProtection="0"/>
    <xf numFmtId="200" fontId="11" fillId="0" borderId="0" applyFont="0" applyFill="0" applyBorder="0" applyAlignment="0" applyProtection="0"/>
    <xf numFmtId="199" fontId="11" fillId="0" borderId="0" applyFont="0" applyFill="0" applyBorder="0" applyAlignment="0" applyProtection="0"/>
    <xf numFmtId="198" fontId="11" fillId="0" borderId="0" applyFont="0" applyFill="0" applyBorder="0" applyAlignment="0" applyProtection="0"/>
    <xf numFmtId="199" fontId="11" fillId="0" borderId="0" applyFont="0" applyFill="0" applyBorder="0" applyAlignment="0" applyProtection="0"/>
    <xf numFmtId="201" fontId="11" fillId="0" borderId="0" applyFont="0" applyFill="0" applyBorder="0" applyAlignment="0" applyProtection="0"/>
    <xf numFmtId="201" fontId="11" fillId="0" borderId="0" applyFont="0" applyFill="0" applyBorder="0" applyAlignment="0" applyProtection="0"/>
    <xf numFmtId="198" fontId="11" fillId="0" borderId="0" applyFont="0" applyFill="0" applyBorder="0" applyAlignment="0" applyProtection="0"/>
    <xf numFmtId="202" fontId="11" fillId="0" borderId="0" applyFont="0" applyFill="0" applyBorder="0" applyAlignment="0" applyProtection="0"/>
    <xf numFmtId="0" fontId="11" fillId="34" borderId="16" applyNumberFormat="0">
      <alignment vertical="center"/>
    </xf>
    <xf numFmtId="0" fontId="23" fillId="0" borderId="0" applyNumberFormat="0" applyFill="0" applyBorder="0" applyAlignment="0" applyProtection="0"/>
    <xf numFmtId="203" fontId="11" fillId="35" borderId="0" applyNumberFormat="0" applyFont="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204" fontId="67" fillId="0" borderId="0">
      <alignment horizontal="right" vertical="top"/>
    </xf>
    <xf numFmtId="205" fontId="68" fillId="0" borderId="0">
      <alignment horizontal="right" vertical="top"/>
    </xf>
    <xf numFmtId="0" fontId="67" fillId="0" borderId="0">
      <alignment horizontal="right" vertical="top"/>
    </xf>
    <xf numFmtId="0" fontId="68" fillId="0" borderId="0" applyFill="0" applyBorder="0">
      <alignment horizontal="right" vertical="top"/>
    </xf>
    <xf numFmtId="206" fontId="68" fillId="0" borderId="0" applyFill="0" applyBorder="0">
      <alignment horizontal="right" vertical="top"/>
    </xf>
    <xf numFmtId="207" fontId="68" fillId="0" borderId="0" applyFill="0" applyBorder="0">
      <alignment horizontal="right" vertical="top"/>
    </xf>
    <xf numFmtId="208" fontId="68" fillId="0" borderId="0" applyFill="0" applyBorder="0">
      <alignment horizontal="right" vertical="top"/>
    </xf>
    <xf numFmtId="0" fontId="69" fillId="0" borderId="0">
      <alignment horizontal="center" wrapText="1"/>
    </xf>
    <xf numFmtId="209" fontId="70" fillId="0" borderId="0" applyFill="0" applyBorder="0">
      <alignment vertical="top"/>
    </xf>
    <xf numFmtId="209" fontId="71" fillId="0" borderId="0" applyFill="0" applyBorder="0" applyProtection="0">
      <alignment vertical="top"/>
    </xf>
    <xf numFmtId="209" fontId="72" fillId="0" borderId="0">
      <alignment vertical="top"/>
    </xf>
    <xf numFmtId="169" fontId="68" fillId="0" borderId="0" applyFill="0" applyBorder="0" applyAlignment="0" applyProtection="0">
      <alignment horizontal="right" vertical="top"/>
    </xf>
    <xf numFmtId="209" fontId="57" fillId="0" borderId="0"/>
    <xf numFmtId="0" fontId="68" fillId="0" borderId="0" applyFill="0" applyBorder="0">
      <alignment horizontal="left" vertical="top"/>
    </xf>
    <xf numFmtId="210" fontId="73" fillId="0" borderId="0" applyFill="0" applyBorder="0" applyProtection="0"/>
    <xf numFmtId="3" fontId="73" fillId="0" borderId="0" applyFont="0" applyFill="0" applyBorder="0" applyProtection="0"/>
    <xf numFmtId="211" fontId="74" fillId="0" borderId="0" applyFont="0" applyFill="0" applyBorder="0" applyAlignment="0" applyProtection="0"/>
    <xf numFmtId="211" fontId="16" fillId="0" borderId="0" applyFont="0" applyFill="0" applyBorder="0" applyAlignment="0" applyProtection="0"/>
    <xf numFmtId="211" fontId="16" fillId="0" borderId="0" applyFont="0" applyFill="0" applyBorder="0" applyAlignment="0" applyProtection="0"/>
    <xf numFmtId="212" fontId="11" fillId="0" borderId="0" applyFont="0" applyFill="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20" borderId="0" applyNumberFormat="0" applyBorder="0" applyAlignment="0" applyProtection="0"/>
    <xf numFmtId="184" fontId="75" fillId="0" borderId="0">
      <alignment vertical="top"/>
    </xf>
    <xf numFmtId="0" fontId="11" fillId="28" borderId="7" applyNumberFormat="0">
      <alignment vertical="center"/>
    </xf>
    <xf numFmtId="0" fontId="76" fillId="0" borderId="0" applyNumberFormat="0" applyFill="0" applyBorder="0" applyAlignment="0" applyProtection="0"/>
    <xf numFmtId="0" fontId="77" fillId="0" borderId="0" applyNumberFormat="0" applyFill="0" applyBorder="0" applyAlignment="0" applyProtection="0"/>
    <xf numFmtId="213" fontId="78" fillId="0" borderId="0">
      <protection locked="0"/>
    </xf>
    <xf numFmtId="213" fontId="78" fillId="0" borderId="0">
      <protection locked="0"/>
    </xf>
    <xf numFmtId="213" fontId="78" fillId="0" borderId="0">
      <protection locked="0"/>
    </xf>
    <xf numFmtId="0" fontId="58" fillId="0" borderId="0"/>
    <xf numFmtId="0" fontId="23" fillId="0" borderId="0" applyNumberFormat="0" applyFill="0" applyBorder="0" applyAlignment="0" applyProtection="0"/>
    <xf numFmtId="0" fontId="23" fillId="0" borderId="0" applyNumberFormat="0" applyFill="0" applyBorder="0" applyAlignment="0" applyProtection="0"/>
    <xf numFmtId="194" fontId="79" fillId="0" borderId="0" applyNumberFormat="0" applyFill="0" applyBorder="0" applyAlignment="0" applyProtection="0"/>
    <xf numFmtId="0" fontId="38" fillId="0" borderId="0"/>
    <xf numFmtId="183" fontId="38" fillId="0" borderId="0"/>
    <xf numFmtId="183" fontId="38" fillId="0" borderId="0"/>
    <xf numFmtId="183" fontId="38" fillId="0" borderId="0"/>
    <xf numFmtId="0" fontId="34" fillId="5" borderId="0" applyNumberFormat="0" applyBorder="0" applyAlignment="0" applyProtection="0"/>
    <xf numFmtId="0" fontId="34" fillId="5" borderId="0" applyNumberFormat="0" applyBorder="0" applyAlignment="0" applyProtection="0"/>
    <xf numFmtId="0" fontId="34" fillId="5" borderId="0" applyNumberFormat="0" applyBorder="0" applyAlignment="0" applyProtection="0"/>
    <xf numFmtId="0" fontId="80" fillId="28" borderId="17" applyNumberFormat="0">
      <alignment vertical="center"/>
    </xf>
    <xf numFmtId="0" fontId="34" fillId="5" borderId="0" applyNumberFormat="0" applyBorder="0" applyAlignment="0" applyProtection="0"/>
    <xf numFmtId="0" fontId="31" fillId="4" borderId="0" applyNumberFormat="0" applyBorder="0" applyAlignment="0" applyProtection="0"/>
    <xf numFmtId="0" fontId="31" fillId="4" borderId="0" applyNumberFormat="0" applyBorder="0" applyAlignment="0" applyProtection="0"/>
    <xf numFmtId="0" fontId="81" fillId="4" borderId="0" applyNumberFormat="0" applyBorder="0" applyAlignment="0" applyProtection="0"/>
    <xf numFmtId="0" fontId="34" fillId="5" borderId="0" applyNumberFormat="0" applyBorder="0" applyAlignment="0" applyProtection="0"/>
    <xf numFmtId="0" fontId="34" fillId="5" borderId="0" applyNumberFormat="0" applyBorder="0" applyAlignment="0" applyProtection="0"/>
    <xf numFmtId="0" fontId="82" fillId="5" borderId="0" applyNumberFormat="0" applyBorder="0" applyAlignment="0" applyProtection="0"/>
    <xf numFmtId="203" fontId="83" fillId="0" borderId="0" applyNumberFormat="0" applyFill="0" applyBorder="0" applyAlignment="0" applyProtection="0"/>
    <xf numFmtId="0" fontId="84" fillId="36" borderId="0"/>
    <xf numFmtId="0" fontId="33" fillId="37" borderId="0" applyNumberFormat="0" applyFill="0" applyBorder="0" applyAlignment="0" applyProtection="0"/>
    <xf numFmtId="0" fontId="13" fillId="0" borderId="1" applyNumberFormat="0" applyFill="0" applyAlignment="0" applyProtection="0"/>
    <xf numFmtId="0" fontId="85" fillId="38" borderId="0" applyNumberFormat="0" applyFill="0" applyBorder="0" applyAlignment="0" applyProtection="0"/>
    <xf numFmtId="0" fontId="14" fillId="0" borderId="2" applyNumberFormat="0" applyFill="0" applyAlignment="0" applyProtection="0"/>
    <xf numFmtId="0" fontId="18" fillId="0" borderId="3" applyNumberFormat="0" applyFill="0" applyAlignment="0" applyProtection="0"/>
    <xf numFmtId="0" fontId="11" fillId="0" borderId="0" applyFill="0" applyBorder="0"/>
    <xf numFmtId="0" fontId="18" fillId="0" borderId="0" applyNumberFormat="0" applyFill="0" applyBorder="0" applyAlignment="0" applyProtection="0"/>
    <xf numFmtId="0" fontId="86" fillId="0" borderId="0" applyFill="0" applyBorder="0" applyProtection="0">
      <alignment horizontal="right"/>
    </xf>
    <xf numFmtId="0" fontId="87" fillId="0" borderId="0" applyNumberFormat="0" applyFill="0" applyBorder="0" applyAlignment="0" applyProtection="0">
      <alignment vertical="top"/>
      <protection locked="0"/>
    </xf>
    <xf numFmtId="0" fontId="88" fillId="0" borderId="11" applyNumberFormat="0" applyFill="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89" fillId="0" borderId="0" applyNumberFormat="0" applyFill="0" applyBorder="0" applyAlignment="0" applyProtection="0"/>
    <xf numFmtId="0" fontId="1" fillId="21" borderId="5" applyNumberFormat="0" applyFont="0" applyAlignment="0" applyProtection="0"/>
    <xf numFmtId="0" fontId="1" fillId="21" borderId="5" applyNumberFormat="0" applyFont="0" applyAlignment="0" applyProtection="0"/>
    <xf numFmtId="0" fontId="31" fillId="4" borderId="0" applyNumberFormat="0" applyBorder="0" applyAlignment="0" applyProtection="0"/>
    <xf numFmtId="214" fontId="66" fillId="0" borderId="0" applyFont="0" applyBorder="0" applyAlignment="0"/>
    <xf numFmtId="0" fontId="90" fillId="0" borderId="0" applyNumberFormat="0" applyFill="0" applyBorder="0" applyAlignment="0" applyProtection="0"/>
    <xf numFmtId="0" fontId="91" fillId="0" borderId="0" applyNumberFormat="0" applyFill="0" applyBorder="0" applyAlignment="0" applyProtection="0">
      <alignment vertical="top"/>
      <protection locked="0"/>
    </xf>
    <xf numFmtId="0" fontId="34" fillId="5" borderId="0" applyNumberFormat="0" applyBorder="0" applyAlignment="0" applyProtection="0"/>
    <xf numFmtId="0" fontId="31" fillId="4" borderId="0" applyNumberFormat="0" applyBorder="0" applyAlignment="0" applyProtection="0"/>
    <xf numFmtId="0" fontId="61" fillId="8" borderId="6" applyNumberFormat="0" applyAlignment="0" applyProtection="0"/>
    <xf numFmtId="184" fontId="92" fillId="0" borderId="0">
      <alignment vertical="top"/>
    </xf>
    <xf numFmtId="0" fontId="93" fillId="23" borderId="18"/>
    <xf numFmtId="181" fontId="94" fillId="23" borderId="12" applyNumberFormat="0">
      <alignment vertical="center"/>
      <protection locked="0"/>
    </xf>
    <xf numFmtId="0" fontId="94" fillId="39" borderId="12" applyNumberFormat="0">
      <alignment vertical="center"/>
      <protection locked="0"/>
    </xf>
    <xf numFmtId="0" fontId="95" fillId="26" borderId="14" applyNumberFormat="0" applyAlignment="0">
      <alignment horizontal="left"/>
      <protection locked="0"/>
    </xf>
    <xf numFmtId="0" fontId="95" fillId="26" borderId="14" applyNumberFormat="0" applyAlignment="0">
      <alignment horizontal="left"/>
      <protection locked="0"/>
    </xf>
    <xf numFmtId="0" fontId="95" fillId="26" borderId="14" applyNumberFormat="0" applyAlignment="0">
      <alignment horizontal="left"/>
      <protection locked="0"/>
    </xf>
    <xf numFmtId="0" fontId="95" fillId="26" borderId="14" applyNumberFormat="0" applyAlignment="0">
      <alignment horizontal="left"/>
      <protection locked="0"/>
    </xf>
    <xf numFmtId="0" fontId="11" fillId="23" borderId="19" applyNumberFormat="0" applyAlignment="0">
      <protection locked="0"/>
    </xf>
    <xf numFmtId="0" fontId="31" fillId="4" borderId="0" applyNumberFormat="0" applyBorder="0" applyAlignment="0" applyProtection="0"/>
    <xf numFmtId="0" fontId="31" fillId="4" borderId="0" applyNumberFormat="0" applyBorder="0" applyAlignment="0" applyProtection="0"/>
    <xf numFmtId="0" fontId="96" fillId="0" borderId="0" applyNumberFormat="0" applyFill="0" applyBorder="0" applyProtection="0">
      <alignment horizontal="centerContinuous" wrapText="1"/>
    </xf>
    <xf numFmtId="0" fontId="22" fillId="0" borderId="0" applyNumberFormat="0" applyFill="0" applyBorder="0" applyAlignment="0" applyProtection="0"/>
    <xf numFmtId="0" fontId="30" fillId="22" borderId="7" applyNumberFormat="0" applyAlignment="0" applyProtection="0"/>
    <xf numFmtId="0" fontId="61" fillId="8" borderId="6" applyNumberFormat="0" applyAlignment="0" applyProtection="0"/>
    <xf numFmtId="0" fontId="97" fillId="21" borderId="5" applyNumberFormat="0" applyFont="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20" borderId="0" applyNumberFormat="0" applyBorder="0" applyAlignment="0" applyProtection="0"/>
    <xf numFmtId="0" fontId="98" fillId="5" borderId="0" applyNumberFormat="0" applyBorder="0" applyAlignment="0" applyProtection="0"/>
    <xf numFmtId="0" fontId="99" fillId="22" borderId="7" applyNumberFormat="0" applyAlignment="0" applyProtection="0"/>
    <xf numFmtId="0" fontId="63" fillId="0" borderId="15" applyNumberFormat="0" applyFill="0" applyAlignment="0" applyProtection="0"/>
    <xf numFmtId="0" fontId="63" fillId="0" borderId="15" applyNumberFormat="0" applyFill="0" applyAlignment="0" applyProtection="0"/>
    <xf numFmtId="0" fontId="100" fillId="0" borderId="15" applyNumberFormat="0" applyFill="0" applyAlignment="0" applyProtection="0"/>
    <xf numFmtId="188" fontId="15" fillId="0" borderId="0" applyFont="0" applyFill="0" applyBorder="0" applyAlignment="0" applyProtection="0"/>
    <xf numFmtId="188" fontId="38" fillId="0" borderId="0" applyFont="0" applyFill="0" applyBorder="0" applyAlignment="0" applyProtection="0"/>
    <xf numFmtId="188" fontId="38" fillId="0" borderId="0" applyFont="0" applyFill="0" applyBorder="0" applyAlignment="0" applyProtection="0"/>
    <xf numFmtId="188" fontId="15" fillId="0" borderId="0" applyFont="0" applyFill="0" applyBorder="0" applyAlignment="0" applyProtection="0"/>
    <xf numFmtId="188" fontId="15" fillId="0" borderId="0" applyFont="0" applyFill="0" applyBorder="0" applyAlignment="0" applyProtection="0"/>
    <xf numFmtId="188" fontId="1" fillId="0" borderId="0" applyFont="0" applyFill="0" applyBorder="0" applyAlignment="0" applyProtection="0"/>
    <xf numFmtId="188" fontId="15" fillId="0" borderId="0" applyFont="0" applyFill="0" applyBorder="0" applyAlignment="0" applyProtection="0"/>
    <xf numFmtId="188" fontId="15" fillId="0" borderId="0" applyFont="0" applyFill="0" applyBorder="0" applyAlignment="0" applyProtection="0"/>
    <xf numFmtId="188" fontId="15" fillId="0" borderId="0" applyFont="0" applyFill="0" applyBorder="0" applyAlignment="0" applyProtection="0"/>
    <xf numFmtId="0" fontId="39" fillId="31" borderId="10" applyNumberFormat="0" applyAlignment="0" applyProtection="0"/>
    <xf numFmtId="0" fontId="39" fillId="31" borderId="10" applyNumberFormat="0" applyAlignment="0" applyProtection="0"/>
    <xf numFmtId="0" fontId="39" fillId="31" borderId="10" applyNumberFormat="0" applyAlignment="0" applyProtection="0"/>
    <xf numFmtId="0" fontId="39" fillId="31" borderId="10" applyNumberFormat="0" applyAlignment="0" applyProtection="0"/>
    <xf numFmtId="0" fontId="101" fillId="31" borderId="10" applyNumberFormat="0" applyAlignment="0" applyProtection="0"/>
    <xf numFmtId="38" fontId="102" fillId="0" borderId="0"/>
    <xf numFmtId="38" fontId="103" fillId="0" borderId="0"/>
    <xf numFmtId="38" fontId="104" fillId="0" borderId="0"/>
    <xf numFmtId="38" fontId="105" fillId="0" borderId="0"/>
    <xf numFmtId="0" fontId="10" fillId="0" borderId="0"/>
    <xf numFmtId="0" fontId="10" fillId="0" borderId="0"/>
    <xf numFmtId="184" fontId="85" fillId="0" borderId="0" applyFont="0">
      <alignment vertical="top"/>
    </xf>
    <xf numFmtId="0" fontId="40" fillId="0" borderId="11" applyNumberFormat="0" applyFill="0" applyAlignment="0" applyProtection="0"/>
    <xf numFmtId="0" fontId="106" fillId="0" borderId="0" applyNumberFormat="0" applyFill="0" applyBorder="0" applyAlignment="0" applyProtection="0"/>
    <xf numFmtId="0" fontId="25" fillId="22" borderId="6" applyNumberFormat="0" applyAlignment="0" applyProtection="0"/>
    <xf numFmtId="0" fontId="40" fillId="0" borderId="11" applyNumberFormat="0" applyFill="0" applyAlignment="0" applyProtection="0"/>
    <xf numFmtId="0" fontId="40" fillId="0" borderId="11" applyNumberFormat="0" applyFill="0" applyAlignment="0" applyProtection="0"/>
    <xf numFmtId="0" fontId="107" fillId="0" borderId="11" applyNumberFormat="0" applyFill="0" applyAlignment="0" applyProtection="0"/>
    <xf numFmtId="0" fontId="40" fillId="0" borderId="11" applyNumberFormat="0" applyFill="0" applyAlignment="0" applyProtection="0"/>
    <xf numFmtId="0" fontId="40" fillId="0" borderId="11" applyNumberFormat="0" applyFill="0" applyAlignment="0" applyProtection="0"/>
    <xf numFmtId="215" fontId="108" fillId="0" borderId="0" applyFill="0">
      <alignment horizontal="center"/>
    </xf>
    <xf numFmtId="0" fontId="109" fillId="0" borderId="0" applyNumberFormat="0" applyFill="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20" borderId="0" applyNumberFormat="0" applyBorder="0" applyAlignment="0" applyProtection="0"/>
    <xf numFmtId="0" fontId="1" fillId="21" borderId="5" applyNumberFormat="0" applyFont="0" applyAlignment="0" applyProtection="0"/>
    <xf numFmtId="0" fontId="1" fillId="21" borderId="5" applyNumberFormat="0" applyFont="0" applyAlignment="0" applyProtection="0"/>
    <xf numFmtId="0" fontId="110" fillId="21" borderId="5" applyNumberFormat="0" applyFont="0" applyAlignment="0" applyProtection="0"/>
    <xf numFmtId="0" fontId="111" fillId="0" borderId="0" applyNumberFormat="0" applyFill="0" applyBorder="0" applyAlignment="0" applyProtection="0"/>
    <xf numFmtId="216" fontId="66" fillId="0" borderId="0" applyFont="0" applyFill="0" applyBorder="0" applyAlignment="0" applyProtection="0"/>
    <xf numFmtId="216" fontId="11" fillId="0" borderId="0" applyFont="0" applyFill="0" applyBorder="0" applyAlignment="0" applyProtection="0"/>
    <xf numFmtId="216" fontId="1" fillId="0" borderId="0" applyFont="0" applyFill="0" applyBorder="0" applyAlignment="0" applyProtection="0"/>
    <xf numFmtId="216" fontId="11" fillId="0" borderId="0" applyFont="0" applyFill="0" applyBorder="0" applyAlignment="0" applyProtection="0"/>
    <xf numFmtId="216" fontId="11" fillId="0" borderId="0" applyFont="0" applyFill="0" applyBorder="0" applyAlignment="0" applyProtection="0"/>
    <xf numFmtId="216" fontId="11" fillId="0" borderId="0" applyFont="0" applyFill="0" applyBorder="0" applyAlignment="0" applyProtection="0"/>
    <xf numFmtId="216" fontId="11" fillId="0" borderId="0" applyFont="0" applyFill="0" applyBorder="0" applyAlignment="0" applyProtection="0"/>
    <xf numFmtId="216" fontId="15" fillId="0" borderId="0" applyFont="0" applyFill="0" applyBorder="0" applyAlignment="0" applyProtection="0"/>
    <xf numFmtId="216" fontId="1"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91" fontId="50" fillId="0" borderId="0" applyFont="0" applyFill="0" applyBorder="0" applyAlignment="0" applyProtection="0"/>
    <xf numFmtId="191" fontId="38" fillId="0" borderId="0" applyFont="0" applyFill="0" applyBorder="0" applyAlignment="0" applyProtection="0"/>
    <xf numFmtId="191" fontId="50" fillId="0" borderId="0" applyFont="0" applyFill="0" applyBorder="0" applyAlignment="0" applyProtection="0"/>
    <xf numFmtId="191" fontId="50"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91" fontId="50" fillId="0" borderId="0" applyFont="0" applyFill="0" applyBorder="0" applyAlignment="0" applyProtection="0"/>
    <xf numFmtId="191" fontId="38" fillId="0" borderId="0" applyFont="0" applyFill="0" applyBorder="0" applyAlignment="0" applyProtection="0"/>
    <xf numFmtId="191" fontId="50" fillId="0" borderId="0" applyFont="0" applyFill="0" applyBorder="0" applyAlignment="0" applyProtection="0"/>
    <xf numFmtId="191" fontId="50" fillId="0" borderId="0" applyFont="0" applyFill="0" applyBorder="0" applyAlignment="0" applyProtection="0"/>
    <xf numFmtId="188" fontId="15" fillId="0" borderId="0" applyFont="0" applyFill="0" applyBorder="0" applyAlignment="0" applyProtection="0"/>
    <xf numFmtId="188" fontId="15" fillId="0" borderId="0" applyFont="0" applyFill="0" applyBorder="0" applyAlignment="0" applyProtection="0"/>
    <xf numFmtId="188" fontId="15" fillId="0" borderId="0" applyFont="0" applyFill="0" applyBorder="0" applyAlignment="0" applyProtection="0"/>
    <xf numFmtId="188" fontId="15" fillId="0" borderId="0" applyFont="0" applyFill="0" applyBorder="0" applyAlignment="0" applyProtection="0"/>
    <xf numFmtId="188" fontId="15" fillId="0" borderId="0" applyFont="0" applyFill="0" applyBorder="0" applyAlignment="0" applyProtection="0"/>
    <xf numFmtId="188" fontId="15" fillId="0" borderId="0" applyFont="0" applyFill="0" applyBorder="0" applyAlignment="0" applyProtection="0"/>
    <xf numFmtId="188" fontId="15" fillId="0" borderId="0" applyFont="0" applyFill="0" applyBorder="0" applyAlignment="0" applyProtection="0"/>
    <xf numFmtId="188" fontId="15" fillId="0" borderId="0" applyFont="0" applyFill="0" applyBorder="0" applyAlignment="0" applyProtection="0"/>
    <xf numFmtId="188" fontId="15" fillId="0" borderId="0" applyFont="0" applyFill="0" applyBorder="0" applyAlignment="0" applyProtection="0"/>
    <xf numFmtId="188" fontId="11" fillId="0" borderId="0" applyFont="0" applyFill="0" applyBorder="0" applyAlignment="0" applyProtection="0"/>
    <xf numFmtId="188" fontId="15" fillId="0" borderId="0" applyFont="0" applyFill="0" applyBorder="0" applyAlignment="0" applyProtection="0"/>
    <xf numFmtId="188" fontId="15" fillId="0" borderId="0" applyFont="0" applyFill="0" applyBorder="0" applyAlignment="0" applyProtection="0"/>
    <xf numFmtId="188" fontId="15" fillId="0" borderId="0" applyFont="0" applyFill="0" applyBorder="0" applyAlignment="0" applyProtection="0"/>
    <xf numFmtId="188" fontId="50" fillId="0" borderId="0" applyFont="0" applyFill="0" applyBorder="0" applyAlignment="0" applyProtection="0"/>
    <xf numFmtId="188" fontId="38" fillId="0" borderId="0" applyFont="0" applyFill="0" applyBorder="0" applyAlignment="0" applyProtection="0"/>
    <xf numFmtId="188" fontId="50" fillId="0" borderId="0" applyFont="0" applyFill="0" applyBorder="0" applyAlignment="0" applyProtection="0"/>
    <xf numFmtId="188" fontId="50"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69" fontId="11" fillId="0" borderId="0" applyFont="0" applyFill="0" applyBorder="0" applyAlignment="0" applyProtection="0"/>
    <xf numFmtId="190" fontId="11" fillId="0" borderId="0" applyFont="0" applyFill="0" applyBorder="0" applyAlignment="0" applyProtection="0"/>
    <xf numFmtId="171" fontId="11" fillId="0" borderId="0" applyFont="0" applyFill="0" applyBorder="0" applyAlignment="0" applyProtection="0"/>
    <xf numFmtId="0" fontId="112" fillId="0" borderId="0" applyNumberFormat="0" applyFill="0">
      <alignment vertical="center"/>
    </xf>
    <xf numFmtId="0" fontId="11" fillId="0" borderId="0" applyFont="0" applyFill="0" applyBorder="0" applyAlignment="0" applyProtection="0"/>
    <xf numFmtId="0" fontId="11" fillId="0" borderId="0" applyFont="0" applyFill="0" applyBorder="0" applyAlignment="0" applyProtection="0"/>
    <xf numFmtId="0" fontId="94" fillId="25" borderId="20" applyNumberFormat="0" applyFont="0" applyFill="0" applyAlignment="0" applyProtection="0">
      <alignment vertical="center"/>
      <protection locked="0"/>
    </xf>
    <xf numFmtId="0" fontId="113" fillId="0" borderId="0" applyNumberFormat="0" applyBorder="0">
      <alignment horizontal="left" vertical="top"/>
    </xf>
    <xf numFmtId="0" fontId="94" fillId="25" borderId="20" applyNumberFormat="0" applyFont="0" applyFill="0" applyAlignment="0" applyProtection="0">
      <alignment vertical="center"/>
      <protection locked="0"/>
    </xf>
    <xf numFmtId="0" fontId="114" fillId="40" borderId="0" applyNumberFormat="0" applyBorder="0" applyAlignment="0" applyProtection="0"/>
    <xf numFmtId="0" fontId="114" fillId="40" borderId="0" applyNumberFormat="0" applyBorder="0" applyAlignment="0" applyProtection="0"/>
    <xf numFmtId="0" fontId="114" fillId="40" borderId="0" applyNumberFormat="0" applyBorder="0" applyAlignment="0" applyProtection="0"/>
    <xf numFmtId="0" fontId="115" fillId="40" borderId="0" applyNumberFormat="0" applyBorder="0" applyAlignment="0" applyProtection="0"/>
    <xf numFmtId="0" fontId="114" fillId="40" borderId="0" applyNumberFormat="0" applyBorder="0" applyAlignment="0" applyProtection="0"/>
    <xf numFmtId="0" fontId="114" fillId="40" borderId="0" applyNumberFormat="0" applyBorder="0" applyAlignment="0" applyProtection="0"/>
    <xf numFmtId="0" fontId="114" fillId="40" borderId="0" applyNumberFormat="0" applyBorder="0" applyAlignment="0" applyProtection="0"/>
    <xf numFmtId="0" fontId="114" fillId="40" borderId="0" applyNumberFormat="0" applyBorder="0" applyAlignment="0" applyProtection="0"/>
    <xf numFmtId="0" fontId="1" fillId="0" borderId="0"/>
    <xf numFmtId="0" fontId="1" fillId="0" borderId="0"/>
    <xf numFmtId="190" fontId="66" fillId="0" borderId="0"/>
    <xf numFmtId="0" fontId="38" fillId="0" borderId="0"/>
    <xf numFmtId="0" fontId="74" fillId="0" borderId="0"/>
    <xf numFmtId="0" fontId="38" fillId="0" borderId="0"/>
    <xf numFmtId="0" fontId="11" fillId="0" borderId="0"/>
    <xf numFmtId="0" fontId="38" fillId="0" borderId="0"/>
    <xf numFmtId="0" fontId="1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74" fillId="0" borderId="0"/>
    <xf numFmtId="0" fontId="11" fillId="0" borderId="0"/>
    <xf numFmtId="0" fontId="38" fillId="0" borderId="0"/>
    <xf numFmtId="0" fontId="38" fillId="0" borderId="0"/>
    <xf numFmtId="0" fontId="11" fillId="0" borderId="0"/>
    <xf numFmtId="0" fontId="38" fillId="0" borderId="0"/>
    <xf numFmtId="0" fontId="38" fillId="0" borderId="0"/>
    <xf numFmtId="0" fontId="38" fillId="0" borderId="0"/>
    <xf numFmtId="0" fontId="38" fillId="0" borderId="0"/>
    <xf numFmtId="0" fontId="11" fillId="0" borderId="0"/>
    <xf numFmtId="0" fontId="38" fillId="0" borderId="0"/>
    <xf numFmtId="0" fontId="38" fillId="0" borderId="0"/>
    <xf numFmtId="0" fontId="38" fillId="0" borderId="0"/>
    <xf numFmtId="0" fontId="15" fillId="0" borderId="0"/>
    <xf numFmtId="0" fontId="15" fillId="0" borderId="0"/>
    <xf numFmtId="0" fontId="38" fillId="0" borderId="0"/>
    <xf numFmtId="0" fontId="74" fillId="0" borderId="0"/>
    <xf numFmtId="0" fontId="11" fillId="0" borderId="0"/>
    <xf numFmtId="0" fontId="38" fillId="0" borderId="0"/>
    <xf numFmtId="0" fontId="38"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9" fillId="0" borderId="0"/>
    <xf numFmtId="0" fontId="38" fillId="0" borderId="0"/>
    <xf numFmtId="0" fontId="74" fillId="0" borderId="0"/>
    <xf numFmtId="0" fontId="15" fillId="0" borderId="0"/>
    <xf numFmtId="0" fontId="38" fillId="0" borderId="0"/>
    <xf numFmtId="0" fontId="38" fillId="0" borderId="0"/>
    <xf numFmtId="0" fontId="15" fillId="0" borderId="0"/>
    <xf numFmtId="0" fontId="160" fillId="0" borderId="0"/>
    <xf numFmtId="0" fontId="74" fillId="0" borderId="0"/>
    <xf numFmtId="0" fontId="15" fillId="0" borderId="0"/>
    <xf numFmtId="0" fontId="160" fillId="0" borderId="0"/>
    <xf numFmtId="0" fontId="15" fillId="0" borderId="0"/>
    <xf numFmtId="0" fontId="15" fillId="0" borderId="0"/>
    <xf numFmtId="0" fontId="50" fillId="0" borderId="0"/>
    <xf numFmtId="0" fontId="74" fillId="0" borderId="0"/>
    <xf numFmtId="0" fontId="116" fillId="0" borderId="0"/>
    <xf numFmtId="0" fontId="116" fillId="0" borderId="0"/>
    <xf numFmtId="0" fontId="116" fillId="0" borderId="0"/>
    <xf numFmtId="0" fontId="116" fillId="0" borderId="0"/>
    <xf numFmtId="0" fontId="116" fillId="0" borderId="0"/>
    <xf numFmtId="0" fontId="38" fillId="0" borderId="0"/>
    <xf numFmtId="0" fontId="38" fillId="0" borderId="0"/>
    <xf numFmtId="0" fontId="38" fillId="0" borderId="0"/>
    <xf numFmtId="0" fontId="38" fillId="0" borderId="0"/>
    <xf numFmtId="0" fontId="38" fillId="0" borderId="0"/>
    <xf numFmtId="0" fontId="116"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1" fillId="0" borderId="0"/>
    <xf numFmtId="0" fontId="11" fillId="0" borderId="0"/>
    <xf numFmtId="0" fontId="11" fillId="0" borderId="0"/>
    <xf numFmtId="0" fontId="11" fillId="0" borderId="0"/>
    <xf numFmtId="0" fontId="38" fillId="0" borderId="0"/>
    <xf numFmtId="0" fontId="38" fillId="0" borderId="0"/>
    <xf numFmtId="0" fontId="38" fillId="0" borderId="0"/>
    <xf numFmtId="0" fontId="38" fillId="0" borderId="0"/>
    <xf numFmtId="0" fontId="50" fillId="0" borderId="0"/>
    <xf numFmtId="0" fontId="38" fillId="0" borderId="0"/>
    <xf numFmtId="0" fontId="38" fillId="0" borderId="0"/>
    <xf numFmtId="0" fontId="38" fillId="0" borderId="0"/>
    <xf numFmtId="0" fontId="116" fillId="0" borderId="0"/>
    <xf numFmtId="0" fontId="50" fillId="0" borderId="0"/>
    <xf numFmtId="0" fontId="74" fillId="0" borderId="0"/>
    <xf numFmtId="0" fontId="116" fillId="0" borderId="0"/>
    <xf numFmtId="0" fontId="116" fillId="0" borderId="0"/>
    <xf numFmtId="0" fontId="116" fillId="0" borderId="0"/>
    <xf numFmtId="0" fontId="116" fillId="0" borderId="0"/>
    <xf numFmtId="0" fontId="38" fillId="0" borderId="0"/>
    <xf numFmtId="0" fontId="38" fillId="0" borderId="0"/>
    <xf numFmtId="0" fontId="38" fillId="0" borderId="0"/>
    <xf numFmtId="0" fontId="38" fillId="0" borderId="0"/>
    <xf numFmtId="0" fontId="38" fillId="0" borderId="0"/>
    <xf numFmtId="0" fontId="50" fillId="0" borderId="0"/>
    <xf numFmtId="0" fontId="116"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50"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16" fillId="0" borderId="0"/>
    <xf numFmtId="0" fontId="116" fillId="0" borderId="0"/>
    <xf numFmtId="0" fontId="50" fillId="0" borderId="0"/>
    <xf numFmtId="0" fontId="74" fillId="0" borderId="0"/>
    <xf numFmtId="0" fontId="116" fillId="0" borderId="0"/>
    <xf numFmtId="0" fontId="116" fillId="0" borderId="0"/>
    <xf numFmtId="0" fontId="116" fillId="0" borderId="0"/>
    <xf numFmtId="0" fontId="116" fillId="0" borderId="0"/>
    <xf numFmtId="0" fontId="38" fillId="0" borderId="0"/>
    <xf numFmtId="0" fontId="38" fillId="0" borderId="0"/>
    <xf numFmtId="0" fontId="38" fillId="0" borderId="0"/>
    <xf numFmtId="0" fontId="38" fillId="0" borderId="0"/>
    <xf numFmtId="0" fontId="38" fillId="0" borderId="0"/>
    <xf numFmtId="0" fontId="50" fillId="0" borderId="0"/>
    <xf numFmtId="0" fontId="116"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50"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16" fillId="0" borderId="0"/>
    <xf numFmtId="0" fontId="116" fillId="0" borderId="0"/>
    <xf numFmtId="0" fontId="50" fillId="0" borderId="0"/>
    <xf numFmtId="0" fontId="162" fillId="0" borderId="0"/>
    <xf numFmtId="0" fontId="116" fillId="0" borderId="0"/>
    <xf numFmtId="0" fontId="38"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50" fillId="0" borderId="0"/>
    <xf numFmtId="0" fontId="116" fillId="0" borderId="0"/>
    <xf numFmtId="0" fontId="38" fillId="0" borderId="0"/>
    <xf numFmtId="0" fontId="97" fillId="0" borderId="0"/>
    <xf numFmtId="0" fontId="1" fillId="0" borderId="0"/>
    <xf numFmtId="0" fontId="1" fillId="0" borderId="0"/>
    <xf numFmtId="0" fontId="1" fillId="0" borderId="0"/>
    <xf numFmtId="0" fontId="1" fillId="0" borderId="0"/>
    <xf numFmtId="0" fontId="163" fillId="0" borderId="0"/>
    <xf numFmtId="0" fontId="163" fillId="0" borderId="0"/>
    <xf numFmtId="0" fontId="1" fillId="0" borderId="0"/>
    <xf numFmtId="0" fontId="1" fillId="0" borderId="0"/>
    <xf numFmtId="0" fontId="38" fillId="0" borderId="0"/>
    <xf numFmtId="0" fontId="38" fillId="0" borderId="0"/>
    <xf numFmtId="0" fontId="1" fillId="0" borderId="0"/>
    <xf numFmtId="0" fontId="74" fillId="0" borderId="0"/>
    <xf numFmtId="0" fontId="1" fillId="0" borderId="0"/>
    <xf numFmtId="0" fontId="11" fillId="0" borderId="0"/>
    <xf numFmtId="0" fontId="160" fillId="0" borderId="0"/>
    <xf numFmtId="0" fontId="38" fillId="0" borderId="0"/>
    <xf numFmtId="0" fontId="38" fillId="0" borderId="0"/>
    <xf numFmtId="0" fontId="1" fillId="0" borderId="0"/>
    <xf numFmtId="0" fontId="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17" fillId="0" borderId="0">
      <alignment vertical="center"/>
    </xf>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1" fillId="0" borderId="0"/>
    <xf numFmtId="0" fontId="1" fillId="0" borderId="0"/>
    <xf numFmtId="0" fontId="38" fillId="0" borderId="0"/>
    <xf numFmtId="0" fontId="38" fillId="0" borderId="0"/>
    <xf numFmtId="0" fontId="38" fillId="0" borderId="0"/>
    <xf numFmtId="0" fontId="1" fillId="0" borderId="0"/>
    <xf numFmtId="0" fontId="1" fillId="0" borderId="0"/>
    <xf numFmtId="0" fontId="3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1" fillId="0" borderId="0"/>
    <xf numFmtId="0" fontId="74" fillId="0" borderId="0"/>
    <xf numFmtId="0" fontId="116" fillId="0" borderId="0"/>
    <xf numFmtId="0" fontId="116" fillId="0" borderId="0"/>
    <xf numFmtId="0" fontId="116" fillId="0" borderId="0"/>
    <xf numFmtId="0" fontId="38" fillId="0" borderId="0"/>
    <xf numFmtId="0" fontId="38" fillId="0" borderId="0"/>
    <xf numFmtId="0" fontId="116" fillId="0" borderId="0"/>
    <xf numFmtId="0" fontId="116" fillId="0" borderId="0"/>
    <xf numFmtId="0" fontId="116" fillId="0" borderId="0"/>
    <xf numFmtId="0" fontId="11"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11"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38" fillId="0" borderId="0"/>
    <xf numFmtId="0" fontId="38" fillId="0" borderId="0"/>
    <xf numFmtId="0" fontId="116" fillId="0" borderId="0"/>
    <xf numFmtId="0" fontId="116" fillId="0" borderId="0"/>
    <xf numFmtId="0" fontId="116" fillId="0" borderId="0"/>
    <xf numFmtId="0" fontId="1" fillId="0" borderId="0"/>
    <xf numFmtId="0" fontId="160" fillId="0" borderId="0"/>
    <xf numFmtId="0" fontId="160" fillId="0" borderId="0"/>
    <xf numFmtId="0" fontId="38" fillId="0" borderId="0"/>
    <xf numFmtId="0" fontId="38" fillId="0" borderId="0"/>
    <xf numFmtId="0" fontId="52" fillId="0" borderId="0"/>
    <xf numFmtId="0" fontId="52" fillId="0" borderId="0"/>
    <xf numFmtId="0" fontId="38" fillId="0" borderId="0"/>
    <xf numFmtId="0" fontId="38"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1" fillId="0" borderId="0"/>
    <xf numFmtId="0" fontId="1" fillId="0" borderId="0"/>
    <xf numFmtId="0" fontId="1" fillId="0" borderId="0"/>
    <xf numFmtId="0" fontId="52" fillId="0" borderId="0"/>
    <xf numFmtId="0" fontId="163" fillId="0" borderId="0"/>
    <xf numFmtId="0" fontId="16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2" fillId="0" borderId="0"/>
    <xf numFmtId="0" fontId="163" fillId="0" borderId="0"/>
    <xf numFmtId="0" fontId="1" fillId="0" borderId="0"/>
    <xf numFmtId="0" fontId="38" fillId="0" borderId="0"/>
    <xf numFmtId="0" fontId="38" fillId="0" borderId="0"/>
    <xf numFmtId="0" fontId="38" fillId="0" borderId="0"/>
    <xf numFmtId="0" fontId="38" fillId="0" borderId="0"/>
    <xf numFmtId="0" fontId="1" fillId="0" borderId="0"/>
    <xf numFmtId="0" fontId="1" fillId="0" borderId="0"/>
    <xf numFmtId="0" fontId="1" fillId="0" borderId="0"/>
    <xf numFmtId="0" fontId="11" fillId="0" borderId="0"/>
    <xf numFmtId="0" fontId="1" fillId="0" borderId="0"/>
    <xf numFmtId="0" fontId="38" fillId="0" borderId="0"/>
    <xf numFmtId="0" fontId="1" fillId="0" borderId="0"/>
    <xf numFmtId="0" fontId="1" fillId="0" borderId="0"/>
    <xf numFmtId="0" fontId="3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38" fillId="0" borderId="0"/>
    <xf numFmtId="0" fontId="1" fillId="0" borderId="0"/>
    <xf numFmtId="0" fontId="50" fillId="0" borderId="0"/>
    <xf numFmtId="0" fontId="116" fillId="0" borderId="0"/>
    <xf numFmtId="0" fontId="50" fillId="0" borderId="0"/>
    <xf numFmtId="0" fontId="116" fillId="0" borderId="0"/>
    <xf numFmtId="0" fontId="50" fillId="0" borderId="0"/>
    <xf numFmtId="0" fontId="116" fillId="0" borderId="0"/>
    <xf numFmtId="0" fontId="50" fillId="0" borderId="0"/>
    <xf numFmtId="0" fontId="116" fillId="0" borderId="0"/>
    <xf numFmtId="0" fontId="50" fillId="0" borderId="0"/>
    <xf numFmtId="0" fontId="116" fillId="0" borderId="0"/>
    <xf numFmtId="0" fontId="162" fillId="0" borderId="0"/>
    <xf numFmtId="0" fontId="49" fillId="0" borderId="0"/>
    <xf numFmtId="0" fontId="162" fillId="0" borderId="0"/>
    <xf numFmtId="0" fontId="49" fillId="0" borderId="0"/>
    <xf numFmtId="0" fontId="162" fillId="0" borderId="0"/>
    <xf numFmtId="0" fontId="160" fillId="0" borderId="0"/>
    <xf numFmtId="0" fontId="162" fillId="0" borderId="0"/>
    <xf numFmtId="0" fontId="160" fillId="0" borderId="0"/>
    <xf numFmtId="0" fontId="162" fillId="0" borderId="0"/>
    <xf numFmtId="0" fontId="160" fillId="0" borderId="0"/>
    <xf numFmtId="0" fontId="1" fillId="0" borderId="0"/>
    <xf numFmtId="0" fontId="162" fillId="0" borderId="0"/>
    <xf numFmtId="0" fontId="1" fillId="0" borderId="0"/>
    <xf numFmtId="0" fontId="1" fillId="0" borderId="0"/>
    <xf numFmtId="0" fontId="1" fillId="0" borderId="0"/>
    <xf numFmtId="0" fontId="49" fillId="0" borderId="0"/>
    <xf numFmtId="0" fontId="49" fillId="0" borderId="0"/>
    <xf numFmtId="0" fontId="1" fillId="0" borderId="0"/>
    <xf numFmtId="0" fontId="1" fillId="0" borderId="0"/>
    <xf numFmtId="0" fontId="1" fillId="0" borderId="0"/>
    <xf numFmtId="0" fontId="1" fillId="0" borderId="0"/>
    <xf numFmtId="0" fontId="1" fillId="0" borderId="0"/>
    <xf numFmtId="0" fontId="1" fillId="0" borderId="0"/>
    <xf numFmtId="0" fontId="97" fillId="0" borderId="0"/>
    <xf numFmtId="0" fontId="1" fillId="0" borderId="0"/>
    <xf numFmtId="0" fontId="1" fillId="0" borderId="0"/>
    <xf numFmtId="0" fontId="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62" fillId="0" borderId="0"/>
    <xf numFmtId="0" fontId="1"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38" fillId="0" borderId="0"/>
    <xf numFmtId="0" fontId="49" fillId="0" borderId="0"/>
    <xf numFmtId="0" fontId="1" fillId="0" borderId="0"/>
    <xf numFmtId="0" fontId="160" fillId="0" borderId="0"/>
    <xf numFmtId="0" fontId="16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5" fillId="0" borderId="0"/>
    <xf numFmtId="0" fontId="1" fillId="0" borderId="0"/>
    <xf numFmtId="0" fontId="15" fillId="0" borderId="0"/>
    <xf numFmtId="0" fontId="15" fillId="0" borderId="0"/>
    <xf numFmtId="0" fontId="38" fillId="0" borderId="0"/>
    <xf numFmtId="0" fontId="160" fillId="0" borderId="0"/>
    <xf numFmtId="0" fontId="38" fillId="0" borderId="0"/>
    <xf numFmtId="0" fontId="49" fillId="0" borderId="0"/>
    <xf numFmtId="0" fontId="38" fillId="0" borderId="0"/>
    <xf numFmtId="0" fontId="160" fillId="0" borderId="0"/>
    <xf numFmtId="0" fontId="38" fillId="0" borderId="0"/>
    <xf numFmtId="0" fontId="160" fillId="0" borderId="0"/>
    <xf numFmtId="0" fontId="38" fillId="0" borderId="0"/>
    <xf numFmtId="0" fontId="160" fillId="0" borderId="0"/>
    <xf numFmtId="0" fontId="38" fillId="0" borderId="0"/>
    <xf numFmtId="0" fontId="64" fillId="0" borderId="0"/>
    <xf numFmtId="0" fontId="38" fillId="0" borderId="0"/>
    <xf numFmtId="0" fontId="49" fillId="0" borderId="0"/>
    <xf numFmtId="0" fontId="38" fillId="0" borderId="0"/>
    <xf numFmtId="0" fontId="38" fillId="0" borderId="0"/>
    <xf numFmtId="0" fontId="38" fillId="0" borderId="0"/>
    <xf numFmtId="0" fontId="38" fillId="0" borderId="0"/>
    <xf numFmtId="0" fontId="38" fillId="0" borderId="0"/>
    <xf numFmtId="0" fontId="38" fillId="0" borderId="0"/>
    <xf numFmtId="0" fontId="7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54"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74"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5" fillId="0" borderId="0"/>
    <xf numFmtId="0" fontId="15" fillId="0" borderId="0"/>
    <xf numFmtId="0" fontId="15"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50" fillId="0" borderId="0"/>
    <xf numFmtId="0" fontId="38" fillId="0" borderId="0"/>
    <xf numFmtId="0" fontId="1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1" fillId="0" borderId="0"/>
    <xf numFmtId="0" fontId="38" fillId="0" borderId="0"/>
    <xf numFmtId="0" fontId="38" fillId="0" borderId="0"/>
    <xf numFmtId="0" fontId="38" fillId="0" borderId="0"/>
    <xf numFmtId="0" fontId="38" fillId="0" borderId="0"/>
    <xf numFmtId="0" fontId="160"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1" fillId="0" borderId="0"/>
    <xf numFmtId="0" fontId="11" fillId="0" borderId="0"/>
    <xf numFmtId="0" fontId="38" fillId="0" borderId="0"/>
    <xf numFmtId="0" fontId="74"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9" fillId="0" borderId="0"/>
    <xf numFmtId="0" fontId="38" fillId="0" borderId="0"/>
    <xf numFmtId="0" fontId="38" fillId="0" borderId="0"/>
    <xf numFmtId="0" fontId="38" fillId="0" borderId="0"/>
    <xf numFmtId="0" fontId="38" fillId="0" borderId="0"/>
    <xf numFmtId="0" fontId="38" fillId="0" borderId="0"/>
    <xf numFmtId="0" fontId="118" fillId="0" borderId="0"/>
    <xf numFmtId="0" fontId="38" fillId="0" borderId="0"/>
    <xf numFmtId="0" fontId="38" fillId="0" borderId="0"/>
    <xf numFmtId="0" fontId="38" fillId="0" borderId="0"/>
    <xf numFmtId="0" fontId="38" fillId="0" borderId="0"/>
    <xf numFmtId="0" fontId="50"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9" fillId="0" borderId="0"/>
    <xf numFmtId="0" fontId="38" fillId="0" borderId="0"/>
    <xf numFmtId="0" fontId="38" fillId="0" borderId="0"/>
    <xf numFmtId="0" fontId="1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1"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74"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19" fillId="0" borderId="0"/>
    <xf numFmtId="0" fontId="38" fillId="0" borderId="0"/>
    <xf numFmtId="0" fontId="1" fillId="0" borderId="0"/>
    <xf numFmtId="0" fontId="38" fillId="0" borderId="0"/>
    <xf numFmtId="0" fontId="38" fillId="0" borderId="0"/>
    <xf numFmtId="0" fontId="38" fillId="0" borderId="0"/>
    <xf numFmtId="0" fontId="38" fillId="0" borderId="0"/>
    <xf numFmtId="0" fontId="38"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60" fillId="0" borderId="0"/>
    <xf numFmtId="0" fontId="38" fillId="0" borderId="0"/>
    <xf numFmtId="0" fontId="38" fillId="0" borderId="0"/>
    <xf numFmtId="0" fontId="1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1" fillId="0" borderId="0"/>
    <xf numFmtId="0" fontId="1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1" fillId="0" borderId="0"/>
    <xf numFmtId="0" fontId="74" fillId="0" borderId="0"/>
    <xf numFmtId="0" fontId="38" fillId="0" borderId="0"/>
    <xf numFmtId="0" fontId="49" fillId="0" borderId="0"/>
    <xf numFmtId="0" fontId="38" fillId="0" borderId="0"/>
    <xf numFmtId="0" fontId="11" fillId="0" borderId="0"/>
    <xf numFmtId="0" fontId="38" fillId="0" borderId="0"/>
    <xf numFmtId="0" fontId="1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74" fillId="0" borderId="0"/>
    <xf numFmtId="0" fontId="160" fillId="0" borderId="0"/>
    <xf numFmtId="0" fontId="38" fillId="0" borderId="0"/>
    <xf numFmtId="0" fontId="38" fillId="0" borderId="0"/>
    <xf numFmtId="0" fontId="64" fillId="0" borderId="0"/>
    <xf numFmtId="0" fontId="11" fillId="0" borderId="0"/>
    <xf numFmtId="0" fontId="160" fillId="0" borderId="0"/>
    <xf numFmtId="0" fontId="160" fillId="0" borderId="0"/>
    <xf numFmtId="0" fontId="1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1"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xf numFmtId="0" fontId="50" fillId="0" borderId="0"/>
    <xf numFmtId="0" fontId="11" fillId="0" borderId="0" applyBorder="0"/>
    <xf numFmtId="0" fontId="11" fillId="0" borderId="0" applyBorder="0"/>
    <xf numFmtId="0" fontId="38" fillId="0" borderId="0"/>
    <xf numFmtId="0" fontId="50" fillId="0" borderId="0"/>
    <xf numFmtId="0" fontId="50" fillId="0" borderId="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xf numFmtId="0" fontId="160" fillId="0" borderId="0"/>
    <xf numFmtId="0" fontId="1" fillId="0" borderId="0"/>
    <xf numFmtId="0" fontId="160" fillId="0" borderId="0"/>
    <xf numFmtId="0" fontId="160" fillId="0" borderId="0"/>
    <xf numFmtId="0" fontId="160" fillId="0" borderId="0"/>
    <xf numFmtId="0" fontId="1" fillId="0" borderId="0"/>
    <xf numFmtId="0" fontId="160" fillId="0" borderId="0"/>
    <xf numFmtId="0" fontId="160" fillId="0" borderId="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60" fillId="0" borderId="0"/>
    <xf numFmtId="0" fontId="160" fillId="0" borderId="0"/>
    <xf numFmtId="0" fontId="120" fillId="0" borderId="0"/>
    <xf numFmtId="0" fontId="164" fillId="0" borderId="0"/>
    <xf numFmtId="0" fontId="11" fillId="0" borderId="0"/>
    <xf numFmtId="0" fontId="11" fillId="0" borderId="0" applyBorder="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38" fillId="0" borderId="0"/>
    <xf numFmtId="0" fontId="160" fillId="0" borderId="0"/>
    <xf numFmtId="0" fontId="160" fillId="0" borderId="0"/>
    <xf numFmtId="0" fontId="160" fillId="0" borderId="0"/>
    <xf numFmtId="0" fontId="11" fillId="0" borderId="0"/>
    <xf numFmtId="0" fontId="160" fillId="0" borderId="0"/>
    <xf numFmtId="0" fontId="120" fillId="0" borderId="0"/>
    <xf numFmtId="0" fontId="1" fillId="0" borderId="0"/>
    <xf numFmtId="0" fontId="11" fillId="0" borderId="0" applyBorder="0"/>
    <xf numFmtId="0" fontId="11" fillId="0" borderId="0" applyBorder="0"/>
    <xf numFmtId="0" fontId="11" fillId="0" borderId="0" applyBorder="0"/>
    <xf numFmtId="0" fontId="11" fillId="0" borderId="0" applyBorder="0"/>
    <xf numFmtId="0" fontId="11" fillId="0" borderId="0" applyBorder="0"/>
    <xf numFmtId="0" fontId="11" fillId="0" borderId="0"/>
    <xf numFmtId="0" fontId="50" fillId="0" borderId="0"/>
    <xf numFmtId="0" fontId="121" fillId="0" borderId="0"/>
    <xf numFmtId="0" fontId="121" fillId="0" borderId="0"/>
    <xf numFmtId="0" fontId="121" fillId="0" borderId="0"/>
    <xf numFmtId="0" fontId="11" fillId="0" borderId="0"/>
    <xf numFmtId="0" fontId="122" fillId="0" borderId="0"/>
    <xf numFmtId="0" fontId="11" fillId="21" borderId="5" applyNumberFormat="0" applyFont="0" applyAlignment="0" applyProtection="0"/>
    <xf numFmtId="0" fontId="11" fillId="21" borderId="5" applyNumberFormat="0" applyFont="0" applyAlignment="0" applyProtection="0"/>
    <xf numFmtId="0" fontId="1" fillId="21" borderId="5" applyNumberFormat="0" applyFont="0" applyAlignment="0" applyProtection="0"/>
    <xf numFmtId="203" fontId="123" fillId="0" borderId="0" applyNumberFormat="0" applyFill="0" applyBorder="0" applyAlignment="0" applyProtection="0"/>
    <xf numFmtId="0" fontId="15" fillId="21" borderId="5" applyNumberFormat="0" applyFont="0" applyAlignment="0" applyProtection="0"/>
    <xf numFmtId="0" fontId="15" fillId="21" borderId="5" applyNumberFormat="0" applyFont="0" applyAlignment="0" applyProtection="0"/>
    <xf numFmtId="217" fontId="11" fillId="0" borderId="0" applyFont="0" applyFill="0" applyBorder="0" applyAlignment="0" applyProtection="0"/>
    <xf numFmtId="0" fontId="11" fillId="0" borderId="4"/>
    <xf numFmtId="0" fontId="11" fillId="0" borderId="0" applyFont="0" applyFill="0" applyBorder="0" applyAlignment="0" applyProtection="0"/>
    <xf numFmtId="14" fontId="11" fillId="0" borderId="0" applyFont="0" applyFill="0" applyBorder="0" applyAlignment="0" applyProtection="0"/>
    <xf numFmtId="0" fontId="11" fillId="0" borderId="0" applyFont="0" applyFill="0" applyBorder="0" applyAlignment="0" applyProtection="0"/>
    <xf numFmtId="178" fontId="124" fillId="0" borderId="4" applyBorder="0"/>
    <xf numFmtId="1" fontId="11" fillId="0" borderId="0" applyFont="0" applyFill="0" applyBorder="0" applyAlignment="0" applyProtection="0"/>
    <xf numFmtId="0" fontId="125" fillId="0" borderId="15" applyNumberFormat="0" applyFill="0" applyAlignment="0" applyProtection="0"/>
    <xf numFmtId="0" fontId="126" fillId="0" borderId="0" applyNumberFormat="0" applyFill="0" applyBorder="0" applyAlignment="0" applyProtection="0"/>
    <xf numFmtId="0" fontId="13" fillId="0" borderId="1" applyNumberFormat="0" applyFill="0" applyAlignment="0" applyProtection="0"/>
    <xf numFmtId="0" fontId="14" fillId="0" borderId="2" applyNumberFormat="0" applyFill="0" applyAlignment="0" applyProtection="0"/>
    <xf numFmtId="0" fontId="18" fillId="0" borderId="3" applyNumberFormat="0" applyFill="0" applyAlignment="0" applyProtection="0"/>
    <xf numFmtId="0" fontId="18" fillId="0" borderId="0" applyNumberFormat="0" applyFill="0" applyBorder="0" applyAlignment="0" applyProtection="0"/>
    <xf numFmtId="0" fontId="30" fillId="22" borderId="7" applyNumberFormat="0" applyAlignment="0" applyProtection="0"/>
    <xf numFmtId="0" fontId="13" fillId="0" borderId="1" applyNumberFormat="0" applyFill="0" applyAlignment="0" applyProtection="0"/>
    <xf numFmtId="0" fontId="14" fillId="0" borderId="2" applyNumberFormat="0" applyFill="0" applyAlignment="0" applyProtection="0"/>
    <xf numFmtId="0" fontId="18" fillId="0" borderId="3" applyNumberFormat="0" applyFill="0" applyAlignment="0" applyProtection="0"/>
    <xf numFmtId="0" fontId="18" fillId="0" borderId="0" applyNumberFormat="0" applyFill="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20" borderId="0" applyNumberFormat="0" applyBorder="0" applyAlignment="0" applyProtection="0"/>
    <xf numFmtId="0" fontId="1" fillId="21" borderId="5" applyNumberFormat="0" applyFont="0" applyAlignment="0" applyProtection="0"/>
    <xf numFmtId="0" fontId="1" fillId="21" borderId="5" applyNumberFormat="0" applyFont="0" applyAlignment="0" applyProtection="0"/>
    <xf numFmtId="0" fontId="110" fillId="21" borderId="5" applyNumberFormat="0" applyFont="0" applyAlignment="0" applyProtection="0"/>
    <xf numFmtId="0" fontId="126" fillId="0" borderId="0" applyNumberFormat="0" applyFill="0" applyBorder="0" applyAlignment="0" applyProtection="0"/>
    <xf numFmtId="0" fontId="126" fillId="0" borderId="0" applyNumberFormat="0" applyFill="0" applyBorder="0" applyAlignment="0" applyProtection="0"/>
    <xf numFmtId="0" fontId="13" fillId="0" borderId="1" applyNumberFormat="0" applyFill="0" applyAlignment="0" applyProtection="0"/>
    <xf numFmtId="0" fontId="13" fillId="0" borderId="1" applyNumberFormat="0" applyFill="0" applyAlignment="0" applyProtection="0"/>
    <xf numFmtId="0" fontId="127" fillId="0" borderId="1" applyNumberFormat="0" applyFill="0" applyAlignment="0" applyProtection="0"/>
    <xf numFmtId="0" fontId="14" fillId="0" borderId="2" applyNumberFormat="0" applyFill="0" applyAlignment="0" applyProtection="0"/>
    <xf numFmtId="0" fontId="14" fillId="0" borderId="2" applyNumberFormat="0" applyFill="0" applyAlignment="0" applyProtection="0"/>
    <xf numFmtId="0" fontId="128" fillId="0" borderId="2" applyNumberFormat="0" applyFill="0" applyAlignment="0" applyProtection="0"/>
    <xf numFmtId="0" fontId="18" fillId="0" borderId="3" applyNumberFormat="0" applyFill="0" applyAlignment="0" applyProtection="0"/>
    <xf numFmtId="0" fontId="18" fillId="0" borderId="3" applyNumberFormat="0" applyFill="0" applyAlignment="0" applyProtection="0"/>
    <xf numFmtId="0" fontId="129" fillId="0" borderId="3"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29" fillId="0" borderId="0" applyNumberFormat="0" applyFill="0" applyBorder="0" applyAlignment="0" applyProtection="0"/>
    <xf numFmtId="0" fontId="126" fillId="0" borderId="0" applyNumberFormat="0" applyFill="0" applyBorder="0" applyAlignment="0" applyProtection="0"/>
    <xf numFmtId="0" fontId="130" fillId="0" borderId="0" applyNumberFormat="0" applyFill="0" applyBorder="0" applyAlignment="0" applyProtection="0"/>
    <xf numFmtId="0" fontId="58" fillId="0" borderId="0"/>
    <xf numFmtId="9" fontId="1" fillId="0" borderId="0" applyFont="0" applyFill="0" applyBorder="0" applyAlignment="0" applyProtection="0"/>
    <xf numFmtId="9" fontId="1" fillId="0" borderId="0" applyFont="0" applyFill="0" applyBorder="0" applyAlignment="0" applyProtection="0"/>
    <xf numFmtId="10" fontId="1"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50" fillId="0" borderId="0" applyFont="0" applyFill="0" applyBorder="0" applyAlignment="0" applyProtection="0"/>
    <xf numFmtId="9" fontId="3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38" fillId="0" borderId="0" applyFont="0" applyFill="0" applyBorder="0" applyAlignment="0" applyProtection="0"/>
    <xf numFmtId="9" fontId="49" fillId="0" borderId="0" applyFont="0" applyFill="0" applyBorder="0" applyAlignment="0" applyProtection="0"/>
    <xf numFmtId="9" fontId="38" fillId="0" borderId="0" applyFont="0" applyFill="0" applyBorder="0" applyAlignment="0" applyProtection="0"/>
    <xf numFmtId="9" fontId="49" fillId="0" borderId="0" applyFont="0" applyFill="0" applyBorder="0" applyAlignment="0" applyProtection="0"/>
    <xf numFmtId="9" fontId="50" fillId="0" borderId="0" applyFont="0" applyFill="0" applyBorder="0" applyAlignment="0" applyProtection="0"/>
    <xf numFmtId="9" fontId="51" fillId="0" borderId="0" applyFont="0" applyFill="0" applyBorder="0" applyAlignment="0" applyProtection="0"/>
    <xf numFmtId="9" fontId="38" fillId="0" borderId="0" applyFont="0" applyFill="0" applyBorder="0" applyAlignment="0" applyProtection="0"/>
    <xf numFmtId="9" fontId="52"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49"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38"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38"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38"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38"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50" fillId="0" borderId="0" applyFont="0" applyFill="0" applyBorder="0" applyAlignment="0" applyProtection="0"/>
    <xf numFmtId="9" fontId="52" fillId="0" borderId="0" applyFont="0" applyFill="0" applyBorder="0" applyAlignment="0" applyProtection="0"/>
    <xf numFmtId="9" fontId="13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38" fillId="0" borderId="0" applyFont="0" applyFill="0" applyBorder="0" applyAlignment="0" applyProtection="0"/>
    <xf numFmtId="9" fontId="49" fillId="0" borderId="0" applyFont="0" applyFill="0" applyBorder="0" applyAlignment="0" applyProtection="0"/>
    <xf numFmtId="9" fontId="38"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38"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38"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38" fillId="0" borderId="0" applyFont="0" applyFill="0" applyBorder="0" applyAlignment="0" applyProtection="0"/>
    <xf numFmtId="9" fontId="49"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9" fontId="49"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50"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38" fillId="0" borderId="0" applyFont="0" applyFill="0" applyBorder="0" applyAlignment="0" applyProtection="0"/>
    <xf numFmtId="9" fontId="54"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50"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9" fontId="5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8" fillId="0" borderId="0" applyFont="0" applyFill="0" applyBorder="0" applyAlignment="0" applyProtection="0"/>
    <xf numFmtId="9" fontId="5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11" fillId="0" borderId="0" applyFont="0" applyFill="0" applyBorder="0" applyAlignment="0" applyProtection="0"/>
    <xf numFmtId="9" fontId="50"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52" fillId="0" borderId="0" applyFont="0" applyFill="0" applyBorder="0" applyAlignment="0" applyProtection="0"/>
    <xf numFmtId="9" fontId="15" fillId="0" borderId="0" applyFont="0" applyFill="0" applyBorder="0" applyAlignment="0" applyProtection="0"/>
    <xf numFmtId="9" fontId="38"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52"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15"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11"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11"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50" fillId="0" borderId="0" applyFont="0" applyFill="0" applyBorder="0" applyAlignment="0" applyProtection="0"/>
    <xf numFmtId="9" fontId="3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3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120" fillId="0" borderId="0" applyFont="0" applyFill="0" applyBorder="0" applyAlignment="0" applyProtection="0"/>
    <xf numFmtId="0" fontId="132" fillId="0" borderId="21">
      <alignment horizontal="center"/>
    </xf>
    <xf numFmtId="0" fontId="85" fillId="0" borderId="22" applyFont="0">
      <alignment horizontal="right"/>
    </xf>
    <xf numFmtId="0" fontId="133" fillId="0" borderId="23">
      <alignment horizontal="center"/>
    </xf>
    <xf numFmtId="0" fontId="133" fillId="0" borderId="23">
      <alignment horizontal="center"/>
    </xf>
    <xf numFmtId="0" fontId="133" fillId="0" borderId="23">
      <alignment horizontal="center"/>
    </xf>
    <xf numFmtId="9" fontId="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15" fillId="0" borderId="0" applyFont="0" applyFill="0" applyBorder="0" applyAlignment="0" applyProtection="0"/>
    <xf numFmtId="9" fontId="38"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1" fillId="0" borderId="0" applyFont="0" applyFill="0" applyBorder="0" applyAlignment="0" applyProtection="0"/>
    <xf numFmtId="9" fontId="38"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1" fillId="0" borderId="0" applyFont="0" applyFill="0" applyBorder="0" applyAlignment="0" applyProtection="0"/>
    <xf numFmtId="0" fontId="119" fillId="41" borderId="24" applyNumberFormat="0" applyFont="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1" fillId="0" borderId="0" applyFill="0" applyBorder="0" applyProtection="0">
      <alignment vertical="center"/>
    </xf>
    <xf numFmtId="0" fontId="19" fillId="17" borderId="0" applyNumberFormat="0" applyBorder="0" applyAlignment="0" applyProtection="0"/>
    <xf numFmtId="0" fontId="19" fillId="17" borderId="0" applyNumberFormat="0" applyBorder="0" applyAlignment="0" applyProtection="0"/>
    <xf numFmtId="0" fontId="21" fillId="17"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21" fillId="18"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1" fillId="19"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21" fillId="14"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21" fillId="15" borderId="0" applyNumberFormat="0" applyBorder="0" applyAlignment="0" applyProtection="0"/>
    <xf numFmtId="0" fontId="19" fillId="20" borderId="0" applyNumberFormat="0" applyBorder="0" applyAlignment="0" applyProtection="0"/>
    <xf numFmtId="0" fontId="19" fillId="20" borderId="0" applyNumberFormat="0" applyBorder="0" applyAlignment="0" applyProtection="0"/>
    <xf numFmtId="0" fontId="21" fillId="20" borderId="0" applyNumberFormat="0" applyBorder="0" applyAlignment="0" applyProtection="0"/>
    <xf numFmtId="0" fontId="134" fillId="4" borderId="0" applyNumberFormat="0" applyBorder="0" applyAlignment="0" applyProtection="0"/>
    <xf numFmtId="0" fontId="126" fillId="0" borderId="0" applyNumberFormat="0" applyFill="0" applyBorder="0" applyAlignment="0" applyProtection="0"/>
    <xf numFmtId="0" fontId="13" fillId="0" borderId="1" applyNumberFormat="0" applyFill="0" applyAlignment="0" applyProtection="0"/>
    <xf numFmtId="0" fontId="14" fillId="0" borderId="2" applyNumberFormat="0" applyFill="0" applyAlignment="0" applyProtection="0"/>
    <xf numFmtId="0" fontId="18" fillId="0" borderId="3" applyNumberFormat="0" applyFill="0" applyAlignment="0" applyProtection="0"/>
    <xf numFmtId="0" fontId="18" fillId="0" borderId="0" applyNumberFormat="0" applyFill="0" applyBorder="0" applyAlignment="0" applyProtection="0"/>
    <xf numFmtId="0" fontId="135" fillId="0" borderId="0" applyNumberFormat="0" applyFill="0" applyBorder="0" applyAlignment="0" applyProtection="0"/>
    <xf numFmtId="0" fontId="30" fillId="22" borderId="7" applyNumberFormat="0" applyAlignment="0" applyProtection="0"/>
    <xf numFmtId="0" fontId="40" fillId="0" borderId="11" applyNumberFormat="0" applyFill="0" applyAlignment="0" applyProtection="0"/>
    <xf numFmtId="4" fontId="133" fillId="23" borderId="7" applyNumberFormat="0" applyProtection="0">
      <alignment vertical="center"/>
    </xf>
    <xf numFmtId="4" fontId="136" fillId="23" borderId="7" applyNumberFormat="0" applyProtection="0">
      <alignment vertical="center"/>
    </xf>
    <xf numFmtId="4" fontId="133" fillId="23" borderId="7" applyNumberFormat="0" applyProtection="0">
      <alignment horizontal="left" vertical="center" indent="1"/>
    </xf>
    <xf numFmtId="4" fontId="133" fillId="23" borderId="7" applyNumberFormat="0" applyProtection="0">
      <alignment horizontal="left" vertical="center" indent="1"/>
    </xf>
    <xf numFmtId="0" fontId="11" fillId="30" borderId="7" applyNumberFormat="0" applyProtection="0">
      <alignment horizontal="left" vertical="center" indent="1"/>
    </xf>
    <xf numFmtId="4" fontId="133" fillId="42" borderId="7" applyNumberFormat="0" applyProtection="0">
      <alignment horizontal="right" vertical="center"/>
    </xf>
    <xf numFmtId="4" fontId="133" fillId="32" borderId="7" applyNumberFormat="0" applyProtection="0">
      <alignment horizontal="right" vertical="center"/>
    </xf>
    <xf numFmtId="4" fontId="133" fillId="43" borderId="7" applyNumberFormat="0" applyProtection="0">
      <alignment horizontal="right" vertical="center"/>
    </xf>
    <xf numFmtId="4" fontId="133" fillId="34" borderId="7" applyNumberFormat="0" applyProtection="0">
      <alignment horizontal="right" vertical="center"/>
    </xf>
    <xf numFmtId="4" fontId="133" fillId="44" borderId="7" applyNumberFormat="0" applyProtection="0">
      <alignment horizontal="right" vertical="center"/>
    </xf>
    <xf numFmtId="4" fontId="133" fillId="45" borderId="7" applyNumberFormat="0" applyProtection="0">
      <alignment horizontal="right" vertical="center"/>
    </xf>
    <xf numFmtId="4" fontId="133" fillId="46" borderId="7" applyNumberFormat="0" applyProtection="0">
      <alignment horizontal="right" vertical="center"/>
    </xf>
    <xf numFmtId="4" fontId="133" fillId="47" borderId="7" applyNumberFormat="0" applyProtection="0">
      <alignment horizontal="right" vertical="center"/>
    </xf>
    <xf numFmtId="4" fontId="133" fillId="48" borderId="7" applyNumberFormat="0" applyProtection="0">
      <alignment horizontal="right" vertical="center"/>
    </xf>
    <xf numFmtId="4" fontId="132" fillId="49" borderId="7" applyNumberFormat="0" applyProtection="0">
      <alignment horizontal="left" vertical="center" indent="1"/>
    </xf>
    <xf numFmtId="4" fontId="133" fillId="50" borderId="25" applyNumberFormat="0" applyProtection="0">
      <alignment horizontal="left" vertical="center" indent="1"/>
    </xf>
    <xf numFmtId="4" fontId="137" fillId="51" borderId="0" applyNumberFormat="0" applyProtection="0">
      <alignment horizontal="left" vertical="center" indent="1"/>
    </xf>
    <xf numFmtId="0" fontId="11" fillId="30" borderId="7" applyNumberFormat="0" applyProtection="0">
      <alignment horizontal="left" vertical="center" indent="1"/>
    </xf>
    <xf numFmtId="4" fontId="133" fillId="50" borderId="7" applyNumberFormat="0" applyProtection="0">
      <alignment horizontal="left" vertical="center" indent="1"/>
    </xf>
    <xf numFmtId="4" fontId="133" fillId="52" borderId="7" applyNumberFormat="0" applyProtection="0">
      <alignment horizontal="left" vertical="center" indent="1"/>
    </xf>
    <xf numFmtId="0" fontId="11" fillId="52" borderId="7" applyNumberFormat="0" applyProtection="0">
      <alignment horizontal="left" vertical="center" indent="1"/>
    </xf>
    <xf numFmtId="0" fontId="11" fillId="52" borderId="7" applyNumberFormat="0" applyProtection="0">
      <alignment horizontal="left" vertical="center" indent="1"/>
    </xf>
    <xf numFmtId="0" fontId="11" fillId="53" borderId="7" applyNumberFormat="0" applyProtection="0">
      <alignment horizontal="left" vertical="center" indent="1"/>
    </xf>
    <xf numFmtId="0" fontId="11" fillId="53" borderId="7" applyNumberFormat="0" applyProtection="0">
      <alignment horizontal="left" vertical="center" indent="1"/>
    </xf>
    <xf numFmtId="0" fontId="11" fillId="28" borderId="7" applyNumberFormat="0" applyProtection="0">
      <alignment horizontal="left" vertical="center" indent="1"/>
    </xf>
    <xf numFmtId="0" fontId="11" fillId="28" borderId="7" applyNumberFormat="0" applyProtection="0">
      <alignment horizontal="left" vertical="center" indent="1"/>
    </xf>
    <xf numFmtId="0" fontId="11" fillId="30" borderId="7" applyNumberFormat="0" applyProtection="0">
      <alignment horizontal="left" vertical="center" indent="1"/>
    </xf>
    <xf numFmtId="0" fontId="11" fillId="30" borderId="7" applyNumberFormat="0" applyProtection="0">
      <alignment horizontal="left" vertical="center" indent="1"/>
    </xf>
    <xf numFmtId="4" fontId="133" fillId="26" borderId="7" applyNumberFormat="0" applyProtection="0">
      <alignment vertical="center"/>
    </xf>
    <xf numFmtId="4" fontId="136" fillId="26" borderId="7" applyNumberFormat="0" applyProtection="0">
      <alignment vertical="center"/>
    </xf>
    <xf numFmtId="4" fontId="133" fillId="26" borderId="7" applyNumberFormat="0" applyProtection="0">
      <alignment horizontal="left" vertical="center" indent="1"/>
    </xf>
    <xf numFmtId="4" fontId="133" fillId="26" borderId="7" applyNumberFormat="0" applyProtection="0">
      <alignment horizontal="left" vertical="center" indent="1"/>
    </xf>
    <xf numFmtId="4" fontId="133" fillId="50" borderId="7" applyNumberFormat="0" applyProtection="0">
      <alignment horizontal="right" vertical="center"/>
    </xf>
    <xf numFmtId="4" fontId="136" fillId="50" borderId="7" applyNumberFormat="0" applyProtection="0">
      <alignment horizontal="right" vertical="center"/>
    </xf>
    <xf numFmtId="0" fontId="11" fillId="30" borderId="7" applyNumberFormat="0" applyProtection="0">
      <alignment horizontal="left" vertical="center" indent="1"/>
    </xf>
    <xf numFmtId="0" fontId="11" fillId="30" borderId="7" applyNumberFormat="0" applyProtection="0">
      <alignment horizontal="left" vertical="center" indent="1"/>
    </xf>
    <xf numFmtId="0" fontId="138" fillId="0" borderId="0"/>
    <xf numFmtId="4" fontId="139" fillId="50" borderId="7" applyNumberFormat="0" applyProtection="0">
      <alignment horizontal="right" vertical="center"/>
    </xf>
    <xf numFmtId="0" fontId="34" fillId="5" borderId="0" applyNumberFormat="0" applyBorder="0" applyAlignment="0" applyProtection="0"/>
    <xf numFmtId="0" fontId="34" fillId="5" borderId="0" applyNumberFormat="0" applyBorder="0" applyAlignment="0" applyProtection="0"/>
    <xf numFmtId="0" fontId="31" fillId="4" borderId="0" applyNumberFormat="0" applyBorder="0" applyAlignment="0" applyProtection="0"/>
    <xf numFmtId="181" fontId="56" fillId="32" borderId="0">
      <alignment vertical="center"/>
    </xf>
    <xf numFmtId="0" fontId="23" fillId="0" borderId="0" applyNumberFormat="0" applyFill="0" applyBorder="0" applyAlignment="0" applyProtection="0"/>
    <xf numFmtId="0" fontId="23" fillId="0" borderId="0" applyNumberFormat="0" applyFill="0" applyBorder="0" applyAlignment="0" applyProtection="0"/>
    <xf numFmtId="0" fontId="140" fillId="0" borderId="0" applyNumberFormat="0" applyFill="0" applyBorder="0" applyAlignment="0" applyProtection="0"/>
    <xf numFmtId="0" fontId="23" fillId="0" borderId="0" applyNumberFormat="0" applyFill="0" applyBorder="0" applyAlignment="0" applyProtection="0"/>
    <xf numFmtId="0" fontId="141" fillId="40" borderId="0" applyNumberFormat="0" applyBorder="0" applyAlignment="0" applyProtection="0"/>
    <xf numFmtId="181" fontId="33" fillId="54" borderId="0"/>
    <xf numFmtId="0" fontId="61" fillId="8" borderId="6" applyNumberFormat="0" applyAlignment="0" applyProtection="0"/>
    <xf numFmtId="0" fontId="61" fillId="8" borderId="6" applyNumberFormat="0" applyAlignment="0" applyProtection="0"/>
    <xf numFmtId="0" fontId="142" fillId="8" borderId="6" applyNumberFormat="0" applyAlignment="0" applyProtection="0"/>
    <xf numFmtId="0" fontId="25" fillId="22" borderId="6" applyNumberFormat="0" applyAlignment="0" applyProtection="0"/>
    <xf numFmtId="0" fontId="143" fillId="0" borderId="0" applyNumberFormat="0" applyFill="0" applyBorder="0" applyAlignment="0" applyProtection="0"/>
    <xf numFmtId="0" fontId="30" fillId="22" borderId="7" applyNumberFormat="0" applyAlignment="0" applyProtection="0"/>
    <xf numFmtId="0" fontId="30" fillId="22" borderId="7" applyNumberFormat="0" applyAlignment="0" applyProtection="0"/>
    <xf numFmtId="0" fontId="38" fillId="48" borderId="9" applyNumberFormat="0">
      <alignment horizontal="center" vertical="center"/>
      <protection locked="0"/>
    </xf>
    <xf numFmtId="0" fontId="38" fillId="48" borderId="9" applyNumberFormat="0">
      <alignment horizontal="center" vertical="center"/>
      <protection locked="0"/>
    </xf>
    <xf numFmtId="0" fontId="38" fillId="48" borderId="9" applyNumberFormat="0">
      <alignment horizontal="center" vertical="center"/>
      <protection locked="0"/>
    </xf>
    <xf numFmtId="0" fontId="11" fillId="0" borderId="0"/>
    <xf numFmtId="0" fontId="1" fillId="0" borderId="0"/>
    <xf numFmtId="0" fontId="1" fillId="0" borderId="0"/>
    <xf numFmtId="0" fontId="160" fillId="0" borderId="0"/>
    <xf numFmtId="0" fontId="160" fillId="0" borderId="0"/>
    <xf numFmtId="0" fontId="144" fillId="0" borderId="26" applyNumberFormat="0" applyFill="0" applyBorder="0" applyAlignment="0" applyProtection="0">
      <alignment horizontal="left"/>
    </xf>
    <xf numFmtId="14" fontId="145" fillId="0" borderId="27" applyNumberFormat="0" applyFill="0" applyBorder="0" applyAlignment="0" applyProtection="0">
      <alignment horizontal="center"/>
    </xf>
    <xf numFmtId="0" fontId="11" fillId="0" borderId="0"/>
    <xf numFmtId="0" fontId="146" fillId="0" borderId="0">
      <alignment horizontal="center" vertical="center"/>
    </xf>
    <xf numFmtId="0" fontId="11" fillId="0" borderId="0" applyNumberFormat="0" applyFill="0" applyBorder="0" applyAlignment="0" applyProtection="0"/>
    <xf numFmtId="0" fontId="66" fillId="0" borderId="28" applyFont="0" applyFill="0" applyAlignment="0" applyProtection="0"/>
    <xf numFmtId="203" fontId="147" fillId="0" borderId="29" applyNumberFormat="0" applyFont="0" applyFill="0" applyAlignment="0" applyProtection="0"/>
    <xf numFmtId="0" fontId="63" fillId="0" borderId="15" applyNumberFormat="0" applyFill="0" applyAlignment="0" applyProtection="0"/>
    <xf numFmtId="0" fontId="63" fillId="0" borderId="15" applyNumberFormat="0" applyFill="0" applyAlignment="0" applyProtection="0"/>
    <xf numFmtId="0" fontId="40" fillId="0" borderId="11" applyNumberFormat="0" applyFill="0" applyAlignment="0" applyProtection="0"/>
    <xf numFmtId="0" fontId="61" fillId="8" borderId="6" applyNumberFormat="0" applyAlignment="0" applyProtection="0"/>
    <xf numFmtId="0" fontId="148" fillId="22" borderId="6" applyNumberFormat="0" applyAlignment="0" applyProtection="0"/>
    <xf numFmtId="9" fontId="15" fillId="0" borderId="0" applyFont="0" applyFill="0" applyBorder="0" applyAlignment="0" applyProtection="0"/>
    <xf numFmtId="9" fontId="15" fillId="0" borderId="0" applyFont="0" applyFill="0" applyBorder="0" applyAlignment="0" applyProtection="0"/>
    <xf numFmtId="9" fontId="149" fillId="0" borderId="0" applyFont="0" applyFill="0" applyBorder="0" applyAlignment="0" applyProtection="0"/>
    <xf numFmtId="9" fontId="15" fillId="0" borderId="0" applyFont="0" applyFill="0" applyBorder="0" applyAlignment="0" applyProtection="0"/>
    <xf numFmtId="9" fontId="97" fillId="0" borderId="0" applyFont="0" applyFill="0" applyBorder="0" applyAlignment="0" applyProtection="0"/>
    <xf numFmtId="0" fontId="119" fillId="0" borderId="30" applyNumberFormat="0" applyFont="0" applyFill="0" applyAlignment="0" applyProtection="0">
      <alignment horizontal="right"/>
    </xf>
    <xf numFmtId="0" fontId="39" fillId="31" borderId="10" applyNumberFormat="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66" fillId="0" borderId="0" applyFont="0" applyFill="0" applyBorder="0" applyAlignment="0" applyProtection="0"/>
    <xf numFmtId="0" fontId="39" fillId="31" borderId="10" applyNumberFormat="0" applyAlignment="0" applyProtection="0"/>
    <xf numFmtId="0" fontId="150" fillId="55" borderId="0"/>
    <xf numFmtId="0" fontId="126" fillId="0" borderId="0" applyNumberFormat="0" applyFill="0" applyBorder="0" applyAlignment="0" applyProtection="0"/>
    <xf numFmtId="181" fontId="56" fillId="56" borderId="0" applyNumberFormat="0">
      <alignment vertical="center"/>
    </xf>
    <xf numFmtId="181" fontId="151" fillId="25" borderId="0" applyNumberFormat="0">
      <alignment vertical="center"/>
    </xf>
    <xf numFmtId="181" fontId="152" fillId="0" borderId="0" applyNumberFormat="0">
      <alignment vertical="center"/>
    </xf>
    <xf numFmtId="181" fontId="33" fillId="0" borderId="0" applyNumberFormat="0">
      <alignment vertical="center"/>
    </xf>
    <xf numFmtId="0" fontId="126" fillId="0" borderId="0" applyNumberFormat="0" applyFill="0" applyBorder="0" applyAlignment="0" applyProtection="0"/>
    <xf numFmtId="0" fontId="126" fillId="0" borderId="0" applyNumberFormat="0" applyFill="0" applyBorder="0" applyAlignment="0" applyProtection="0"/>
    <xf numFmtId="0" fontId="126" fillId="0" borderId="0" applyNumberFormat="0" applyFill="0" applyBorder="0" applyAlignment="0" applyProtection="0"/>
    <xf numFmtId="0" fontId="13" fillId="0" borderId="1" applyNumberFormat="0" applyFill="0" applyAlignment="0" applyProtection="0"/>
    <xf numFmtId="0" fontId="13" fillId="0" borderId="1" applyNumberFormat="0" applyFill="0" applyAlignment="0" applyProtection="0"/>
    <xf numFmtId="0" fontId="14" fillId="0" borderId="2" applyNumberFormat="0" applyFill="0" applyAlignment="0" applyProtection="0"/>
    <xf numFmtId="0" fontId="14" fillId="0" borderId="2" applyNumberFormat="0" applyFill="0" applyAlignment="0" applyProtection="0"/>
    <xf numFmtId="0" fontId="18" fillId="0" borderId="3" applyNumberFormat="0" applyFill="0" applyAlignment="0" applyProtection="0"/>
    <xf numFmtId="0" fontId="18" fillId="0" borderId="3"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26" fillId="0" borderId="0" applyNumberFormat="0" applyFill="0" applyBorder="0" applyAlignment="0" applyProtection="0"/>
    <xf numFmtId="0" fontId="153" fillId="0" borderId="0">
      <alignment vertical="center"/>
    </xf>
    <xf numFmtId="0" fontId="126" fillId="0" borderId="0" applyNumberFormat="0" applyFill="0" applyBorder="0" applyAlignment="0" applyProtection="0"/>
    <xf numFmtId="0" fontId="13" fillId="0" borderId="1" applyNumberFormat="0" applyFill="0" applyAlignment="0" applyProtection="0"/>
    <xf numFmtId="0" fontId="14" fillId="0" borderId="2" applyNumberFormat="0" applyFill="0" applyAlignment="0" applyProtection="0"/>
    <xf numFmtId="0" fontId="18" fillId="0" borderId="3" applyNumberFormat="0" applyFill="0" applyAlignment="0" applyProtection="0"/>
    <xf numFmtId="194" fontId="139" fillId="0" borderId="0" applyNumberFormat="0" applyFill="0" applyBorder="0" applyAlignment="0" applyProtection="0"/>
    <xf numFmtId="203" fontId="147" fillId="0" borderId="31" applyNumberFormat="0" applyFont="0" applyFill="0" applyAlignment="0" applyProtection="0"/>
    <xf numFmtId="0" fontId="63" fillId="0" borderId="15" applyNumberFormat="0" applyFill="0" applyAlignment="0" applyProtection="0"/>
    <xf numFmtId="0" fontId="63" fillId="0" borderId="15" applyNumberFormat="0" applyFill="0" applyAlignment="0" applyProtection="0"/>
    <xf numFmtId="0" fontId="63" fillId="0" borderId="15" applyNumberFormat="0" applyFill="0" applyAlignment="0" applyProtection="0"/>
    <xf numFmtId="0" fontId="63" fillId="0" borderId="15" applyNumberFormat="0" applyFill="0" applyAlignment="0" applyProtection="0"/>
    <xf numFmtId="0" fontId="66" fillId="0" borderId="32" applyFont="0" applyFill="0" applyAlignment="0" applyProtection="0"/>
    <xf numFmtId="0" fontId="150" fillId="55" borderId="0"/>
    <xf numFmtId="0" fontId="30" fillId="22" borderId="7" applyNumberFormat="0" applyAlignment="0" applyProtection="0"/>
    <xf numFmtId="218" fontId="11" fillId="0" borderId="0" applyFont="0" applyFill="0" applyBorder="0" applyAlignment="0" applyProtection="0"/>
    <xf numFmtId="188" fontId="38" fillId="0" borderId="0" applyFont="0" applyFill="0" applyBorder="0" applyAlignment="0" applyProtection="0"/>
    <xf numFmtId="0" fontId="126" fillId="0" borderId="0" applyNumberFormat="0" applyFill="0" applyBorder="0" applyAlignment="0" applyProtection="0"/>
    <xf numFmtId="0" fontId="13" fillId="0" borderId="1" applyNumberFormat="0" applyFill="0" applyAlignment="0" applyProtection="0"/>
    <xf numFmtId="0" fontId="14" fillId="0" borderId="2" applyNumberFormat="0" applyFill="0" applyAlignment="0" applyProtection="0"/>
    <xf numFmtId="0" fontId="18" fillId="0" borderId="3" applyNumberFormat="0" applyFill="0" applyAlignment="0" applyProtection="0"/>
    <xf numFmtId="0" fontId="18" fillId="0" borderId="0" applyNumberFormat="0" applyFill="0" applyBorder="0" applyAlignment="0" applyProtection="0"/>
    <xf numFmtId="0" fontId="126" fillId="0" borderId="0" applyNumberFormat="0" applyFill="0" applyBorder="0" applyAlignment="0" applyProtection="0"/>
    <xf numFmtId="0" fontId="31" fillId="4" borderId="0" applyNumberFormat="0" applyBorder="0" applyAlignment="0" applyProtection="0"/>
    <xf numFmtId="181" fontId="38" fillId="57" borderId="0" applyNumberFormat="0" applyFont="0" applyBorder="0" applyAlignment="0" applyProtection="0"/>
    <xf numFmtId="181" fontId="38" fillId="57" borderId="0" applyNumberFormat="0" applyFont="0" applyBorder="0" applyAlignment="0" applyProtection="0"/>
    <xf numFmtId="181" fontId="38" fillId="57" borderId="0" applyNumberFormat="0" applyFont="0" applyBorder="0" applyAlignment="0" applyProtection="0"/>
    <xf numFmtId="0" fontId="154" fillId="0" borderId="0">
      <alignment vertical="center"/>
    </xf>
    <xf numFmtId="0" fontId="30" fillId="22" borderId="7" applyNumberFormat="0" applyAlignment="0" applyProtection="0"/>
    <xf numFmtId="0" fontId="30" fillId="22" borderId="7" applyNumberFormat="0" applyAlignment="0" applyProtection="0"/>
    <xf numFmtId="0" fontId="30" fillId="22" borderId="7" applyNumberFormat="0" applyAlignment="0" applyProtection="0"/>
    <xf numFmtId="0" fontId="155" fillId="22" borderId="7" applyNumberFormat="0" applyAlignment="0" applyProtection="0"/>
    <xf numFmtId="219" fontId="11" fillId="0" borderId="0" applyFont="0" applyFill="0" applyBorder="0" applyAlignment="0" applyProtection="0"/>
    <xf numFmtId="220" fontId="1" fillId="0" borderId="0" applyFon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39" fillId="31" borderId="10" applyNumberFormat="0" applyAlignment="0" applyProtection="0"/>
    <xf numFmtId="0" fontId="39" fillId="31" borderId="10" applyNumberFormat="0" applyAlignment="0" applyProtection="0"/>
    <xf numFmtId="0" fontId="40" fillId="0" borderId="11" applyNumberFormat="0" applyFill="0" applyAlignment="0" applyProtection="0"/>
    <xf numFmtId="0" fontId="156" fillId="0" borderId="0" applyNumberForma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8" fillId="0" borderId="0"/>
    <xf numFmtId="0" fontId="11" fillId="11" borderId="0" applyNumberFormat="0" applyFont="0" applyBorder="0" applyAlignment="0" applyProtection="0"/>
    <xf numFmtId="9" fontId="15" fillId="0" borderId="0" applyFont="0" applyFill="0" applyBorder="0" applyAlignment="0" applyProtection="0"/>
    <xf numFmtId="9" fontId="118" fillId="0" borderId="0" applyFont="0" applyFill="0" applyBorder="0" applyAlignment="0" applyProtection="0"/>
    <xf numFmtId="0" fontId="39" fillId="31" borderId="10" applyNumberFormat="0" applyAlignment="0" applyProtection="0"/>
  </cellStyleXfs>
  <cellXfs count="568">
    <xf numFmtId="0" fontId="0" fillId="0" borderId="0" xfId="0"/>
    <xf numFmtId="0" fontId="2" fillId="0" borderId="0" xfId="2023" applyFont="1" applyAlignment="1">
      <alignment vertical="center"/>
    </xf>
    <xf numFmtId="0" fontId="2" fillId="0" borderId="33" xfId="2023" applyFont="1" applyBorder="1" applyAlignment="1">
      <alignment horizontal="centerContinuous" vertical="center"/>
    </xf>
    <xf numFmtId="0" fontId="3" fillId="0" borderId="34" xfId="2023" applyFont="1" applyBorder="1" applyAlignment="1">
      <alignment horizontal="center" vertical="center"/>
    </xf>
    <xf numFmtId="0" fontId="4" fillId="0" borderId="0" xfId="2023" applyFont="1" applyAlignment="1">
      <alignment horizontal="right" vertical="center"/>
    </xf>
    <xf numFmtId="172" fontId="4" fillId="0" borderId="0" xfId="2023" applyNumberFormat="1" applyFont="1" applyAlignment="1">
      <alignment horizontal="center" vertical="center"/>
    </xf>
    <xf numFmtId="0" fontId="2" fillId="0" borderId="0" xfId="2023" applyFont="1" applyAlignment="1">
      <alignment horizontal="center"/>
    </xf>
    <xf numFmtId="0" fontId="2" fillId="0" borderId="0" xfId="2023" applyFont="1"/>
    <xf numFmtId="0" fontId="4" fillId="0" borderId="0" xfId="2023" applyFont="1"/>
    <xf numFmtId="0" fontId="5" fillId="0" borderId="0" xfId="2023" applyFont="1" applyAlignment="1">
      <alignment horizontal="center" vertical="center"/>
    </xf>
    <xf numFmtId="0" fontId="2" fillId="0" borderId="35" xfId="2023" applyFont="1" applyBorder="1" applyAlignment="1">
      <alignment horizontal="centerContinuous" vertical="center"/>
    </xf>
    <xf numFmtId="0" fontId="2" fillId="0" borderId="36" xfId="2023" applyFont="1" applyBorder="1" applyAlignment="1">
      <alignment horizontal="centerContinuous" vertical="center"/>
    </xf>
    <xf numFmtId="0" fontId="2" fillId="0" borderId="37" xfId="2011" applyFont="1" applyBorder="1" applyAlignment="1">
      <alignment horizontal="center" vertical="center" wrapText="1"/>
    </xf>
    <xf numFmtId="0" fontId="2" fillId="0" borderId="38" xfId="2011" applyFont="1" applyBorder="1" applyAlignment="1">
      <alignment horizontal="center" vertical="center" wrapText="1"/>
    </xf>
    <xf numFmtId="0" fontId="2" fillId="0" borderId="39" xfId="2011" applyFont="1" applyBorder="1" applyAlignment="1">
      <alignment horizontal="center" vertical="center" wrapText="1"/>
    </xf>
    <xf numFmtId="0" fontId="2" fillId="0" borderId="40" xfId="2023" applyFont="1" applyFill="1" applyBorder="1" applyAlignment="1">
      <alignment horizontal="center" vertical="center" wrapText="1"/>
    </xf>
    <xf numFmtId="0" fontId="6" fillId="35" borderId="35" xfId="2023" applyFont="1" applyFill="1" applyBorder="1" applyAlignment="1">
      <alignment vertical="center" wrapText="1"/>
    </xf>
    <xf numFmtId="3" fontId="6" fillId="35" borderId="39" xfId="2011" applyNumberFormat="1" applyFont="1" applyFill="1" applyBorder="1" applyAlignment="1">
      <alignment vertical="center"/>
    </xf>
    <xf numFmtId="0" fontId="2" fillId="0" borderId="41" xfId="2023" applyFont="1" applyBorder="1" applyAlignment="1">
      <alignment horizontal="center" vertical="center"/>
    </xf>
    <xf numFmtId="0" fontId="2" fillId="0" borderId="42" xfId="2023" applyFont="1" applyBorder="1" applyAlignment="1">
      <alignment horizontal="center" vertical="center"/>
    </xf>
    <xf numFmtId="0" fontId="2" fillId="0" borderId="4" xfId="2023" quotePrefix="1" applyFont="1" applyBorder="1" applyAlignment="1">
      <alignment horizontal="center" vertical="center" wrapText="1"/>
    </xf>
    <xf numFmtId="0" fontId="2" fillId="0" borderId="4" xfId="2023" applyFont="1" applyBorder="1" applyAlignment="1">
      <alignment horizontal="center" vertical="center" wrapText="1"/>
    </xf>
    <xf numFmtId="0" fontId="2" fillId="0" borderId="43" xfId="2023" applyFont="1" applyBorder="1" applyAlignment="1">
      <alignment horizontal="center" vertical="center" wrapText="1"/>
    </xf>
    <xf numFmtId="0" fontId="2" fillId="0" borderId="41" xfId="2011" applyFont="1" applyFill="1" applyBorder="1"/>
    <xf numFmtId="3" fontId="2" fillId="0" borderId="44" xfId="2023" applyNumberFormat="1" applyFont="1" applyFill="1" applyBorder="1" applyAlignment="1">
      <alignment horizontal="right" vertical="center"/>
    </xf>
    <xf numFmtId="1" fontId="2" fillId="0" borderId="41" xfId="2023" applyNumberFormat="1" applyFont="1" applyBorder="1" applyAlignment="1">
      <alignment horizontal="center"/>
    </xf>
    <xf numFmtId="0" fontId="2" fillId="0" borderId="42" xfId="2023" applyFont="1" applyBorder="1" applyAlignment="1">
      <alignment horizontal="center"/>
    </xf>
    <xf numFmtId="3" fontId="6" fillId="35" borderId="4" xfId="2023" applyNumberFormat="1" applyFont="1" applyFill="1" applyBorder="1"/>
    <xf numFmtId="3" fontId="7" fillId="23" borderId="4" xfId="2023" applyNumberFormat="1" applyFont="1" applyFill="1" applyBorder="1"/>
    <xf numFmtId="3" fontId="2" fillId="23" borderId="4" xfId="2023" applyNumberFormat="1" applyFont="1" applyFill="1" applyBorder="1"/>
    <xf numFmtId="173" fontId="2" fillId="23" borderId="4" xfId="2188" applyNumberFormat="1" applyFont="1" applyFill="1" applyBorder="1"/>
    <xf numFmtId="173" fontId="2" fillId="23" borderId="43" xfId="2188" applyNumberFormat="1" applyFont="1" applyFill="1" applyBorder="1"/>
    <xf numFmtId="173" fontId="2" fillId="0" borderId="40" xfId="2188" applyNumberFormat="1" applyFont="1" applyFill="1" applyBorder="1"/>
    <xf numFmtId="0" fontId="2" fillId="0" borderId="45" xfId="2011" applyFont="1" applyFill="1" applyBorder="1"/>
    <xf numFmtId="3" fontId="2" fillId="0" borderId="46" xfId="2023" applyNumberFormat="1" applyFont="1" applyFill="1" applyBorder="1" applyAlignment="1">
      <alignment horizontal="right" vertical="center"/>
    </xf>
    <xf numFmtId="0" fontId="2" fillId="0" borderId="0" xfId="2011" applyFont="1" applyFill="1"/>
    <xf numFmtId="0" fontId="2" fillId="0" borderId="35" xfId="2011" applyFont="1" applyBorder="1"/>
    <xf numFmtId="3" fontId="2" fillId="0" borderId="39" xfId="2011" applyNumberFormat="1" applyFont="1" applyBorder="1"/>
    <xf numFmtId="0" fontId="2" fillId="0" borderId="45" xfId="2011" applyFont="1" applyBorder="1"/>
    <xf numFmtId="173" fontId="2" fillId="0" borderId="46" xfId="2188" applyNumberFormat="1" applyFont="1" applyBorder="1"/>
    <xf numFmtId="0" fontId="2" fillId="0" borderId="0" xfId="2011" applyFont="1"/>
    <xf numFmtId="1" fontId="2" fillId="0" borderId="45" xfId="2023" applyNumberFormat="1" applyFont="1" applyBorder="1" applyAlignment="1">
      <alignment horizontal="center"/>
    </xf>
    <xf numFmtId="0" fontId="2" fillId="0" borderId="47" xfId="2023" applyFont="1" applyBorder="1" applyAlignment="1">
      <alignment horizontal="center"/>
    </xf>
    <xf numFmtId="173" fontId="2" fillId="23" borderId="48" xfId="2188" applyNumberFormat="1" applyFont="1" applyFill="1" applyBorder="1"/>
    <xf numFmtId="174" fontId="2" fillId="0" borderId="0" xfId="2023" applyNumberFormat="1" applyFont="1"/>
    <xf numFmtId="1" fontId="6" fillId="0" borderId="49" xfId="2023" applyNumberFormat="1" applyFont="1" applyBorder="1" applyAlignment="1">
      <alignment horizontal="centerContinuous"/>
    </xf>
    <xf numFmtId="0" fontId="6" fillId="0" borderId="50" xfId="2023" applyFont="1" applyBorder="1" applyAlignment="1">
      <alignment horizontal="centerContinuous"/>
    </xf>
    <xf numFmtId="174" fontId="6" fillId="35" borderId="51" xfId="2011" applyNumberFormat="1" applyFont="1" applyFill="1" applyBorder="1"/>
    <xf numFmtId="3" fontId="8" fillId="23" borderId="51" xfId="2023" applyNumberFormat="1" applyFont="1" applyFill="1" applyBorder="1"/>
    <xf numFmtId="3" fontId="2" fillId="23" borderId="51" xfId="2023" applyNumberFormat="1" applyFont="1" applyFill="1" applyBorder="1"/>
    <xf numFmtId="173" fontId="6" fillId="23" borderId="51" xfId="2188" applyNumberFormat="1" applyFont="1" applyFill="1" applyBorder="1"/>
    <xf numFmtId="173" fontId="2" fillId="23" borderId="52" xfId="2188" applyNumberFormat="1" applyFont="1" applyFill="1" applyBorder="1"/>
    <xf numFmtId="173" fontId="6" fillId="0" borderId="0" xfId="2188" applyNumberFormat="1" applyFont="1" applyFill="1" applyBorder="1"/>
    <xf numFmtId="0" fontId="1" fillId="0" borderId="0" xfId="2023"/>
    <xf numFmtId="3" fontId="2" fillId="0" borderId="0" xfId="2023" applyNumberFormat="1" applyFont="1"/>
    <xf numFmtId="173" fontId="2" fillId="0" borderId="0" xfId="2188" applyNumberFormat="1" applyFont="1"/>
    <xf numFmtId="1" fontId="2" fillId="0" borderId="0" xfId="2023" applyNumberFormat="1" applyFont="1" applyBorder="1" applyAlignment="1">
      <alignment horizontal="center"/>
    </xf>
    <xf numFmtId="0" fontId="9" fillId="0" borderId="0" xfId="2023" applyFont="1"/>
    <xf numFmtId="0" fontId="2" fillId="0" borderId="0" xfId="2023" applyFont="1" applyFill="1" applyBorder="1"/>
    <xf numFmtId="173" fontId="2" fillId="0" borderId="0" xfId="2188" applyNumberFormat="1" applyFont="1" applyFill="1" applyBorder="1"/>
    <xf numFmtId="0" fontId="2" fillId="0" borderId="40" xfId="2023" applyFont="1" applyBorder="1"/>
    <xf numFmtId="173" fontId="2" fillId="23" borderId="53" xfId="2188" applyNumberFormat="1" applyFont="1" applyFill="1" applyBorder="1"/>
    <xf numFmtId="173" fontId="2" fillId="23" borderId="34" xfId="2188" applyNumberFormat="1" applyFont="1" applyFill="1" applyBorder="1"/>
    <xf numFmtId="173" fontId="6" fillId="0" borderId="40" xfId="2188" applyNumberFormat="1" applyFont="1" applyFill="1" applyBorder="1"/>
    <xf numFmtId="0" fontId="157" fillId="0" borderId="0" xfId="2023" applyFont="1"/>
    <xf numFmtId="3" fontId="158" fillId="0" borderId="0" xfId="2023" applyNumberFormat="1" applyFont="1" applyFill="1" applyBorder="1"/>
    <xf numFmtId="3" fontId="2" fillId="0" borderId="0" xfId="2023" applyNumberFormat="1" applyFont="1" applyFill="1" applyBorder="1"/>
    <xf numFmtId="0" fontId="2" fillId="0" borderId="0" xfId="2011" applyFont="1" applyAlignment="1">
      <alignment vertical="center"/>
    </xf>
    <xf numFmtId="0" fontId="3" fillId="0" borderId="34" xfId="2011" applyFont="1" applyBorder="1" applyAlignment="1">
      <alignment horizontal="center" vertical="center"/>
    </xf>
    <xf numFmtId="0" fontId="4" fillId="0" borderId="0" xfId="2011" applyFont="1" applyAlignment="1">
      <alignment horizontal="right" vertical="center"/>
    </xf>
    <xf numFmtId="172" fontId="4" fillId="0" borderId="0" xfId="2011" applyNumberFormat="1" applyFont="1" applyAlignment="1">
      <alignment horizontal="center" vertical="center"/>
    </xf>
    <xf numFmtId="0" fontId="2" fillId="0" borderId="0" xfId="2011" applyFont="1" applyAlignment="1">
      <alignment horizontal="center"/>
    </xf>
    <xf numFmtId="0" fontId="4" fillId="0" borderId="0" xfId="2011" applyFont="1"/>
    <xf numFmtId="0" fontId="2" fillId="0" borderId="54" xfId="2011" applyFont="1" applyBorder="1" applyAlignment="1">
      <alignment horizontal="centerContinuous" vertical="center"/>
    </xf>
    <xf numFmtId="0" fontId="2" fillId="0" borderId="56" xfId="2011" applyFont="1" applyBorder="1" applyAlignment="1">
      <alignment horizontal="center" vertical="center" wrapText="1"/>
    </xf>
    <xf numFmtId="0" fontId="2" fillId="0" borderId="0" xfId="2011" applyFont="1" applyFill="1" applyBorder="1" applyAlignment="1">
      <alignment horizontal="center" vertical="center" wrapText="1"/>
    </xf>
    <xf numFmtId="0" fontId="5" fillId="0" borderId="0" xfId="2011" applyFont="1" applyBorder="1" applyAlignment="1">
      <alignment horizontal="center" vertical="center"/>
    </xf>
    <xf numFmtId="0" fontId="5" fillId="0" borderId="0" xfId="2011" applyFont="1" applyAlignment="1">
      <alignment horizontal="center" vertical="center"/>
    </xf>
    <xf numFmtId="0" fontId="2" fillId="0" borderId="41" xfId="2011" applyFont="1" applyBorder="1" applyAlignment="1">
      <alignment horizontal="center" vertical="center"/>
    </xf>
    <xf numFmtId="0" fontId="2" fillId="0" borderId="42" xfId="2011" applyFont="1" applyBorder="1" applyAlignment="1">
      <alignment horizontal="center" vertical="center"/>
    </xf>
    <xf numFmtId="0" fontId="2" fillId="0" borderId="4" xfId="2011" quotePrefix="1" applyFont="1" applyBorder="1" applyAlignment="1">
      <alignment horizontal="center" vertical="center" wrapText="1"/>
    </xf>
    <xf numFmtId="0" fontId="2" fillId="0" borderId="44" xfId="2011" quotePrefix="1" applyFont="1" applyBorder="1" applyAlignment="1">
      <alignment horizontal="center" vertical="center" wrapText="1"/>
    </xf>
    <xf numFmtId="0" fontId="5" fillId="0" borderId="0" xfId="2011" applyFont="1" applyFill="1" applyAlignment="1">
      <alignment horizontal="center" vertical="center"/>
    </xf>
    <xf numFmtId="1" fontId="2" fillId="0" borderId="41" xfId="2011" applyNumberFormat="1" applyFont="1" applyBorder="1" applyAlignment="1">
      <alignment horizontal="center"/>
    </xf>
    <xf numFmtId="0" fontId="2" fillId="0" borderId="42" xfId="2011" applyFont="1" applyBorder="1" applyAlignment="1">
      <alignment horizontal="center"/>
    </xf>
    <xf numFmtId="3" fontId="6" fillId="35" borderId="4" xfId="2011" applyNumberFormat="1" applyFont="1" applyFill="1" applyBorder="1" applyProtection="1"/>
    <xf numFmtId="223" fontId="7" fillId="23" borderId="4" xfId="2011" applyNumberFormat="1" applyFont="1" applyFill="1" applyBorder="1" applyProtection="1"/>
    <xf numFmtId="223" fontId="2" fillId="23" borderId="4" xfId="2011" applyNumberFormat="1" applyFont="1" applyFill="1" applyBorder="1" applyProtection="1"/>
    <xf numFmtId="173" fontId="2" fillId="23" borderId="4" xfId="2188" applyNumberFormat="1" applyFont="1" applyFill="1" applyBorder="1" applyProtection="1"/>
    <xf numFmtId="173" fontId="2" fillId="23" borderId="44" xfId="2188" applyNumberFormat="1" applyFont="1" applyFill="1" applyBorder="1" applyProtection="1"/>
    <xf numFmtId="1" fontId="2" fillId="0" borderId="45" xfId="2011" applyNumberFormat="1" applyFont="1" applyBorder="1" applyAlignment="1">
      <alignment horizontal="center"/>
    </xf>
    <xf numFmtId="0" fontId="2" fillId="0" borderId="47" xfId="2011" applyFont="1" applyBorder="1" applyAlignment="1">
      <alignment horizontal="center"/>
    </xf>
    <xf numFmtId="173" fontId="2" fillId="23" borderId="57" xfId="2188" applyNumberFormat="1" applyFont="1" applyFill="1" applyBorder="1" applyProtection="1"/>
    <xf numFmtId="1" fontId="6" fillId="0" borderId="49" xfId="2011" applyNumberFormat="1" applyFont="1" applyBorder="1" applyAlignment="1">
      <alignment horizontal="centerContinuous"/>
    </xf>
    <xf numFmtId="0" fontId="6" fillId="0" borderId="50" xfId="2011" applyFont="1" applyBorder="1" applyAlignment="1">
      <alignment horizontal="centerContinuous"/>
    </xf>
    <xf numFmtId="174" fontId="8" fillId="23" borderId="51" xfId="2011" applyNumberFormat="1" applyFont="1" applyFill="1" applyBorder="1" applyProtection="1"/>
    <xf numFmtId="174" fontId="2" fillId="23" borderId="51" xfId="2011" applyNumberFormat="1" applyFont="1" applyFill="1" applyBorder="1" applyProtection="1"/>
    <xf numFmtId="173" fontId="6" fillId="23" borderId="51" xfId="2188" applyNumberFormat="1" applyFont="1" applyFill="1" applyBorder="1" applyProtection="1"/>
    <xf numFmtId="173" fontId="2" fillId="23" borderId="52" xfId="2188" applyNumberFormat="1" applyFont="1" applyFill="1" applyBorder="1" applyProtection="1"/>
    <xf numFmtId="9" fontId="6" fillId="0" borderId="0" xfId="2188" applyFont="1" applyFill="1" applyBorder="1"/>
    <xf numFmtId="1" fontId="2" fillId="0" borderId="0" xfId="2011" applyNumberFormat="1" applyFont="1" applyBorder="1" applyAlignment="1">
      <alignment horizontal="center"/>
    </xf>
    <xf numFmtId="174" fontId="2" fillId="0" borderId="0" xfId="2011" applyNumberFormat="1" applyFont="1" applyFill="1" applyBorder="1"/>
    <xf numFmtId="0" fontId="2" fillId="0" borderId="0" xfId="2011" applyFont="1" applyBorder="1" applyAlignment="1">
      <alignment horizontal="center" vertical="center" wrapText="1"/>
    </xf>
    <xf numFmtId="173" fontId="2" fillId="23" borderId="44" xfId="2188" applyNumberFormat="1" applyFont="1" applyFill="1" applyBorder="1"/>
    <xf numFmtId="173" fontId="2" fillId="23" borderId="57" xfId="2188" applyNumberFormat="1" applyFont="1" applyFill="1" applyBorder="1"/>
    <xf numFmtId="174" fontId="8" fillId="23" borderId="51" xfId="2011" applyNumberFormat="1" applyFont="1" applyFill="1" applyBorder="1"/>
    <xf numFmtId="174" fontId="2" fillId="23" borderId="51" xfId="2011" applyNumberFormat="1" applyFont="1" applyFill="1" applyBorder="1"/>
    <xf numFmtId="0" fontId="3" fillId="58" borderId="34" xfId="2011" applyFont="1" applyFill="1" applyBorder="1" applyAlignment="1">
      <alignment horizontal="center" vertical="center"/>
    </xf>
    <xf numFmtId="0" fontId="2" fillId="58" borderId="0" xfId="2011" applyFont="1" applyFill="1" applyAlignment="1">
      <alignment vertical="center"/>
    </xf>
    <xf numFmtId="0" fontId="4" fillId="58" borderId="0" xfId="2011" applyFont="1" applyFill="1" applyAlignment="1">
      <alignment horizontal="right" vertical="center"/>
    </xf>
    <xf numFmtId="172" fontId="4" fillId="58" borderId="0" xfId="2011" applyNumberFormat="1" applyFont="1" applyFill="1" applyAlignment="1">
      <alignment horizontal="center" vertical="center"/>
    </xf>
    <xf numFmtId="0" fontId="2" fillId="58" borderId="0" xfId="2011" applyFont="1" applyFill="1"/>
    <xf numFmtId="0" fontId="2" fillId="58" borderId="0" xfId="2011" applyFont="1" applyFill="1" applyAlignment="1">
      <alignment horizontal="center"/>
    </xf>
    <xf numFmtId="0" fontId="4" fillId="58" borderId="0" xfId="2011" applyFont="1" applyFill="1"/>
    <xf numFmtId="0" fontId="2" fillId="58" borderId="41" xfId="2011" applyFont="1" applyFill="1" applyBorder="1" applyAlignment="1">
      <alignment horizontal="center" vertical="center"/>
    </xf>
    <xf numFmtId="0" fontId="5" fillId="58" borderId="0" xfId="2011" applyFont="1" applyFill="1" applyBorder="1" applyAlignment="1">
      <alignment horizontal="center" vertical="center"/>
    </xf>
    <xf numFmtId="1" fontId="2" fillId="58" borderId="41" xfId="2011" applyNumberFormat="1" applyFont="1" applyFill="1" applyBorder="1" applyAlignment="1">
      <alignment horizontal="center"/>
    </xf>
    <xf numFmtId="0" fontId="2" fillId="58" borderId="42" xfId="2011" applyFont="1" applyFill="1" applyBorder="1" applyAlignment="1">
      <alignment horizontal="center"/>
    </xf>
    <xf numFmtId="1" fontId="2" fillId="58" borderId="45" xfId="2011" applyNumberFormat="1" applyFont="1" applyFill="1" applyBorder="1" applyAlignment="1">
      <alignment horizontal="center"/>
    </xf>
    <xf numFmtId="0" fontId="2" fillId="58" borderId="47" xfId="2011" applyFont="1" applyFill="1" applyBorder="1" applyAlignment="1">
      <alignment horizontal="center"/>
    </xf>
    <xf numFmtId="1" fontId="6" fillId="58" borderId="49" xfId="2011" applyNumberFormat="1" applyFont="1" applyFill="1" applyBorder="1" applyAlignment="1">
      <alignment horizontal="centerContinuous"/>
    </xf>
    <xf numFmtId="0" fontId="6" fillId="58" borderId="50" xfId="2011" applyFont="1" applyFill="1" applyBorder="1" applyAlignment="1">
      <alignment horizontal="centerContinuous"/>
    </xf>
    <xf numFmtId="174" fontId="2" fillId="58" borderId="0" xfId="2011" applyNumberFormat="1" applyFont="1" applyFill="1" applyBorder="1"/>
    <xf numFmtId="173" fontId="2" fillId="58" borderId="0" xfId="2188" applyNumberFormat="1" applyFont="1" applyFill="1" applyBorder="1"/>
    <xf numFmtId="0" fontId="1" fillId="0" borderId="0" xfId="2011"/>
    <xf numFmtId="3" fontId="2" fillId="0" borderId="0" xfId="2011" applyNumberFormat="1" applyFont="1" applyBorder="1"/>
    <xf numFmtId="0" fontId="6" fillId="0" borderId="0" xfId="2011" applyFont="1"/>
    <xf numFmtId="0" fontId="2" fillId="0" borderId="0" xfId="2009" applyFont="1" applyAlignment="1">
      <alignment vertical="center"/>
    </xf>
    <xf numFmtId="0" fontId="3" fillId="0" borderId="34" xfId="2009" applyFont="1" applyBorder="1" applyAlignment="1">
      <alignment horizontal="center" vertical="center"/>
    </xf>
    <xf numFmtId="0" fontId="4" fillId="0" borderId="0" xfId="2009" applyFont="1" applyAlignment="1">
      <alignment horizontal="right" vertical="center"/>
    </xf>
    <xf numFmtId="172" fontId="4" fillId="0" borderId="0" xfId="2009" applyNumberFormat="1" applyFont="1" applyAlignment="1">
      <alignment horizontal="center" vertical="center"/>
    </xf>
    <xf numFmtId="0" fontId="2" fillId="0" borderId="0" xfId="2009" applyFont="1" applyAlignment="1">
      <alignment horizontal="center"/>
    </xf>
    <xf numFmtId="0" fontId="2" fillId="0" borderId="0" xfId="2009" applyFont="1"/>
    <xf numFmtId="0" fontId="4" fillId="0" borderId="0" xfId="2009" applyFont="1"/>
    <xf numFmtId="0" fontId="2" fillId="0" borderId="54" xfId="2009" applyFont="1" applyBorder="1" applyAlignment="1">
      <alignment horizontal="centerContinuous" vertical="center"/>
    </xf>
    <xf numFmtId="0" fontId="2" fillId="0" borderId="56" xfId="2009" applyFont="1" applyBorder="1" applyAlignment="1">
      <alignment horizontal="center" vertical="center" wrapText="1"/>
    </xf>
    <xf numFmtId="0" fontId="2" fillId="0" borderId="0" xfId="2009" applyFont="1" applyBorder="1" applyAlignment="1">
      <alignment horizontal="center" vertical="center" wrapText="1"/>
    </xf>
    <xf numFmtId="0" fontId="5" fillId="0" borderId="0" xfId="2009" applyFont="1" applyBorder="1" applyAlignment="1">
      <alignment horizontal="center" vertical="center"/>
    </xf>
    <xf numFmtId="0" fontId="5" fillId="0" borderId="0" xfId="2009" applyFont="1" applyAlignment="1">
      <alignment horizontal="center" vertical="center"/>
    </xf>
    <xf numFmtId="0" fontId="2" fillId="0" borderId="41" xfId="2009" applyFont="1" applyBorder="1" applyAlignment="1">
      <alignment horizontal="center" vertical="center"/>
    </xf>
    <xf numFmtId="0" fontId="2" fillId="0" borderId="42" xfId="2009" applyFont="1" applyBorder="1" applyAlignment="1">
      <alignment horizontal="center" vertical="center"/>
    </xf>
    <xf numFmtId="0" fontId="2" fillId="0" borderId="4" xfId="2009" quotePrefix="1" applyFont="1" applyBorder="1" applyAlignment="1">
      <alignment horizontal="center" vertical="center" wrapText="1"/>
    </xf>
    <xf numFmtId="0" fontId="2" fillId="0" borderId="44" xfId="2009" quotePrefix="1" applyFont="1" applyBorder="1" applyAlignment="1">
      <alignment horizontal="center" vertical="center" wrapText="1"/>
    </xf>
    <xf numFmtId="1" fontId="2" fillId="0" borderId="41" xfId="2009" applyNumberFormat="1" applyFont="1" applyBorder="1" applyAlignment="1">
      <alignment horizontal="center"/>
    </xf>
    <xf numFmtId="0" fontId="2" fillId="0" borderId="42" xfId="2009" applyFont="1" applyBorder="1" applyAlignment="1">
      <alignment horizontal="center"/>
    </xf>
    <xf numFmtId="3" fontId="2" fillId="0" borderId="39" xfId="2009" applyNumberFormat="1" applyFont="1" applyBorder="1"/>
    <xf numFmtId="1" fontId="2" fillId="0" borderId="45" xfId="2009" applyNumberFormat="1" applyFont="1" applyBorder="1" applyAlignment="1">
      <alignment horizontal="center"/>
    </xf>
    <xf numFmtId="0" fontId="2" fillId="0" borderId="47" xfId="2009" applyFont="1" applyBorder="1" applyAlignment="1">
      <alignment horizontal="center"/>
    </xf>
    <xf numFmtId="1" fontId="6" fillId="0" borderId="49" xfId="2009" applyNumberFormat="1" applyFont="1" applyBorder="1" applyAlignment="1">
      <alignment horizontal="centerContinuous"/>
    </xf>
    <xf numFmtId="0" fontId="6" fillId="0" borderId="50" xfId="2009" applyFont="1" applyBorder="1" applyAlignment="1">
      <alignment horizontal="centerContinuous"/>
    </xf>
    <xf numFmtId="174" fontId="8" fillId="23" borderId="51" xfId="2009" applyNumberFormat="1" applyFont="1" applyFill="1" applyBorder="1"/>
    <xf numFmtId="174" fontId="2" fillId="23" borderId="51" xfId="2009" applyNumberFormat="1" applyFont="1" applyFill="1" applyBorder="1"/>
    <xf numFmtId="0" fontId="1" fillId="0" borderId="0" xfId="2009"/>
    <xf numFmtId="1" fontId="2" fillId="0" borderId="0" xfId="2009" applyNumberFormat="1" applyFont="1" applyBorder="1" applyAlignment="1">
      <alignment horizontal="center"/>
    </xf>
    <xf numFmtId="174" fontId="2" fillId="0" borderId="0" xfId="2009" applyNumberFormat="1" applyFont="1" applyFill="1" applyBorder="1"/>
    <xf numFmtId="0" fontId="2" fillId="0" borderId="0" xfId="2010" applyFont="1" applyAlignment="1">
      <alignment vertical="center"/>
    </xf>
    <xf numFmtId="0" fontId="3" fillId="0" borderId="34" xfId="2010" applyFont="1" applyBorder="1" applyAlignment="1">
      <alignment horizontal="center" vertical="center"/>
    </xf>
    <xf numFmtId="0" fontId="4" fillId="0" borderId="0" xfId="2010" applyFont="1" applyAlignment="1">
      <alignment horizontal="right" vertical="center"/>
    </xf>
    <xf numFmtId="172" fontId="4" fillId="0" borderId="0" xfId="2010" applyNumberFormat="1" applyFont="1" applyAlignment="1">
      <alignment horizontal="center" vertical="center"/>
    </xf>
    <xf numFmtId="0" fontId="2" fillId="0" borderId="0" xfId="2010" applyFont="1" applyAlignment="1">
      <alignment horizontal="center"/>
    </xf>
    <xf numFmtId="0" fontId="2" fillId="0" borderId="0" xfId="2010" applyFont="1"/>
    <xf numFmtId="0" fontId="4" fillId="0" borderId="0" xfId="2010" applyFont="1"/>
    <xf numFmtId="0" fontId="2" fillId="0" borderId="54" xfId="2010" applyFont="1" applyBorder="1" applyAlignment="1">
      <alignment horizontal="centerContinuous" vertical="center"/>
    </xf>
    <xf numFmtId="0" fontId="2" fillId="0" borderId="56" xfId="2010" applyFont="1" applyBorder="1" applyAlignment="1">
      <alignment horizontal="center" vertical="center" wrapText="1"/>
    </xf>
    <xf numFmtId="0" fontId="2" fillId="0" borderId="0" xfId="2010" applyFont="1" applyBorder="1" applyAlignment="1">
      <alignment horizontal="center" vertical="center" wrapText="1"/>
    </xf>
    <xf numFmtId="0" fontId="5" fillId="0" borderId="0" xfId="2010" applyFont="1" applyBorder="1" applyAlignment="1">
      <alignment horizontal="center" vertical="center"/>
    </xf>
    <xf numFmtId="0" fontId="5" fillId="0" borderId="0" xfId="2010" applyFont="1" applyAlignment="1">
      <alignment horizontal="center" vertical="center"/>
    </xf>
    <xf numFmtId="0" fontId="2" fillId="0" borderId="41" xfId="2010" applyFont="1" applyBorder="1" applyAlignment="1">
      <alignment horizontal="center" vertical="center"/>
    </xf>
    <xf numFmtId="0" fontId="2" fillId="0" borderId="42" xfId="2010" applyFont="1" applyBorder="1" applyAlignment="1">
      <alignment horizontal="center" vertical="center"/>
    </xf>
    <xf numFmtId="0" fontId="2" fillId="0" borderId="4" xfId="2010" quotePrefix="1" applyFont="1" applyBorder="1" applyAlignment="1">
      <alignment horizontal="center" vertical="center" wrapText="1"/>
    </xf>
    <xf numFmtId="0" fontId="2" fillId="0" borderId="44" xfId="2010" quotePrefix="1" applyFont="1" applyBorder="1" applyAlignment="1">
      <alignment horizontal="center" vertical="center" wrapText="1"/>
    </xf>
    <xf numFmtId="1" fontId="2" fillId="0" borderId="41" xfId="2010" applyNumberFormat="1" applyFont="1" applyBorder="1" applyAlignment="1">
      <alignment horizontal="center"/>
    </xf>
    <xf numFmtId="0" fontId="2" fillId="0" borderId="42" xfId="2010" applyFont="1" applyBorder="1" applyAlignment="1">
      <alignment horizontal="center"/>
    </xf>
    <xf numFmtId="3" fontId="2" fillId="0" borderId="39" xfId="2010" applyNumberFormat="1" applyFont="1" applyBorder="1"/>
    <xf numFmtId="1" fontId="2" fillId="0" borderId="45" xfId="2010" applyNumberFormat="1" applyFont="1" applyBorder="1" applyAlignment="1">
      <alignment horizontal="center"/>
    </xf>
    <xf numFmtId="0" fontId="2" fillId="0" borderId="47" xfId="2010" applyFont="1" applyBorder="1" applyAlignment="1">
      <alignment horizontal="center"/>
    </xf>
    <xf numFmtId="1" fontId="6" fillId="0" borderId="49" xfId="2010" applyNumberFormat="1" applyFont="1" applyBorder="1" applyAlignment="1">
      <alignment horizontal="centerContinuous"/>
    </xf>
    <xf numFmtId="0" fontId="6" fillId="0" borderId="50" xfId="2010" applyFont="1" applyBorder="1" applyAlignment="1">
      <alignment horizontal="centerContinuous"/>
    </xf>
    <xf numFmtId="174" fontId="8" fillId="23" borderId="51" xfId="2010" applyNumberFormat="1" applyFont="1" applyFill="1" applyBorder="1"/>
    <xf numFmtId="174" fontId="2" fillId="23" borderId="51" xfId="2010" applyNumberFormat="1" applyFont="1" applyFill="1" applyBorder="1"/>
    <xf numFmtId="0" fontId="1" fillId="0" borderId="0" xfId="2010"/>
    <xf numFmtId="1" fontId="2" fillId="0" borderId="0" xfId="2010" applyNumberFormat="1" applyFont="1" applyBorder="1" applyAlignment="1">
      <alignment horizontal="center"/>
    </xf>
    <xf numFmtId="174" fontId="2" fillId="0" borderId="0" xfId="2010" applyNumberFormat="1" applyFont="1" applyFill="1" applyBorder="1"/>
    <xf numFmtId="0" fontId="2" fillId="0" borderId="0" xfId="2012" applyFont="1" applyAlignment="1">
      <alignment vertical="center"/>
    </xf>
    <xf numFmtId="0" fontId="3" fillId="0" borderId="34" xfId="2012" applyFont="1" applyBorder="1" applyAlignment="1">
      <alignment horizontal="center" vertical="center"/>
    </xf>
    <xf numFmtId="0" fontId="4" fillId="0" borderId="0" xfId="2012" applyFont="1" applyAlignment="1">
      <alignment horizontal="right" vertical="center"/>
    </xf>
    <xf numFmtId="172" fontId="4" fillId="0" borderId="0" xfId="2012" applyNumberFormat="1" applyFont="1" applyAlignment="1">
      <alignment horizontal="center" vertical="center"/>
    </xf>
    <xf numFmtId="0" fontId="2" fillId="0" borderId="0" xfId="2012" applyFont="1" applyAlignment="1">
      <alignment horizontal="center"/>
    </xf>
    <xf numFmtId="0" fontId="2" fillId="0" borderId="0" xfId="2012" applyFont="1"/>
    <xf numFmtId="0" fontId="4" fillId="0" borderId="0" xfId="2012" applyFont="1"/>
    <xf numFmtId="0" fontId="2" fillId="0" borderId="54" xfId="2012" applyFont="1" applyBorder="1" applyAlignment="1">
      <alignment horizontal="centerContinuous" vertical="center"/>
    </xf>
    <xf numFmtId="0" fontId="2" fillId="0" borderId="56" xfId="2012" applyFont="1" applyBorder="1" applyAlignment="1">
      <alignment horizontal="center" vertical="center" wrapText="1"/>
    </xf>
    <xf numFmtId="0" fontId="2" fillId="0" borderId="0" xfId="2012" applyFont="1" applyBorder="1" applyAlignment="1">
      <alignment horizontal="center" vertical="center" wrapText="1"/>
    </xf>
    <xf numFmtId="0" fontId="5" fillId="0" borderId="0" xfId="2012" applyFont="1" applyBorder="1" applyAlignment="1">
      <alignment horizontal="center" vertical="center"/>
    </xf>
    <xf numFmtId="0" fontId="5" fillId="0" borderId="0" xfId="2012" applyFont="1" applyAlignment="1">
      <alignment horizontal="center" vertical="center"/>
    </xf>
    <xf numFmtId="0" fontId="2" fillId="0" borderId="41" xfId="2012" applyFont="1" applyBorder="1" applyAlignment="1">
      <alignment horizontal="center" vertical="center"/>
    </xf>
    <xf numFmtId="0" fontId="2" fillId="0" borderId="42" xfId="2012" applyFont="1" applyBorder="1" applyAlignment="1">
      <alignment horizontal="center" vertical="center"/>
    </xf>
    <xf numFmtId="0" fontId="2" fillId="0" borderId="4" xfId="2012" quotePrefix="1" applyFont="1" applyBorder="1" applyAlignment="1">
      <alignment horizontal="center" vertical="center" wrapText="1"/>
    </xf>
    <xf numFmtId="0" fontId="2" fillId="0" borderId="44" xfId="2012" quotePrefix="1" applyFont="1" applyBorder="1" applyAlignment="1">
      <alignment horizontal="center" vertical="center" wrapText="1"/>
    </xf>
    <xf numFmtId="1" fontId="2" fillId="0" borderId="41" xfId="2012" applyNumberFormat="1" applyFont="1" applyBorder="1" applyAlignment="1">
      <alignment horizontal="center"/>
    </xf>
    <xf numFmtId="0" fontId="2" fillId="0" borderId="42" xfId="2012" applyFont="1" applyBorder="1" applyAlignment="1">
      <alignment horizontal="center"/>
    </xf>
    <xf numFmtId="3" fontId="2" fillId="0" borderId="39" xfId="2012" applyNumberFormat="1" applyFont="1" applyBorder="1"/>
    <xf numFmtId="1" fontId="2" fillId="0" borderId="45" xfId="2012" applyNumberFormat="1" applyFont="1" applyBorder="1" applyAlignment="1">
      <alignment horizontal="center"/>
    </xf>
    <xf numFmtId="0" fontId="2" fillId="0" borderId="47" xfId="2012" applyFont="1" applyBorder="1" applyAlignment="1">
      <alignment horizontal="center"/>
    </xf>
    <xf numFmtId="1" fontId="6" fillId="0" borderId="49" xfId="2012" applyNumberFormat="1" applyFont="1" applyBorder="1" applyAlignment="1">
      <alignment horizontal="centerContinuous"/>
    </xf>
    <xf numFmtId="0" fontId="6" fillId="0" borderId="50" xfId="2012" applyFont="1" applyBorder="1" applyAlignment="1">
      <alignment horizontal="centerContinuous"/>
    </xf>
    <xf numFmtId="174" fontId="8" fillId="23" borderId="51" xfId="2012" applyNumberFormat="1" applyFont="1" applyFill="1" applyBorder="1"/>
    <xf numFmtId="174" fontId="2" fillId="23" borderId="51" xfId="2012" applyNumberFormat="1" applyFont="1" applyFill="1" applyBorder="1"/>
    <xf numFmtId="173" fontId="6" fillId="23" borderId="51" xfId="2188" applyNumberFormat="1" applyFont="1" applyFill="1" applyBorder="1" applyAlignment="1">
      <alignment horizontal="right"/>
    </xf>
    <xf numFmtId="0" fontId="1" fillId="0" borderId="0" xfId="2012"/>
    <xf numFmtId="1" fontId="2" fillId="0" borderId="0" xfId="2012" applyNumberFormat="1" applyFont="1" applyBorder="1" applyAlignment="1">
      <alignment horizontal="center"/>
    </xf>
    <xf numFmtId="174" fontId="2" fillId="0" borderId="0" xfId="2012" applyNumberFormat="1" applyFont="1" applyFill="1" applyBorder="1"/>
    <xf numFmtId="0" fontId="2" fillId="0" borderId="0" xfId="2013" applyFont="1" applyAlignment="1">
      <alignment vertical="center"/>
    </xf>
    <xf numFmtId="0" fontId="3" fillId="0" borderId="34" xfId="2013" applyFont="1" applyBorder="1" applyAlignment="1">
      <alignment horizontal="center" vertical="center"/>
    </xf>
    <xf numFmtId="0" fontId="4" fillId="0" borderId="0" xfId="2013" applyFont="1" applyAlignment="1">
      <alignment horizontal="right" vertical="center"/>
    </xf>
    <xf numFmtId="172" fontId="4" fillId="0" borderId="0" xfId="2013" applyNumberFormat="1" applyFont="1" applyAlignment="1">
      <alignment horizontal="center" vertical="center"/>
    </xf>
    <xf numFmtId="0" fontId="2" fillId="0" borderId="0" xfId="2013" applyFont="1" applyAlignment="1">
      <alignment horizontal="center"/>
    </xf>
    <xf numFmtId="0" fontId="2" fillId="0" borderId="0" xfId="2013" applyFont="1"/>
    <xf numFmtId="0" fontId="4" fillId="0" borderId="0" xfId="2013" applyFont="1"/>
    <xf numFmtId="0" fontId="2" fillId="0" borderId="54" xfId="2013" applyFont="1" applyBorder="1" applyAlignment="1">
      <alignment horizontal="centerContinuous" vertical="center"/>
    </xf>
    <xf numFmtId="0" fontId="2" fillId="0" borderId="56" xfId="2013" applyFont="1" applyBorder="1" applyAlignment="1">
      <alignment horizontal="center" vertical="center" wrapText="1"/>
    </xf>
    <xf numFmtId="0" fontId="2" fillId="0" borderId="0" xfId="2013" applyFont="1" applyBorder="1" applyAlignment="1">
      <alignment horizontal="center" vertical="center" wrapText="1"/>
    </xf>
    <xf numFmtId="0" fontId="5" fillId="0" borderId="0" xfId="2013" applyFont="1" applyBorder="1" applyAlignment="1">
      <alignment horizontal="center" vertical="center"/>
    </xf>
    <xf numFmtId="0" fontId="5" fillId="0" borderId="0" xfId="2013" applyFont="1" applyAlignment="1">
      <alignment horizontal="center" vertical="center"/>
    </xf>
    <xf numFmtId="0" fontId="2" fillId="0" borderId="41" xfId="2013" applyFont="1" applyBorder="1" applyAlignment="1">
      <alignment horizontal="center" vertical="center"/>
    </xf>
    <xf numFmtId="0" fontId="2" fillId="0" borderId="42" xfId="2013" applyFont="1" applyBorder="1" applyAlignment="1">
      <alignment horizontal="center" vertical="center"/>
    </xf>
    <xf numFmtId="0" fontId="2" fillId="0" borderId="4" xfId="2013" quotePrefix="1" applyFont="1" applyBorder="1" applyAlignment="1">
      <alignment horizontal="center" vertical="center" wrapText="1"/>
    </xf>
    <xf numFmtId="0" fontId="2" fillId="0" borderId="44" xfId="2013" quotePrefix="1" applyFont="1" applyBorder="1" applyAlignment="1">
      <alignment horizontal="center" vertical="center" wrapText="1"/>
    </xf>
    <xf numFmtId="1" fontId="2" fillId="0" borderId="41" xfId="2013" applyNumberFormat="1" applyFont="1" applyBorder="1" applyAlignment="1">
      <alignment horizontal="center"/>
    </xf>
    <xf numFmtId="0" fontId="2" fillId="0" borderId="42" xfId="2013" applyFont="1" applyBorder="1" applyAlignment="1">
      <alignment horizontal="center"/>
    </xf>
    <xf numFmtId="3" fontId="2" fillId="0" borderId="39" xfId="2013" applyNumberFormat="1" applyFont="1" applyBorder="1"/>
    <xf numFmtId="1" fontId="2" fillId="0" borderId="45" xfId="2013" applyNumberFormat="1" applyFont="1" applyBorder="1" applyAlignment="1">
      <alignment horizontal="center"/>
    </xf>
    <xf numFmtId="0" fontId="2" fillId="0" borderId="47" xfId="2013" applyFont="1" applyBorder="1" applyAlignment="1">
      <alignment horizontal="center"/>
    </xf>
    <xf numFmtId="1" fontId="6" fillId="0" borderId="49" xfId="2013" applyNumberFormat="1" applyFont="1" applyBorder="1" applyAlignment="1">
      <alignment horizontal="centerContinuous"/>
    </xf>
    <xf numFmtId="0" fontId="6" fillId="0" borderId="50" xfId="2013" applyFont="1" applyBorder="1" applyAlignment="1">
      <alignment horizontal="centerContinuous"/>
    </xf>
    <xf numFmtId="174" fontId="8" fillId="23" borderId="51" xfId="2013" applyNumberFormat="1" applyFont="1" applyFill="1" applyBorder="1"/>
    <xf numFmtId="174" fontId="2" fillId="23" borderId="51" xfId="2013" applyNumberFormat="1" applyFont="1" applyFill="1" applyBorder="1"/>
    <xf numFmtId="0" fontId="1" fillId="0" borderId="0" xfId="2013"/>
    <xf numFmtId="1" fontId="2" fillId="0" borderId="0" xfId="2013" applyNumberFormat="1" applyFont="1" applyBorder="1" applyAlignment="1">
      <alignment horizontal="center"/>
    </xf>
    <xf numFmtId="174" fontId="2" fillId="0" borderId="0" xfId="2013" applyNumberFormat="1" applyFont="1" applyFill="1" applyBorder="1"/>
    <xf numFmtId="0" fontId="2" fillId="0" borderId="0" xfId="2014" applyFont="1" applyAlignment="1">
      <alignment vertical="center"/>
    </xf>
    <xf numFmtId="0" fontId="3" fillId="0" borderId="34" xfId="2014" applyFont="1" applyBorder="1" applyAlignment="1">
      <alignment horizontal="center" vertical="center"/>
    </xf>
    <xf numFmtId="0" fontId="4" fillId="0" borderId="0" xfId="2014" applyFont="1" applyAlignment="1">
      <alignment horizontal="right" vertical="center"/>
    </xf>
    <xf numFmtId="172" fontId="4" fillId="0" borderId="0" xfId="2014" applyNumberFormat="1" applyFont="1" applyAlignment="1">
      <alignment horizontal="center" vertical="center"/>
    </xf>
    <xf numFmtId="0" fontId="2" fillId="0" borderId="0" xfId="2014" applyFont="1" applyAlignment="1">
      <alignment horizontal="center"/>
    </xf>
    <xf numFmtId="0" fontId="2" fillId="0" borderId="0" xfId="2014" applyFont="1"/>
    <xf numFmtId="0" fontId="4" fillId="0" borderId="0" xfId="2014" applyFont="1"/>
    <xf numFmtId="0" fontId="2" fillId="0" borderId="54" xfId="2014" applyFont="1" applyBorder="1" applyAlignment="1">
      <alignment horizontal="centerContinuous" vertical="center"/>
    </xf>
    <xf numFmtId="0" fontId="2" fillId="0" borderId="56" xfId="2014" applyFont="1" applyBorder="1" applyAlignment="1">
      <alignment horizontal="center" vertical="center" wrapText="1"/>
    </xf>
    <xf numFmtId="0" fontId="2" fillId="0" borderId="0" xfId="2014" applyFont="1" applyBorder="1" applyAlignment="1">
      <alignment horizontal="center" vertical="center" wrapText="1"/>
    </xf>
    <xf numFmtId="0" fontId="5" fillId="0" borderId="0" xfId="2014" applyFont="1" applyBorder="1" applyAlignment="1">
      <alignment horizontal="center" vertical="center"/>
    </xf>
    <xf numFmtId="0" fontId="5" fillId="0" borderId="0" xfId="2014" applyFont="1" applyAlignment="1">
      <alignment horizontal="center" vertical="center"/>
    </xf>
    <xf numFmtId="0" fontId="2" fillId="0" borderId="41" xfId="2014" applyFont="1" applyBorder="1" applyAlignment="1">
      <alignment horizontal="center" vertical="center"/>
    </xf>
    <xf numFmtId="0" fontId="2" fillId="0" borderId="42" xfId="2014" applyFont="1" applyBorder="1" applyAlignment="1">
      <alignment horizontal="center" vertical="center"/>
    </xf>
    <xf numFmtId="0" fontId="2" fillId="0" borderId="4" xfId="2014" quotePrefix="1" applyFont="1" applyBorder="1" applyAlignment="1">
      <alignment horizontal="center" vertical="center" wrapText="1"/>
    </xf>
    <xf numFmtId="0" fontId="2" fillId="0" borderId="44" xfId="2014" quotePrefix="1" applyFont="1" applyBorder="1" applyAlignment="1">
      <alignment horizontal="center" vertical="center" wrapText="1"/>
    </xf>
    <xf numFmtId="1" fontId="2" fillId="0" borderId="41" xfId="2014" applyNumberFormat="1" applyFont="1" applyBorder="1" applyAlignment="1">
      <alignment horizontal="center"/>
    </xf>
    <xf numFmtId="0" fontId="2" fillId="0" borderId="42" xfId="2014" applyFont="1" applyBorder="1" applyAlignment="1">
      <alignment horizontal="center"/>
    </xf>
    <xf numFmtId="3" fontId="2" fillId="0" borderId="0" xfId="2014" applyNumberFormat="1" applyFont="1"/>
    <xf numFmtId="223" fontId="2" fillId="0" borderId="0" xfId="2014" applyNumberFormat="1" applyFont="1"/>
    <xf numFmtId="3" fontId="2" fillId="0" borderId="39" xfId="2014" applyNumberFormat="1" applyFont="1" applyBorder="1"/>
    <xf numFmtId="1" fontId="2" fillId="0" borderId="45" xfId="2014" applyNumberFormat="1" applyFont="1" applyBorder="1" applyAlignment="1">
      <alignment horizontal="center"/>
    </xf>
    <xf numFmtId="0" fontId="2" fillId="0" borderId="47" xfId="2014" applyFont="1" applyBorder="1" applyAlignment="1">
      <alignment horizontal="center"/>
    </xf>
    <xf numFmtId="1" fontId="6" fillId="0" borderId="49" xfId="2014" applyNumberFormat="1" applyFont="1" applyBorder="1" applyAlignment="1">
      <alignment horizontal="centerContinuous"/>
    </xf>
    <xf numFmtId="0" fontId="6" fillId="0" borderId="50" xfId="2014" applyFont="1" applyBorder="1" applyAlignment="1">
      <alignment horizontal="centerContinuous"/>
    </xf>
    <xf numFmtId="174" fontId="8" fillId="23" borderId="51" xfId="2014" applyNumberFormat="1" applyFont="1" applyFill="1" applyBorder="1"/>
    <xf numFmtId="174" fontId="2" fillId="23" borderId="51" xfId="2014" applyNumberFormat="1" applyFont="1" applyFill="1" applyBorder="1"/>
    <xf numFmtId="0" fontId="1" fillId="0" borderId="0" xfId="2014"/>
    <xf numFmtId="1" fontId="2" fillId="0" borderId="0" xfId="2014" applyNumberFormat="1" applyFont="1" applyBorder="1" applyAlignment="1">
      <alignment horizontal="center"/>
    </xf>
    <xf numFmtId="174" fontId="2" fillId="0" borderId="0" xfId="2014" applyNumberFormat="1" applyFont="1" applyFill="1" applyBorder="1"/>
    <xf numFmtId="0" fontId="2" fillId="0" borderId="0" xfId="2015" applyFont="1" applyAlignment="1">
      <alignment vertical="center"/>
    </xf>
    <xf numFmtId="0" fontId="3" fillId="0" borderId="34" xfId="2015" applyFont="1" applyBorder="1" applyAlignment="1">
      <alignment horizontal="center" vertical="center"/>
    </xf>
    <xf numFmtId="0" fontId="4" fillId="0" borderId="0" xfId="2015" applyFont="1" applyAlignment="1">
      <alignment horizontal="right" vertical="center"/>
    </xf>
    <xf numFmtId="172" fontId="4" fillId="0" borderId="0" xfId="2015" applyNumberFormat="1" applyFont="1" applyAlignment="1">
      <alignment horizontal="center" vertical="center"/>
    </xf>
    <xf numFmtId="0" fontId="2" fillId="0" borderId="0" xfId="2015" applyFont="1" applyAlignment="1">
      <alignment horizontal="center"/>
    </xf>
    <xf numFmtId="0" fontId="2" fillId="0" borderId="0" xfId="2015" applyFont="1"/>
    <xf numFmtId="0" fontId="4" fillId="0" borderId="0" xfId="2015" applyFont="1"/>
    <xf numFmtId="0" fontId="2" fillId="0" borderId="54" xfId="2015" applyFont="1" applyBorder="1" applyAlignment="1">
      <alignment horizontal="centerContinuous" vertical="center"/>
    </xf>
    <xf numFmtId="0" fontId="2" fillId="0" borderId="56" xfId="2015" applyFont="1" applyBorder="1" applyAlignment="1">
      <alignment horizontal="center" vertical="center" wrapText="1"/>
    </xf>
    <xf numFmtId="0" fontId="2" fillId="0" borderId="0" xfId="2015" applyFont="1" applyBorder="1" applyAlignment="1">
      <alignment horizontal="center" vertical="center" wrapText="1"/>
    </xf>
    <xf numFmtId="0" fontId="5" fillId="0" borderId="0" xfId="2015" applyFont="1" applyBorder="1" applyAlignment="1">
      <alignment horizontal="center" vertical="center"/>
    </xf>
    <xf numFmtId="0" fontId="5" fillId="0" borderId="0" xfId="2015" applyFont="1" applyAlignment="1">
      <alignment horizontal="center" vertical="center"/>
    </xf>
    <xf numFmtId="0" fontId="2" fillId="0" borderId="41" xfId="2015" applyFont="1" applyBorder="1" applyAlignment="1">
      <alignment horizontal="center" vertical="center"/>
    </xf>
    <xf numFmtId="0" fontId="2" fillId="0" borderId="42" xfId="2015" applyFont="1" applyBorder="1" applyAlignment="1">
      <alignment horizontal="center" vertical="center"/>
    </xf>
    <xf numFmtId="0" fontId="2" fillId="0" borderId="4" xfId="2015" quotePrefix="1" applyFont="1" applyBorder="1" applyAlignment="1">
      <alignment horizontal="center" vertical="center" wrapText="1"/>
    </xf>
    <xf numFmtId="0" fontId="2" fillId="0" borderId="44" xfId="2015" quotePrefix="1" applyFont="1" applyBorder="1" applyAlignment="1">
      <alignment horizontal="center" vertical="center" wrapText="1"/>
    </xf>
    <xf numFmtId="1" fontId="2" fillId="0" borderId="41" xfId="2015" applyNumberFormat="1" applyFont="1" applyBorder="1" applyAlignment="1">
      <alignment horizontal="center"/>
    </xf>
    <xf numFmtId="0" fontId="2" fillId="0" borderId="42" xfId="2015" applyFont="1" applyBorder="1" applyAlignment="1">
      <alignment horizontal="center"/>
    </xf>
    <xf numFmtId="3" fontId="2" fillId="0" borderId="39" xfId="2015" applyNumberFormat="1" applyFont="1" applyBorder="1"/>
    <xf numFmtId="1" fontId="2" fillId="0" borderId="45" xfId="2015" applyNumberFormat="1" applyFont="1" applyBorder="1" applyAlignment="1">
      <alignment horizontal="center"/>
    </xf>
    <xf numFmtId="0" fontId="2" fillId="0" borderId="47" xfId="2015" applyFont="1" applyBorder="1" applyAlignment="1">
      <alignment horizontal="center"/>
    </xf>
    <xf numFmtId="1" fontId="6" fillId="0" borderId="49" xfId="2015" applyNumberFormat="1" applyFont="1" applyBorder="1" applyAlignment="1">
      <alignment horizontal="centerContinuous"/>
    </xf>
    <xf numFmtId="0" fontId="6" fillId="0" borderId="50" xfId="2015" applyFont="1" applyBorder="1" applyAlignment="1">
      <alignment horizontal="centerContinuous"/>
    </xf>
    <xf numFmtId="174" fontId="8" fillId="23" borderId="51" xfId="2015" applyNumberFormat="1" applyFont="1" applyFill="1" applyBorder="1"/>
    <xf numFmtId="174" fontId="2" fillId="23" borderId="51" xfId="2015" applyNumberFormat="1" applyFont="1" applyFill="1" applyBorder="1"/>
    <xf numFmtId="0" fontId="1" fillId="0" borderId="0" xfId="2015"/>
    <xf numFmtId="1" fontId="2" fillId="0" borderId="0" xfId="2015" applyNumberFormat="1" applyFont="1" applyBorder="1" applyAlignment="1">
      <alignment horizontal="center"/>
    </xf>
    <xf numFmtId="174" fontId="2" fillId="0" borderId="0" xfId="2015" applyNumberFormat="1" applyFont="1" applyFill="1" applyBorder="1"/>
    <xf numFmtId="0" fontId="2" fillId="0" borderId="0" xfId="2016" applyFont="1" applyAlignment="1">
      <alignment vertical="center"/>
    </xf>
    <xf numFmtId="0" fontId="3" fillId="0" borderId="34" xfId="2016" applyFont="1" applyBorder="1" applyAlignment="1">
      <alignment horizontal="center" vertical="center"/>
    </xf>
    <xf numFmtId="0" fontId="4" fillId="0" borderId="0" xfId="2016" applyFont="1" applyAlignment="1">
      <alignment horizontal="right" vertical="center"/>
    </xf>
    <xf numFmtId="172" fontId="4" fillId="0" borderId="0" xfId="2016" applyNumberFormat="1" applyFont="1" applyAlignment="1">
      <alignment horizontal="center" vertical="center"/>
    </xf>
    <xf numFmtId="0" fontId="2" fillId="0" borderId="0" xfId="2016" applyFont="1" applyAlignment="1">
      <alignment horizontal="center"/>
    </xf>
    <xf numFmtId="0" fontId="2" fillId="0" borderId="0" xfId="2016" applyFont="1"/>
    <xf numFmtId="0" fontId="4" fillId="0" borderId="0" xfId="2016" applyFont="1"/>
    <xf numFmtId="0" fontId="2" fillId="0" borderId="54" xfId="2016" applyFont="1" applyBorder="1" applyAlignment="1">
      <alignment horizontal="centerContinuous" vertical="center"/>
    </xf>
    <xf numFmtId="0" fontId="2" fillId="0" borderId="56" xfId="2016" applyFont="1" applyBorder="1" applyAlignment="1">
      <alignment horizontal="center" vertical="center" wrapText="1"/>
    </xf>
    <xf numFmtId="0" fontId="2" fillId="0" borderId="0" xfId="2016" applyFont="1" applyBorder="1" applyAlignment="1">
      <alignment horizontal="center" vertical="center" wrapText="1"/>
    </xf>
    <xf numFmtId="0" fontId="5" fillId="0" borderId="0" xfId="2016" applyFont="1" applyBorder="1" applyAlignment="1">
      <alignment horizontal="center" vertical="center"/>
    </xf>
    <xf numFmtId="0" fontId="5" fillId="0" borderId="0" xfId="2016" applyFont="1" applyAlignment="1">
      <alignment horizontal="center" vertical="center"/>
    </xf>
    <xf numFmtId="0" fontId="2" fillId="0" borderId="41" xfId="2016" applyFont="1" applyBorder="1" applyAlignment="1">
      <alignment horizontal="center" vertical="center"/>
    </xf>
    <xf numFmtId="0" fontId="2" fillId="0" borderId="42" xfId="2016" applyFont="1" applyBorder="1" applyAlignment="1">
      <alignment horizontal="center" vertical="center"/>
    </xf>
    <xf numFmtId="0" fontId="2" fillId="0" borderId="4" xfId="2016" quotePrefix="1" applyFont="1" applyBorder="1" applyAlignment="1">
      <alignment horizontal="center" vertical="center" wrapText="1"/>
    </xf>
    <xf numFmtId="0" fontId="2" fillId="0" borderId="44" xfId="2016" quotePrefix="1" applyFont="1" applyBorder="1" applyAlignment="1">
      <alignment horizontal="center" vertical="center" wrapText="1"/>
    </xf>
    <xf numFmtId="1" fontId="2" fillId="0" borderId="41" xfId="2016" applyNumberFormat="1" applyFont="1" applyBorder="1" applyAlignment="1">
      <alignment horizontal="center"/>
    </xf>
    <xf numFmtId="0" fontId="2" fillId="0" borderId="42" xfId="2016" applyFont="1" applyBorder="1" applyAlignment="1">
      <alignment horizontal="center"/>
    </xf>
    <xf numFmtId="3" fontId="2" fillId="0" borderId="39" xfId="2016" applyNumberFormat="1" applyFont="1" applyBorder="1"/>
    <xf numFmtId="1" fontId="2" fillId="0" borderId="45" xfId="2016" applyNumberFormat="1" applyFont="1" applyBorder="1" applyAlignment="1">
      <alignment horizontal="center"/>
    </xf>
    <xf numFmtId="0" fontId="2" fillId="0" borderId="47" xfId="2016" applyFont="1" applyBorder="1" applyAlignment="1">
      <alignment horizontal="center"/>
    </xf>
    <xf numFmtId="1" fontId="6" fillId="0" borderId="49" xfId="2016" applyNumberFormat="1" applyFont="1" applyBorder="1" applyAlignment="1">
      <alignment horizontal="centerContinuous"/>
    </xf>
    <xf numFmtId="0" fontId="6" fillId="0" borderId="50" xfId="2016" applyFont="1" applyBorder="1" applyAlignment="1">
      <alignment horizontal="centerContinuous"/>
    </xf>
    <xf numFmtId="174" fontId="8" fillId="23" borderId="51" xfId="2016" applyNumberFormat="1" applyFont="1" applyFill="1" applyBorder="1"/>
    <xf numFmtId="174" fontId="2" fillId="23" borderId="51" xfId="2016" applyNumberFormat="1" applyFont="1" applyFill="1" applyBorder="1"/>
    <xf numFmtId="0" fontId="1" fillId="0" borderId="0" xfId="2016"/>
    <xf numFmtId="1" fontId="2" fillId="0" borderId="0" xfId="2016" applyNumberFormat="1" applyFont="1" applyBorder="1" applyAlignment="1">
      <alignment horizontal="center"/>
    </xf>
    <xf numFmtId="174" fontId="2" fillId="0" borderId="0" xfId="2016" applyNumberFormat="1" applyFont="1" applyFill="1" applyBorder="1"/>
    <xf numFmtId="0" fontId="2" fillId="0" borderId="0" xfId="2017" applyFont="1" applyAlignment="1">
      <alignment vertical="center"/>
    </xf>
    <xf numFmtId="0" fontId="3" fillId="0" borderId="34" xfId="2017" applyFont="1" applyBorder="1" applyAlignment="1">
      <alignment horizontal="center" vertical="center"/>
    </xf>
    <xf numFmtId="0" fontId="4" fillId="0" borderId="0" xfId="2017" applyFont="1" applyAlignment="1">
      <alignment horizontal="right" vertical="center"/>
    </xf>
    <xf numFmtId="172" fontId="4" fillId="0" borderId="0" xfId="2017" applyNumberFormat="1" applyFont="1" applyAlignment="1">
      <alignment horizontal="center" vertical="center"/>
    </xf>
    <xf numFmtId="0" fontId="2" fillId="0" borderId="0" xfId="2017" applyFont="1" applyAlignment="1">
      <alignment horizontal="center"/>
    </xf>
    <xf numFmtId="0" fontId="2" fillId="0" borderId="0" xfId="2017" applyFont="1"/>
    <xf numFmtId="0" fontId="4" fillId="0" borderId="0" xfId="2017" applyFont="1"/>
    <xf numFmtId="0" fontId="2" fillId="0" borderId="54" xfId="2017" applyFont="1" applyBorder="1" applyAlignment="1">
      <alignment horizontal="centerContinuous" vertical="center"/>
    </xf>
    <xf numFmtId="0" fontId="2" fillId="0" borderId="56" xfId="2017" applyFont="1" applyBorder="1" applyAlignment="1">
      <alignment horizontal="center" vertical="center" wrapText="1"/>
    </xf>
    <xf numFmtId="0" fontId="2" fillId="0" borderId="0" xfId="2017" applyFont="1" applyBorder="1" applyAlignment="1">
      <alignment horizontal="center" vertical="center" wrapText="1"/>
    </xf>
    <xf numFmtId="0" fontId="5" fillId="0" borderId="0" xfId="2017" applyFont="1" applyBorder="1" applyAlignment="1">
      <alignment horizontal="center" vertical="center"/>
    </xf>
    <xf numFmtId="0" fontId="5" fillId="0" borderId="0" xfId="2017" applyFont="1" applyAlignment="1">
      <alignment horizontal="center" vertical="center"/>
    </xf>
    <xf numFmtId="0" fontId="2" fillId="0" borderId="41" xfId="2017" applyFont="1" applyBorder="1" applyAlignment="1">
      <alignment horizontal="center" vertical="center"/>
    </xf>
    <xf numFmtId="0" fontId="2" fillId="0" borderId="42" xfId="2017" applyFont="1" applyBorder="1" applyAlignment="1">
      <alignment horizontal="center" vertical="center"/>
    </xf>
    <xf numFmtId="0" fontId="2" fillId="0" borderId="4" xfId="2017" quotePrefix="1" applyFont="1" applyBorder="1" applyAlignment="1">
      <alignment horizontal="center" vertical="center" wrapText="1"/>
    </xf>
    <xf numFmtId="0" fontId="2" fillId="0" borderId="44" xfId="2017" quotePrefix="1" applyFont="1" applyBorder="1" applyAlignment="1">
      <alignment horizontal="center" vertical="center" wrapText="1"/>
    </xf>
    <xf numFmtId="1" fontId="2" fillId="0" borderId="41" xfId="2017" applyNumberFormat="1" applyFont="1" applyBorder="1" applyAlignment="1">
      <alignment horizontal="center"/>
    </xf>
    <xf numFmtId="0" fontId="2" fillId="0" borderId="42" xfId="2017" applyFont="1" applyBorder="1" applyAlignment="1">
      <alignment horizontal="center"/>
    </xf>
    <xf numFmtId="3" fontId="2" fillId="0" borderId="39" xfId="2017" applyNumberFormat="1" applyFont="1" applyBorder="1"/>
    <xf numFmtId="1" fontId="2" fillId="0" borderId="45" xfId="2017" applyNumberFormat="1" applyFont="1" applyBorder="1" applyAlignment="1">
      <alignment horizontal="center"/>
    </xf>
    <xf numFmtId="0" fontId="2" fillId="0" borderId="47" xfId="2017" applyFont="1" applyBorder="1" applyAlignment="1">
      <alignment horizontal="center"/>
    </xf>
    <xf numFmtId="1" fontId="6" fillId="0" borderId="49" xfId="2017" applyNumberFormat="1" applyFont="1" applyBorder="1" applyAlignment="1">
      <alignment horizontal="centerContinuous"/>
    </xf>
    <xf numFmtId="0" fontId="6" fillId="0" borderId="50" xfId="2017" applyFont="1" applyBorder="1" applyAlignment="1">
      <alignment horizontal="centerContinuous"/>
    </xf>
    <xf numFmtId="174" fontId="8" fillId="23" borderId="51" xfId="2017" applyNumberFormat="1" applyFont="1" applyFill="1" applyBorder="1"/>
    <xf numFmtId="174" fontId="2" fillId="23" borderId="51" xfId="2017" applyNumberFormat="1" applyFont="1" applyFill="1" applyBorder="1"/>
    <xf numFmtId="0" fontId="1" fillId="0" borderId="0" xfId="2017"/>
    <xf numFmtId="1" fontId="2" fillId="0" borderId="0" xfId="2017" applyNumberFormat="1" applyFont="1" applyBorder="1" applyAlignment="1">
      <alignment horizontal="center"/>
    </xf>
    <xf numFmtId="174" fontId="2" fillId="0" borderId="0" xfId="2017" applyNumberFormat="1" applyFont="1" applyFill="1" applyBorder="1"/>
    <xf numFmtId="0" fontId="2" fillId="0" borderId="0" xfId="2018" applyFont="1" applyAlignment="1">
      <alignment vertical="center"/>
    </xf>
    <xf numFmtId="0" fontId="3" fillId="0" borderId="34" xfId="2018" applyFont="1" applyBorder="1" applyAlignment="1">
      <alignment horizontal="center" vertical="center"/>
    </xf>
    <xf numFmtId="0" fontId="4" fillId="0" borderId="0" xfId="2018" applyFont="1" applyAlignment="1">
      <alignment horizontal="right" vertical="center"/>
    </xf>
    <xf numFmtId="172" fontId="4" fillId="0" borderId="0" xfId="2018" applyNumberFormat="1" applyFont="1" applyAlignment="1">
      <alignment horizontal="center" vertical="center"/>
    </xf>
    <xf numFmtId="0" fontId="2" fillId="0" borderId="0" xfId="2018" applyFont="1" applyAlignment="1">
      <alignment horizontal="center"/>
    </xf>
    <xf numFmtId="0" fontId="2" fillId="0" borderId="0" xfId="2018" applyFont="1"/>
    <xf numFmtId="0" fontId="4" fillId="0" borderId="0" xfId="2018" applyFont="1"/>
    <xf numFmtId="0" fontId="2" fillId="0" borderId="54" xfId="2018" applyFont="1" applyBorder="1" applyAlignment="1">
      <alignment horizontal="centerContinuous" vertical="center"/>
    </xf>
    <xf numFmtId="0" fontId="2" fillId="0" borderId="56" xfId="2018" applyFont="1" applyBorder="1" applyAlignment="1">
      <alignment horizontal="center" vertical="center" wrapText="1"/>
    </xf>
    <xf numFmtId="0" fontId="2" fillId="0" borderId="0" xfId="2018" applyFont="1" applyBorder="1" applyAlignment="1">
      <alignment horizontal="center" vertical="center" wrapText="1"/>
    </xf>
    <xf numFmtId="0" fontId="5" fillId="0" borderId="0" xfId="2018" applyFont="1" applyBorder="1" applyAlignment="1">
      <alignment horizontal="center" vertical="center"/>
    </xf>
    <xf numFmtId="0" fontId="5" fillId="0" borderId="0" xfId="2018" applyFont="1" applyAlignment="1">
      <alignment horizontal="center" vertical="center"/>
    </xf>
    <xf numFmtId="0" fontId="2" fillId="0" borderId="41" xfId="2018" applyFont="1" applyBorder="1" applyAlignment="1">
      <alignment horizontal="center" vertical="center"/>
    </xf>
    <xf numFmtId="0" fontId="2" fillId="0" borderId="42" xfId="2018" applyFont="1" applyBorder="1" applyAlignment="1">
      <alignment horizontal="center" vertical="center"/>
    </xf>
    <xf numFmtId="0" fontId="2" fillId="0" borderId="4" xfId="2018" quotePrefix="1" applyFont="1" applyBorder="1" applyAlignment="1">
      <alignment horizontal="center" vertical="center" wrapText="1"/>
    </xf>
    <xf numFmtId="0" fontId="2" fillId="0" borderId="44" xfId="2018" quotePrefix="1" applyFont="1" applyBorder="1" applyAlignment="1">
      <alignment horizontal="center" vertical="center" wrapText="1"/>
    </xf>
    <xf numFmtId="1" fontId="2" fillId="0" borderId="41" xfId="2018" applyNumberFormat="1" applyFont="1" applyBorder="1" applyAlignment="1">
      <alignment horizontal="center"/>
    </xf>
    <xf numFmtId="0" fontId="2" fillId="0" borderId="42" xfId="2018" applyFont="1" applyBorder="1" applyAlignment="1">
      <alignment horizontal="center"/>
    </xf>
    <xf numFmtId="3" fontId="2" fillId="0" borderId="0" xfId="2018" applyNumberFormat="1" applyFont="1" applyBorder="1"/>
    <xf numFmtId="3" fontId="2" fillId="0" borderId="39" xfId="2018" applyNumberFormat="1" applyFont="1" applyBorder="1"/>
    <xf numFmtId="1" fontId="2" fillId="0" borderId="45" xfId="2018" applyNumberFormat="1" applyFont="1" applyBorder="1" applyAlignment="1">
      <alignment horizontal="center"/>
    </xf>
    <xf numFmtId="0" fontId="2" fillId="0" borderId="47" xfId="2018" applyFont="1" applyBorder="1" applyAlignment="1">
      <alignment horizontal="center"/>
    </xf>
    <xf numFmtId="1" fontId="6" fillId="0" borderId="49" xfId="2018" applyNumberFormat="1" applyFont="1" applyBorder="1" applyAlignment="1">
      <alignment horizontal="centerContinuous"/>
    </xf>
    <xf numFmtId="0" fontId="6" fillId="0" borderId="50" xfId="2018" applyFont="1" applyBorder="1" applyAlignment="1">
      <alignment horizontal="centerContinuous"/>
    </xf>
    <xf numFmtId="174" fontId="8" fillId="23" borderId="51" xfId="2018" applyNumberFormat="1" applyFont="1" applyFill="1" applyBorder="1"/>
    <xf numFmtId="174" fontId="2" fillId="23" borderId="51" xfId="2018" applyNumberFormat="1" applyFont="1" applyFill="1" applyBorder="1"/>
    <xf numFmtId="0" fontId="1" fillId="0" borderId="0" xfId="2018"/>
    <xf numFmtId="1" fontId="2" fillId="0" borderId="0" xfId="2018" applyNumberFormat="1" applyFont="1" applyBorder="1" applyAlignment="1">
      <alignment horizontal="center"/>
    </xf>
    <xf numFmtId="174" fontId="2" fillId="0" borderId="0" xfId="2018" applyNumberFormat="1" applyFont="1" applyFill="1" applyBorder="1"/>
    <xf numFmtId="0" fontId="2" fillId="0" borderId="0" xfId="2019" applyFont="1" applyAlignment="1">
      <alignment vertical="center"/>
    </xf>
    <xf numFmtId="0" fontId="3" fillId="0" borderId="34" xfId="2019" applyFont="1" applyBorder="1" applyAlignment="1">
      <alignment horizontal="center" vertical="center"/>
    </xf>
    <xf numFmtId="0" fontId="4" fillId="0" borderId="0" xfId="2019" applyFont="1" applyAlignment="1">
      <alignment horizontal="right" vertical="center"/>
    </xf>
    <xf numFmtId="172" fontId="4" fillId="0" borderId="0" xfId="2019" applyNumberFormat="1" applyFont="1" applyAlignment="1">
      <alignment horizontal="center" vertical="center"/>
    </xf>
    <xf numFmtId="0" fontId="2" fillId="0" borderId="0" xfId="2019" applyFont="1" applyAlignment="1">
      <alignment horizontal="center"/>
    </xf>
    <xf numFmtId="0" fontId="2" fillId="0" borderId="0" xfId="2019" applyFont="1"/>
    <xf numFmtId="0" fontId="4" fillId="0" borderId="0" xfId="2019" applyFont="1"/>
    <xf numFmtId="0" fontId="2" fillId="0" borderId="54" xfId="2019" applyFont="1" applyBorder="1" applyAlignment="1">
      <alignment horizontal="centerContinuous" vertical="center"/>
    </xf>
    <xf numFmtId="0" fontId="2" fillId="0" borderId="56" xfId="2019" applyFont="1" applyBorder="1" applyAlignment="1">
      <alignment horizontal="center" vertical="center" wrapText="1"/>
    </xf>
    <xf numFmtId="0" fontId="2" fillId="0" borderId="0" xfId="2019" applyFont="1" applyBorder="1" applyAlignment="1">
      <alignment horizontal="center" vertical="center" wrapText="1"/>
    </xf>
    <xf numFmtId="0" fontId="5" fillId="0" borderId="0" xfId="2019" applyFont="1" applyBorder="1" applyAlignment="1">
      <alignment horizontal="center" vertical="center"/>
    </xf>
    <xf numFmtId="0" fontId="5" fillId="0" borderId="0" xfId="2019" applyFont="1" applyAlignment="1">
      <alignment horizontal="center" vertical="center"/>
    </xf>
    <xf numFmtId="0" fontId="2" fillId="0" borderId="41" xfId="2019" applyFont="1" applyBorder="1" applyAlignment="1">
      <alignment horizontal="center" vertical="center"/>
    </xf>
    <xf numFmtId="0" fontId="2" fillId="0" borderId="42" xfId="2019" applyFont="1" applyBorder="1" applyAlignment="1">
      <alignment horizontal="center" vertical="center"/>
    </xf>
    <xf numFmtId="0" fontId="2" fillId="0" borderId="4" xfId="2019" quotePrefix="1" applyFont="1" applyBorder="1" applyAlignment="1">
      <alignment horizontal="center" vertical="center" wrapText="1"/>
    </xf>
    <xf numFmtId="0" fontId="2" fillId="0" borderId="44" xfId="2019" quotePrefix="1" applyFont="1" applyBorder="1" applyAlignment="1">
      <alignment horizontal="center" vertical="center" wrapText="1"/>
    </xf>
    <xf numFmtId="1" fontId="2" fillId="0" borderId="41" xfId="2019" applyNumberFormat="1" applyFont="1" applyBorder="1" applyAlignment="1">
      <alignment horizontal="center"/>
    </xf>
    <xf numFmtId="0" fontId="2" fillId="0" borderId="42" xfId="2019" applyFont="1" applyBorder="1" applyAlignment="1">
      <alignment horizontal="center"/>
    </xf>
    <xf numFmtId="3" fontId="2" fillId="0" borderId="39" xfId="2019" applyNumberFormat="1" applyFont="1" applyBorder="1"/>
    <xf numFmtId="1" fontId="2" fillId="0" borderId="45" xfId="2019" applyNumberFormat="1" applyFont="1" applyBorder="1" applyAlignment="1">
      <alignment horizontal="center"/>
    </xf>
    <xf numFmtId="0" fontId="2" fillId="0" borderId="47" xfId="2019" applyFont="1" applyBorder="1" applyAlignment="1">
      <alignment horizontal="center"/>
    </xf>
    <xf numFmtId="1" fontId="6" fillId="0" borderId="49" xfId="2019" applyNumberFormat="1" applyFont="1" applyBorder="1" applyAlignment="1">
      <alignment horizontal="centerContinuous"/>
    </xf>
    <xf numFmtId="0" fontId="6" fillId="0" borderId="50" xfId="2019" applyFont="1" applyBorder="1" applyAlignment="1">
      <alignment horizontal="centerContinuous"/>
    </xf>
    <xf numFmtId="174" fontId="8" fillId="23" borderId="51" xfId="2019" applyNumberFormat="1" applyFont="1" applyFill="1" applyBorder="1"/>
    <xf numFmtId="174" fontId="2" fillId="23" borderId="51" xfId="2019" applyNumberFormat="1" applyFont="1" applyFill="1" applyBorder="1"/>
    <xf numFmtId="0" fontId="1" fillId="0" borderId="0" xfId="2019"/>
    <xf numFmtId="1" fontId="2" fillId="0" borderId="0" xfId="2019" applyNumberFormat="1" applyFont="1" applyBorder="1" applyAlignment="1">
      <alignment horizontal="center"/>
    </xf>
    <xf numFmtId="174" fontId="2" fillId="0" borderId="0" xfId="2019" applyNumberFormat="1" applyFont="1" applyFill="1" applyBorder="1"/>
    <xf numFmtId="0" fontId="2" fillId="0" borderId="0" xfId="2020" applyFont="1" applyAlignment="1">
      <alignment vertical="center"/>
    </xf>
    <xf numFmtId="0" fontId="3" fillId="0" borderId="34" xfId="2020" applyFont="1" applyBorder="1" applyAlignment="1">
      <alignment horizontal="center" vertical="center"/>
    </xf>
    <xf numFmtId="0" fontId="4" fillId="0" borderId="0" xfId="2020" applyFont="1" applyAlignment="1">
      <alignment horizontal="right" vertical="center"/>
    </xf>
    <xf numFmtId="172" fontId="4" fillId="0" borderId="0" xfId="2020" applyNumberFormat="1" applyFont="1" applyAlignment="1">
      <alignment horizontal="center" vertical="center"/>
    </xf>
    <xf numFmtId="0" fontId="2" fillId="0" borderId="0" xfId="2020" applyFont="1" applyAlignment="1">
      <alignment horizontal="center"/>
    </xf>
    <xf numFmtId="0" fontId="2" fillId="0" borderId="0" xfId="2020" applyFont="1"/>
    <xf numFmtId="0" fontId="4" fillId="0" borderId="0" xfId="2020" applyFont="1"/>
    <xf numFmtId="0" fontId="2" fillId="0" borderId="54" xfId="2020" applyFont="1" applyBorder="1" applyAlignment="1">
      <alignment horizontal="centerContinuous" vertical="center"/>
    </xf>
    <xf numFmtId="0" fontId="2" fillId="0" borderId="56" xfId="2020" applyFont="1" applyBorder="1" applyAlignment="1">
      <alignment horizontal="center" vertical="center" wrapText="1"/>
    </xf>
    <xf numFmtId="0" fontId="2" fillId="0" borderId="0" xfId="2020" applyFont="1" applyBorder="1" applyAlignment="1">
      <alignment horizontal="center" vertical="center" wrapText="1"/>
    </xf>
    <xf numFmtId="0" fontId="5" fillId="0" borderId="0" xfId="2020" applyFont="1" applyBorder="1" applyAlignment="1">
      <alignment horizontal="center" vertical="center"/>
    </xf>
    <xf numFmtId="0" fontId="5" fillId="0" borderId="0" xfId="2020" applyFont="1" applyAlignment="1">
      <alignment horizontal="center" vertical="center"/>
    </xf>
    <xf numFmtId="0" fontId="2" fillId="0" borderId="41" xfId="2020" applyFont="1" applyBorder="1" applyAlignment="1">
      <alignment horizontal="center" vertical="center"/>
    </xf>
    <xf numFmtId="0" fontId="2" fillId="0" borderId="42" xfId="2020" applyFont="1" applyBorder="1" applyAlignment="1">
      <alignment horizontal="center" vertical="center"/>
    </xf>
    <xf numFmtId="0" fontId="2" fillId="0" borderId="4" xfId="2020" quotePrefix="1" applyFont="1" applyBorder="1" applyAlignment="1">
      <alignment horizontal="center" vertical="center" wrapText="1"/>
    </xf>
    <xf numFmtId="0" fontId="2" fillId="0" borderId="44" xfId="2020" quotePrefix="1" applyFont="1" applyBorder="1" applyAlignment="1">
      <alignment horizontal="center" vertical="center" wrapText="1"/>
    </xf>
    <xf numFmtId="1" fontId="2" fillId="0" borderId="41" xfId="2020" applyNumberFormat="1" applyFont="1" applyBorder="1" applyAlignment="1">
      <alignment horizontal="center"/>
    </xf>
    <xf numFmtId="0" fontId="2" fillId="0" borderId="42" xfId="2020" applyFont="1" applyBorder="1" applyAlignment="1">
      <alignment horizontal="center"/>
    </xf>
    <xf numFmtId="3" fontId="2" fillId="0" borderId="39" xfId="2020" applyNumberFormat="1" applyFont="1" applyBorder="1"/>
    <xf numFmtId="1" fontId="2" fillId="0" borderId="45" xfId="2020" applyNumberFormat="1" applyFont="1" applyBorder="1" applyAlignment="1">
      <alignment horizontal="center"/>
    </xf>
    <xf numFmtId="0" fontId="2" fillId="0" borderId="47" xfId="2020" applyFont="1" applyBorder="1" applyAlignment="1">
      <alignment horizontal="center"/>
    </xf>
    <xf numFmtId="1" fontId="6" fillId="0" borderId="49" xfId="2020" applyNumberFormat="1" applyFont="1" applyBorder="1" applyAlignment="1">
      <alignment horizontal="centerContinuous"/>
    </xf>
    <xf numFmtId="0" fontId="6" fillId="0" borderId="50" xfId="2020" applyFont="1" applyBorder="1" applyAlignment="1">
      <alignment horizontal="centerContinuous"/>
    </xf>
    <xf numFmtId="174" fontId="8" fillId="23" borderId="51" xfId="2020" applyNumberFormat="1" applyFont="1" applyFill="1" applyBorder="1"/>
    <xf numFmtId="174" fontId="2" fillId="23" borderId="51" xfId="2020" applyNumberFormat="1" applyFont="1" applyFill="1" applyBorder="1"/>
    <xf numFmtId="0" fontId="1" fillId="0" borderId="0" xfId="2020"/>
    <xf numFmtId="1" fontId="2" fillId="0" borderId="0" xfId="2020" applyNumberFormat="1" applyFont="1" applyBorder="1" applyAlignment="1">
      <alignment horizontal="center"/>
    </xf>
    <xf numFmtId="174" fontId="2" fillId="0" borderId="0" xfId="2020" applyNumberFormat="1" applyFont="1" applyFill="1" applyBorder="1"/>
    <xf numFmtId="0" fontId="2" fillId="0" borderId="0" xfId="2021" applyFont="1" applyAlignment="1">
      <alignment vertical="center"/>
    </xf>
    <xf numFmtId="0" fontId="3" fillId="0" borderId="34" xfId="2021" applyFont="1" applyBorder="1" applyAlignment="1">
      <alignment horizontal="center" vertical="center"/>
    </xf>
    <xf numFmtId="0" fontId="4" fillId="0" borderId="0" xfId="2021" applyFont="1" applyAlignment="1">
      <alignment horizontal="right" vertical="center"/>
    </xf>
    <xf numFmtId="172" fontId="4" fillId="0" borderId="0" xfId="2021" applyNumberFormat="1" applyFont="1" applyAlignment="1">
      <alignment horizontal="center" vertical="center"/>
    </xf>
    <xf numFmtId="0" fontId="2" fillId="0" borderId="0" xfId="2021" applyFont="1" applyAlignment="1">
      <alignment horizontal="center"/>
    </xf>
    <xf numFmtId="0" fontId="2" fillId="0" borderId="0" xfId="2021" applyFont="1"/>
    <xf numFmtId="0" fontId="4" fillId="0" borderId="0" xfId="2021" applyFont="1"/>
    <xf numFmtId="0" fontId="2" fillId="0" borderId="54" xfId="2021" applyFont="1" applyBorder="1" applyAlignment="1">
      <alignment horizontal="centerContinuous" vertical="center"/>
    </xf>
    <xf numFmtId="0" fontId="2" fillId="0" borderId="56" xfId="2021" applyFont="1" applyBorder="1" applyAlignment="1">
      <alignment horizontal="center" vertical="center" wrapText="1"/>
    </xf>
    <xf numFmtId="0" fontId="2" fillId="0" borderId="0" xfId="2021" applyFont="1" applyBorder="1" applyAlignment="1">
      <alignment horizontal="center" vertical="center" wrapText="1"/>
    </xf>
    <xf numFmtId="0" fontId="5" fillId="0" borderId="0" xfId="2021" applyFont="1" applyBorder="1" applyAlignment="1">
      <alignment horizontal="center" vertical="center"/>
    </xf>
    <xf numFmtId="0" fontId="5" fillId="0" borderId="0" xfId="2021" applyFont="1" applyAlignment="1">
      <alignment horizontal="center" vertical="center"/>
    </xf>
    <xf numFmtId="0" fontId="2" fillId="0" borderId="41" xfId="2021" applyFont="1" applyBorder="1" applyAlignment="1">
      <alignment horizontal="center" vertical="center"/>
    </xf>
    <xf numFmtId="0" fontId="2" fillId="0" borderId="42" xfId="2021" applyFont="1" applyBorder="1" applyAlignment="1">
      <alignment horizontal="center" vertical="center"/>
    </xf>
    <xf numFmtId="0" fontId="2" fillId="0" borderId="4" xfId="2021" quotePrefix="1" applyFont="1" applyBorder="1" applyAlignment="1">
      <alignment horizontal="center" vertical="center" wrapText="1"/>
    </xf>
    <xf numFmtId="0" fontId="2" fillId="0" borderId="44" xfId="2021" quotePrefix="1" applyFont="1" applyBorder="1" applyAlignment="1">
      <alignment horizontal="center" vertical="center" wrapText="1"/>
    </xf>
    <xf numFmtId="1" fontId="2" fillId="0" borderId="41" xfId="2021" applyNumberFormat="1" applyFont="1" applyBorder="1" applyAlignment="1">
      <alignment horizontal="center"/>
    </xf>
    <xf numFmtId="0" fontId="2" fillId="0" borderId="42" xfId="2021" applyFont="1" applyBorder="1" applyAlignment="1">
      <alignment horizontal="center"/>
    </xf>
    <xf numFmtId="3" fontId="2" fillId="0" borderId="39" xfId="2021" applyNumberFormat="1" applyFont="1" applyBorder="1"/>
    <xf numFmtId="1" fontId="2" fillId="0" borderId="45" xfId="2021" applyNumberFormat="1" applyFont="1" applyBorder="1" applyAlignment="1">
      <alignment horizontal="center"/>
    </xf>
    <xf numFmtId="0" fontId="2" fillId="0" borderId="47" xfId="2021" applyFont="1" applyBorder="1" applyAlignment="1">
      <alignment horizontal="center"/>
    </xf>
    <xf numFmtId="1" fontId="6" fillId="0" borderId="49" xfId="2021" applyNumberFormat="1" applyFont="1" applyBorder="1" applyAlignment="1">
      <alignment horizontal="centerContinuous"/>
    </xf>
    <xf numFmtId="0" fontId="6" fillId="0" borderId="50" xfId="2021" applyFont="1" applyBorder="1" applyAlignment="1">
      <alignment horizontal="centerContinuous"/>
    </xf>
    <xf numFmtId="174" fontId="8" fillId="23" borderId="51" xfId="2021" applyNumberFormat="1" applyFont="1" applyFill="1" applyBorder="1"/>
    <xf numFmtId="174" fontId="2" fillId="23" borderId="51" xfId="2021" applyNumberFormat="1" applyFont="1" applyFill="1" applyBorder="1"/>
    <xf numFmtId="0" fontId="1" fillId="0" borderId="0" xfId="2021"/>
    <xf numFmtId="1" fontId="2" fillId="0" borderId="0" xfId="2021" applyNumberFormat="1" applyFont="1" applyBorder="1" applyAlignment="1">
      <alignment horizontal="center"/>
    </xf>
    <xf numFmtId="174" fontId="2" fillId="0" borderId="0" xfId="2021" applyNumberFormat="1" applyFont="1" applyFill="1" applyBorder="1"/>
    <xf numFmtId="0" fontId="2" fillId="0" borderId="0" xfId="2022" applyFont="1" applyAlignment="1">
      <alignment vertical="center"/>
    </xf>
    <xf numFmtId="0" fontId="3" fillId="0" borderId="34" xfId="2022" applyFont="1" applyBorder="1" applyAlignment="1">
      <alignment horizontal="center" vertical="center"/>
    </xf>
    <xf numFmtId="0" fontId="4" fillId="0" borderId="0" xfId="2022" applyFont="1" applyAlignment="1">
      <alignment horizontal="right" vertical="center"/>
    </xf>
    <xf numFmtId="172" fontId="4" fillId="0" borderId="0" xfId="2022" applyNumberFormat="1" applyFont="1" applyAlignment="1">
      <alignment horizontal="center" vertical="center"/>
    </xf>
    <xf numFmtId="0" fontId="2" fillId="0" borderId="0" xfId="2022" applyFont="1" applyAlignment="1">
      <alignment horizontal="center"/>
    </xf>
    <xf numFmtId="0" fontId="2" fillId="0" borderId="0" xfId="2022" applyFont="1"/>
    <xf numFmtId="0" fontId="4" fillId="0" borderId="0" xfId="2022" applyFont="1"/>
    <xf numFmtId="0" fontId="2" fillId="0" borderId="54" xfId="2022" applyFont="1" applyBorder="1" applyAlignment="1">
      <alignment horizontal="centerContinuous" vertical="center"/>
    </xf>
    <xf numFmtId="0" fontId="2" fillId="0" borderId="56" xfId="2022" applyFont="1" applyBorder="1" applyAlignment="1">
      <alignment horizontal="center" vertical="center" wrapText="1"/>
    </xf>
    <xf numFmtId="0" fontId="2" fillId="0" borderId="0" xfId="2022" applyFont="1" applyBorder="1" applyAlignment="1">
      <alignment horizontal="center" vertical="center" wrapText="1"/>
    </xf>
    <xf numFmtId="0" fontId="5" fillId="0" borderId="0" xfId="2022" applyFont="1" applyBorder="1" applyAlignment="1">
      <alignment horizontal="center" vertical="center"/>
    </xf>
    <xf numFmtId="0" fontId="5" fillId="0" borderId="0" xfId="2022" applyFont="1" applyAlignment="1">
      <alignment horizontal="center" vertical="center"/>
    </xf>
    <xf numFmtId="0" fontId="2" fillId="0" borderId="41" xfId="2022" applyFont="1" applyBorder="1" applyAlignment="1">
      <alignment horizontal="center" vertical="center"/>
    </xf>
    <xf numFmtId="0" fontId="2" fillId="0" borderId="42" xfId="2022" applyFont="1" applyBorder="1" applyAlignment="1">
      <alignment horizontal="center" vertical="center"/>
    </xf>
    <xf numFmtId="0" fontId="2" fillId="0" borderId="4" xfId="2022" quotePrefix="1" applyFont="1" applyBorder="1" applyAlignment="1">
      <alignment horizontal="center" vertical="center" wrapText="1"/>
    </xf>
    <xf numFmtId="0" fontId="2" fillId="0" borderId="44" xfId="2022" quotePrefix="1" applyFont="1" applyBorder="1" applyAlignment="1">
      <alignment horizontal="center" vertical="center" wrapText="1"/>
    </xf>
    <xf numFmtId="1" fontId="2" fillId="0" borderId="41" xfId="2022" applyNumberFormat="1" applyFont="1" applyBorder="1" applyAlignment="1">
      <alignment horizontal="center"/>
    </xf>
    <xf numFmtId="0" fontId="2" fillId="0" borderId="42" xfId="2022" applyFont="1" applyBorder="1" applyAlignment="1">
      <alignment horizontal="center"/>
    </xf>
    <xf numFmtId="10" fontId="2" fillId="0" borderId="0" xfId="2188" applyNumberFormat="1" applyFont="1"/>
    <xf numFmtId="3" fontId="2" fillId="0" borderId="39" xfId="2022" applyNumberFormat="1" applyFont="1" applyBorder="1"/>
    <xf numFmtId="1" fontId="2" fillId="0" borderId="45" xfId="2022" applyNumberFormat="1" applyFont="1" applyBorder="1" applyAlignment="1">
      <alignment horizontal="center"/>
    </xf>
    <xf numFmtId="0" fontId="2" fillId="0" borderId="47" xfId="2022" applyFont="1" applyBorder="1" applyAlignment="1">
      <alignment horizontal="center"/>
    </xf>
    <xf numFmtId="1" fontId="6" fillId="0" borderId="49" xfId="2022" applyNumberFormat="1" applyFont="1" applyBorder="1" applyAlignment="1">
      <alignment horizontal="centerContinuous"/>
    </xf>
    <xf numFmtId="0" fontId="6" fillId="0" borderId="50" xfId="2022" applyFont="1" applyBorder="1" applyAlignment="1">
      <alignment horizontal="centerContinuous"/>
    </xf>
    <xf numFmtId="174" fontId="8" fillId="23" borderId="51" xfId="2022" applyNumberFormat="1" applyFont="1" applyFill="1" applyBorder="1"/>
    <xf numFmtId="174" fontId="2" fillId="23" borderId="51" xfId="2022" applyNumberFormat="1" applyFont="1" applyFill="1" applyBorder="1"/>
    <xf numFmtId="0" fontId="1" fillId="0" borderId="0" xfId="2022"/>
    <xf numFmtId="1" fontId="2" fillId="0" borderId="0" xfId="2022" applyNumberFormat="1" applyFont="1" applyBorder="1" applyAlignment="1">
      <alignment horizontal="center"/>
    </xf>
    <xf numFmtId="0" fontId="9" fillId="0" borderId="0" xfId="2022" applyFont="1"/>
    <xf numFmtId="174" fontId="2" fillId="0" borderId="0" xfId="2022" applyNumberFormat="1" applyFont="1" applyFill="1" applyBorder="1"/>
    <xf numFmtId="0" fontId="2" fillId="0" borderId="0" xfId="2022" applyFont="1" applyBorder="1" applyAlignment="1">
      <alignment horizontal="centerContinuous" vertical="center"/>
    </xf>
    <xf numFmtId="0" fontId="4" fillId="0" borderId="0" xfId="2022" applyFont="1" applyFill="1"/>
    <xf numFmtId="0" fontId="2" fillId="0" borderId="4" xfId="2022" quotePrefix="1" applyFont="1" applyFill="1" applyBorder="1" applyAlignment="1">
      <alignment horizontal="center" vertical="center" wrapText="1"/>
    </xf>
    <xf numFmtId="0" fontId="2" fillId="0" borderId="43" xfId="2022" quotePrefix="1" applyFont="1" applyFill="1" applyBorder="1" applyAlignment="1">
      <alignment horizontal="center" vertical="center" wrapText="1"/>
    </xf>
    <xf numFmtId="0" fontId="5" fillId="0" borderId="0" xfId="2022" applyFont="1" applyFill="1" applyBorder="1" applyAlignment="1">
      <alignment horizontal="center" vertical="center"/>
    </xf>
    <xf numFmtId="0" fontId="2" fillId="0" borderId="0" xfId="2022" applyFont="1" applyFill="1"/>
    <xf numFmtId="3" fontId="2" fillId="0" borderId="39" xfId="2022" applyNumberFormat="1" applyFont="1" applyBorder="1" applyAlignment="1">
      <alignment horizontal="right"/>
    </xf>
    <xf numFmtId="173" fontId="2" fillId="0" borderId="46" xfId="2188" applyNumberFormat="1" applyFont="1" applyBorder="1" applyAlignment="1">
      <alignment horizontal="right"/>
    </xf>
    <xf numFmtId="173" fontId="6" fillId="23" borderId="52" xfId="2188" applyNumberFormat="1" applyFont="1" applyFill="1" applyBorder="1"/>
    <xf numFmtId="0" fontId="157" fillId="0" borderId="0" xfId="2022" applyFont="1"/>
    <xf numFmtId="0" fontId="2" fillId="0" borderId="58" xfId="2022" quotePrefix="1" applyFont="1" applyFill="1" applyBorder="1" applyAlignment="1">
      <alignment horizontal="center" vertical="center" wrapText="1"/>
    </xf>
    <xf numFmtId="0" fontId="2" fillId="0" borderId="44" xfId="2022" quotePrefix="1" applyFont="1" applyFill="1" applyBorder="1" applyAlignment="1">
      <alignment horizontal="center" vertical="center" wrapText="1"/>
    </xf>
    <xf numFmtId="0" fontId="2" fillId="0" borderId="0" xfId="2022" applyFont="1" applyFill="1" applyAlignment="1">
      <alignment vertical="center"/>
    </xf>
    <xf numFmtId="173" fontId="2" fillId="23" borderId="58" xfId="2188" applyNumberFormat="1" applyFont="1" applyFill="1" applyBorder="1" applyAlignment="1">
      <alignment horizontal="right"/>
    </xf>
    <xf numFmtId="173" fontId="6" fillId="23" borderId="59" xfId="2188" applyNumberFormat="1" applyFont="1" applyFill="1" applyBorder="1"/>
    <xf numFmtId="0" fontId="2" fillId="2" borderId="0" xfId="2022" applyFont="1" applyFill="1"/>
    <xf numFmtId="3" fontId="6" fillId="35" borderId="60" xfId="2023" applyNumberFormat="1" applyFont="1" applyFill="1" applyBorder="1" applyAlignment="1">
      <alignment horizontal="center" vertical="center" wrapText="1"/>
    </xf>
    <xf numFmtId="223" fontId="2" fillId="23" borderId="4" xfId="2011" applyNumberFormat="1" applyFont="1" applyFill="1" applyBorder="1" applyAlignment="1" applyProtection="1">
      <alignment horizontal="right"/>
    </xf>
    <xf numFmtId="3" fontId="2" fillId="23" borderId="58" xfId="2188" applyNumberFormat="1" applyFont="1" applyFill="1" applyBorder="1"/>
    <xf numFmtId="173" fontId="2" fillId="23" borderId="58" xfId="2188" applyNumberFormat="1" applyFont="1" applyFill="1" applyBorder="1"/>
    <xf numFmtId="3" fontId="6" fillId="35" borderId="61" xfId="2011" applyNumberFormat="1" applyFont="1" applyFill="1" applyBorder="1" applyProtection="1"/>
    <xf numFmtId="223" fontId="7" fillId="23" borderId="61" xfId="2011" applyNumberFormat="1" applyFont="1" applyFill="1" applyBorder="1" applyProtection="1"/>
    <xf numFmtId="173" fontId="2" fillId="23" borderId="62" xfId="2188" applyNumberFormat="1" applyFont="1" applyFill="1" applyBorder="1"/>
    <xf numFmtId="173" fontId="2" fillId="23" borderId="46" xfId="2188" applyNumberFormat="1" applyFont="1" applyFill="1" applyBorder="1"/>
    <xf numFmtId="1" fontId="6" fillId="0" borderId="63" xfId="2022" applyNumberFormat="1" applyFont="1" applyBorder="1" applyAlignment="1">
      <alignment horizontal="centerContinuous"/>
    </xf>
    <xf numFmtId="0" fontId="6" fillId="0" borderId="64" xfId="2022" applyFont="1" applyBorder="1" applyAlignment="1">
      <alignment horizontal="centerContinuous"/>
    </xf>
    <xf numFmtId="3" fontId="2" fillId="23" borderId="59" xfId="2188" applyNumberFormat="1" applyFont="1" applyFill="1" applyBorder="1"/>
    <xf numFmtId="173" fontId="6" fillId="23" borderId="65" xfId="2188" applyNumberFormat="1" applyFont="1" applyFill="1" applyBorder="1"/>
    <xf numFmtId="173" fontId="6" fillId="23" borderId="34" xfId="2188" applyNumberFormat="1" applyFont="1" applyFill="1" applyBorder="1"/>
    <xf numFmtId="0" fontId="2" fillId="0" borderId="58" xfId="2022" applyFont="1" applyFill="1" applyBorder="1" applyAlignment="1">
      <alignment horizontal="center" vertical="center" wrapText="1"/>
    </xf>
    <xf numFmtId="3" fontId="6" fillId="35" borderId="60" xfId="2011" applyNumberFormat="1" applyFont="1" applyFill="1" applyBorder="1" applyAlignment="1">
      <alignment horizontal="center" vertical="center" wrapText="1"/>
    </xf>
    <xf numFmtId="0" fontId="2" fillId="0" borderId="4" xfId="2022" applyFont="1" applyBorder="1" applyAlignment="1">
      <alignment horizontal="center" vertical="center"/>
    </xf>
    <xf numFmtId="0" fontId="2" fillId="0" borderId="4" xfId="2022" applyFont="1" applyBorder="1" applyAlignment="1">
      <alignment horizontal="center"/>
    </xf>
    <xf numFmtId="223" fontId="2" fillId="23" borderId="4" xfId="2011" applyNumberFormat="1" applyFont="1" applyFill="1" applyBorder="1"/>
    <xf numFmtId="173" fontId="2" fillId="23" borderId="44" xfId="2188" applyNumberFormat="1" applyFont="1" applyFill="1" applyBorder="1" applyAlignment="1">
      <alignment horizontal="right"/>
    </xf>
    <xf numFmtId="0" fontId="2" fillId="0" borderId="61" xfId="2022" applyFont="1" applyBorder="1" applyAlignment="1">
      <alignment horizontal="center"/>
    </xf>
    <xf numFmtId="0" fontId="6" fillId="0" borderId="66" xfId="2022" applyFont="1" applyBorder="1" applyAlignment="1">
      <alignment horizontal="centerContinuous"/>
    </xf>
    <xf numFmtId="223" fontId="7" fillId="23" borderId="4" xfId="2011" applyNumberFormat="1" applyFont="1" applyFill="1" applyBorder="1"/>
    <xf numFmtId="174" fontId="6" fillId="23" borderId="51" xfId="2022" applyNumberFormat="1" applyFont="1" applyFill="1" applyBorder="1"/>
    <xf numFmtId="174" fontId="7" fillId="23" borderId="51" xfId="2022" applyNumberFormat="1" applyFont="1" applyFill="1" applyBorder="1"/>
    <xf numFmtId="0" fontId="159" fillId="0" borderId="0" xfId="1203"/>
    <xf numFmtId="0" fontId="2" fillId="0" borderId="55" xfId="2011" applyFont="1" applyBorder="1" applyAlignment="1">
      <alignment horizontal="center" vertical="center" wrapText="1"/>
    </xf>
    <xf numFmtId="0" fontId="2" fillId="0" borderId="36" xfId="2011" applyFont="1" applyBorder="1" applyAlignment="1">
      <alignment horizontal="center" vertical="center" wrapText="1"/>
    </xf>
    <xf numFmtId="0" fontId="2" fillId="0" borderId="55" xfId="2009" applyFont="1" applyBorder="1" applyAlignment="1">
      <alignment horizontal="center" vertical="center" wrapText="1"/>
    </xf>
    <xf numFmtId="0" fontId="2" fillId="0" borderId="36" xfId="2009" applyFont="1" applyBorder="1" applyAlignment="1">
      <alignment horizontal="center" vertical="center" wrapText="1"/>
    </xf>
    <xf numFmtId="0" fontId="2" fillId="0" borderId="55" xfId="2010" applyFont="1" applyBorder="1" applyAlignment="1">
      <alignment horizontal="center" vertical="center" wrapText="1"/>
    </xf>
    <xf numFmtId="0" fontId="2" fillId="0" borderId="36" xfId="2010" applyFont="1" applyBorder="1" applyAlignment="1">
      <alignment horizontal="center" vertical="center" wrapText="1"/>
    </xf>
    <xf numFmtId="0" fontId="2" fillId="0" borderId="55" xfId="2012" applyFont="1" applyBorder="1" applyAlignment="1">
      <alignment horizontal="center" vertical="center" wrapText="1"/>
    </xf>
    <xf numFmtId="0" fontId="2" fillId="0" borderId="36" xfId="2012" applyFont="1" applyBorder="1" applyAlignment="1">
      <alignment horizontal="center" vertical="center" wrapText="1"/>
    </xf>
    <xf numFmtId="0" fontId="2" fillId="0" borderId="55" xfId="2013" applyFont="1" applyBorder="1" applyAlignment="1">
      <alignment horizontal="center" vertical="center" wrapText="1"/>
    </xf>
    <xf numFmtId="0" fontId="2" fillId="0" borderId="36" xfId="2013" applyFont="1" applyBorder="1" applyAlignment="1">
      <alignment horizontal="center" vertical="center" wrapText="1"/>
    </xf>
    <xf numFmtId="0" fontId="2" fillId="0" borderId="55" xfId="2014" applyFont="1" applyBorder="1" applyAlignment="1">
      <alignment horizontal="center" vertical="center" wrapText="1"/>
    </xf>
    <xf numFmtId="0" fontId="2" fillId="0" borderId="36" xfId="2014" applyFont="1" applyBorder="1" applyAlignment="1">
      <alignment horizontal="center" vertical="center" wrapText="1"/>
    </xf>
    <xf numFmtId="0" fontId="2" fillId="0" borderId="55" xfId="2015" applyFont="1" applyBorder="1" applyAlignment="1">
      <alignment horizontal="center" vertical="center" wrapText="1"/>
    </xf>
    <xf numFmtId="0" fontId="2" fillId="0" borderId="36" xfId="2015" applyFont="1" applyBorder="1" applyAlignment="1">
      <alignment horizontal="center" vertical="center" wrapText="1"/>
    </xf>
    <xf numFmtId="0" fontId="2" fillId="0" borderId="55" xfId="2016" applyFont="1" applyBorder="1" applyAlignment="1">
      <alignment horizontal="center" vertical="center" wrapText="1"/>
    </xf>
    <xf numFmtId="0" fontId="2" fillId="0" borderId="36" xfId="2016" applyFont="1" applyBorder="1" applyAlignment="1">
      <alignment horizontal="center" vertical="center" wrapText="1"/>
    </xf>
    <xf numFmtId="0" fontId="2" fillId="0" borderId="55" xfId="2017" applyFont="1" applyBorder="1" applyAlignment="1">
      <alignment horizontal="center" vertical="center" wrapText="1"/>
    </xf>
    <xf numFmtId="0" fontId="2" fillId="0" borderId="36" xfId="2017" applyFont="1" applyBorder="1" applyAlignment="1">
      <alignment horizontal="center" vertical="center" wrapText="1"/>
    </xf>
    <xf numFmtId="0" fontId="2" fillId="0" borderId="55" xfId="2018" applyFont="1" applyBorder="1" applyAlignment="1">
      <alignment horizontal="center" vertical="center" wrapText="1"/>
    </xf>
    <xf numFmtId="0" fontId="2" fillId="0" borderId="36" xfId="2018" applyFont="1" applyBorder="1" applyAlignment="1">
      <alignment horizontal="center" vertical="center" wrapText="1"/>
    </xf>
    <xf numFmtId="0" fontId="2" fillId="0" borderId="55" xfId="2019" applyFont="1" applyBorder="1" applyAlignment="1">
      <alignment horizontal="center" vertical="center" wrapText="1"/>
    </xf>
    <xf numFmtId="0" fontId="2" fillId="0" borderId="36" xfId="2019" applyFont="1" applyBorder="1" applyAlignment="1">
      <alignment horizontal="center" vertical="center" wrapText="1"/>
    </xf>
    <xf numFmtId="0" fontId="2" fillId="0" borderId="55" xfId="2020" applyFont="1" applyBorder="1" applyAlignment="1">
      <alignment horizontal="center" vertical="center" wrapText="1"/>
    </xf>
    <xf numFmtId="0" fontId="2" fillId="0" borderId="36" xfId="2020" applyFont="1" applyBorder="1" applyAlignment="1">
      <alignment horizontal="center" vertical="center" wrapText="1"/>
    </xf>
    <xf numFmtId="0" fontId="2" fillId="0" borderId="55" xfId="2021" applyFont="1" applyBorder="1" applyAlignment="1">
      <alignment horizontal="center" vertical="center" wrapText="1"/>
    </xf>
    <xf numFmtId="0" fontId="2" fillId="0" borderId="36" xfId="2021" applyFont="1" applyBorder="1" applyAlignment="1">
      <alignment horizontal="center" vertical="center" wrapText="1"/>
    </xf>
    <xf numFmtId="0" fontId="2" fillId="0" borderId="55" xfId="2022" applyFont="1" applyBorder="1" applyAlignment="1">
      <alignment horizontal="center" vertical="center" wrapText="1"/>
    </xf>
    <xf numFmtId="0" fontId="2" fillId="0" borderId="36" xfId="2022" applyFont="1" applyBorder="1" applyAlignment="1">
      <alignment horizontal="center" vertical="center" wrapText="1"/>
    </xf>
    <xf numFmtId="0" fontId="2" fillId="0" borderId="35" xfId="2022" applyFont="1" applyBorder="1" applyAlignment="1">
      <alignment horizontal="center" vertical="center" wrapText="1"/>
    </xf>
    <xf numFmtId="0" fontId="2" fillId="0" borderId="37" xfId="2022" applyFont="1" applyBorder="1" applyAlignment="1">
      <alignment horizontal="center" vertical="center" wrapText="1"/>
    </xf>
  </cellXfs>
  <cellStyles count="2632">
    <cellStyle name="%_2DP_in" xfId="1"/>
    <cellStyle name="%_2DP_out" xfId="2"/>
    <cellStyle name="_example template 14" xfId="3"/>
    <cellStyle name="£'000" xfId="4"/>
    <cellStyle name="£k" xfId="5"/>
    <cellStyle name="0_DP_in" xfId="6"/>
    <cellStyle name="0_DP_out" xfId="7"/>
    <cellStyle name="1 antraštė" xfId="8"/>
    <cellStyle name="2 antraštė" xfId="9"/>
    <cellStyle name="2_DP_in" xfId="10"/>
    <cellStyle name="2_DP_out" xfId="11"/>
    <cellStyle name="20 % - Aksentti1" xfId="12"/>
    <cellStyle name="20 % - Aksentti1 2" xfId="13"/>
    <cellStyle name="20 % - Aksentti1 2 2" xfId="14"/>
    <cellStyle name="20 % - Aksentti1 2 3" xfId="15"/>
    <cellStyle name="20 % - Aksentti1 3" xfId="16"/>
    <cellStyle name="20 % - Aksentti1 4" xfId="17"/>
    <cellStyle name="20 % - Aksentti2" xfId="18"/>
    <cellStyle name="20 % - Aksentti2 2" xfId="19"/>
    <cellStyle name="20 % - Aksentti2 2 2" xfId="20"/>
    <cellStyle name="20 % - Aksentti2 2 3" xfId="21"/>
    <cellStyle name="20 % - Aksentti2 3" xfId="22"/>
    <cellStyle name="20 % - Aksentti2 4" xfId="23"/>
    <cellStyle name="20 % - Aksentti3" xfId="24"/>
    <cellStyle name="20 % - Aksentti3 2" xfId="25"/>
    <cellStyle name="20 % - Aksentti3 2 2" xfId="26"/>
    <cellStyle name="20 % - Aksentti3 2 3" xfId="27"/>
    <cellStyle name="20 % - Aksentti3 3" xfId="28"/>
    <cellStyle name="20 % - Aksentti3 4" xfId="29"/>
    <cellStyle name="20 % - Aksentti4" xfId="30"/>
    <cellStyle name="20 % - Aksentti4 2" xfId="31"/>
    <cellStyle name="20 % - Aksentti4 2 2" xfId="32"/>
    <cellStyle name="20 % - Aksentti4 2 3" xfId="33"/>
    <cellStyle name="20 % - Aksentti4 3" xfId="34"/>
    <cellStyle name="20 % - Aksentti4 4" xfId="35"/>
    <cellStyle name="20 % - Aksentti5" xfId="36"/>
    <cellStyle name="20 % - Aksentti5 2" xfId="37"/>
    <cellStyle name="20 % - Aksentti5 2 2" xfId="38"/>
    <cellStyle name="20 % - Aksentti5 2 3" xfId="39"/>
    <cellStyle name="20 % - Aksentti5 3" xfId="40"/>
    <cellStyle name="20 % - Aksentti5 4" xfId="41"/>
    <cellStyle name="20 % - Aksentti6" xfId="42"/>
    <cellStyle name="20 % - Aksentti6 2" xfId="43"/>
    <cellStyle name="20 % - Aksentti6 2 2" xfId="44"/>
    <cellStyle name="20 % - Aksentti6 2 3" xfId="45"/>
    <cellStyle name="20 % - Aksentti6 3" xfId="46"/>
    <cellStyle name="20 % - Aksentti6 4" xfId="47"/>
    <cellStyle name="20 % - Akzent1" xfId="48"/>
    <cellStyle name="20 % - Akzent1 2" xfId="49"/>
    <cellStyle name="20 % - Akzent2" xfId="50"/>
    <cellStyle name="20 % - Akzent2 2" xfId="51"/>
    <cellStyle name="20 % - Akzent3" xfId="52"/>
    <cellStyle name="20 % - Akzent3 2" xfId="53"/>
    <cellStyle name="20 % - Akzent4" xfId="54"/>
    <cellStyle name="20 % - Akzent4 2" xfId="55"/>
    <cellStyle name="20 % - Akzent5" xfId="56"/>
    <cellStyle name="20 % - Akzent5 2" xfId="57"/>
    <cellStyle name="20 % - Akzent6" xfId="58"/>
    <cellStyle name="20 % - Akzent6 2" xfId="59"/>
    <cellStyle name="20 % - Markeringsfarve1" xfId="60"/>
    <cellStyle name="20 % - Markeringsfarve1 2" xfId="61"/>
    <cellStyle name="20 % - Markeringsfarve1 3" xfId="62"/>
    <cellStyle name="20 % - Markeringsfarve2" xfId="63"/>
    <cellStyle name="20 % - Markeringsfarve2 2" xfId="64"/>
    <cellStyle name="20 % - Markeringsfarve2 3" xfId="65"/>
    <cellStyle name="20 % - Markeringsfarve3" xfId="66"/>
    <cellStyle name="20 % - Markeringsfarve3 2" xfId="67"/>
    <cellStyle name="20 % - Markeringsfarve3 3" xfId="68"/>
    <cellStyle name="20 % - Markeringsfarve4" xfId="69"/>
    <cellStyle name="20 % - Markeringsfarve4 2" xfId="70"/>
    <cellStyle name="20 % - Markeringsfarve4 3" xfId="71"/>
    <cellStyle name="20 % - Markeringsfarve5" xfId="72"/>
    <cellStyle name="20 % - Markeringsfarve5 2" xfId="73"/>
    <cellStyle name="20 % - Markeringsfarve5 3" xfId="74"/>
    <cellStyle name="20 % - Markeringsfarve6" xfId="75"/>
    <cellStyle name="20 % - Markeringsfarve6 2" xfId="76"/>
    <cellStyle name="20 % - Markeringsfarve6 3" xfId="77"/>
    <cellStyle name="20 % - Accent1" xfId="78"/>
    <cellStyle name="20 % - Accent1 2" xfId="79"/>
    <cellStyle name="20 % - Accent1 2 2" xfId="80"/>
    <cellStyle name="20 % - Accent1 2 3" xfId="81"/>
    <cellStyle name="20 % - Accent1 3" xfId="82"/>
    <cellStyle name="20 % - Accent1 4" xfId="83"/>
    <cellStyle name="20 % - Accent1 5" xfId="84"/>
    <cellStyle name="20 % - Accent2" xfId="85"/>
    <cellStyle name="20 % - Accent2 2" xfId="86"/>
    <cellStyle name="20 % - Accent2 2 2" xfId="87"/>
    <cellStyle name="20 % - Accent2 2 3" xfId="88"/>
    <cellStyle name="20 % - Accent2 3" xfId="89"/>
    <cellStyle name="20 % - Accent2 4" xfId="90"/>
    <cellStyle name="20 % - Accent2 5" xfId="91"/>
    <cellStyle name="20 % - Accent3" xfId="92"/>
    <cellStyle name="20 % - Accent3 2" xfId="93"/>
    <cellStyle name="20 % - Accent3 2 2" xfId="94"/>
    <cellStyle name="20 % - Accent3 2 3" xfId="95"/>
    <cellStyle name="20 % - Accent3 3" xfId="96"/>
    <cellStyle name="20 % - Accent3 4" xfId="97"/>
    <cellStyle name="20 % - Accent3 5" xfId="98"/>
    <cellStyle name="20 % - Accent4" xfId="99"/>
    <cellStyle name="20 % - Accent4 2" xfId="100"/>
    <cellStyle name="20 % - Accent4 2 2" xfId="101"/>
    <cellStyle name="20 % - Accent4 2 3" xfId="102"/>
    <cellStyle name="20 % - Accent4 3" xfId="103"/>
    <cellStyle name="20 % - Accent4 4" xfId="104"/>
    <cellStyle name="20 % - Accent4 5" xfId="105"/>
    <cellStyle name="20 % - Accent5" xfId="106"/>
    <cellStyle name="20 % - Accent5 2" xfId="107"/>
    <cellStyle name="20 % - Accent5 2 2" xfId="108"/>
    <cellStyle name="20 % - Accent5 2 3" xfId="109"/>
    <cellStyle name="20 % - Accent5 3" xfId="110"/>
    <cellStyle name="20 % - Accent5 4" xfId="111"/>
    <cellStyle name="20 % - Accent5 5" xfId="112"/>
    <cellStyle name="20 % - Accent6" xfId="113"/>
    <cellStyle name="20 % - Accent6 2" xfId="114"/>
    <cellStyle name="20 % - Accent6 2 2" xfId="115"/>
    <cellStyle name="20 % - Accent6 2 3" xfId="116"/>
    <cellStyle name="20 % - Accent6 3" xfId="117"/>
    <cellStyle name="20 % - Accent6 4" xfId="118"/>
    <cellStyle name="20 % - Accent6 5" xfId="119"/>
    <cellStyle name="20% - 1. jelölőszín 2" xfId="120"/>
    <cellStyle name="20% - 2. jelölőszín 2" xfId="121"/>
    <cellStyle name="20% - 3. jelölőszín 2" xfId="122"/>
    <cellStyle name="20% - 4. jelölőszín 2" xfId="123"/>
    <cellStyle name="20% - 5. jelölőszín 2" xfId="124"/>
    <cellStyle name="20% - 6. jelölőszín 2" xfId="125"/>
    <cellStyle name="20% - Accent1 2" xfId="126"/>
    <cellStyle name="20% - Accent1 2 2" xfId="127"/>
    <cellStyle name="20% - Accent1 2 3" xfId="128"/>
    <cellStyle name="20% - Accent2 2" xfId="129"/>
    <cellStyle name="20% - Accent2 2 2" xfId="130"/>
    <cellStyle name="20% - Accent2 2 3" xfId="131"/>
    <cellStyle name="20% - Accent3 2" xfId="132"/>
    <cellStyle name="20% - Accent3 2 2" xfId="133"/>
    <cellStyle name="20% - Accent3 2 3" xfId="134"/>
    <cellStyle name="20% - Accent4 2" xfId="135"/>
    <cellStyle name="20% - Accent4 2 2" xfId="136"/>
    <cellStyle name="20% - Accent4 2 3" xfId="137"/>
    <cellStyle name="20% - Accent5 2" xfId="138"/>
    <cellStyle name="20% - Accent5 2 2" xfId="139"/>
    <cellStyle name="20% - Accent5 2 3" xfId="140"/>
    <cellStyle name="20% - Accent6 2" xfId="141"/>
    <cellStyle name="20% - Accent6 2 2" xfId="142"/>
    <cellStyle name="20% - Accent6 2 3" xfId="143"/>
    <cellStyle name="20% - Akzent1" xfId="144"/>
    <cellStyle name="20% - Akzent1 2" xfId="145"/>
    <cellStyle name="20% - Akzent2" xfId="146"/>
    <cellStyle name="20% - Akzent2 2" xfId="147"/>
    <cellStyle name="20% - Akzent3" xfId="148"/>
    <cellStyle name="20% - Akzent3 2" xfId="149"/>
    <cellStyle name="20% - Akzent4" xfId="150"/>
    <cellStyle name="20% - Akzent4 2" xfId="151"/>
    <cellStyle name="20% - Akzent5" xfId="152"/>
    <cellStyle name="20% - Akzent5 2" xfId="153"/>
    <cellStyle name="20% - Akzent6" xfId="154"/>
    <cellStyle name="20% - Akzent6 2" xfId="155"/>
    <cellStyle name="20% - Dekorfärg1" xfId="156"/>
    <cellStyle name="20% - Dekorfärg1 2" xfId="157"/>
    <cellStyle name="20% - Dekorfärg1 3" xfId="158"/>
    <cellStyle name="20% - Dekorfärg2" xfId="159"/>
    <cellStyle name="20% - Dekorfärg2 2" xfId="160"/>
    <cellStyle name="20% - Dekorfärg2 3" xfId="161"/>
    <cellStyle name="20% - Dekorfärg3" xfId="162"/>
    <cellStyle name="20% - Dekorfärg3 2" xfId="163"/>
    <cellStyle name="20% - Dekorfärg3 3" xfId="164"/>
    <cellStyle name="20% - Dekorfärg4" xfId="165"/>
    <cellStyle name="20% - Dekorfärg4 2" xfId="166"/>
    <cellStyle name="20% - Dekorfärg4 3" xfId="167"/>
    <cellStyle name="20% - Dekorfärg5" xfId="168"/>
    <cellStyle name="20% - Dekorfärg5 2" xfId="169"/>
    <cellStyle name="20% - Dekorfärg5 3" xfId="170"/>
    <cellStyle name="20% - Dekorfärg6" xfId="171"/>
    <cellStyle name="20% - Dekorfärg6 2" xfId="172"/>
    <cellStyle name="20% - Dekorfärg6 3" xfId="173"/>
    <cellStyle name="20% - Énfasis1" xfId="174"/>
    <cellStyle name="20% - Énfasis1 2" xfId="175"/>
    <cellStyle name="20% - Énfasis1 3" xfId="176"/>
    <cellStyle name="20% - Énfasis2" xfId="177"/>
    <cellStyle name="20% - Énfasis2 2" xfId="178"/>
    <cellStyle name="20% - Énfasis2 3" xfId="179"/>
    <cellStyle name="20% - Énfasis3" xfId="180"/>
    <cellStyle name="20% - Énfasis3 2" xfId="181"/>
    <cellStyle name="20% - Énfasis3 3" xfId="182"/>
    <cellStyle name="20% - Énfasis4" xfId="183"/>
    <cellStyle name="20% - Énfasis4 2" xfId="184"/>
    <cellStyle name="20% - Énfasis4 3" xfId="185"/>
    <cellStyle name="20% - Énfasis5" xfId="186"/>
    <cellStyle name="20% - Énfasis5 2" xfId="187"/>
    <cellStyle name="20% - Énfasis5 3" xfId="188"/>
    <cellStyle name="20% - Énfasis6" xfId="189"/>
    <cellStyle name="20% - Énfasis6 2" xfId="190"/>
    <cellStyle name="20% - Énfasis6 3" xfId="191"/>
    <cellStyle name="20% – paryškinimas 1" xfId="192"/>
    <cellStyle name="20% – paryškinimas 1 2" xfId="193"/>
    <cellStyle name="20% – paryškinimas 1 3" xfId="194"/>
    <cellStyle name="20% – paryškinimas 2" xfId="195"/>
    <cellStyle name="20% – paryškinimas 2 2" xfId="196"/>
    <cellStyle name="20% – paryškinimas 2 3" xfId="197"/>
    <cellStyle name="20% – paryškinimas 3" xfId="198"/>
    <cellStyle name="20% – paryškinimas 3 2" xfId="199"/>
    <cellStyle name="20% – paryškinimas 3 3" xfId="200"/>
    <cellStyle name="20% – paryškinimas 4" xfId="201"/>
    <cellStyle name="20% – paryškinimas 4 2" xfId="202"/>
    <cellStyle name="20% – paryškinimas 4 3" xfId="203"/>
    <cellStyle name="20% – paryškinimas 5" xfId="204"/>
    <cellStyle name="20% – paryškinimas 5 2" xfId="205"/>
    <cellStyle name="20% – paryškinimas 5 3" xfId="206"/>
    <cellStyle name="20% – paryškinimas 6" xfId="207"/>
    <cellStyle name="20% – paryškinimas 6 2" xfId="208"/>
    <cellStyle name="20% – paryškinimas 6 3" xfId="209"/>
    <cellStyle name="20% – rõhk1" xfId="210"/>
    <cellStyle name="20% – rõhk1 2" xfId="211"/>
    <cellStyle name="20% – rõhk1 2 2" xfId="212"/>
    <cellStyle name="20% – rõhk1 2 3" xfId="213"/>
    <cellStyle name="20% – rõhk1 3" xfId="214"/>
    <cellStyle name="20% – rõhk1 4" xfId="215"/>
    <cellStyle name="20% – rõhk1 5" xfId="216"/>
    <cellStyle name="20% – rõhk2" xfId="217"/>
    <cellStyle name="20% – rõhk2 2" xfId="218"/>
    <cellStyle name="20% – rõhk2 2 2" xfId="219"/>
    <cellStyle name="20% – rõhk2 2 3" xfId="220"/>
    <cellStyle name="20% – rõhk2 3" xfId="221"/>
    <cellStyle name="20% – rõhk2 4" xfId="222"/>
    <cellStyle name="20% – rõhk2 5" xfId="223"/>
    <cellStyle name="20% – rõhk3" xfId="224"/>
    <cellStyle name="20% – rõhk3 2" xfId="225"/>
    <cellStyle name="20% – rõhk3 2 2" xfId="226"/>
    <cellStyle name="20% – rõhk3 2 3" xfId="227"/>
    <cellStyle name="20% – rõhk3 3" xfId="228"/>
    <cellStyle name="20% – rõhk3 4" xfId="229"/>
    <cellStyle name="20% – rõhk3 5" xfId="230"/>
    <cellStyle name="20% – rõhk4" xfId="231"/>
    <cellStyle name="20% – rõhk4 2" xfId="232"/>
    <cellStyle name="20% – rõhk4 2 2" xfId="233"/>
    <cellStyle name="20% – rõhk4 2 3" xfId="234"/>
    <cellStyle name="20% – rõhk4 3" xfId="235"/>
    <cellStyle name="20% – rõhk4 4" xfId="236"/>
    <cellStyle name="20% – rõhk4 5" xfId="237"/>
    <cellStyle name="20% – rõhk5" xfId="238"/>
    <cellStyle name="20% – rõhk5 2" xfId="239"/>
    <cellStyle name="20% – rõhk5 2 2" xfId="240"/>
    <cellStyle name="20% – rõhk5 2 3" xfId="241"/>
    <cellStyle name="20% – rõhk5 3" xfId="242"/>
    <cellStyle name="20% – rõhk5 4" xfId="243"/>
    <cellStyle name="20% – rõhk5 5" xfId="244"/>
    <cellStyle name="20% – rõhk6" xfId="245"/>
    <cellStyle name="20% – rõhk6 2" xfId="246"/>
    <cellStyle name="20% – rõhk6 2 2" xfId="247"/>
    <cellStyle name="20% – rõhk6 2 3" xfId="248"/>
    <cellStyle name="20% – rõhk6 3" xfId="249"/>
    <cellStyle name="20% – rõhk6 4" xfId="250"/>
    <cellStyle name="20% – rõhk6 5" xfId="251"/>
    <cellStyle name="3 antraštė" xfId="252"/>
    <cellStyle name="4 antraštė" xfId="253"/>
    <cellStyle name="40 % - Aksentti1" xfId="254"/>
    <cellStyle name="40 % - Aksentti1 2" xfId="255"/>
    <cellStyle name="40 % - Aksentti1 2 2" xfId="256"/>
    <cellStyle name="40 % - Aksentti1 2 3" xfId="257"/>
    <cellStyle name="40 % - Aksentti1 3" xfId="258"/>
    <cellStyle name="40 % - Aksentti1 4" xfId="259"/>
    <cellStyle name="40 % - Aksentti2" xfId="260"/>
    <cellStyle name="40 % - Aksentti2 2" xfId="261"/>
    <cellStyle name="40 % - Aksentti2 2 2" xfId="262"/>
    <cellStyle name="40 % - Aksentti2 2 3" xfId="263"/>
    <cellStyle name="40 % - Aksentti2 3" xfId="264"/>
    <cellStyle name="40 % - Aksentti2 4" xfId="265"/>
    <cellStyle name="40 % - Aksentti3" xfId="266"/>
    <cellStyle name="40 % - Aksentti3 2" xfId="267"/>
    <cellStyle name="40 % - Aksentti3 2 2" xfId="268"/>
    <cellStyle name="40 % - Aksentti3 2 3" xfId="269"/>
    <cellStyle name="40 % - Aksentti3 3" xfId="270"/>
    <cellStyle name="40 % - Aksentti3 4" xfId="271"/>
    <cellStyle name="40 % - Aksentti4" xfId="272"/>
    <cellStyle name="40 % - Aksentti4 2" xfId="273"/>
    <cellStyle name="40 % - Aksentti4 2 2" xfId="274"/>
    <cellStyle name="40 % - Aksentti4 2 3" xfId="275"/>
    <cellStyle name="40 % - Aksentti4 3" xfId="276"/>
    <cellStyle name="40 % - Aksentti4 4" xfId="277"/>
    <cellStyle name="40 % - Aksentti5" xfId="278"/>
    <cellStyle name="40 % - Aksentti5 2" xfId="279"/>
    <cellStyle name="40 % - Aksentti5 2 2" xfId="280"/>
    <cellStyle name="40 % - Aksentti5 2 3" xfId="281"/>
    <cellStyle name="40 % - Aksentti5 3" xfId="282"/>
    <cellStyle name="40 % - Aksentti5 4" xfId="283"/>
    <cellStyle name="40 % - Aksentti6" xfId="284"/>
    <cellStyle name="40 % - Aksentti6 2" xfId="285"/>
    <cellStyle name="40 % - Aksentti6 2 2" xfId="286"/>
    <cellStyle name="40 % - Aksentti6 2 3" xfId="287"/>
    <cellStyle name="40 % - Aksentti6 3" xfId="288"/>
    <cellStyle name="40 % - Aksentti6 4" xfId="289"/>
    <cellStyle name="40 % - Akzent1" xfId="290"/>
    <cellStyle name="40 % - Akzent1 2" xfId="291"/>
    <cellStyle name="40 % - Akzent2" xfId="292"/>
    <cellStyle name="40 % - Akzent2 2" xfId="293"/>
    <cellStyle name="40 % - Akzent3" xfId="294"/>
    <cellStyle name="40 % - Akzent3 2" xfId="295"/>
    <cellStyle name="40 % - Akzent4" xfId="296"/>
    <cellStyle name="40 % - Akzent4 2" xfId="297"/>
    <cellStyle name="40 % - Akzent5" xfId="298"/>
    <cellStyle name="40 % - Akzent5 2" xfId="299"/>
    <cellStyle name="40 % - Akzent6" xfId="300"/>
    <cellStyle name="40 % - Akzent6 2" xfId="301"/>
    <cellStyle name="40 % - Markeringsfarve1" xfId="302"/>
    <cellStyle name="40 % - Markeringsfarve1 2" xfId="303"/>
    <cellStyle name="40 % - Markeringsfarve1 3" xfId="304"/>
    <cellStyle name="40 % - Markeringsfarve2" xfId="305"/>
    <cellStyle name="40 % - Markeringsfarve2 2" xfId="306"/>
    <cellStyle name="40 % - Markeringsfarve2 3" xfId="307"/>
    <cellStyle name="40 % - Markeringsfarve3" xfId="308"/>
    <cellStyle name="40 % - Markeringsfarve3 2" xfId="309"/>
    <cellStyle name="40 % - Markeringsfarve3 3" xfId="310"/>
    <cellStyle name="40 % - Markeringsfarve4" xfId="311"/>
    <cellStyle name="40 % - Markeringsfarve4 2" xfId="312"/>
    <cellStyle name="40 % - Markeringsfarve4 3" xfId="313"/>
    <cellStyle name="40 % - Markeringsfarve5" xfId="314"/>
    <cellStyle name="40 % - Markeringsfarve5 2" xfId="315"/>
    <cellStyle name="40 % - Markeringsfarve5 3" xfId="316"/>
    <cellStyle name="40 % - Markeringsfarve6" xfId="317"/>
    <cellStyle name="40 % - Markeringsfarve6 2" xfId="318"/>
    <cellStyle name="40 % - Markeringsfarve6 3" xfId="319"/>
    <cellStyle name="40 % - Accent1" xfId="320"/>
    <cellStyle name="40 % - Accent1 2" xfId="321"/>
    <cellStyle name="40 % - Accent1 2 2" xfId="322"/>
    <cellStyle name="40 % - Accent1 2 3" xfId="323"/>
    <cellStyle name="40 % - Accent1 3" xfId="324"/>
    <cellStyle name="40 % - Accent1 4" xfId="325"/>
    <cellStyle name="40 % - Accent1 5" xfId="326"/>
    <cellStyle name="40 % - Accent2" xfId="327"/>
    <cellStyle name="40 % - Accent2 2" xfId="328"/>
    <cellStyle name="40 % - Accent2 2 2" xfId="329"/>
    <cellStyle name="40 % - Accent2 2 3" xfId="330"/>
    <cellStyle name="40 % - Accent2 3" xfId="331"/>
    <cellStyle name="40 % - Accent2 4" xfId="332"/>
    <cellStyle name="40 % - Accent2 5" xfId="333"/>
    <cellStyle name="40 % - Accent3" xfId="334"/>
    <cellStyle name="40 % - Accent3 2" xfId="335"/>
    <cellStyle name="40 % - Accent3 2 2" xfId="336"/>
    <cellStyle name="40 % - Accent3 2 3" xfId="337"/>
    <cellStyle name="40 % - Accent3 3" xfId="338"/>
    <cellStyle name="40 % - Accent3 4" xfId="339"/>
    <cellStyle name="40 % - Accent3 5" xfId="340"/>
    <cellStyle name="40 % - Accent4" xfId="341"/>
    <cellStyle name="40 % - Accent4 2" xfId="342"/>
    <cellStyle name="40 % - Accent4 2 2" xfId="343"/>
    <cellStyle name="40 % - Accent4 2 3" xfId="344"/>
    <cellStyle name="40 % - Accent4 3" xfId="345"/>
    <cellStyle name="40 % - Accent4 4" xfId="346"/>
    <cellStyle name="40 % - Accent4 5" xfId="347"/>
    <cellStyle name="40 % - Accent5" xfId="348"/>
    <cellStyle name="40 % - Accent5 2" xfId="349"/>
    <cellStyle name="40 % - Accent5 2 2" xfId="350"/>
    <cellStyle name="40 % - Accent5 2 3" xfId="351"/>
    <cellStyle name="40 % - Accent5 3" xfId="352"/>
    <cellStyle name="40 % - Accent5 4" xfId="353"/>
    <cellStyle name="40 % - Accent5 5" xfId="354"/>
    <cellStyle name="40 % - Accent6" xfId="355"/>
    <cellStyle name="40 % - Accent6 2" xfId="356"/>
    <cellStyle name="40 % - Accent6 2 2" xfId="357"/>
    <cellStyle name="40 % - Accent6 2 3" xfId="358"/>
    <cellStyle name="40 % - Accent6 3" xfId="359"/>
    <cellStyle name="40 % - Accent6 4" xfId="360"/>
    <cellStyle name="40 % - Accent6 5" xfId="361"/>
    <cellStyle name="40% - 1. jelölőszín 2" xfId="362"/>
    <cellStyle name="40% - 2. jelölőszín 2" xfId="363"/>
    <cellStyle name="40% - 3. jelölőszín 2" xfId="364"/>
    <cellStyle name="40% - 4. jelölőszín 2" xfId="365"/>
    <cellStyle name="40% - 5. jelölőszín 2" xfId="366"/>
    <cellStyle name="40% - 6. jelölőszín 2" xfId="367"/>
    <cellStyle name="40% - Accent1 2" xfId="368"/>
    <cellStyle name="40% - Accent1 2 2" xfId="369"/>
    <cellStyle name="40% - Accent1 2 3" xfId="370"/>
    <cellStyle name="40% - Accent2 2" xfId="371"/>
    <cellStyle name="40% - Accent2 2 2" xfId="372"/>
    <cellStyle name="40% - Accent2 2 3" xfId="373"/>
    <cellStyle name="40% - Accent3 2" xfId="374"/>
    <cellStyle name="40% - Accent3 2 2" xfId="375"/>
    <cellStyle name="40% - Accent3 2 3" xfId="376"/>
    <cellStyle name="40% - Accent4 2" xfId="377"/>
    <cellStyle name="40% - Accent4 2 2" xfId="378"/>
    <cellStyle name="40% - Accent4 2 3" xfId="379"/>
    <cellStyle name="40% - Accent5 2" xfId="380"/>
    <cellStyle name="40% - Accent5 2 2" xfId="381"/>
    <cellStyle name="40% - Accent5 2 3" xfId="382"/>
    <cellStyle name="40% - Accent6 2" xfId="383"/>
    <cellStyle name="40% - Accent6 2 2" xfId="384"/>
    <cellStyle name="40% - Accent6 2 3" xfId="385"/>
    <cellStyle name="40% - Akzent1" xfId="386"/>
    <cellStyle name="40% - Akzent1 2" xfId="387"/>
    <cellStyle name="40% - Akzent2" xfId="388"/>
    <cellStyle name="40% - Akzent2 2" xfId="389"/>
    <cellStyle name="40% - Akzent3" xfId="390"/>
    <cellStyle name="40% - Akzent3 2" xfId="391"/>
    <cellStyle name="40% - Akzent4" xfId="392"/>
    <cellStyle name="40% - Akzent4 2" xfId="393"/>
    <cellStyle name="40% - Akzent5" xfId="394"/>
    <cellStyle name="40% - Akzent5 2" xfId="395"/>
    <cellStyle name="40% - Akzent6" xfId="396"/>
    <cellStyle name="40% - Akzent6 2" xfId="397"/>
    <cellStyle name="40% - Dekorfärg1" xfId="398"/>
    <cellStyle name="40% - Dekorfärg1 2" xfId="399"/>
    <cellStyle name="40% - Dekorfärg1 3" xfId="400"/>
    <cellStyle name="40% - Dekorfärg2" xfId="401"/>
    <cellStyle name="40% - Dekorfärg2 2" xfId="402"/>
    <cellStyle name="40% - Dekorfärg2 3" xfId="403"/>
    <cellStyle name="40% - Dekorfärg3" xfId="404"/>
    <cellStyle name="40% - Dekorfärg3 2" xfId="405"/>
    <cellStyle name="40% - Dekorfärg3 3" xfId="406"/>
    <cellStyle name="40% - Dekorfärg4" xfId="407"/>
    <cellStyle name="40% - Dekorfärg4 2" xfId="408"/>
    <cellStyle name="40% - Dekorfärg4 3" xfId="409"/>
    <cellStyle name="40% - Dekorfärg5" xfId="410"/>
    <cellStyle name="40% - Dekorfärg5 2" xfId="411"/>
    <cellStyle name="40% - Dekorfärg5 3" xfId="412"/>
    <cellStyle name="40% - Dekorfärg6" xfId="413"/>
    <cellStyle name="40% - Dekorfärg6 2" xfId="414"/>
    <cellStyle name="40% - Dekorfärg6 3" xfId="415"/>
    <cellStyle name="40% - Énfasis1" xfId="416"/>
    <cellStyle name="40% - Énfasis1 2" xfId="417"/>
    <cellStyle name="40% - Énfasis1 3" xfId="418"/>
    <cellStyle name="40% - Énfasis2" xfId="419"/>
    <cellStyle name="40% - Énfasis2 2" xfId="420"/>
    <cellStyle name="40% - Énfasis2 3" xfId="421"/>
    <cellStyle name="40% - Énfasis3" xfId="422"/>
    <cellStyle name="40% - Énfasis3 2" xfId="423"/>
    <cellStyle name="40% - Énfasis3 3" xfId="424"/>
    <cellStyle name="40% - Énfasis4" xfId="425"/>
    <cellStyle name="40% - Énfasis4 2" xfId="426"/>
    <cellStyle name="40% - Énfasis4 3" xfId="427"/>
    <cellStyle name="40% - Énfasis5" xfId="428"/>
    <cellStyle name="40% - Énfasis5 2" xfId="429"/>
    <cellStyle name="40% - Énfasis5 3" xfId="430"/>
    <cellStyle name="40% - Énfasis6" xfId="431"/>
    <cellStyle name="40% - Énfasis6 2" xfId="432"/>
    <cellStyle name="40% - Énfasis6 3" xfId="433"/>
    <cellStyle name="40% – paryškinimas 1" xfId="434"/>
    <cellStyle name="40% – paryškinimas 1 2" xfId="435"/>
    <cellStyle name="40% – paryškinimas 1 3" xfId="436"/>
    <cellStyle name="40% – paryškinimas 2" xfId="437"/>
    <cellStyle name="40% – paryškinimas 2 2" xfId="438"/>
    <cellStyle name="40% – paryškinimas 2 3" xfId="439"/>
    <cellStyle name="40% – paryškinimas 3" xfId="440"/>
    <cellStyle name="40% – paryškinimas 3 2" xfId="441"/>
    <cellStyle name="40% – paryškinimas 3 3" xfId="442"/>
    <cellStyle name="40% – paryškinimas 4" xfId="443"/>
    <cellStyle name="40% – paryškinimas 4 2" xfId="444"/>
    <cellStyle name="40% – paryškinimas 4 3" xfId="445"/>
    <cellStyle name="40% – paryškinimas 5" xfId="446"/>
    <cellStyle name="40% – paryškinimas 5 2" xfId="447"/>
    <cellStyle name="40% – paryškinimas 5 3" xfId="448"/>
    <cellStyle name="40% – paryškinimas 6" xfId="449"/>
    <cellStyle name="40% – paryškinimas 6 2" xfId="450"/>
    <cellStyle name="40% – paryškinimas 6 3" xfId="451"/>
    <cellStyle name="40% – rõhk1" xfId="452"/>
    <cellStyle name="40% – rõhk1 2" xfId="453"/>
    <cellStyle name="40% – rõhk1 2 2" xfId="454"/>
    <cellStyle name="40% – rõhk1 2 3" xfId="455"/>
    <cellStyle name="40% – rõhk1 3" xfId="456"/>
    <cellStyle name="40% – rõhk1 4" xfId="457"/>
    <cellStyle name="40% – rõhk1 5" xfId="458"/>
    <cellStyle name="40% – rõhk2" xfId="459"/>
    <cellStyle name="40% – rõhk2 2" xfId="460"/>
    <cellStyle name="40% – rõhk2 2 2" xfId="461"/>
    <cellStyle name="40% – rõhk2 2 3" xfId="462"/>
    <cellStyle name="40% – rõhk2 3" xfId="463"/>
    <cellStyle name="40% – rõhk2 4" xfId="464"/>
    <cellStyle name="40% – rõhk2 5" xfId="465"/>
    <cellStyle name="40% – rõhk3" xfId="466"/>
    <cellStyle name="40% – rõhk3 2" xfId="467"/>
    <cellStyle name="40% – rõhk3 2 2" xfId="468"/>
    <cellStyle name="40% – rõhk3 2 3" xfId="469"/>
    <cellStyle name="40% – rõhk3 3" xfId="470"/>
    <cellStyle name="40% – rõhk3 4" xfId="471"/>
    <cellStyle name="40% – rõhk3 5" xfId="472"/>
    <cellStyle name="40% – rõhk4" xfId="473"/>
    <cellStyle name="40% – rõhk4 2" xfId="474"/>
    <cellStyle name="40% – rõhk4 2 2" xfId="475"/>
    <cellStyle name="40% – rõhk4 2 3" xfId="476"/>
    <cellStyle name="40% – rõhk4 3" xfId="477"/>
    <cellStyle name="40% – rõhk4 4" xfId="478"/>
    <cellStyle name="40% – rõhk4 5" xfId="479"/>
    <cellStyle name="40% – rõhk5" xfId="480"/>
    <cellStyle name="40% – rõhk5 2" xfId="481"/>
    <cellStyle name="40% – rõhk5 2 2" xfId="482"/>
    <cellStyle name="40% – rõhk5 2 3" xfId="483"/>
    <cellStyle name="40% – rõhk5 3" xfId="484"/>
    <cellStyle name="40% – rõhk5 4" xfId="485"/>
    <cellStyle name="40% – rõhk5 5" xfId="486"/>
    <cellStyle name="40% – rõhk6" xfId="487"/>
    <cellStyle name="40% – rõhk6 2" xfId="488"/>
    <cellStyle name="40% – rõhk6 2 2" xfId="489"/>
    <cellStyle name="40% – rõhk6 2 3" xfId="490"/>
    <cellStyle name="40% – rõhk6 3" xfId="491"/>
    <cellStyle name="40% – rõhk6 4" xfId="492"/>
    <cellStyle name="40% – rõhk6 5" xfId="493"/>
    <cellStyle name="60 % - Aksentti1" xfId="494"/>
    <cellStyle name="60 % - Aksentti2" xfId="495"/>
    <cellStyle name="60 % - Aksentti3" xfId="496"/>
    <cellStyle name="60 % - Aksentti4" xfId="497"/>
    <cellStyle name="60 % - Aksentti5" xfId="498"/>
    <cellStyle name="60 % - Aksentti6" xfId="499"/>
    <cellStyle name="60 % - Akzent1" xfId="500"/>
    <cellStyle name="60 % - Akzent2" xfId="501"/>
    <cellStyle name="60 % - Akzent3" xfId="502"/>
    <cellStyle name="60 % - Akzent4" xfId="503"/>
    <cellStyle name="60 % - Akzent5" xfId="504"/>
    <cellStyle name="60 % - Akzent6" xfId="505"/>
    <cellStyle name="60 % - Markeringsfarve1" xfId="506"/>
    <cellStyle name="60 % - Markeringsfarve2" xfId="507"/>
    <cellStyle name="60 % - Markeringsfarve3" xfId="508"/>
    <cellStyle name="60 % - Markeringsfarve4" xfId="509"/>
    <cellStyle name="60 % - Markeringsfarve5" xfId="510"/>
    <cellStyle name="60 % - Markeringsfarve6" xfId="511"/>
    <cellStyle name="60 % - Accent1" xfId="512"/>
    <cellStyle name="60 % - Accent1 2" xfId="513"/>
    <cellStyle name="60 % - Accent2" xfId="514"/>
    <cellStyle name="60 % - Accent2 2" xfId="515"/>
    <cellStyle name="60 % - Accent3" xfId="516"/>
    <cellStyle name="60 % - Accent3 2" xfId="517"/>
    <cellStyle name="60 % - Accent4" xfId="518"/>
    <cellStyle name="60 % - Accent4 2" xfId="519"/>
    <cellStyle name="60 % - Accent5" xfId="520"/>
    <cellStyle name="60 % - Accent5 2" xfId="521"/>
    <cellStyle name="60 % - Accent6" xfId="522"/>
    <cellStyle name="60 % - Accent6 2" xfId="523"/>
    <cellStyle name="60% - 1. jelölőszín 2" xfId="524"/>
    <cellStyle name="60% - 2. jelölőszín 2" xfId="525"/>
    <cellStyle name="60% - 3. jelölőszín 2" xfId="526"/>
    <cellStyle name="60% - 4. jelölőszín 2" xfId="527"/>
    <cellStyle name="60% - 5. jelölőszín 2" xfId="528"/>
    <cellStyle name="60% - 6. jelölőszín 2" xfId="529"/>
    <cellStyle name="60% - Accent1 2" xfId="530"/>
    <cellStyle name="60% - Accent1 3" xfId="531"/>
    <cellStyle name="60% - Accent1 3 10" xfId="532"/>
    <cellStyle name="60% - Accent1 3 11" xfId="533"/>
    <cellStyle name="60% - Accent1 3 12" xfId="534"/>
    <cellStyle name="60% - Accent1 3 13" xfId="535"/>
    <cellStyle name="60% - Accent1 3 2" xfId="536"/>
    <cellStyle name="60% - Accent1 3 3" xfId="537"/>
    <cellStyle name="60% - Accent1 3 4" xfId="538"/>
    <cellStyle name="60% - Accent1 3 5" xfId="539"/>
    <cellStyle name="60% - Accent1 3 6" xfId="540"/>
    <cellStyle name="60% - Accent1 3 7" xfId="541"/>
    <cellStyle name="60% - Accent1 3 8" xfId="542"/>
    <cellStyle name="60% - Accent1 3 9" xfId="543"/>
    <cellStyle name="60% - Accent2 2" xfId="544"/>
    <cellStyle name="60% - Accent3 2" xfId="545"/>
    <cellStyle name="60% - Accent4 2" xfId="546"/>
    <cellStyle name="60% - Accent5 2" xfId="547"/>
    <cellStyle name="60% - Accent6 2" xfId="548"/>
    <cellStyle name="60% - Akzent1" xfId="549"/>
    <cellStyle name="60% - Akzent2" xfId="550"/>
    <cellStyle name="60% - Akzent3" xfId="551"/>
    <cellStyle name="60% - Akzent4" xfId="552"/>
    <cellStyle name="60% - Akzent5" xfId="553"/>
    <cellStyle name="60% - Akzent6" xfId="554"/>
    <cellStyle name="60% - Dekorfärg1" xfId="555"/>
    <cellStyle name="60% - Dekorfärg2" xfId="556"/>
    <cellStyle name="60% - Dekorfärg3" xfId="557"/>
    <cellStyle name="60% - Dekorfärg4" xfId="558"/>
    <cellStyle name="60% - Dekorfärg5" xfId="559"/>
    <cellStyle name="60% - Dekorfärg6" xfId="560"/>
    <cellStyle name="60% - Énfasis1" xfId="561"/>
    <cellStyle name="60% - Énfasis2" xfId="562"/>
    <cellStyle name="60% - Énfasis3" xfId="563"/>
    <cellStyle name="60% - Énfasis4" xfId="564"/>
    <cellStyle name="60% - Énfasis5" xfId="565"/>
    <cellStyle name="60% - Énfasis6" xfId="566"/>
    <cellStyle name="60% – paryškinimas 1" xfId="567"/>
    <cellStyle name="60% – paryškinimas 2" xfId="568"/>
    <cellStyle name="60% – paryškinimas 3" xfId="569"/>
    <cellStyle name="60% – paryškinimas 4" xfId="570"/>
    <cellStyle name="60% – paryškinimas 5" xfId="571"/>
    <cellStyle name="60% – paryškinimas 6" xfId="572"/>
    <cellStyle name="60% – rõhk1" xfId="573"/>
    <cellStyle name="60% – rõhk1 2" xfId="574"/>
    <cellStyle name="60% – rõhk1 3" xfId="575"/>
    <cellStyle name="60% – rõhk2" xfId="576"/>
    <cellStyle name="60% – rõhk2 2" xfId="577"/>
    <cellStyle name="60% – rõhk2 3" xfId="578"/>
    <cellStyle name="60% – rõhk3" xfId="579"/>
    <cellStyle name="60% – rõhk3 2" xfId="580"/>
    <cellStyle name="60% – rõhk3 3" xfId="581"/>
    <cellStyle name="60% – rõhk4" xfId="582"/>
    <cellStyle name="60% – rõhk4 2" xfId="583"/>
    <cellStyle name="60% – rõhk4 3" xfId="584"/>
    <cellStyle name="60% – rõhk5" xfId="585"/>
    <cellStyle name="60% – rõhk5 2" xfId="586"/>
    <cellStyle name="60% – rõhk5 3" xfId="587"/>
    <cellStyle name="60% – rõhk6" xfId="588"/>
    <cellStyle name="60% – rõhk6 2" xfId="589"/>
    <cellStyle name="60% – rõhk6 3" xfId="590"/>
    <cellStyle name="AA Nombre" xfId="591"/>
    <cellStyle name="Accent1 2" xfId="592"/>
    <cellStyle name="Accent1 2 10" xfId="593"/>
    <cellStyle name="Accent1 2 11" xfId="594"/>
    <cellStyle name="Accent1 2 12" xfId="595"/>
    <cellStyle name="Accent1 2 13" xfId="596"/>
    <cellStyle name="Accent1 2 14" xfId="597"/>
    <cellStyle name="Accent1 2 2" xfId="598"/>
    <cellStyle name="Accent1 2 2 2" xfId="599"/>
    <cellStyle name="Accent1 2 2 3" xfId="600"/>
    <cellStyle name="Accent1 2 3" xfId="601"/>
    <cellStyle name="Accent1 2 3 10" xfId="602"/>
    <cellStyle name="Accent1 2 3 11" xfId="603"/>
    <cellStyle name="Accent1 2 3 12" xfId="604"/>
    <cellStyle name="Accent1 2 3 13" xfId="605"/>
    <cellStyle name="Accent1 2 3 2" xfId="606"/>
    <cellStyle name="Accent1 2 3 3" xfId="607"/>
    <cellStyle name="Accent1 2 3 4" xfId="608"/>
    <cellStyle name="Accent1 2 3 5" xfId="609"/>
    <cellStyle name="Accent1 2 3 6" xfId="610"/>
    <cellStyle name="Accent1 2 3 7" xfId="611"/>
    <cellStyle name="Accent1 2 3 8" xfId="612"/>
    <cellStyle name="Accent1 2 3 9" xfId="613"/>
    <cellStyle name="Accent1 2 4" xfId="614"/>
    <cellStyle name="Accent1 2 5" xfId="615"/>
    <cellStyle name="Accent1 2 6" xfId="616"/>
    <cellStyle name="Accent1 2 7" xfId="617"/>
    <cellStyle name="Accent1 2 8" xfId="618"/>
    <cellStyle name="Accent1 2 9" xfId="619"/>
    <cellStyle name="Accent1 3" xfId="620"/>
    <cellStyle name="Accent1 3 10" xfId="621"/>
    <cellStyle name="Accent1 3 11" xfId="622"/>
    <cellStyle name="Accent1 3 12" xfId="623"/>
    <cellStyle name="Accent1 3 13" xfId="624"/>
    <cellStyle name="Accent1 3 2" xfId="625"/>
    <cellStyle name="Accent1 3 3" xfId="626"/>
    <cellStyle name="Accent1 3 4" xfId="627"/>
    <cellStyle name="Accent1 3 5" xfId="628"/>
    <cellStyle name="Accent1 3 6" xfId="629"/>
    <cellStyle name="Accent1 3 7" xfId="630"/>
    <cellStyle name="Accent1 3 8" xfId="631"/>
    <cellStyle name="Accent1 3 9" xfId="632"/>
    <cellStyle name="Accent2 2" xfId="633"/>
    <cellStyle name="Accent2 3" xfId="634"/>
    <cellStyle name="Accent3 2" xfId="635"/>
    <cellStyle name="Accent4 2" xfId="636"/>
    <cellStyle name="Accent5 2" xfId="637"/>
    <cellStyle name="Accent5 3" xfId="638"/>
    <cellStyle name="Accent6 2" xfId="639"/>
    <cellStyle name="Accent6 3" xfId="640"/>
    <cellStyle name="Advarselstekst" xfId="641"/>
    <cellStyle name="Aiškinamasis tekstas" xfId="642"/>
    <cellStyle name="Aksentti1" xfId="643"/>
    <cellStyle name="Aksentti2" xfId="644"/>
    <cellStyle name="Aksentti3" xfId="645"/>
    <cellStyle name="Aksentti4" xfId="646"/>
    <cellStyle name="Aksentti5" xfId="647"/>
    <cellStyle name="Aksentti6" xfId="648"/>
    <cellStyle name="Akzent1" xfId="649"/>
    <cellStyle name="Akzent2" xfId="650"/>
    <cellStyle name="Akzent3" xfId="651"/>
    <cellStyle name="Akzent4" xfId="652"/>
    <cellStyle name="Akzent5" xfId="653"/>
    <cellStyle name="Akzent6" xfId="654"/>
    <cellStyle name="Anos" xfId="655"/>
    <cellStyle name="Anteckning" xfId="656"/>
    <cellStyle name="Arvutus" xfId="657"/>
    <cellStyle name="Arvutus 2" xfId="658"/>
    <cellStyle name="Arvutus 3" xfId="659"/>
    <cellStyle name="assumption 1" xfId="660"/>
    <cellStyle name="assumption 2" xfId="661"/>
    <cellStyle name="assumption 4" xfId="662"/>
    <cellStyle name="Assumption Date" xfId="663"/>
    <cellStyle name="Ausgabe" xfId="664"/>
    <cellStyle name="Avertissement" xfId="665"/>
    <cellStyle name="Avertissement 2" xfId="666"/>
    <cellStyle name="Bad 2" xfId="667"/>
    <cellStyle name="Bad 3" xfId="668"/>
    <cellStyle name="Bemærk!" xfId="669"/>
    <cellStyle name="Beräkning" xfId="670"/>
    <cellStyle name="Berechnung" xfId="671"/>
    <cellStyle name="Beregning" xfId="672"/>
    <cellStyle name="Bevitel 2" xfId="673"/>
    <cellStyle name="BlankRow" xfId="674"/>
    <cellStyle name="Blogas" xfId="675"/>
    <cellStyle name="Bra" xfId="676"/>
    <cellStyle name="Buena" xfId="677"/>
    <cellStyle name="bullet" xfId="678"/>
    <cellStyle name="Calander_heading" xfId="679"/>
    <cellStyle name="Calc" xfId="680"/>
    <cellStyle name="Calc - Blue" xfId="681"/>
    <cellStyle name="Calc - Feed" xfId="682"/>
    <cellStyle name="Calc - Green" xfId="683"/>
    <cellStyle name="Calc - Grey" xfId="684"/>
    <cellStyle name="Calc - Index" xfId="685"/>
    <cellStyle name="Calc - White" xfId="686"/>
    <cellStyle name="Calc - yellow" xfId="687"/>
    <cellStyle name="Calc - yellow 2" xfId="688"/>
    <cellStyle name="Calc - yellow 3" xfId="689"/>
    <cellStyle name="Calc_BizMo" xfId="690"/>
    <cellStyle name="Calcul" xfId="691"/>
    <cellStyle name="Calcul 2" xfId="692"/>
    <cellStyle name="Calculation 2" xfId="693"/>
    <cellStyle name="Cálculo" xfId="694"/>
    <cellStyle name="Celda de comprobación" xfId="695"/>
    <cellStyle name="Celda vinculada" xfId="696"/>
    <cellStyle name="Cellule liée" xfId="697"/>
    <cellStyle name="Cellule liée 2" xfId="698"/>
    <cellStyle name="Check Box" xfId="699"/>
    <cellStyle name="Check Box Input" xfId="700"/>
    <cellStyle name="Check Box_First Capital Connect Financial Model" xfId="701"/>
    <cellStyle name="Check Cell 2" xfId="702"/>
    <cellStyle name="Cím 2" xfId="703"/>
    <cellStyle name="Címsor 1 2" xfId="704"/>
    <cellStyle name="Címsor 2 2" xfId="705"/>
    <cellStyle name="Címsor 3 2" xfId="706"/>
    <cellStyle name="Címsor 4 2" xfId="707"/>
    <cellStyle name="Column Title" xfId="708"/>
    <cellStyle name="comma (2)" xfId="709"/>
    <cellStyle name="Comma 10" xfId="710"/>
    <cellStyle name="Comma 10 2" xfId="711"/>
    <cellStyle name="Comma 10 3" xfId="712"/>
    <cellStyle name="Comma 11" xfId="713"/>
    <cellStyle name="Comma 11 2" xfId="714"/>
    <cellStyle name="Comma 11 2 2" xfId="715"/>
    <cellStyle name="Comma 11 2 3" xfId="716"/>
    <cellStyle name="Comma 11 3" xfId="717"/>
    <cellStyle name="Comma 11 4" xfId="718"/>
    <cellStyle name="Comma 11 5" xfId="719"/>
    <cellStyle name="Comma 11 6" xfId="720"/>
    <cellStyle name="Comma 12" xfId="721"/>
    <cellStyle name="Comma 12 2" xfId="722"/>
    <cellStyle name="Comma 13" xfId="723"/>
    <cellStyle name="Comma 13 2" xfId="724"/>
    <cellStyle name="Comma 13 2 2" xfId="725"/>
    <cellStyle name="Comma 13 3" xfId="726"/>
    <cellStyle name="Comma 13 3 2" xfId="727"/>
    <cellStyle name="Comma 14" xfId="728"/>
    <cellStyle name="Comma 14 2" xfId="729"/>
    <cellStyle name="Comma 14 2 2" xfId="730"/>
    <cellStyle name="Comma 14 3" xfId="731"/>
    <cellStyle name="Comma 14 3 2" xfId="732"/>
    <cellStyle name="Comma 15" xfId="733"/>
    <cellStyle name="Comma 15 2" xfId="734"/>
    <cellStyle name="Comma 15 2 2" xfId="735"/>
    <cellStyle name="Comma 15 3" xfId="736"/>
    <cellStyle name="Comma 15 3 2" xfId="737"/>
    <cellStyle name="Comma 16" xfId="738"/>
    <cellStyle name="Comma 16 2" xfId="739"/>
    <cellStyle name="Comma 16 2 2" xfId="740"/>
    <cellStyle name="Comma 16 3" xfId="741"/>
    <cellStyle name="Comma 16 3 2" xfId="742"/>
    <cellStyle name="Comma 16 4" xfId="743"/>
    <cellStyle name="Comma 17" xfId="744"/>
    <cellStyle name="Comma 17 2" xfId="745"/>
    <cellStyle name="Comma 18" xfId="746"/>
    <cellStyle name="Comma 18 2" xfId="747"/>
    <cellStyle name="Comma 18 2 2" xfId="748"/>
    <cellStyle name="Comma 18 3" xfId="749"/>
    <cellStyle name="Comma 18 3 2" xfId="750"/>
    <cellStyle name="Comma 19" xfId="751"/>
    <cellStyle name="Comma 19 2" xfId="752"/>
    <cellStyle name="Comma 19 2 2" xfId="753"/>
    <cellStyle name="Comma 19 3" xfId="754"/>
    <cellStyle name="Comma 19 3 2" xfId="755"/>
    <cellStyle name="Comma 2" xfId="756"/>
    <cellStyle name="Comma 2 2" xfId="757"/>
    <cellStyle name="Comma 2 3" xfId="758"/>
    <cellStyle name="Comma 2 3 2" xfId="759"/>
    <cellStyle name="Comma 2 3 2 2" xfId="760"/>
    <cellStyle name="Comma 2 3 3" xfId="761"/>
    <cellStyle name="Comma 2 3 3 2" xfId="762"/>
    <cellStyle name="Comma 2 4" xfId="763"/>
    <cellStyle name="Comma 2 4 2" xfId="764"/>
    <cellStyle name="Comma 2 4 3" xfId="765"/>
    <cellStyle name="Comma 2 5" xfId="766"/>
    <cellStyle name="Comma 2 6" xfId="767"/>
    <cellStyle name="Comma 2 7" xfId="768"/>
    <cellStyle name="Comma 2 8" xfId="769"/>
    <cellStyle name="Comma 20" xfId="770"/>
    <cellStyle name="Comma 20 2" xfId="771"/>
    <cellStyle name="Comma 20 2 2" xfId="772"/>
    <cellStyle name="Comma 20 3" xfId="773"/>
    <cellStyle name="Comma 20 3 2" xfId="774"/>
    <cellStyle name="Comma 21" xfId="775"/>
    <cellStyle name="Comma 22" xfId="776"/>
    <cellStyle name="Comma 23" xfId="777"/>
    <cellStyle name="Comma 24" xfId="778"/>
    <cellStyle name="Comma 25" xfId="779"/>
    <cellStyle name="Comma 26" xfId="780"/>
    <cellStyle name="Comma 27" xfId="781"/>
    <cellStyle name="Comma 28" xfId="782"/>
    <cellStyle name="Comma 29" xfId="783"/>
    <cellStyle name="Comma 3" xfId="784"/>
    <cellStyle name="Comma 3 2" xfId="785"/>
    <cellStyle name="Comma 3 3" xfId="786"/>
    <cellStyle name="Comma 3 4" xfId="787"/>
    <cellStyle name="Comma 30" xfId="788"/>
    <cellStyle name="Comma 31" xfId="789"/>
    <cellStyle name="Comma 32" xfId="790"/>
    <cellStyle name="Comma 33" xfId="791"/>
    <cellStyle name="Comma 34" xfId="792"/>
    <cellStyle name="Comma 35" xfId="793"/>
    <cellStyle name="Comma 36" xfId="794"/>
    <cellStyle name="Comma 37" xfId="795"/>
    <cellStyle name="Comma 38" xfId="796"/>
    <cellStyle name="Comma 39" xfId="797"/>
    <cellStyle name="Comma 4" xfId="798"/>
    <cellStyle name="Comma 4 2" xfId="799"/>
    <cellStyle name="Comma 4 2 2" xfId="800"/>
    <cellStyle name="Comma 4 3" xfId="801"/>
    <cellStyle name="Comma 4 4" xfId="802"/>
    <cellStyle name="Comma 4 5" xfId="803"/>
    <cellStyle name="Comma 40" xfId="804"/>
    <cellStyle name="Comma 41" xfId="805"/>
    <cellStyle name="Comma 42" xfId="806"/>
    <cellStyle name="Comma 43" xfId="807"/>
    <cellStyle name="Comma 44" xfId="808"/>
    <cellStyle name="Comma 45" xfId="809"/>
    <cellStyle name="Comma 46" xfId="810"/>
    <cellStyle name="Comma 47" xfId="811"/>
    <cellStyle name="Comma 48" xfId="812"/>
    <cellStyle name="Comma 49" xfId="813"/>
    <cellStyle name="Comma 5" xfId="814"/>
    <cellStyle name="Comma 5 2" xfId="815"/>
    <cellStyle name="Comma 5 2 2" xfId="816"/>
    <cellStyle name="Comma 5 3" xfId="817"/>
    <cellStyle name="Comma 50" xfId="818"/>
    <cellStyle name="Comma 51" xfId="819"/>
    <cellStyle name="Comma 52" xfId="820"/>
    <cellStyle name="Comma 53" xfId="821"/>
    <cellStyle name="Comma 54" xfId="822"/>
    <cellStyle name="Comma 55" xfId="823"/>
    <cellStyle name="Comma 56" xfId="824"/>
    <cellStyle name="Comma 57" xfId="825"/>
    <cellStyle name="Comma 58" xfId="826"/>
    <cellStyle name="Comma 59" xfId="827"/>
    <cellStyle name="Comma 6" xfId="828"/>
    <cellStyle name="Comma 6 2" xfId="829"/>
    <cellStyle name="Comma 6 2 2" xfId="830"/>
    <cellStyle name="Comma 6 3" xfId="831"/>
    <cellStyle name="Comma 60" xfId="832"/>
    <cellStyle name="Comma 61" xfId="833"/>
    <cellStyle name="Comma 62" xfId="834"/>
    <cellStyle name="Comma 63" xfId="835"/>
    <cellStyle name="Comma 64" xfId="836"/>
    <cellStyle name="Comma 65" xfId="837"/>
    <cellStyle name="Comma 66" xfId="838"/>
    <cellStyle name="Comma 67" xfId="839"/>
    <cellStyle name="Comma 68" xfId="840"/>
    <cellStyle name="Comma 69" xfId="841"/>
    <cellStyle name="Comma 7" xfId="842"/>
    <cellStyle name="Comma 7 2" xfId="843"/>
    <cellStyle name="Comma 7 3" xfId="844"/>
    <cellStyle name="Comma 70" xfId="845"/>
    <cellStyle name="Comma 71" xfId="846"/>
    <cellStyle name="Comma 72" xfId="847"/>
    <cellStyle name="Comma 73" xfId="848"/>
    <cellStyle name="Comma 74" xfId="849"/>
    <cellStyle name="Comma 75" xfId="850"/>
    <cellStyle name="Comma 76" xfId="851"/>
    <cellStyle name="Comma 77" xfId="852"/>
    <cellStyle name="Comma 78" xfId="853"/>
    <cellStyle name="Comma 79" xfId="854"/>
    <cellStyle name="Comma 8" xfId="855"/>
    <cellStyle name="Comma 8 2" xfId="856"/>
    <cellStyle name="Comma 8 3" xfId="857"/>
    <cellStyle name="Comma 80" xfId="858"/>
    <cellStyle name="Comma 81" xfId="859"/>
    <cellStyle name="Comma 82" xfId="860"/>
    <cellStyle name="Comma 83" xfId="861"/>
    <cellStyle name="Comma 84" xfId="862"/>
    <cellStyle name="Comma 85" xfId="863"/>
    <cellStyle name="Comma 86" xfId="864"/>
    <cellStyle name="Comma 87" xfId="865"/>
    <cellStyle name="Comma 88" xfId="866"/>
    <cellStyle name="Comma 89" xfId="867"/>
    <cellStyle name="Comma 9" xfId="868"/>
    <cellStyle name="Comma 9 2" xfId="869"/>
    <cellStyle name="Comma 9 3" xfId="870"/>
    <cellStyle name="Comma 9 4" xfId="871"/>
    <cellStyle name="Comma 90" xfId="872"/>
    <cellStyle name="Comma 91" xfId="873"/>
    <cellStyle name="Comma(2)" xfId="874"/>
    <cellStyle name="Commentaire" xfId="875"/>
    <cellStyle name="Commentaire 2" xfId="876"/>
    <cellStyle name="Commentaire 3" xfId="877"/>
    <cellStyle name="Control Check" xfId="878"/>
    <cellStyle name="control table footer 1" xfId="879"/>
    <cellStyle name="control table header 1" xfId="880"/>
    <cellStyle name="Curren - Style1" xfId="881"/>
    <cellStyle name="Curren - Style4" xfId="882"/>
    <cellStyle name="Currency 2" xfId="883"/>
    <cellStyle name="Dålig" xfId="884"/>
    <cellStyle name="Data" xfId="885"/>
    <cellStyle name="Date" xfId="886"/>
    <cellStyle name="Deviant" xfId="887"/>
    <cellStyle name="Dezimal [0]_aM120029" xfId="888"/>
    <cellStyle name="Dezimal_aM120029" xfId="889"/>
    <cellStyle name="Effect Symbol" xfId="890"/>
    <cellStyle name="Eingabe" xfId="891"/>
    <cellStyle name="Ellenőrzőcella 2" xfId="892"/>
    <cellStyle name="Encabezado 4" xfId="893"/>
    <cellStyle name="Énfasis1" xfId="894"/>
    <cellStyle name="Énfasis2" xfId="895"/>
    <cellStyle name="Énfasis3" xfId="896"/>
    <cellStyle name="Énfasis4" xfId="897"/>
    <cellStyle name="Énfasis5" xfId="898"/>
    <cellStyle name="Énfasis6" xfId="899"/>
    <cellStyle name="Entrada" xfId="900"/>
    <cellStyle name="Entrée" xfId="901"/>
    <cellStyle name="Entrée 2" xfId="902"/>
    <cellStyle name="Ergebnis" xfId="903"/>
    <cellStyle name="Erklärender Text" xfId="904"/>
    <cellStyle name="Euro" xfId="905"/>
    <cellStyle name="Euro 10" xfId="906"/>
    <cellStyle name="Euro 2" xfId="907"/>
    <cellStyle name="Euro 2 2" xfId="908"/>
    <cellStyle name="Euro 2 2 2" xfId="909"/>
    <cellStyle name="Euro 2 2 3" xfId="910"/>
    <cellStyle name="Euro 2 3" xfId="911"/>
    <cellStyle name="Euro 3" xfId="912"/>
    <cellStyle name="Euro 3 2" xfId="913"/>
    <cellStyle name="Euro 4" xfId="914"/>
    <cellStyle name="Euro 4 2" xfId="915"/>
    <cellStyle name="Euro 5" xfId="916"/>
    <cellStyle name="Euro 6" xfId="917"/>
    <cellStyle name="Euro 7" xfId="918"/>
    <cellStyle name="Euro 8" xfId="919"/>
    <cellStyle name="Euro 9" xfId="920"/>
    <cellStyle name="Exception" xfId="921"/>
    <cellStyle name="Explanatory Text 2" xfId="922"/>
    <cellStyle name="External Links" xfId="923"/>
    <cellStyle name="Extra Large" xfId="924"/>
    <cellStyle name="EY House" xfId="925"/>
    <cellStyle name="EY%colcalc" xfId="926"/>
    <cellStyle name="EY%input" xfId="927"/>
    <cellStyle name="EY%rowcalc" xfId="928"/>
    <cellStyle name="EY0dp" xfId="929"/>
    <cellStyle name="EY1dp" xfId="930"/>
    <cellStyle name="EY2dp" xfId="931"/>
    <cellStyle name="EY3dp" xfId="932"/>
    <cellStyle name="EYColumnHeading" xfId="933"/>
    <cellStyle name="EYHeading1" xfId="934"/>
    <cellStyle name="EYheading2" xfId="935"/>
    <cellStyle name="EYheading3" xfId="936"/>
    <cellStyle name="EYnumber" xfId="937"/>
    <cellStyle name="EYSheetHeader1" xfId="938"/>
    <cellStyle name="EYtext" xfId="939"/>
    <cellStyle name="Ezres [,]" xfId="940"/>
    <cellStyle name="Ezres [,0]" xfId="941"/>
    <cellStyle name="Ezres 2" xfId="942"/>
    <cellStyle name="Ezres 3" xfId="943"/>
    <cellStyle name="Ezres 3 2" xfId="944"/>
    <cellStyle name="Factor" xfId="945"/>
    <cellStyle name="Färg1" xfId="946"/>
    <cellStyle name="Färg2" xfId="947"/>
    <cellStyle name="Färg3" xfId="948"/>
    <cellStyle name="Färg4" xfId="949"/>
    <cellStyle name="Färg5" xfId="950"/>
    <cellStyle name="Färg6" xfId="951"/>
    <cellStyle name="Feed Label" xfId="952"/>
    <cellStyle name="Feeder Field" xfId="953"/>
    <cellStyle name="Figyelmeztetés 2" xfId="954"/>
    <cellStyle name="Fine" xfId="955"/>
    <cellStyle name="Fixed" xfId="956"/>
    <cellStyle name="Fixed 2" xfId="957"/>
    <cellStyle name="Fixed 3" xfId="958"/>
    <cellStyle name="Fixed3 - Style3" xfId="959"/>
    <cellStyle name="Förklarande text" xfId="960"/>
    <cellStyle name="Forklarende tekst" xfId="961"/>
    <cellStyle name="From" xfId="962"/>
    <cellStyle name="FS_reporting" xfId="963"/>
    <cellStyle name="Gap" xfId="964"/>
    <cellStyle name="Gap 2" xfId="965"/>
    <cellStyle name="Gap 3" xfId="966"/>
    <cellStyle name="Geras" xfId="967"/>
    <cellStyle name="God" xfId="968"/>
    <cellStyle name="Good 2" xfId="969"/>
    <cellStyle name="Greyed out" xfId="970"/>
    <cellStyle name="Gut" xfId="971"/>
    <cellStyle name="Halb" xfId="972"/>
    <cellStyle name="Halb 2" xfId="973"/>
    <cellStyle name="Halb 3" xfId="974"/>
    <cellStyle name="Hea" xfId="975"/>
    <cellStyle name="Hea 2" xfId="976"/>
    <cellStyle name="Hea 3" xfId="977"/>
    <cellStyle name="Header" xfId="978"/>
    <cellStyle name="Heading" xfId="979"/>
    <cellStyle name="Heading 1 2" xfId="980"/>
    <cellStyle name="Heading 1 3" xfId="981"/>
    <cellStyle name="Heading 2 2" xfId="982"/>
    <cellStyle name="Heading 2 3" xfId="983"/>
    <cellStyle name="Heading 3 2" xfId="984"/>
    <cellStyle name="Heading 4 2" xfId="985"/>
    <cellStyle name="Heading 4 3" xfId="986"/>
    <cellStyle name="HELV8BLUE" xfId="987"/>
    <cellStyle name="Hivatkozás 2" xfId="988"/>
    <cellStyle name="Hivatkozott cella 2" xfId="989"/>
    <cellStyle name="Hoiatustekst" xfId="990"/>
    <cellStyle name="Hoiatustekst 2" xfId="991"/>
    <cellStyle name="Hoiatustekst 3" xfId="992"/>
    <cellStyle name="Huomautus" xfId="993"/>
    <cellStyle name="Huomautus 2" xfId="994"/>
    <cellStyle name="Huono" xfId="995"/>
    <cellStyle name="hvb mjhgvhgv" xfId="996"/>
    <cellStyle name="Hyperlink 2" xfId="997"/>
    <cellStyle name="Hyperlink 3" xfId="998"/>
    <cellStyle name="Hyvä" xfId="999"/>
    <cellStyle name="Incorrecto" xfId="1000"/>
    <cellStyle name="Indata" xfId="1001"/>
    <cellStyle name="Index FITT" xfId="1002"/>
    <cellStyle name="Input (StyleA)" xfId="1003"/>
    <cellStyle name="Input 1" xfId="1004"/>
    <cellStyle name="Input 2" xfId="1005"/>
    <cellStyle name="Input 3" xfId="1006"/>
    <cellStyle name="Input 4" xfId="1007"/>
    <cellStyle name="Input 5" xfId="1008"/>
    <cellStyle name="Input 6" xfId="1009"/>
    <cellStyle name="Input Cell" xfId="1010"/>
    <cellStyle name="Insatisfaisant" xfId="1011"/>
    <cellStyle name="Insatisfaisant 2" xfId="1012"/>
    <cellStyle name="Instructions" xfId="1013"/>
    <cellStyle name="Įspėjimo tekstas" xfId="1014"/>
    <cellStyle name="Išvestis" xfId="1015"/>
    <cellStyle name="Įvestis" xfId="1016"/>
    <cellStyle name="Jegyzet 2" xfId="1017"/>
    <cellStyle name="Jelölőszín (1) 2" xfId="1018"/>
    <cellStyle name="Jelölőszín (2) 2" xfId="1019"/>
    <cellStyle name="Jelölőszín (3) 2" xfId="1020"/>
    <cellStyle name="Jelölőszín (4) 2" xfId="1021"/>
    <cellStyle name="Jelölőszín (5) 2" xfId="1022"/>
    <cellStyle name="Jelölőszín (6) 2" xfId="1023"/>
    <cellStyle name="Jó 2" xfId="1024"/>
    <cellStyle name="Kimenet 2" xfId="1025"/>
    <cellStyle name="Kokku" xfId="1026"/>
    <cellStyle name="Kokku 2" xfId="1027"/>
    <cellStyle name="Kokku 3" xfId="1028"/>
    <cellStyle name="Komma 2" xfId="1029"/>
    <cellStyle name="Komma 2 2" xfId="1030"/>
    <cellStyle name="Komma 2 3" xfId="1031"/>
    <cellStyle name="Komma 2 4" xfId="1032"/>
    <cellStyle name="Komma 2 5" xfId="1033"/>
    <cellStyle name="Komma 3" xfId="1034"/>
    <cellStyle name="Komma 4" xfId="1035"/>
    <cellStyle name="Komma 4 2" xfId="1036"/>
    <cellStyle name="Komma 4 3" xfId="1037"/>
    <cellStyle name="Kontrollcell" xfId="1038"/>
    <cellStyle name="Kontroller celle" xfId="1039"/>
    <cellStyle name="Kontrolli lahtrit" xfId="1040"/>
    <cellStyle name="Kontrolli lahtrit 2" xfId="1041"/>
    <cellStyle name="Kontrolli lahtrit 3" xfId="1042"/>
    <cellStyle name="KPMG Heading 1" xfId="1043"/>
    <cellStyle name="KPMG Heading 2" xfId="1044"/>
    <cellStyle name="KPMG Heading 3" xfId="1045"/>
    <cellStyle name="KPMG Heading 4" xfId="1046"/>
    <cellStyle name="KPMG Normal" xfId="1047"/>
    <cellStyle name="KPMG Normal Text" xfId="1048"/>
    <cellStyle name="Lable_1" xfId="1049"/>
    <cellStyle name="Länkad cell" xfId="1050"/>
    <cellStyle name="Large" xfId="1051"/>
    <cellStyle name="Laskenta" xfId="1052"/>
    <cellStyle name="Lingitud lahter" xfId="1053"/>
    <cellStyle name="Lingitud lahter 2" xfId="1054"/>
    <cellStyle name="Lingitud lahter 3" xfId="1055"/>
    <cellStyle name="Linked Cell 2" xfId="1056"/>
    <cellStyle name="Linkitetty solu" xfId="1057"/>
    <cellStyle name="Lookup References" xfId="1058"/>
    <cellStyle name="Magyarázó szöveg 2" xfId="1059"/>
    <cellStyle name="Markeringsfarve1" xfId="1060"/>
    <cellStyle name="Markeringsfarve2" xfId="1061"/>
    <cellStyle name="Markeringsfarve3" xfId="1062"/>
    <cellStyle name="Markeringsfarve4" xfId="1063"/>
    <cellStyle name="Markeringsfarve5" xfId="1064"/>
    <cellStyle name="Markeringsfarve6" xfId="1065"/>
    <cellStyle name="Märkus" xfId="1066"/>
    <cellStyle name="Märkus 2" xfId="1067"/>
    <cellStyle name="Märkus 3" xfId="1068"/>
    <cellStyle name="Medium" xfId="1069"/>
    <cellStyle name="Migliaia (0)_Brazil" xfId="1070"/>
    <cellStyle name="Migliaia [0] 2" xfId="1071"/>
    <cellStyle name="Migliaia [0] 2 2" xfId="1072"/>
    <cellStyle name="Migliaia [0] 3" xfId="1073"/>
    <cellStyle name="Migliaia [0] 3 2" xfId="1074"/>
    <cellStyle name="Migliaia [0] 4" xfId="1075"/>
    <cellStyle name="Migliaia [0] 4 2" xfId="1076"/>
    <cellStyle name="Migliaia [0] 5" xfId="1077"/>
    <cellStyle name="Migliaia [0] 5 2" xfId="1078"/>
    <cellStyle name="Migliaia [0] 5 3" xfId="1079"/>
    <cellStyle name="Migliaia [0] 5 4" xfId="1080"/>
    <cellStyle name="Migliaia [0] 6" xfId="1081"/>
    <cellStyle name="Migliaia [0] 6 2" xfId="1082"/>
    <cellStyle name="Migliaia [0] 6 3" xfId="1083"/>
    <cellStyle name="Migliaia [0] 7" xfId="1084"/>
    <cellStyle name="Migliaia [0] 7 2" xfId="1085"/>
    <cellStyle name="Migliaia [0] 7 3" xfId="1086"/>
    <cellStyle name="Migliaia 10" xfId="1087"/>
    <cellStyle name="Migliaia 11" xfId="1088"/>
    <cellStyle name="Migliaia 12" xfId="1089"/>
    <cellStyle name="Migliaia 13" xfId="1090"/>
    <cellStyle name="Migliaia 14" xfId="1091"/>
    <cellStyle name="Migliaia 15" xfId="1092"/>
    <cellStyle name="Migliaia 16" xfId="1093"/>
    <cellStyle name="Migliaia 17" xfId="1094"/>
    <cellStyle name="Migliaia 18" xfId="1095"/>
    <cellStyle name="Migliaia 19" xfId="1096"/>
    <cellStyle name="Migliaia 2" xfId="1097"/>
    <cellStyle name="Migliaia 2 2" xfId="1098"/>
    <cellStyle name="Migliaia 20" xfId="1099"/>
    <cellStyle name="Migliaia 21" xfId="1100"/>
    <cellStyle name="Migliaia 22" xfId="1101"/>
    <cellStyle name="Migliaia 23" xfId="1102"/>
    <cellStyle name="Migliaia 24" xfId="1103"/>
    <cellStyle name="Migliaia 25" xfId="1104"/>
    <cellStyle name="Migliaia 26" xfId="1105"/>
    <cellStyle name="Migliaia 27" xfId="1106"/>
    <cellStyle name="Migliaia 28" xfId="1107"/>
    <cellStyle name="Migliaia 29" xfId="1108"/>
    <cellStyle name="Migliaia 29 2" xfId="1109"/>
    <cellStyle name="Migliaia 29 3" xfId="1110"/>
    <cellStyle name="Migliaia 29 4" xfId="1111"/>
    <cellStyle name="Migliaia 3" xfId="1112"/>
    <cellStyle name="Migliaia 3 2" xfId="1113"/>
    <cellStyle name="Migliaia 30" xfId="1114"/>
    <cellStyle name="Migliaia 30 2" xfId="1115"/>
    <cellStyle name="Migliaia 30 3" xfId="1116"/>
    <cellStyle name="Migliaia 30 4" xfId="1117"/>
    <cellStyle name="Migliaia 31" xfId="1118"/>
    <cellStyle name="Migliaia 31 2" xfId="1119"/>
    <cellStyle name="Migliaia 31 3" xfId="1120"/>
    <cellStyle name="Migliaia 32" xfId="1121"/>
    <cellStyle name="Migliaia 32 2" xfId="1122"/>
    <cellStyle name="Migliaia 32 3" xfId="1123"/>
    <cellStyle name="Migliaia 33" xfId="1124"/>
    <cellStyle name="Migliaia 33 2" xfId="1125"/>
    <cellStyle name="Migliaia 33 3" xfId="1126"/>
    <cellStyle name="Migliaia 4" xfId="1127"/>
    <cellStyle name="Migliaia 5" xfId="1128"/>
    <cellStyle name="Migliaia 5 2" xfId="1129"/>
    <cellStyle name="Migliaia 5 3" xfId="1130"/>
    <cellStyle name="Migliaia 6" xfId="1131"/>
    <cellStyle name="Migliaia 6 2" xfId="1132"/>
    <cellStyle name="Migliaia 6 3" xfId="1133"/>
    <cellStyle name="Migliaia 6 4" xfId="1134"/>
    <cellStyle name="Migliaia 7" xfId="1135"/>
    <cellStyle name="Migliaia 8" xfId="1136"/>
    <cellStyle name="Migliaia 9" xfId="1137"/>
    <cellStyle name="Milliers [0]_FNMA tasse2" xfId="1138"/>
    <cellStyle name="Milliers 2" xfId="1139"/>
    <cellStyle name="Milliers_FNMA tasse2" xfId="1140"/>
    <cellStyle name="Modelling References" xfId="1141"/>
    <cellStyle name="Monétaire [0]_FNMA tasse2" xfId="1142"/>
    <cellStyle name="Monétaire_FNMA tasse2" xfId="1143"/>
    <cellStyle name="Named Range" xfId="1144"/>
    <cellStyle name="Named Range Tag" xfId="1145"/>
    <cellStyle name="Named Range_Book2" xfId="1146"/>
    <cellStyle name="Neutraali" xfId="1147"/>
    <cellStyle name="Neutraalne" xfId="1148"/>
    <cellStyle name="Neutraalne 2" xfId="1149"/>
    <cellStyle name="Neutraalne 3" xfId="1150"/>
    <cellStyle name="Neutral 2" xfId="1151"/>
    <cellStyle name="Neutralus" xfId="1152"/>
    <cellStyle name="Neutre" xfId="1153"/>
    <cellStyle name="Neutre 2" xfId="1154"/>
    <cellStyle name="Normaali 2" xfId="1155"/>
    <cellStyle name="Normaali 2 2" xfId="1156"/>
    <cellStyle name="Normal" xfId="0" builtinId="0"/>
    <cellStyle name="Normal - Style1" xfId="1157"/>
    <cellStyle name="Normal 10" xfId="1158"/>
    <cellStyle name="Normál 10" xfId="1159"/>
    <cellStyle name="Normal 10 2" xfId="1160"/>
    <cellStyle name="Normal 10 3" xfId="1161"/>
    <cellStyle name="Normal 10 4" xfId="1162"/>
    <cellStyle name="Normal 10 5" xfId="1163"/>
    <cellStyle name="Normal 100" xfId="1164"/>
    <cellStyle name="Normal 101" xfId="1165"/>
    <cellStyle name="Normal 102" xfId="1166"/>
    <cellStyle name="Normal 103" xfId="1167"/>
    <cellStyle name="Normal 104" xfId="1168"/>
    <cellStyle name="Normal 105" xfId="1169"/>
    <cellStyle name="Normal 106" xfId="1170"/>
    <cellStyle name="Normal 107" xfId="1171"/>
    <cellStyle name="Normal 108" xfId="1172"/>
    <cellStyle name="Normal 109" xfId="1173"/>
    <cellStyle name="Normal 11" xfId="1174"/>
    <cellStyle name="Normál 11" xfId="1175"/>
    <cellStyle name="Normal 11 2" xfId="1176"/>
    <cellStyle name="Normal 11 2 2" xfId="1177"/>
    <cellStyle name="Normal 11 3" xfId="1178"/>
    <cellStyle name="Normal 11 4" xfId="1179"/>
    <cellStyle name="Normal 110" xfId="1180"/>
    <cellStyle name="Normal 111" xfId="1181"/>
    <cellStyle name="Normal 112" xfId="1182"/>
    <cellStyle name="Normal 113" xfId="1183"/>
    <cellStyle name="Normal 114" xfId="1184"/>
    <cellStyle name="Normal 115" xfId="1185"/>
    <cellStyle name="Normal 116" xfId="1186"/>
    <cellStyle name="Normal 117" xfId="1187"/>
    <cellStyle name="Normal 118" xfId="1188"/>
    <cellStyle name="Normal 119" xfId="1189"/>
    <cellStyle name="Normal 12" xfId="1190"/>
    <cellStyle name="Normál 12" xfId="1191"/>
    <cellStyle name="Normal 12 2" xfId="1192"/>
    <cellStyle name="Normal 12 2 2" xfId="1193"/>
    <cellStyle name="Normal 12 3" xfId="1194"/>
    <cellStyle name="Normal 12 4" xfId="1195"/>
    <cellStyle name="Normal 120" xfId="1196"/>
    <cellStyle name="Normal 121" xfId="1197"/>
    <cellStyle name="Normal 122" xfId="1198"/>
    <cellStyle name="Normal 123" xfId="1199"/>
    <cellStyle name="Normal 124" xfId="1200"/>
    <cellStyle name="Normal 125" xfId="1201"/>
    <cellStyle name="Normal 126" xfId="1202"/>
    <cellStyle name="Normal 127" xfId="1203"/>
    <cellStyle name="Normal 13" xfId="1204"/>
    <cellStyle name="Normál 13" xfId="1205"/>
    <cellStyle name="Normal 13 2" xfId="1206"/>
    <cellStyle name="Normal 13 2 2" xfId="1207"/>
    <cellStyle name="Normal 13 3" xfId="1208"/>
    <cellStyle name="Normal 13 4" xfId="1209"/>
    <cellStyle name="Normal 14" xfId="1210"/>
    <cellStyle name="Normál 14" xfId="1211"/>
    <cellStyle name="Normal 14 2" xfId="1212"/>
    <cellStyle name="Normal 14 2 2" xfId="1213"/>
    <cellStyle name="Normal 14 2 3" xfId="1214"/>
    <cellStyle name="Normal 14 3" xfId="1215"/>
    <cellStyle name="Normal 15" xfId="1216"/>
    <cellStyle name="Normál 15" xfId="1217"/>
    <cellStyle name="Normal 15 10" xfId="1218"/>
    <cellStyle name="Normal 15 11" xfId="1219"/>
    <cellStyle name="Normal 15 12" xfId="1220"/>
    <cellStyle name="Normal 15 13" xfId="1221"/>
    <cellStyle name="Normal 15 14" xfId="1222"/>
    <cellStyle name="Normal 15 15" xfId="1223"/>
    <cellStyle name="Normal 15 16" xfId="1224"/>
    <cellStyle name="Normal 15 17" xfId="1225"/>
    <cellStyle name="Normal 15 18" xfId="1226"/>
    <cellStyle name="Normal 15 19" xfId="1227"/>
    <cellStyle name="Normal 15 2" xfId="1228"/>
    <cellStyle name="Normal 15 20" xfId="1229"/>
    <cellStyle name="Normal 15 21" xfId="1230"/>
    <cellStyle name="Normal 15 22" xfId="1231"/>
    <cellStyle name="Normal 15 23" xfId="1232"/>
    <cellStyle name="Normal 15 24" xfId="1233"/>
    <cellStyle name="Normal 15 25" xfId="1234"/>
    <cellStyle name="Normal 15 26" xfId="1235"/>
    <cellStyle name="Normal 15 27" xfId="1236"/>
    <cellStyle name="Normal 15 28" xfId="1237"/>
    <cellStyle name="Normal 15 29" xfId="1238"/>
    <cellStyle name="Normal 15 3" xfId="1239"/>
    <cellStyle name="Normal 15 30" xfId="1240"/>
    <cellStyle name="Normal 15 31" xfId="1241"/>
    <cellStyle name="Normal 15 32" xfId="1242"/>
    <cellStyle name="Normal 15 4" xfId="1243"/>
    <cellStyle name="Normal 15 5" xfId="1244"/>
    <cellStyle name="Normal 15 6" xfId="1245"/>
    <cellStyle name="Normal 15 7" xfId="1246"/>
    <cellStyle name="Normal 15 8" xfId="1247"/>
    <cellStyle name="Normal 15 9" xfId="1248"/>
    <cellStyle name="Normal 16" xfId="1249"/>
    <cellStyle name="Normál 16" xfId="1250"/>
    <cellStyle name="Normal 16 10" xfId="1251"/>
    <cellStyle name="Normal 16 11" xfId="1252"/>
    <cellStyle name="Normal 16 12" xfId="1253"/>
    <cellStyle name="Normal 16 13" xfId="1254"/>
    <cellStyle name="Normal 16 14" xfId="1255"/>
    <cellStyle name="Normal 16 15" xfId="1256"/>
    <cellStyle name="Normal 16 16" xfId="1257"/>
    <cellStyle name="Normal 16 17" xfId="1258"/>
    <cellStyle name="Normal 16 18" xfId="1259"/>
    <cellStyle name="Normal 16 19" xfId="1260"/>
    <cellStyle name="Normal 16 2" xfId="1261"/>
    <cellStyle name="Normal 16 20" xfId="1262"/>
    <cellStyle name="Normal 16 21" xfId="1263"/>
    <cellStyle name="Normal 16 22" xfId="1264"/>
    <cellStyle name="Normal 16 23" xfId="1265"/>
    <cellStyle name="Normal 16 24" xfId="1266"/>
    <cellStyle name="Normal 16 25" xfId="1267"/>
    <cellStyle name="Normal 16 26" xfId="1268"/>
    <cellStyle name="Normal 16 27" xfId="1269"/>
    <cellStyle name="Normal 16 28" xfId="1270"/>
    <cellStyle name="Normal 16 29" xfId="1271"/>
    <cellStyle name="Normal 16 3" xfId="1272"/>
    <cellStyle name="Normal 16 30" xfId="1273"/>
    <cellStyle name="Normal 16 31" xfId="1274"/>
    <cellStyle name="Normal 16 32" xfId="1275"/>
    <cellStyle name="Normal 16 33" xfId="1276"/>
    <cellStyle name="Normal 16 34" xfId="1277"/>
    <cellStyle name="Normal 16 35" xfId="1278"/>
    <cellStyle name="Normal 16 36" xfId="1279"/>
    <cellStyle name="Normal 16 37" xfId="1280"/>
    <cellStyle name="Normal 16 38" xfId="1281"/>
    <cellStyle name="Normal 16 39" xfId="1282"/>
    <cellStyle name="Normal 16 4" xfId="1283"/>
    <cellStyle name="Normal 16 40" xfId="1284"/>
    <cellStyle name="Normal 16 41" xfId="1285"/>
    <cellStyle name="Normal 16 42" xfId="1286"/>
    <cellStyle name="Normal 16 43" xfId="1287"/>
    <cellStyle name="Normal 16 5" xfId="1288"/>
    <cellStyle name="Normal 16 6" xfId="1289"/>
    <cellStyle name="Normal 16 7" xfId="1290"/>
    <cellStyle name="Normal 16 8" xfId="1291"/>
    <cellStyle name="Normal 16 9" xfId="1292"/>
    <cellStyle name="Normal 17" xfId="1293"/>
    <cellStyle name="Normál 17" xfId="1294"/>
    <cellStyle name="Normal 17 10" xfId="1295"/>
    <cellStyle name="Normal 17 11" xfId="1296"/>
    <cellStyle name="Normal 17 12" xfId="1297"/>
    <cellStyle name="Normal 17 13" xfId="1298"/>
    <cellStyle name="Normal 17 14" xfId="1299"/>
    <cellStyle name="Normal 17 15" xfId="1300"/>
    <cellStyle name="Normal 17 16" xfId="1301"/>
    <cellStyle name="Normal 17 17" xfId="1302"/>
    <cellStyle name="Normal 17 18" xfId="1303"/>
    <cellStyle name="Normal 17 19" xfId="1304"/>
    <cellStyle name="Normal 17 2" xfId="1305"/>
    <cellStyle name="Normal 17 20" xfId="1306"/>
    <cellStyle name="Normal 17 21" xfId="1307"/>
    <cellStyle name="Normal 17 22" xfId="1308"/>
    <cellStyle name="Normal 17 23" xfId="1309"/>
    <cellStyle name="Normal 17 24" xfId="1310"/>
    <cellStyle name="Normal 17 25" xfId="1311"/>
    <cellStyle name="Normal 17 26" xfId="1312"/>
    <cellStyle name="Normal 17 27" xfId="1313"/>
    <cellStyle name="Normal 17 28" xfId="1314"/>
    <cellStyle name="Normal 17 29" xfId="1315"/>
    <cellStyle name="Normal 17 3" xfId="1316"/>
    <cellStyle name="Normal 17 30" xfId="1317"/>
    <cellStyle name="Normal 17 31" xfId="1318"/>
    <cellStyle name="Normal 17 32" xfId="1319"/>
    <cellStyle name="Normal 17 33" xfId="1320"/>
    <cellStyle name="Normal 17 34" xfId="1321"/>
    <cellStyle name="Normal 17 35" xfId="1322"/>
    <cellStyle name="Normal 17 36" xfId="1323"/>
    <cellStyle name="Normal 17 37" xfId="1324"/>
    <cellStyle name="Normal 17 38" xfId="1325"/>
    <cellStyle name="Normal 17 39" xfId="1326"/>
    <cellStyle name="Normal 17 4" xfId="1327"/>
    <cellStyle name="Normal 17 40" xfId="1328"/>
    <cellStyle name="Normal 17 41" xfId="1329"/>
    <cellStyle name="Normal 17 42" xfId="1330"/>
    <cellStyle name="Normal 17 43" xfId="1331"/>
    <cellStyle name="Normal 17 5" xfId="1332"/>
    <cellStyle name="Normal 17 6" xfId="1333"/>
    <cellStyle name="Normal 17 7" xfId="1334"/>
    <cellStyle name="Normal 17 8" xfId="1335"/>
    <cellStyle name="Normal 17 9" xfId="1336"/>
    <cellStyle name="Normal 18" xfId="1337"/>
    <cellStyle name="Normál 18" xfId="1338"/>
    <cellStyle name="Normal 18 2" xfId="1339"/>
    <cellStyle name="Normal 18 3" xfId="1340"/>
    <cellStyle name="Normal 18 4" xfId="1341"/>
    <cellStyle name="Normal 18 5" xfId="1342"/>
    <cellStyle name="Normal 18 6" xfId="1343"/>
    <cellStyle name="Normal 18 7" xfId="1344"/>
    <cellStyle name="Normal 18 8" xfId="1345"/>
    <cellStyle name="Normal 18 9" xfId="1346"/>
    <cellStyle name="Normal 19" xfId="1347"/>
    <cellStyle name="Normal 19 2" xfId="1348"/>
    <cellStyle name="Normal 2" xfId="1349"/>
    <cellStyle name="Normál 2" xfId="1350"/>
    <cellStyle name="Normal 2 10" xfId="1351"/>
    <cellStyle name="Normal 2 11" xfId="1352"/>
    <cellStyle name="Normal 2 12" xfId="1353"/>
    <cellStyle name="Normal 2 13" xfId="1354"/>
    <cellStyle name="Normal 2 14" xfId="1355"/>
    <cellStyle name="Normal 2 15" xfId="1356"/>
    <cellStyle name="Normal 2 16" xfId="1357"/>
    <cellStyle name="Normal 2 17" xfId="1358"/>
    <cellStyle name="Normal 2 18" xfId="1359"/>
    <cellStyle name="Normal 2 19" xfId="1360"/>
    <cellStyle name="Normal 2 2" xfId="1361"/>
    <cellStyle name="Normál 2 2" xfId="1362"/>
    <cellStyle name="Normal 2 2 2" xfId="1363"/>
    <cellStyle name="Normal 2 2 3" xfId="1364"/>
    <cellStyle name="Normal 2 2 4" xfId="1365"/>
    <cellStyle name="Normal 2 20" xfId="1366"/>
    <cellStyle name="Normal 2 21" xfId="1367"/>
    <cellStyle name="Normal 2 22" xfId="1368"/>
    <cellStyle name="Normal 2 23" xfId="1369"/>
    <cellStyle name="Normal 2 24" xfId="1370"/>
    <cellStyle name="Normal 2 25" xfId="1371"/>
    <cellStyle name="Normal 2 26" xfId="1372"/>
    <cellStyle name="Normal 2 27" xfId="1373"/>
    <cellStyle name="Normal 2 28" xfId="1374"/>
    <cellStyle name="Normal 2 29" xfId="1375"/>
    <cellStyle name="Normal 2 3" xfId="1376"/>
    <cellStyle name="Normál 2 3" xfId="1377"/>
    <cellStyle name="Normal 2 3 10" xfId="1378"/>
    <cellStyle name="Normal 2 3 11" xfId="1379"/>
    <cellStyle name="Normal 2 3 12" xfId="1380"/>
    <cellStyle name="Normal 2 3 13" xfId="1381"/>
    <cellStyle name="Normal 2 3 14" xfId="1382"/>
    <cellStyle name="Normal 2 3 15" xfId="1383"/>
    <cellStyle name="Normal 2 3 16" xfId="1384"/>
    <cellStyle name="Normal 2 3 17" xfId="1385"/>
    <cellStyle name="Normal 2 3 18" xfId="1386"/>
    <cellStyle name="Normal 2 3 19" xfId="1387"/>
    <cellStyle name="Normal 2 3 2" xfId="1388"/>
    <cellStyle name="Normal 2 3 2 2" xfId="1389"/>
    <cellStyle name="Normal 2 3 2 2 2" xfId="1390"/>
    <cellStyle name="Normal 2 3 2 3" xfId="1391"/>
    <cellStyle name="Normal 2 3 2 3 2" xfId="1392"/>
    <cellStyle name="Normal 2 3 2 4" xfId="1393"/>
    <cellStyle name="Normal 2 3 20" xfId="1394"/>
    <cellStyle name="Normal 2 3 21" xfId="1395"/>
    <cellStyle name="Normal 2 3 22" xfId="1396"/>
    <cellStyle name="Normal 2 3 23" xfId="1397"/>
    <cellStyle name="Normal 2 3 24" xfId="1398"/>
    <cellStyle name="Normal 2 3 25" xfId="1399"/>
    <cellStyle name="Normal 2 3 26" xfId="1400"/>
    <cellStyle name="Normal 2 3 27" xfId="1401"/>
    <cellStyle name="Normal 2 3 28" xfId="1402"/>
    <cellStyle name="Normal 2 3 29" xfId="1403"/>
    <cellStyle name="Normal 2 3 3" xfId="1404"/>
    <cellStyle name="Normal 2 3 3 2" xfId="1405"/>
    <cellStyle name="Normal 2 3 3 3" xfId="1406"/>
    <cellStyle name="Normal 2 3 30" xfId="1407"/>
    <cellStyle name="Normal 2 3 31" xfId="1408"/>
    <cellStyle name="Normal 2 3 32" xfId="1409"/>
    <cellStyle name="Normal 2 3 33" xfId="1410"/>
    <cellStyle name="Normal 2 3 34" xfId="1411"/>
    <cellStyle name="Normal 2 3 35" xfId="1412"/>
    <cellStyle name="Normal 2 3 36" xfId="1413"/>
    <cellStyle name="Normal 2 3 37" xfId="1414"/>
    <cellStyle name="Normal 2 3 38" xfId="1415"/>
    <cellStyle name="Normal 2 3 39" xfId="1416"/>
    <cellStyle name="Normal 2 3 4" xfId="1417"/>
    <cellStyle name="Normal 2 3 40" xfId="1418"/>
    <cellStyle name="Normal 2 3 41" xfId="1419"/>
    <cellStyle name="Normal 2 3 42" xfId="1420"/>
    <cellStyle name="Normal 2 3 43" xfId="1421"/>
    <cellStyle name="Normal 2 3 44" xfId="1422"/>
    <cellStyle name="Normal 2 3 45" xfId="1423"/>
    <cellStyle name="Normal 2 3 46" xfId="1424"/>
    <cellStyle name="Normal 2 3 47" xfId="1425"/>
    <cellStyle name="Normal 2 3 48" xfId="1426"/>
    <cellStyle name="Normal 2 3 5" xfId="1427"/>
    <cellStyle name="Normal 2 3 6" xfId="1428"/>
    <cellStyle name="Normal 2 3 7" xfId="1429"/>
    <cellStyle name="Normal 2 3 8" xfId="1430"/>
    <cellStyle name="Normal 2 3 9" xfId="1431"/>
    <cellStyle name="Normal 2 30" xfId="1432"/>
    <cellStyle name="Normal 2 31" xfId="1433"/>
    <cellStyle name="Normal 2 32" xfId="1434"/>
    <cellStyle name="Normal 2 33" xfId="1435"/>
    <cellStyle name="Normal 2 34" xfId="1436"/>
    <cellStyle name="Normal 2 35" xfId="1437"/>
    <cellStyle name="Normal 2 36" xfId="1438"/>
    <cellStyle name="Normal 2 37" xfId="1439"/>
    <cellStyle name="Normal 2 38" xfId="1440"/>
    <cellStyle name="Normal 2 39" xfId="1441"/>
    <cellStyle name="Normal 2 4" xfId="1442"/>
    <cellStyle name="Normál 2 4" xfId="1443"/>
    <cellStyle name="Normal 2 4 10" xfId="1444"/>
    <cellStyle name="Normal 2 4 11" xfId="1445"/>
    <cellStyle name="Normal 2 4 12" xfId="1446"/>
    <cellStyle name="Normal 2 4 13" xfId="1447"/>
    <cellStyle name="Normal 2 4 14" xfId="1448"/>
    <cellStyle name="Normal 2 4 15" xfId="1449"/>
    <cellStyle name="Normal 2 4 16" xfId="1450"/>
    <cellStyle name="Normal 2 4 17" xfId="1451"/>
    <cellStyle name="Normal 2 4 18" xfId="1452"/>
    <cellStyle name="Normal 2 4 19" xfId="1453"/>
    <cellStyle name="Normal 2 4 2" xfId="1454"/>
    <cellStyle name="Normal 2 4 20" xfId="1455"/>
    <cellStyle name="Normal 2 4 21" xfId="1456"/>
    <cellStyle name="Normal 2 4 22" xfId="1457"/>
    <cellStyle name="Normal 2 4 23" xfId="1458"/>
    <cellStyle name="Normal 2 4 24" xfId="1459"/>
    <cellStyle name="Normal 2 4 25" xfId="1460"/>
    <cellStyle name="Normal 2 4 26" xfId="1461"/>
    <cellStyle name="Normal 2 4 27" xfId="1462"/>
    <cellStyle name="Normal 2 4 28" xfId="1463"/>
    <cellStyle name="Normal 2 4 29" xfId="1464"/>
    <cellStyle name="Normal 2 4 3" xfId="1465"/>
    <cellStyle name="Normal 2 4 30" xfId="1466"/>
    <cellStyle name="Normal 2 4 31" xfId="1467"/>
    <cellStyle name="Normal 2 4 32" xfId="1468"/>
    <cellStyle name="Normal 2 4 33" xfId="1469"/>
    <cellStyle name="Normal 2 4 34" xfId="1470"/>
    <cellStyle name="Normal 2 4 35" xfId="1471"/>
    <cellStyle name="Normal 2 4 36" xfId="1472"/>
    <cellStyle name="Normal 2 4 37" xfId="1473"/>
    <cellStyle name="Normal 2 4 38" xfId="1474"/>
    <cellStyle name="Normal 2 4 4" xfId="1475"/>
    <cellStyle name="Normal 2 4 5" xfId="1476"/>
    <cellStyle name="Normal 2 4 6" xfId="1477"/>
    <cellStyle name="Normal 2 4 7" xfId="1478"/>
    <cellStyle name="Normal 2 4 8" xfId="1479"/>
    <cellStyle name="Normal 2 4 9" xfId="1480"/>
    <cellStyle name="Normal 2 40" xfId="1481"/>
    <cellStyle name="Normal 2 41" xfId="1482"/>
    <cellStyle name="Normal 2 42" xfId="1483"/>
    <cellStyle name="Normal 2 43" xfId="1484"/>
    <cellStyle name="Normal 2 44" xfId="1485"/>
    <cellStyle name="Normal 2 45" xfId="1486"/>
    <cellStyle name="Normal 2 46" xfId="1487"/>
    <cellStyle name="Normal 2 47" xfId="1488"/>
    <cellStyle name="Normal 2 48" xfId="1489"/>
    <cellStyle name="Normal 2 49" xfId="1490"/>
    <cellStyle name="Normal 2 5" xfId="1491"/>
    <cellStyle name="Normal 2 50" xfId="1492"/>
    <cellStyle name="Normal 2 51" xfId="1493"/>
    <cellStyle name="Normal 2 52" xfId="1494"/>
    <cellStyle name="Normal 2 53" xfId="1495"/>
    <cellStyle name="Normal 2 54" xfId="1496"/>
    <cellStyle name="Normal 2 55" xfId="1497"/>
    <cellStyle name="Normal 2 56" xfId="1498"/>
    <cellStyle name="Normal 2 57" xfId="1499"/>
    <cellStyle name="Normal 2 58" xfId="1500"/>
    <cellStyle name="Normal 2 59" xfId="1501"/>
    <cellStyle name="Normal 2 6" xfId="1502"/>
    <cellStyle name="Normal 2 6 2" xfId="1503"/>
    <cellStyle name="Normal 2 6 3" xfId="1504"/>
    <cellStyle name="Normal 2 60" xfId="1505"/>
    <cellStyle name="Normal 2 61" xfId="1506"/>
    <cellStyle name="Normal 2 62" xfId="1507"/>
    <cellStyle name="Normal 2 63" xfId="1508"/>
    <cellStyle name="Normal 2 64" xfId="1509"/>
    <cellStyle name="Normal 2 65" xfId="1510"/>
    <cellStyle name="Normal 2 66" xfId="1511"/>
    <cellStyle name="Normal 2 67" xfId="1512"/>
    <cellStyle name="Normal 2 68" xfId="1513"/>
    <cellStyle name="Normal 2 69" xfId="1514"/>
    <cellStyle name="Normal 2 7" xfId="1515"/>
    <cellStyle name="Normal 2 7 2" xfId="1516"/>
    <cellStyle name="Normal 2 70" xfId="1517"/>
    <cellStyle name="Normal 2 71" xfId="1518"/>
    <cellStyle name="Normal 2 72" xfId="1519"/>
    <cellStyle name="Normal 2 73" xfId="1520"/>
    <cellStyle name="Normal 2 74" xfId="1521"/>
    <cellStyle name="Normal 2 75" xfId="1522"/>
    <cellStyle name="Normal 2 76" xfId="1523"/>
    <cellStyle name="Normal 2 77" xfId="1524"/>
    <cellStyle name="Normal 2 78" xfId="1525"/>
    <cellStyle name="Normal 2 79" xfId="1526"/>
    <cellStyle name="Normal 2 8" xfId="1527"/>
    <cellStyle name="Normal 2 80" xfId="1528"/>
    <cellStyle name="Normal 2 81" xfId="1529"/>
    <cellStyle name="Normal 2 82" xfId="1530"/>
    <cellStyle name="Normal 2 83" xfId="1531"/>
    <cellStyle name="Normal 2 84" xfId="1532"/>
    <cellStyle name="Normal 2 85" xfId="1533"/>
    <cellStyle name="Normal 2 86" xfId="1534"/>
    <cellStyle name="Normal 2 87" xfId="1535"/>
    <cellStyle name="Normal 2 88" xfId="1536"/>
    <cellStyle name="Normal 2 89" xfId="1537"/>
    <cellStyle name="Normal 2 9" xfId="1538"/>
    <cellStyle name="Normal 2_checking unit rates-2009" xfId="1539"/>
    <cellStyle name="Normal 20" xfId="1540"/>
    <cellStyle name="Normal 20 2" xfId="1541"/>
    <cellStyle name="Normal 21" xfId="1542"/>
    <cellStyle name="Normal 21 2" xfId="1543"/>
    <cellStyle name="Normal 22" xfId="1544"/>
    <cellStyle name="Normal 22 2" xfId="1545"/>
    <cellStyle name="Normal 23" xfId="1546"/>
    <cellStyle name="Normal 23 2" xfId="1547"/>
    <cellStyle name="Normal 24" xfId="1548"/>
    <cellStyle name="Normal 24 2" xfId="1549"/>
    <cellStyle name="Normal 25" xfId="1550"/>
    <cellStyle name="Normal 25 2" xfId="1551"/>
    <cellStyle name="Normal 26" xfId="1552"/>
    <cellStyle name="Normal 26 2" xfId="1553"/>
    <cellStyle name="Normal 27" xfId="1554"/>
    <cellStyle name="Normal 27 2" xfId="1555"/>
    <cellStyle name="Normal 28" xfId="1556"/>
    <cellStyle name="Normal 28 2" xfId="1557"/>
    <cellStyle name="Normal 29" xfId="1558"/>
    <cellStyle name="Normal 29 2" xfId="1559"/>
    <cellStyle name="Normal 3" xfId="1560"/>
    <cellStyle name="Normál 3" xfId="1561"/>
    <cellStyle name="Normal 3 10" xfId="1562"/>
    <cellStyle name="Normal 3 11" xfId="1563"/>
    <cellStyle name="Normal 3 12" xfId="1564"/>
    <cellStyle name="Normal 3 13" xfId="1565"/>
    <cellStyle name="Normal 3 14" xfId="1566"/>
    <cellStyle name="Normal 3 15" xfId="1567"/>
    <cellStyle name="Normal 3 16" xfId="1568"/>
    <cellStyle name="Normal 3 17" xfId="1569"/>
    <cellStyle name="Normal 3 18" xfId="1570"/>
    <cellStyle name="Normal 3 19" xfId="1571"/>
    <cellStyle name="Normal 3 2" xfId="1572"/>
    <cellStyle name="Normál 3 2" xfId="1573"/>
    <cellStyle name="Normal 3 20" xfId="1574"/>
    <cellStyle name="Normal 3 21" xfId="1575"/>
    <cellStyle name="Normal 3 22" xfId="1576"/>
    <cellStyle name="Normal 3 23" xfId="1577"/>
    <cellStyle name="Normal 3 24" xfId="1578"/>
    <cellStyle name="Normal 3 25" xfId="1579"/>
    <cellStyle name="Normal 3 26" xfId="1580"/>
    <cellStyle name="Normal 3 27" xfId="1581"/>
    <cellStyle name="Normal 3 28" xfId="1582"/>
    <cellStyle name="Normal 3 29" xfId="1583"/>
    <cellStyle name="Normal 3 3" xfId="1584"/>
    <cellStyle name="Normál 3 3" xfId="1585"/>
    <cellStyle name="Normal 3 30" xfId="1586"/>
    <cellStyle name="Normal 3 31" xfId="1587"/>
    <cellStyle name="Normal 3 32" xfId="1588"/>
    <cellStyle name="Normal 3 33" xfId="1589"/>
    <cellStyle name="Normal 3 34" xfId="1590"/>
    <cellStyle name="Normal 3 35" xfId="1591"/>
    <cellStyle name="Normal 3 36" xfId="1592"/>
    <cellStyle name="Normal 3 37" xfId="1593"/>
    <cellStyle name="Normal 3 38" xfId="1594"/>
    <cellStyle name="Normal 3 39" xfId="1595"/>
    <cellStyle name="Normal 3 4" xfId="1596"/>
    <cellStyle name="Normal 3 4 2" xfId="1597"/>
    <cellStyle name="Normal 3 40" xfId="1598"/>
    <cellStyle name="Normal 3 41" xfId="1599"/>
    <cellStyle name="Normal 3 42" xfId="1600"/>
    <cellStyle name="Normal 3 43" xfId="1601"/>
    <cellStyle name="Normal 3 44" xfId="1602"/>
    <cellStyle name="Normal 3 45" xfId="1603"/>
    <cellStyle name="Normal 3 46" xfId="1604"/>
    <cellStyle name="Normal 3 47" xfId="1605"/>
    <cellStyle name="Normal 3 48" xfId="1606"/>
    <cellStyle name="Normal 3 49" xfId="1607"/>
    <cellStyle name="Normal 3 5" xfId="1608"/>
    <cellStyle name="Normal 3 50" xfId="1609"/>
    <cellStyle name="Normal 3 51" xfId="1610"/>
    <cellStyle name="Normal 3 52" xfId="1611"/>
    <cellStyle name="Normal 3 53" xfId="1612"/>
    <cellStyle name="Normal 3 54" xfId="1613"/>
    <cellStyle name="Normal 3 55" xfId="1614"/>
    <cellStyle name="Normal 3 56" xfId="1615"/>
    <cellStyle name="Normal 3 57" xfId="1616"/>
    <cellStyle name="Normal 3 58" xfId="1617"/>
    <cellStyle name="Normal 3 59" xfId="1618"/>
    <cellStyle name="Normal 3 6" xfId="1619"/>
    <cellStyle name="Normal 3 60" xfId="1620"/>
    <cellStyle name="Normal 3 61" xfId="1621"/>
    <cellStyle name="Normal 3 62" xfId="1622"/>
    <cellStyle name="Normal 3 63" xfId="1623"/>
    <cellStyle name="Normal 3 64" xfId="1624"/>
    <cellStyle name="Normal 3 65" xfId="1625"/>
    <cellStyle name="Normal 3 66" xfId="1626"/>
    <cellStyle name="Normal 3 67" xfId="1627"/>
    <cellStyle name="Normal 3 68" xfId="1628"/>
    <cellStyle name="Normal 3 69" xfId="1629"/>
    <cellStyle name="Normal 3 7" xfId="1630"/>
    <cellStyle name="Normal 3 70" xfId="1631"/>
    <cellStyle name="Normal 3 71" xfId="1632"/>
    <cellStyle name="Normal 3 72" xfId="1633"/>
    <cellStyle name="Normal 3 73" xfId="1634"/>
    <cellStyle name="Normal 3 74" xfId="1635"/>
    <cellStyle name="Normal 3 75" xfId="1636"/>
    <cellStyle name="Normal 3 76" xfId="1637"/>
    <cellStyle name="Normal 3 77" xfId="1638"/>
    <cellStyle name="Normal 3 78" xfId="1639"/>
    <cellStyle name="Normal 3 79" xfId="1640"/>
    <cellStyle name="Normal 3 8" xfId="1641"/>
    <cellStyle name="Normal 3 80" xfId="1642"/>
    <cellStyle name="Normal 3 81" xfId="1643"/>
    <cellStyle name="Normal 3 82" xfId="1644"/>
    <cellStyle name="Normal 3 83" xfId="1645"/>
    <cellStyle name="Normal 3 84" xfId="1646"/>
    <cellStyle name="Normal 3 85" xfId="1647"/>
    <cellStyle name="Normal 3 86" xfId="1648"/>
    <cellStyle name="Normal 3 87" xfId="1649"/>
    <cellStyle name="Normal 3 88" xfId="1650"/>
    <cellStyle name="Normal 3 89" xfId="1651"/>
    <cellStyle name="Normal 3 9" xfId="1652"/>
    <cellStyle name="Normal 3 90" xfId="1653"/>
    <cellStyle name="Normal 3 91" xfId="1654"/>
    <cellStyle name="Normal 30" xfId="1655"/>
    <cellStyle name="Normal 30 2" xfId="1656"/>
    <cellStyle name="Normal 31" xfId="1657"/>
    <cellStyle name="Normal 31 2" xfId="1658"/>
    <cellStyle name="Normal 32" xfId="1659"/>
    <cellStyle name="Normal 32 2" xfId="1660"/>
    <cellStyle name="Normal 33" xfId="1661"/>
    <cellStyle name="Normal 33 2" xfId="1662"/>
    <cellStyle name="Normal 34" xfId="1663"/>
    <cellStyle name="Normal 34 2" xfId="1664"/>
    <cellStyle name="Normal 35" xfId="1665"/>
    <cellStyle name="Normal 35 2" xfId="1666"/>
    <cellStyle name="Normal 36" xfId="1667"/>
    <cellStyle name="Normal 36 2" xfId="1668"/>
    <cellStyle name="Normal 37" xfId="1669"/>
    <cellStyle name="Normal 38" xfId="1670"/>
    <cellStyle name="Normal 38 2" xfId="1671"/>
    <cellStyle name="Normal 39" xfId="1672"/>
    <cellStyle name="Normal 39 2" xfId="1673"/>
    <cellStyle name="Normal 4" xfId="1674"/>
    <cellStyle name="Normál 4" xfId="1675"/>
    <cellStyle name="Normal 4 10" xfId="1676"/>
    <cellStyle name="Normal 4 11" xfId="1677"/>
    <cellStyle name="Normal 4 12" xfId="1678"/>
    <cellStyle name="Normal 4 13" xfId="1679"/>
    <cellStyle name="Normal 4 14" xfId="1680"/>
    <cellStyle name="Normal 4 15" xfId="1681"/>
    <cellStyle name="Normal 4 16" xfId="1682"/>
    <cellStyle name="Normal 4 17" xfId="1683"/>
    <cellStyle name="Normal 4 18" xfId="1684"/>
    <cellStyle name="Normal 4 19" xfId="1685"/>
    <cellStyle name="Normal 4 2" xfId="1686"/>
    <cellStyle name="Normal 4 2 2" xfId="1687"/>
    <cellStyle name="Normal 4 2 3" xfId="1688"/>
    <cellStyle name="Normal 4 2 4" xfId="1689"/>
    <cellStyle name="Normal 4 20" xfId="1690"/>
    <cellStyle name="Normal 4 21" xfId="1691"/>
    <cellStyle name="Normal 4 22" xfId="1692"/>
    <cellStyle name="Normal 4 23" xfId="1693"/>
    <cellStyle name="Normal 4 24" xfId="1694"/>
    <cellStyle name="Normal 4 25" xfId="1695"/>
    <cellStyle name="Normal 4 26" xfId="1696"/>
    <cellStyle name="Normal 4 27" xfId="1697"/>
    <cellStyle name="Normal 4 28" xfId="1698"/>
    <cellStyle name="Normal 4 29" xfId="1699"/>
    <cellStyle name="Normal 4 3" xfId="1700"/>
    <cellStyle name="Normal 4 30" xfId="1701"/>
    <cellStyle name="Normal 4 31" xfId="1702"/>
    <cellStyle name="Normal 4 32" xfId="1703"/>
    <cellStyle name="Normal 4 33" xfId="1704"/>
    <cellStyle name="Normal 4 34" xfId="1705"/>
    <cellStyle name="Normal 4 35" xfId="1706"/>
    <cellStyle name="Normal 4 36" xfId="1707"/>
    <cellStyle name="Normal 4 37" xfId="1708"/>
    <cellStyle name="Normal 4 38" xfId="1709"/>
    <cellStyle name="Normal 4 39" xfId="1710"/>
    <cellStyle name="Normal 4 4" xfId="1711"/>
    <cellStyle name="Normal 4 40" xfId="1712"/>
    <cellStyle name="Normal 4 41" xfId="1713"/>
    <cellStyle name="Normal 4 42" xfId="1714"/>
    <cellStyle name="Normal 4 43" xfId="1715"/>
    <cellStyle name="Normal 4 44" xfId="1716"/>
    <cellStyle name="Normal 4 45" xfId="1717"/>
    <cellStyle name="Normal 4 46" xfId="1718"/>
    <cellStyle name="Normal 4 47" xfId="1719"/>
    <cellStyle name="Normal 4 48" xfId="1720"/>
    <cellStyle name="Normal 4 49" xfId="1721"/>
    <cellStyle name="Normal 4 5" xfId="1722"/>
    <cellStyle name="Normal 4 50" xfId="1723"/>
    <cellStyle name="Normal 4 51" xfId="1724"/>
    <cellStyle name="Normal 4 52" xfId="1725"/>
    <cellStyle name="Normal 4 53" xfId="1726"/>
    <cellStyle name="Normal 4 6" xfId="1727"/>
    <cellStyle name="Normal 4 7" xfId="1728"/>
    <cellStyle name="Normal 4 8" xfId="1729"/>
    <cellStyle name="Normal 4 9" xfId="1730"/>
    <cellStyle name="Normal 40" xfId="1731"/>
    <cellStyle name="Normal 41" xfId="1732"/>
    <cellStyle name="Normal 42" xfId="1733"/>
    <cellStyle name="Normal 43" xfId="1734"/>
    <cellStyle name="Normal 44" xfId="1735"/>
    <cellStyle name="Normal 45" xfId="1736"/>
    <cellStyle name="Normal 46" xfId="1737"/>
    <cellStyle name="Normal 47" xfId="1738"/>
    <cellStyle name="Normal 48" xfId="1739"/>
    <cellStyle name="Normal 49" xfId="1740"/>
    <cellStyle name="Normal 5" xfId="1741"/>
    <cellStyle name="Normál 5" xfId="1742"/>
    <cellStyle name="Normal 5 10" xfId="1743"/>
    <cellStyle name="Normal 5 11" xfId="1744"/>
    <cellStyle name="Normal 5 12" xfId="1745"/>
    <cellStyle name="Normal 5 13" xfId="1746"/>
    <cellStyle name="Normal 5 14" xfId="1747"/>
    <cellStyle name="Normal 5 15" xfId="1748"/>
    <cellStyle name="Normal 5 16" xfId="1749"/>
    <cellStyle name="Normal 5 17" xfId="1750"/>
    <cellStyle name="Normal 5 18" xfId="1751"/>
    <cellStyle name="Normal 5 19" xfId="1752"/>
    <cellStyle name="Normal 5 2" xfId="1753"/>
    <cellStyle name="Normal 5 20" xfId="1754"/>
    <cellStyle name="Normal 5 21" xfId="1755"/>
    <cellStyle name="Normal 5 22" xfId="1756"/>
    <cellStyle name="Normal 5 23" xfId="1757"/>
    <cellStyle name="Normal 5 24" xfId="1758"/>
    <cellStyle name="Normal 5 25" xfId="1759"/>
    <cellStyle name="Normal 5 26" xfId="1760"/>
    <cellStyle name="Normal 5 27" xfId="1761"/>
    <cellStyle name="Normal 5 28" xfId="1762"/>
    <cellStyle name="Normal 5 29" xfId="1763"/>
    <cellStyle name="Normal 5 3" xfId="1764"/>
    <cellStyle name="Normal 5 3 2" xfId="1765"/>
    <cellStyle name="Normal 5 3 3" xfId="1766"/>
    <cellStyle name="Normal 5 30" xfId="1767"/>
    <cellStyle name="Normal 5 31" xfId="1768"/>
    <cellStyle name="Normal 5 32" xfId="1769"/>
    <cellStyle name="Normal 5 33" xfId="1770"/>
    <cellStyle name="Normal 5 34" xfId="1771"/>
    <cellStyle name="Normal 5 35" xfId="1772"/>
    <cellStyle name="Normal 5 36" xfId="1773"/>
    <cellStyle name="Normal 5 37" xfId="1774"/>
    <cellStyle name="Normal 5 38" xfId="1775"/>
    <cellStyle name="Normal 5 39" xfId="1776"/>
    <cellStyle name="Normal 5 4" xfId="1777"/>
    <cellStyle name="Normal 5 40" xfId="1778"/>
    <cellStyle name="Normal 5 41" xfId="1779"/>
    <cellStyle name="Normal 5 42" xfId="1780"/>
    <cellStyle name="Normal 5 43" xfId="1781"/>
    <cellStyle name="Normal 5 44" xfId="1782"/>
    <cellStyle name="Normal 5 45" xfId="1783"/>
    <cellStyle name="Normal 5 46" xfId="1784"/>
    <cellStyle name="Normal 5 47" xfId="1785"/>
    <cellStyle name="Normal 5 48" xfId="1786"/>
    <cellStyle name="Normal 5 49" xfId="1787"/>
    <cellStyle name="Normal 5 5" xfId="1788"/>
    <cellStyle name="Normal 5 50" xfId="1789"/>
    <cellStyle name="Normal 5 51" xfId="1790"/>
    <cellStyle name="Normal 5 52" xfId="1791"/>
    <cellStyle name="Normal 5 53" xfId="1792"/>
    <cellStyle name="Normal 5 6" xfId="1793"/>
    <cellStyle name="Normal 5 7" xfId="1794"/>
    <cellStyle name="Normal 5 8" xfId="1795"/>
    <cellStyle name="Normal 5 9" xfId="1796"/>
    <cellStyle name="Normal 50" xfId="1797"/>
    <cellStyle name="Normal 51" xfId="1798"/>
    <cellStyle name="Normal 52" xfId="1799"/>
    <cellStyle name="Normal 53" xfId="1800"/>
    <cellStyle name="Normal 54" xfId="1801"/>
    <cellStyle name="Normal 55" xfId="1802"/>
    <cellStyle name="Normal 56" xfId="1803"/>
    <cellStyle name="Normal 56 2" xfId="1804"/>
    <cellStyle name="Normal 57" xfId="1805"/>
    <cellStyle name="Normal 58" xfId="1806"/>
    <cellStyle name="Normal 59" xfId="1807"/>
    <cellStyle name="Normal 6" xfId="1808"/>
    <cellStyle name="Normál 6" xfId="1809"/>
    <cellStyle name="Normal 6 10" xfId="1810"/>
    <cellStyle name="Normal 6 11" xfId="1811"/>
    <cellStyle name="Normal 6 12" xfId="1812"/>
    <cellStyle name="Normal 6 13" xfId="1813"/>
    <cellStyle name="Normal 6 14" xfId="1814"/>
    <cellStyle name="Normal 6 15" xfId="1815"/>
    <cellStyle name="Normal 6 16" xfId="1816"/>
    <cellStyle name="Normal 6 17" xfId="1817"/>
    <cellStyle name="Normal 6 18" xfId="1818"/>
    <cellStyle name="Normal 6 19" xfId="1819"/>
    <cellStyle name="Normal 6 2" xfId="1820"/>
    <cellStyle name="Normal 6 2 2" xfId="1821"/>
    <cellStyle name="Normal 6 20" xfId="1822"/>
    <cellStyle name="Normal 6 21" xfId="1823"/>
    <cellStyle name="Normal 6 22" xfId="1824"/>
    <cellStyle name="Normal 6 23" xfId="1825"/>
    <cellStyle name="Normal 6 24" xfId="1826"/>
    <cellStyle name="Normal 6 25" xfId="1827"/>
    <cellStyle name="Normal 6 26" xfId="1828"/>
    <cellStyle name="Normal 6 27" xfId="1829"/>
    <cellStyle name="Normal 6 28" xfId="1830"/>
    <cellStyle name="Normal 6 29" xfId="1831"/>
    <cellStyle name="Normal 6 3" xfId="1832"/>
    <cellStyle name="Normal 6 30" xfId="1833"/>
    <cellStyle name="Normal 6 31" xfId="1834"/>
    <cellStyle name="Normal 6 32" xfId="1835"/>
    <cellStyle name="Normal 6 33" xfId="1836"/>
    <cellStyle name="Normal 6 34" xfId="1837"/>
    <cellStyle name="Normal 6 35" xfId="1838"/>
    <cellStyle name="Normal 6 36" xfId="1839"/>
    <cellStyle name="Normal 6 37" xfId="1840"/>
    <cellStyle name="Normal 6 38" xfId="1841"/>
    <cellStyle name="Normal 6 39" xfId="1842"/>
    <cellStyle name="Normal 6 4" xfId="1843"/>
    <cellStyle name="Normal 6 40" xfId="1844"/>
    <cellStyle name="Normal 6 41" xfId="1845"/>
    <cellStyle name="Normal 6 42" xfId="1846"/>
    <cellStyle name="Normal 6 43" xfId="1847"/>
    <cellStyle name="Normal 6 44" xfId="1848"/>
    <cellStyle name="Normal 6 45" xfId="1849"/>
    <cellStyle name="Normal 6 46" xfId="1850"/>
    <cellStyle name="Normal 6 47" xfId="1851"/>
    <cellStyle name="Normal 6 48" xfId="1852"/>
    <cellStyle name="Normal 6 49" xfId="1853"/>
    <cellStyle name="Normal 6 5" xfId="1854"/>
    <cellStyle name="Normal 6 50" xfId="1855"/>
    <cellStyle name="Normal 6 51" xfId="1856"/>
    <cellStyle name="Normal 6 52" xfId="1857"/>
    <cellStyle name="Normal 6 53" xfId="1858"/>
    <cellStyle name="Normal 6 54" xfId="1859"/>
    <cellStyle name="Normal 6 6" xfId="1860"/>
    <cellStyle name="Normal 6 7" xfId="1861"/>
    <cellStyle name="Normal 6 8" xfId="1862"/>
    <cellStyle name="Normal 6 9" xfId="1863"/>
    <cellStyle name="Normal 60" xfId="1864"/>
    <cellStyle name="Normal 61" xfId="1865"/>
    <cellStyle name="Normal 62" xfId="1866"/>
    <cellStyle name="Normal 63" xfId="1867"/>
    <cellStyle name="Normal 64" xfId="1868"/>
    <cellStyle name="Normal 65" xfId="1869"/>
    <cellStyle name="Normal 66" xfId="1870"/>
    <cellStyle name="Normal 67" xfId="1871"/>
    <cellStyle name="Normal 68" xfId="1872"/>
    <cellStyle name="Normal 68 2" xfId="1873"/>
    <cellStyle name="Normal 69" xfId="1874"/>
    <cellStyle name="Normal 69 2" xfId="1875"/>
    <cellStyle name="Normal 7" xfId="1876"/>
    <cellStyle name="Normál 7" xfId="1877"/>
    <cellStyle name="Normal 7 10" xfId="1878"/>
    <cellStyle name="Normal 7 11" xfId="1879"/>
    <cellStyle name="Normal 7 12" xfId="1880"/>
    <cellStyle name="Normal 7 13" xfId="1881"/>
    <cellStyle name="Normal 7 14" xfId="1882"/>
    <cellStyle name="Normal 7 15" xfId="1883"/>
    <cellStyle name="Normal 7 16" xfId="1884"/>
    <cellStyle name="Normal 7 17" xfId="1885"/>
    <cellStyle name="Normal 7 18" xfId="1886"/>
    <cellStyle name="Normal 7 19" xfId="1887"/>
    <cellStyle name="Normal 7 2" xfId="1888"/>
    <cellStyle name="Normal 7 2 2" xfId="1889"/>
    <cellStyle name="Normal 7 2 3" xfId="1890"/>
    <cellStyle name="Normal 7 20" xfId="1891"/>
    <cellStyle name="Normal 7 21" xfId="1892"/>
    <cellStyle name="Normal 7 22" xfId="1893"/>
    <cellStyle name="Normal 7 23" xfId="1894"/>
    <cellStyle name="Normal 7 24" xfId="1895"/>
    <cellStyle name="Normal 7 25" xfId="1896"/>
    <cellStyle name="Normal 7 26" xfId="1897"/>
    <cellStyle name="Normal 7 27" xfId="1898"/>
    <cellStyle name="Normal 7 28" xfId="1899"/>
    <cellStyle name="Normal 7 29" xfId="1900"/>
    <cellStyle name="Normal 7 3" xfId="1901"/>
    <cellStyle name="Normal 7 30" xfId="1902"/>
    <cellStyle name="Normal 7 31" xfId="1903"/>
    <cellStyle name="Normal 7 32" xfId="1904"/>
    <cellStyle name="Normal 7 33" xfId="1905"/>
    <cellStyle name="Normal 7 34" xfId="1906"/>
    <cellStyle name="Normal 7 35" xfId="1907"/>
    <cellStyle name="Normal 7 36" xfId="1908"/>
    <cellStyle name="Normal 7 37" xfId="1909"/>
    <cellStyle name="Normal 7 38" xfId="1910"/>
    <cellStyle name="Normal 7 39" xfId="1911"/>
    <cellStyle name="Normal 7 4" xfId="1912"/>
    <cellStyle name="Normal 7 40" xfId="1913"/>
    <cellStyle name="Normal 7 41" xfId="1914"/>
    <cellStyle name="Normal 7 42" xfId="1915"/>
    <cellStyle name="Normal 7 43" xfId="1916"/>
    <cellStyle name="Normal 7 44" xfId="1917"/>
    <cellStyle name="Normal 7 45" xfId="1918"/>
    <cellStyle name="Normal 7 46" xfId="1919"/>
    <cellStyle name="Normal 7 47" xfId="1920"/>
    <cellStyle name="Normal 7 48" xfId="1921"/>
    <cellStyle name="Normal 7 49" xfId="1922"/>
    <cellStyle name="Normal 7 5" xfId="1923"/>
    <cellStyle name="Normal 7 50" xfId="1924"/>
    <cellStyle name="Normal 7 51" xfId="1925"/>
    <cellStyle name="Normal 7 52" xfId="1926"/>
    <cellStyle name="Normal 7 53" xfId="1927"/>
    <cellStyle name="Normal 7 54" xfId="1928"/>
    <cellStyle name="Normal 7 6" xfId="1929"/>
    <cellStyle name="Normal 7 7" xfId="1930"/>
    <cellStyle name="Normal 7 8" xfId="1931"/>
    <cellStyle name="Normal 7 9" xfId="1932"/>
    <cellStyle name="Normal 70" xfId="1933"/>
    <cellStyle name="Normal 70 2" xfId="1934"/>
    <cellStyle name="Normal 71" xfId="1935"/>
    <cellStyle name="Normal 71 2" xfId="1936"/>
    <cellStyle name="Normal 72" xfId="1937"/>
    <cellStyle name="Normal 72 2" xfId="1938"/>
    <cellStyle name="Normal 73" xfId="1939"/>
    <cellStyle name="Normal 73 2" xfId="1940"/>
    <cellStyle name="Normal 74" xfId="1941"/>
    <cellStyle name="Normal 74 2" xfId="1942"/>
    <cellStyle name="Normal 75" xfId="1943"/>
    <cellStyle name="Normal 75 2" xfId="1944"/>
    <cellStyle name="Normal 76" xfId="1945"/>
    <cellStyle name="Normal 76 2" xfId="1946"/>
    <cellStyle name="Normal 77" xfId="1947"/>
    <cellStyle name="Normal 77 2" xfId="1948"/>
    <cellStyle name="Normal 78" xfId="1949"/>
    <cellStyle name="Normal 78 2" xfId="1950"/>
    <cellStyle name="Normal 79" xfId="1951"/>
    <cellStyle name="Normal 79 2" xfId="1952"/>
    <cellStyle name="Normal 8" xfId="1953"/>
    <cellStyle name="Normál 8" xfId="1954"/>
    <cellStyle name="Normal 8 10" xfId="1955"/>
    <cellStyle name="Normal 8 2" xfId="1956"/>
    <cellStyle name="Normal 8 2 2" xfId="1957"/>
    <cellStyle name="Normal 8 3" xfId="1958"/>
    <cellStyle name="Normal 8 4" xfId="1959"/>
    <cellStyle name="Normal 8 5" xfId="1960"/>
    <cellStyle name="Normal 8 6" xfId="1961"/>
    <cellStyle name="Normal 8 7" xfId="1962"/>
    <cellStyle name="Normal 8 8" xfId="1963"/>
    <cellStyle name="Normal 8 9" xfId="1964"/>
    <cellStyle name="Normal 80" xfId="1965"/>
    <cellStyle name="Normal 80 2" xfId="1966"/>
    <cellStyle name="Normal 81" xfId="1967"/>
    <cellStyle name="Normal 81 2" xfId="1968"/>
    <cellStyle name="Normal 82" xfId="1969"/>
    <cellStyle name="Normal 82 2" xfId="1970"/>
    <cellStyle name="Normal 83" xfId="1971"/>
    <cellStyle name="Normal 83 2" xfId="1972"/>
    <cellStyle name="Normal 84" xfId="1973"/>
    <cellStyle name="Normal 84 2" xfId="1974"/>
    <cellStyle name="Normal 85" xfId="1975"/>
    <cellStyle name="Normal 85 2" xfId="1976"/>
    <cellStyle name="Normal 86" xfId="1977"/>
    <cellStyle name="Normal 86 2" xfId="1978"/>
    <cellStyle name="Normal 87" xfId="1979"/>
    <cellStyle name="Normal 87 2" xfId="1980"/>
    <cellStyle name="Normal 88" xfId="1981"/>
    <cellStyle name="Normal 88 2" xfId="1982"/>
    <cellStyle name="Normal 89" xfId="1983"/>
    <cellStyle name="Normal 89 2" xfId="1984"/>
    <cellStyle name="Normal 9" xfId="1985"/>
    <cellStyle name="Normál 9" xfId="1986"/>
    <cellStyle name="Normal 9 2" xfId="1987"/>
    <cellStyle name="Normal 9 2 2" xfId="1988"/>
    <cellStyle name="Normal 9 3" xfId="1989"/>
    <cellStyle name="Normal 9 4" xfId="1990"/>
    <cellStyle name="Normal 9 5" xfId="1991"/>
    <cellStyle name="Normal 9 6" xfId="1992"/>
    <cellStyle name="Normal 9 7" xfId="1993"/>
    <cellStyle name="Normal 9 8" xfId="1994"/>
    <cellStyle name="Normal 90" xfId="1995"/>
    <cellStyle name="Normal 90 2" xfId="1996"/>
    <cellStyle name="Normal 91" xfId="1997"/>
    <cellStyle name="Normal 91 2" xfId="1998"/>
    <cellStyle name="Normal 92" xfId="1999"/>
    <cellStyle name="Normal 92 2" xfId="2000"/>
    <cellStyle name="Normal 93" xfId="2001"/>
    <cellStyle name="Normal 93 2" xfId="2002"/>
    <cellStyle name="Normal 94" xfId="2003"/>
    <cellStyle name="Normal 95" xfId="2004"/>
    <cellStyle name="Normal 96" xfId="2005"/>
    <cellStyle name="Normal 97" xfId="2006"/>
    <cellStyle name="Normal 98" xfId="2007"/>
    <cellStyle name="Normal 99" xfId="2008"/>
    <cellStyle name="Normal_17-LC-2003-03-SUF-follow-up" xfId="2009"/>
    <cellStyle name="Normal_19-EN-2003-03-SUF-follow-up" xfId="2010"/>
    <cellStyle name="Normal_2003-All States-CRCO 88-CRCO Total-SUF-follow-up" xfId="2011"/>
    <cellStyle name="Normal_20-EK-2003-03-SUF-follow-up" xfId="2012"/>
    <cellStyle name="Normal_21-LJ-2003-03-SUF-follow-up" xfId="2013"/>
    <cellStyle name="Normal_22-LR-2003-03-SUF-follow-up" xfId="2014"/>
    <cellStyle name="Normal_23-LK-2003-03-SUF-follow-up" xfId="2015"/>
    <cellStyle name="Normal_24-ES-2003-03-SUF-follow-up" xfId="2016"/>
    <cellStyle name="Normal_25-LZ-2003-03-SUF-follow-up" xfId="2017"/>
    <cellStyle name="Normal_26-LD-2003-05-SUF-follow-up" xfId="2018"/>
    <cellStyle name="Normal_27-LB-2003-03-SUF-follow-up" xfId="2019"/>
    <cellStyle name="Normal_28-LW-2003-03-SUF-follow-up" xfId="2020"/>
    <cellStyle name="Normal_29-LU-2003-03-SUF-follow-up" xfId="2021"/>
    <cellStyle name="Normal_30-EF-2003-03-SUF-follow-up" xfId="2022"/>
    <cellStyle name="Normal_40-CRCO 88-CRCO Total-2003-05-SUF-follow-up" xfId="2023"/>
    <cellStyle name="Normál_Munka1" xfId="2024"/>
    <cellStyle name="Normale 10" xfId="2025"/>
    <cellStyle name="Normale 10 2" xfId="2026"/>
    <cellStyle name="Normale 10 3" xfId="2027"/>
    <cellStyle name="Normale 10 4" xfId="2028"/>
    <cellStyle name="Normale 10 5" xfId="2029"/>
    <cellStyle name="Normale 10 6" xfId="2030"/>
    <cellStyle name="Normale 11" xfId="2031"/>
    <cellStyle name="Normale 11 2" xfId="2032"/>
    <cellStyle name="Normale 11 3" xfId="2033"/>
    <cellStyle name="Normale 12" xfId="2034"/>
    <cellStyle name="Normale 12 2" xfId="2035"/>
    <cellStyle name="Normale 12 3" xfId="2036"/>
    <cellStyle name="Normale 13" xfId="2037"/>
    <cellStyle name="Normale 13 2" xfId="2038"/>
    <cellStyle name="Normale 13 3" xfId="2039"/>
    <cellStyle name="Normale 14" xfId="2040"/>
    <cellStyle name="Normale 14 2" xfId="2041"/>
    <cellStyle name="Normale 14 3" xfId="2042"/>
    <cellStyle name="Normale 15" xfId="2043"/>
    <cellStyle name="Normale 15 2" xfId="2044"/>
    <cellStyle name="Normale 15 3" xfId="2045"/>
    <cellStyle name="Normale 16" xfId="2046"/>
    <cellStyle name="Normale 16 2" xfId="2047"/>
    <cellStyle name="Normale 16 3" xfId="2048"/>
    <cellStyle name="Normale 17" xfId="2049"/>
    <cellStyle name="Normale 17 2" xfId="2050"/>
    <cellStyle name="Normale 17 3" xfId="2051"/>
    <cellStyle name="Normale 18" xfId="2052"/>
    <cellStyle name="Normale 18 2" xfId="2053"/>
    <cellStyle name="Normale 18 3" xfId="2054"/>
    <cellStyle name="Normale 19" xfId="2055"/>
    <cellStyle name="Normale 19 2" xfId="2056"/>
    <cellStyle name="Normale 19 3" xfId="2057"/>
    <cellStyle name="Normale 2" xfId="2058"/>
    <cellStyle name="Normale 2 2" xfId="2059"/>
    <cellStyle name="Normale 2 2 2" xfId="2060"/>
    <cellStyle name="Normale 2 2 3" xfId="2061"/>
    <cellStyle name="Normale 2 2 3 2" xfId="2062"/>
    <cellStyle name="Normale 2 2 4" xfId="2063"/>
    <cellStyle name="Normale 2 3" xfId="2064"/>
    <cellStyle name="Normale 2 4" xfId="2065"/>
    <cellStyle name="Normale 2 4 2" xfId="2066"/>
    <cellStyle name="Normale 20" xfId="2067"/>
    <cellStyle name="Normale 20 2" xfId="2068"/>
    <cellStyle name="Normale 20 3" xfId="2069"/>
    <cellStyle name="Normale 21" xfId="2070"/>
    <cellStyle name="Normale 21 2" xfId="2071"/>
    <cellStyle name="Normale 21 3" xfId="2072"/>
    <cellStyle name="Normale 22" xfId="2073"/>
    <cellStyle name="Normale 22 2" xfId="2074"/>
    <cellStyle name="Normale 22 3" xfId="2075"/>
    <cellStyle name="Normale 23" xfId="2076"/>
    <cellStyle name="Normale 23 2" xfId="2077"/>
    <cellStyle name="Normale 23 3" xfId="2078"/>
    <cellStyle name="Normale 24" xfId="2079"/>
    <cellStyle name="Normale 24 2" xfId="2080"/>
    <cellStyle name="Normale 24 3" xfId="2081"/>
    <cellStyle name="Normale 25" xfId="2082"/>
    <cellStyle name="Normale 25 2" xfId="2083"/>
    <cellStyle name="Normale 25 3" xfId="2084"/>
    <cellStyle name="Normale 26" xfId="2085"/>
    <cellStyle name="Normale 26 2" xfId="2086"/>
    <cellStyle name="Normale 26 3" xfId="2087"/>
    <cellStyle name="Normale 27" xfId="2088"/>
    <cellStyle name="Normale 27 2" xfId="2089"/>
    <cellStyle name="Normale 28" xfId="2090"/>
    <cellStyle name="Normale 29" xfId="2091"/>
    <cellStyle name="Normale 3" xfId="2092"/>
    <cellStyle name="Normale 3 2" xfId="2093"/>
    <cellStyle name="Normale 3 3" xfId="2094"/>
    <cellStyle name="Normale 3 3 2" xfId="2095"/>
    <cellStyle name="Normale 30" xfId="2096"/>
    <cellStyle name="Normale 30 2" xfId="2097"/>
    <cellStyle name="Normale 31" xfId="2098"/>
    <cellStyle name="Normale 31 2" xfId="2099"/>
    <cellStyle name="Normale 32" xfId="2100"/>
    <cellStyle name="Normale 32 2" xfId="2101"/>
    <cellStyle name="Normale 33" xfId="2102"/>
    <cellStyle name="Normale 33 2" xfId="2103"/>
    <cellStyle name="Normale 34" xfId="2104"/>
    <cellStyle name="Normale 34 2" xfId="2105"/>
    <cellStyle name="Normale 4" xfId="2106"/>
    <cellStyle name="Normale 4 2" xfId="2107"/>
    <cellStyle name="Normale 4 2 2" xfId="2108"/>
    <cellStyle name="Normale 4 2 2 2" xfId="2109"/>
    <cellStyle name="Normale 4 2 3" xfId="2110"/>
    <cellStyle name="Normale 4 3" xfId="2111"/>
    <cellStyle name="Normale 4 3 2" xfId="2112"/>
    <cellStyle name="Normale 4 4" xfId="2113"/>
    <cellStyle name="Normale 4 4 2" xfId="2114"/>
    <cellStyle name="Normale 4 5" xfId="2115"/>
    <cellStyle name="Normale 4 5 2" xfId="2116"/>
    <cellStyle name="Normale 4 6" xfId="2117"/>
    <cellStyle name="Normale 48" xfId="2118"/>
    <cellStyle name="Normale 5" xfId="2119"/>
    <cellStyle name="Normale 5 2" xfId="2120"/>
    <cellStyle name="Normale 6" xfId="2121"/>
    <cellStyle name="Normale 6 2" xfId="2122"/>
    <cellStyle name="Normale 6 3" xfId="2123"/>
    <cellStyle name="Normale 7" xfId="2124"/>
    <cellStyle name="Normale 8" xfId="2125"/>
    <cellStyle name="Normale 8 2" xfId="2126"/>
    <cellStyle name="Normale 8 3" xfId="2127"/>
    <cellStyle name="Normale 9" xfId="2128"/>
    <cellStyle name="Normale 9 2" xfId="2129"/>
    <cellStyle name="Normale 9 3" xfId="2130"/>
    <cellStyle name="Normale_Calcolo Tariffa_2006_4T_v01" xfId="2131"/>
    <cellStyle name="Normálna 3" xfId="2132"/>
    <cellStyle name="Normalny 2" xfId="2133"/>
    <cellStyle name="Normalny 2 2" xfId="2134"/>
    <cellStyle name="Normalny 2_MET Table 1" xfId="2135"/>
    <cellStyle name="Normalny 4" xfId="2136"/>
    <cellStyle name="NorTms8" xfId="2137"/>
    <cellStyle name="Notas" xfId="2138"/>
    <cellStyle name="Note 2" xfId="2139"/>
    <cellStyle name="Note 2 2" xfId="2140"/>
    <cellStyle name="Notes" xfId="2141"/>
    <cellStyle name="Notiz" xfId="2142"/>
    <cellStyle name="Notiz 2" xfId="2143"/>
    <cellStyle name="Number" xfId="2144"/>
    <cellStyle name="Number 1" xfId="2145"/>
    <cellStyle name="Number Date" xfId="2146"/>
    <cellStyle name="Number Date (short)" xfId="2147"/>
    <cellStyle name="Number Date_Green" xfId="2148"/>
    <cellStyle name="Number II" xfId="2149"/>
    <cellStyle name="Number Integer" xfId="2150"/>
    <cellStyle name="Összesen 2" xfId="2151"/>
    <cellStyle name="Otsikko" xfId="2152"/>
    <cellStyle name="Otsikko 1" xfId="2153"/>
    <cellStyle name="Otsikko 2" xfId="2154"/>
    <cellStyle name="Otsikko 3" xfId="2155"/>
    <cellStyle name="Otsikko 4" xfId="2156"/>
    <cellStyle name="Output 2" xfId="2157"/>
    <cellStyle name="Overskrift 1" xfId="2158"/>
    <cellStyle name="Overskrift 2" xfId="2159"/>
    <cellStyle name="Overskrift 3" xfId="2160"/>
    <cellStyle name="Overskrift 4" xfId="2161"/>
    <cellStyle name="Paryškinimas 1" xfId="2162"/>
    <cellStyle name="Paryškinimas 2" xfId="2163"/>
    <cellStyle name="Paryškinimas 3" xfId="2164"/>
    <cellStyle name="Paryškinimas 4" xfId="2165"/>
    <cellStyle name="Paryškinimas 5" xfId="2166"/>
    <cellStyle name="Paryškinimas 6" xfId="2167"/>
    <cellStyle name="Pastaba" xfId="2168"/>
    <cellStyle name="Pastaba 2" xfId="2169"/>
    <cellStyle name="Pastaba 3" xfId="2170"/>
    <cellStyle name="Pavadinimas" xfId="2171"/>
    <cellStyle name="Pealkiri" xfId="2172"/>
    <cellStyle name="Pealkiri 1" xfId="2173"/>
    <cellStyle name="Pealkiri 1 2" xfId="2174"/>
    <cellStyle name="Pealkiri 1 3" xfId="2175"/>
    <cellStyle name="Pealkiri 2" xfId="2176"/>
    <cellStyle name="Pealkiri 2 2" xfId="2177"/>
    <cellStyle name="Pealkiri 2 3" xfId="2178"/>
    <cellStyle name="Pealkiri 3" xfId="2179"/>
    <cellStyle name="Pealkiri 3 2" xfId="2180"/>
    <cellStyle name="Pealkiri 3 3" xfId="2181"/>
    <cellStyle name="Pealkiri 4" xfId="2182"/>
    <cellStyle name="Pealkiri 4 2" xfId="2183"/>
    <cellStyle name="Pealkiri 4 3" xfId="2184"/>
    <cellStyle name="Pealkiri 5" xfId="2185"/>
    <cellStyle name="Pealkiri 6" xfId="2186"/>
    <cellStyle name="Percen - Style2" xfId="2187"/>
    <cellStyle name="Percent" xfId="2188" builtinId="5"/>
    <cellStyle name="Percent [0%]" xfId="2189"/>
    <cellStyle name="Percent [0.00%]" xfId="2190"/>
    <cellStyle name="Percent 10" xfId="2191"/>
    <cellStyle name="Percent 10 2" xfId="2192"/>
    <cellStyle name="Percent 10 3" xfId="2193"/>
    <cellStyle name="Percent 11" xfId="2194"/>
    <cellStyle name="Percent 11 2" xfId="2195"/>
    <cellStyle name="Percent 11 3" xfId="2196"/>
    <cellStyle name="Percent 12" xfId="2197"/>
    <cellStyle name="Percent 12 2" xfId="2198"/>
    <cellStyle name="Percent 12 3" xfId="2199"/>
    <cellStyle name="Percent 13" xfId="2200"/>
    <cellStyle name="Percent 13 2" xfId="2201"/>
    <cellStyle name="Percent 13 3" xfId="2202"/>
    <cellStyle name="Percent 13 4" xfId="2203"/>
    <cellStyle name="Percent 14" xfId="2204"/>
    <cellStyle name="Percent 14 2" xfId="2205"/>
    <cellStyle name="Percent 14 2 2" xfId="2206"/>
    <cellStyle name="Percent 14 2 3" xfId="2207"/>
    <cellStyle name="Percent 14 3" xfId="2208"/>
    <cellStyle name="Percent 14 4" xfId="2209"/>
    <cellStyle name="Percent 14 5" xfId="2210"/>
    <cellStyle name="Percent 14 6" xfId="2211"/>
    <cellStyle name="Percent 15" xfId="2212"/>
    <cellStyle name="Percent 15 2" xfId="2213"/>
    <cellStyle name="Percent 15 2 2" xfId="2214"/>
    <cellStyle name="Percent 15 3" xfId="2215"/>
    <cellStyle name="Percent 15 4" xfId="2216"/>
    <cellStyle name="Percent 16" xfId="2217"/>
    <cellStyle name="Percent 16 2" xfId="2218"/>
    <cellStyle name="Percent 16 2 2" xfId="2219"/>
    <cellStyle name="Percent 16 3" xfId="2220"/>
    <cellStyle name="Percent 16 3 2" xfId="2221"/>
    <cellStyle name="Percent 17" xfId="2222"/>
    <cellStyle name="Percent 17 2" xfId="2223"/>
    <cellStyle name="Percent 17 2 2" xfId="2224"/>
    <cellStyle name="Percent 17 3" xfId="2225"/>
    <cellStyle name="Percent 17 3 2" xfId="2226"/>
    <cellStyle name="Percent 18" xfId="2227"/>
    <cellStyle name="Percent 18 2" xfId="2228"/>
    <cellStyle name="Percent 18 2 2" xfId="2229"/>
    <cellStyle name="Percent 18 3" xfId="2230"/>
    <cellStyle name="Percent 18 3 2" xfId="2231"/>
    <cellStyle name="Percent 19" xfId="2232"/>
    <cellStyle name="Percent 19 2" xfId="2233"/>
    <cellStyle name="Percent 19 2 2" xfId="2234"/>
    <cellStyle name="Percent 19 3" xfId="2235"/>
    <cellStyle name="Percent 19 3 2" xfId="2236"/>
    <cellStyle name="Percent 2" xfId="2237"/>
    <cellStyle name="Percent 2 10" xfId="2238"/>
    <cellStyle name="Percent 2 2" xfId="2239"/>
    <cellStyle name="Percent 2 2 2" xfId="2240"/>
    <cellStyle name="Percent 2 2 2 2" xfId="2241"/>
    <cellStyle name="Percent 2 2 2 2 2" xfId="2242"/>
    <cellStyle name="Percent 2 2 2 3" xfId="2243"/>
    <cellStyle name="Percent 2 2 3" xfId="2244"/>
    <cellStyle name="Percent 2 3" xfId="2245"/>
    <cellStyle name="Percent 2 4" xfId="2246"/>
    <cellStyle name="Percent 2 4 2" xfId="2247"/>
    <cellStyle name="Percent 2 5" xfId="2248"/>
    <cellStyle name="Percent 2 6" xfId="2249"/>
    <cellStyle name="Percent 2 7" xfId="2250"/>
    <cellStyle name="Percent 2 8" xfId="2251"/>
    <cellStyle name="Percent 2 9" xfId="2252"/>
    <cellStyle name="Percent 20" xfId="2253"/>
    <cellStyle name="Percent 20 2" xfId="2254"/>
    <cellStyle name="Percent 21" xfId="2255"/>
    <cellStyle name="Percent 21 2" xfId="2256"/>
    <cellStyle name="Percent 21 2 2" xfId="2257"/>
    <cellStyle name="Percent 21 3" xfId="2258"/>
    <cellStyle name="Percent 21 3 2" xfId="2259"/>
    <cellStyle name="Percent 22" xfId="2260"/>
    <cellStyle name="Percent 22 2" xfId="2261"/>
    <cellStyle name="Percent 22 2 2" xfId="2262"/>
    <cellStyle name="Percent 22 3" xfId="2263"/>
    <cellStyle name="Percent 22 3 2" xfId="2264"/>
    <cellStyle name="Percent 23" xfId="2265"/>
    <cellStyle name="Percent 23 2" xfId="2266"/>
    <cellStyle name="Percent 23 2 2" xfId="2267"/>
    <cellStyle name="Percent 23 3" xfId="2268"/>
    <cellStyle name="Percent 23 3 2" xfId="2269"/>
    <cellStyle name="Percent 24" xfId="2270"/>
    <cellStyle name="Percent 25" xfId="2271"/>
    <cellStyle name="Percent 26" xfId="2272"/>
    <cellStyle name="Percent 27" xfId="2273"/>
    <cellStyle name="Percent 28" xfId="2274"/>
    <cellStyle name="Percent 29" xfId="2275"/>
    <cellStyle name="Percent 3" xfId="2276"/>
    <cellStyle name="Percent 3 2" xfId="2277"/>
    <cellStyle name="Percent 3 3" xfId="2278"/>
    <cellStyle name="Percent 3 3 2" xfId="2279"/>
    <cellStyle name="Percent 3 3 3" xfId="2280"/>
    <cellStyle name="Percent 3 3 4" xfId="2281"/>
    <cellStyle name="Percent 3 3 4 2" xfId="2282"/>
    <cellStyle name="Percent 3 3 5" xfId="2283"/>
    <cellStyle name="Percent 3 3 6" xfId="2284"/>
    <cellStyle name="Percent 3 4" xfId="2285"/>
    <cellStyle name="Percent 3 5" xfId="2286"/>
    <cellStyle name="Percent 3 6" xfId="2287"/>
    <cellStyle name="Percent 30" xfId="2288"/>
    <cellStyle name="Percent 31" xfId="2289"/>
    <cellStyle name="Percent 32" xfId="2290"/>
    <cellStyle name="Percent 33" xfId="2291"/>
    <cellStyle name="Percent 34" xfId="2292"/>
    <cellStyle name="Percent 35" xfId="2293"/>
    <cellStyle name="Percent 36" xfId="2294"/>
    <cellStyle name="Percent 37" xfId="2295"/>
    <cellStyle name="Percent 38" xfId="2296"/>
    <cellStyle name="Percent 39" xfId="2297"/>
    <cellStyle name="Percent 4" xfId="2298"/>
    <cellStyle name="Percent 4 2" xfId="2299"/>
    <cellStyle name="Percent 4 2 2" xfId="2300"/>
    <cellStyle name="Percent 4 2 3" xfId="2301"/>
    <cellStyle name="Percent 4 3" xfId="2302"/>
    <cellStyle name="Percent 4 4" xfId="2303"/>
    <cellStyle name="Percent 4 5" xfId="2304"/>
    <cellStyle name="Percent 4 6" xfId="2305"/>
    <cellStyle name="Percent 40" xfId="2306"/>
    <cellStyle name="Percent 41" xfId="2307"/>
    <cellStyle name="Percent 42" xfId="2308"/>
    <cellStyle name="Percent 43" xfId="2309"/>
    <cellStyle name="Percent 44" xfId="2310"/>
    <cellStyle name="Percent 45" xfId="2311"/>
    <cellStyle name="Percent 46" xfId="2312"/>
    <cellStyle name="Percent 47" xfId="2313"/>
    <cellStyle name="Percent 48" xfId="2314"/>
    <cellStyle name="Percent 49" xfId="2315"/>
    <cellStyle name="Percent 5" xfId="2316"/>
    <cellStyle name="Percent 5 2" xfId="2317"/>
    <cellStyle name="Percent 5 2 2" xfId="2318"/>
    <cellStyle name="Percent 5 2 3" xfId="2319"/>
    <cellStyle name="Percent 5 2 4" xfId="2320"/>
    <cellStyle name="Percent 5 2 5" xfId="2321"/>
    <cellStyle name="Percent 5 2 6" xfId="2322"/>
    <cellStyle name="Percent 5 3" xfId="2323"/>
    <cellStyle name="Percent 5 4" xfId="2324"/>
    <cellStyle name="Percent 5 5" xfId="2325"/>
    <cellStyle name="Percent 5 6" xfId="2326"/>
    <cellStyle name="Percent 50" xfId="2327"/>
    <cellStyle name="Percent 51" xfId="2328"/>
    <cellStyle name="Percent 52" xfId="2329"/>
    <cellStyle name="Percent 53" xfId="2330"/>
    <cellStyle name="Percent 54" xfId="2331"/>
    <cellStyle name="Percent 55" xfId="2332"/>
    <cellStyle name="Percent 56" xfId="2333"/>
    <cellStyle name="Percent 57" xfId="2334"/>
    <cellStyle name="Percent 58" xfId="2335"/>
    <cellStyle name="Percent 59" xfId="2336"/>
    <cellStyle name="Percent 6" xfId="2337"/>
    <cellStyle name="Percent 6 2" xfId="2338"/>
    <cellStyle name="Percent 6 2 2" xfId="2339"/>
    <cellStyle name="Percent 6 3" xfId="2340"/>
    <cellStyle name="Percent 6 4" xfId="2341"/>
    <cellStyle name="Percent 6 5" xfId="2342"/>
    <cellStyle name="Percent 60" xfId="2343"/>
    <cellStyle name="Percent 61" xfId="2344"/>
    <cellStyle name="Percent 62" xfId="2345"/>
    <cellStyle name="Percent 63" xfId="2346"/>
    <cellStyle name="Percent 64" xfId="2347"/>
    <cellStyle name="Percent 65" xfId="2348"/>
    <cellStyle name="Percent 66" xfId="2349"/>
    <cellStyle name="Percent 67" xfId="2350"/>
    <cellStyle name="Percent 68" xfId="2351"/>
    <cellStyle name="Percent 69" xfId="2352"/>
    <cellStyle name="Percent 7" xfId="2353"/>
    <cellStyle name="Percent 7 2" xfId="2354"/>
    <cellStyle name="Percent 7 2 2" xfId="2355"/>
    <cellStyle name="Percent 7 3" xfId="2356"/>
    <cellStyle name="Percent 70" xfId="2357"/>
    <cellStyle name="Percent 71" xfId="2358"/>
    <cellStyle name="Percent 72" xfId="2359"/>
    <cellStyle name="Percent 73" xfId="2360"/>
    <cellStyle name="Percent 74" xfId="2361"/>
    <cellStyle name="Percent 75" xfId="2362"/>
    <cellStyle name="Percent 76" xfId="2363"/>
    <cellStyle name="Percent 77" xfId="2364"/>
    <cellStyle name="Percent 78" xfId="2365"/>
    <cellStyle name="Percent 79" xfId="2366"/>
    <cellStyle name="Percent 8" xfId="2367"/>
    <cellStyle name="Percent 8 2" xfId="2368"/>
    <cellStyle name="Percent 8 2 2" xfId="2369"/>
    <cellStyle name="Percent 8 3" xfId="2370"/>
    <cellStyle name="Percent 80" xfId="2371"/>
    <cellStyle name="Percent 81" xfId="2372"/>
    <cellStyle name="Percent 82" xfId="2373"/>
    <cellStyle name="Percent 83" xfId="2374"/>
    <cellStyle name="Percent 84" xfId="2375"/>
    <cellStyle name="Percent 85" xfId="2376"/>
    <cellStyle name="Percent 86" xfId="2377"/>
    <cellStyle name="Percent 87" xfId="2378"/>
    <cellStyle name="Percent 88" xfId="2379"/>
    <cellStyle name="Percent 89" xfId="2380"/>
    <cellStyle name="Percent 9" xfId="2381"/>
    <cellStyle name="Percent 9 2" xfId="2382"/>
    <cellStyle name="Percent 9 3" xfId="2383"/>
    <cellStyle name="Percent 90" xfId="2384"/>
    <cellStyle name="Percent 91" xfId="2385"/>
    <cellStyle name="Percent 92" xfId="2386"/>
    <cellStyle name="Percent 93" xfId="2387"/>
    <cellStyle name="Percent 94" xfId="2388"/>
    <cellStyle name="Percent 95" xfId="2389"/>
    <cellStyle name="Percentuale 10" xfId="2390"/>
    <cellStyle name="Percentuale 10 2" xfId="2391"/>
    <cellStyle name="Percentuale 10 3" xfId="2392"/>
    <cellStyle name="Percentuale 11" xfId="2393"/>
    <cellStyle name="Percentuale 11 2" xfId="2394"/>
    <cellStyle name="Percentuale 11 3" xfId="2395"/>
    <cellStyle name="Percentuale 12" xfId="2396"/>
    <cellStyle name="Percentuale 12 2" xfId="2397"/>
    <cellStyle name="Percentuale 12 3" xfId="2398"/>
    <cellStyle name="Percentuale 13" xfId="2399"/>
    <cellStyle name="Percentuale 13 2" xfId="2400"/>
    <cellStyle name="Percentuale 13 3" xfId="2401"/>
    <cellStyle name="Percentuale 2" xfId="2402"/>
    <cellStyle name="Percentuale 2 2" xfId="2403"/>
    <cellStyle name="Percentuale 3" xfId="2404"/>
    <cellStyle name="Percentuale 3 2" xfId="2405"/>
    <cellStyle name="Percentuale 4" xfId="2406"/>
    <cellStyle name="Percentuale 5" xfId="2407"/>
    <cellStyle name="Percentuale 5 2" xfId="2408"/>
    <cellStyle name="Percentuale 5 3" xfId="2409"/>
    <cellStyle name="Percentuale 6" xfId="2410"/>
    <cellStyle name="Percentuale 6 2" xfId="2411"/>
    <cellStyle name="Percentuale 6 3" xfId="2412"/>
    <cellStyle name="Percentuale 7" xfId="2413"/>
    <cellStyle name="Percentuale 7 2" xfId="2414"/>
    <cellStyle name="Percentuale 7 3" xfId="2415"/>
    <cellStyle name="Percentuale 7 4" xfId="2416"/>
    <cellStyle name="Percentuale 8" xfId="2417"/>
    <cellStyle name="Percentuale 8 2" xfId="2418"/>
    <cellStyle name="Percentuale 8 3" xfId="2419"/>
    <cellStyle name="Percentuale 8 4" xfId="2420"/>
    <cellStyle name="Percentuale 9" xfId="2421"/>
    <cellStyle name="pivot item labels &amp; totals" xfId="2422"/>
    <cellStyle name="pivot nation" xfId="2423"/>
    <cellStyle name="pivotdata" xfId="2424"/>
    <cellStyle name="pivotdata 2" xfId="2425"/>
    <cellStyle name="pivotdata_Cyprus en route fin 11 Nov - DUR" xfId="2426"/>
    <cellStyle name="Pourcentage 2" xfId="2427"/>
    <cellStyle name="Pourcentage 2 2" xfId="2428"/>
    <cellStyle name="Pourcentage 2 3" xfId="2429"/>
    <cellStyle name="Pourcentage 3" xfId="2430"/>
    <cellStyle name="Pourcentage 3 2" xfId="2431"/>
    <cellStyle name="Pourcentage_tocmodel_final" xfId="2432"/>
    <cellStyle name="Procent 2" xfId="2433"/>
    <cellStyle name="Procent 2 2" xfId="2434"/>
    <cellStyle name="Procent 2 2 2" xfId="2435"/>
    <cellStyle name="Procent 2 2 3" xfId="2436"/>
    <cellStyle name="Procent 2 2 4" xfId="2437"/>
    <cellStyle name="Procent 2 3" xfId="2438"/>
    <cellStyle name="Procent 2 4" xfId="2439"/>
    <cellStyle name="Procent 3" xfId="2440"/>
    <cellStyle name="Procent 3 2" xfId="2441"/>
    <cellStyle name="Procentowy 2" xfId="2442"/>
    <cellStyle name="Profile" xfId="2443"/>
    <cellStyle name="Prozent 2" xfId="2444"/>
    <cellStyle name="Prozent 2 2" xfId="2445"/>
    <cellStyle name="Prozent 2 2 2" xfId="2446"/>
    <cellStyle name="Prozent 2 2 3" xfId="2447"/>
    <cellStyle name="Prozent 2 3" xfId="2448"/>
    <cellStyle name="Prozent 2 4" xfId="2449"/>
    <cellStyle name="ROA Ref" xfId="2450"/>
    <cellStyle name="Rõhk1" xfId="2451"/>
    <cellStyle name="Rõhk1 2" xfId="2452"/>
    <cellStyle name="Rõhk1 3" xfId="2453"/>
    <cellStyle name="Rõhk2" xfId="2454"/>
    <cellStyle name="Rõhk2 2" xfId="2455"/>
    <cellStyle name="Rõhk2 3" xfId="2456"/>
    <cellStyle name="Rõhk3" xfId="2457"/>
    <cellStyle name="Rõhk3 2" xfId="2458"/>
    <cellStyle name="Rõhk3 3" xfId="2459"/>
    <cellStyle name="Rõhk4" xfId="2460"/>
    <cellStyle name="Rõhk4 2" xfId="2461"/>
    <cellStyle name="Rõhk4 3" xfId="2462"/>
    <cellStyle name="Rõhk5" xfId="2463"/>
    <cellStyle name="Rõhk5 2" xfId="2464"/>
    <cellStyle name="Rõhk5 3" xfId="2465"/>
    <cellStyle name="Rõhk6" xfId="2466"/>
    <cellStyle name="Rõhk6 2" xfId="2467"/>
    <cellStyle name="Rõhk6 3" xfId="2468"/>
    <cellStyle name="Rossz 2" xfId="2469"/>
    <cellStyle name="Rubrik" xfId="2470"/>
    <cellStyle name="Rubrik 1" xfId="2471"/>
    <cellStyle name="Rubrik 2" xfId="2472"/>
    <cellStyle name="Rubrik 3" xfId="2473"/>
    <cellStyle name="Rubrik 4" xfId="2474"/>
    <cellStyle name="Rubrik_Table 2 Unit Rate" xfId="2475"/>
    <cellStyle name="Salida" xfId="2476"/>
    <cellStyle name="Sammenkædet celle" xfId="2477"/>
    <cellStyle name="SAPBEXaggData" xfId="2478"/>
    <cellStyle name="SAPBEXaggDataEmph" xfId="2479"/>
    <cellStyle name="SAPBEXaggItem" xfId="2480"/>
    <cellStyle name="SAPBEXaggItemX" xfId="2481"/>
    <cellStyle name="SAPBEXchaText" xfId="2482"/>
    <cellStyle name="SAPBEXexcBad7" xfId="2483"/>
    <cellStyle name="SAPBEXexcBad8" xfId="2484"/>
    <cellStyle name="SAPBEXexcBad9" xfId="2485"/>
    <cellStyle name="SAPBEXexcCritical4" xfId="2486"/>
    <cellStyle name="SAPBEXexcCritical5" xfId="2487"/>
    <cellStyle name="SAPBEXexcCritical6" xfId="2488"/>
    <cellStyle name="SAPBEXexcGood1" xfId="2489"/>
    <cellStyle name="SAPBEXexcGood2" xfId="2490"/>
    <cellStyle name="SAPBEXexcGood3" xfId="2491"/>
    <cellStyle name="SAPBEXfilterDrill" xfId="2492"/>
    <cellStyle name="SAPBEXfilterItem" xfId="2493"/>
    <cellStyle name="SAPBEXfilterText" xfId="2494"/>
    <cellStyle name="SAPBEXformats" xfId="2495"/>
    <cellStyle name="SAPBEXheaderItem" xfId="2496"/>
    <cellStyle name="SAPBEXheaderText" xfId="2497"/>
    <cellStyle name="SAPBEXHLevel0" xfId="2498"/>
    <cellStyle name="SAPBEXHLevel0X" xfId="2499"/>
    <cellStyle name="SAPBEXHLevel1" xfId="2500"/>
    <cellStyle name="SAPBEXHLevel1X" xfId="2501"/>
    <cellStyle name="SAPBEXHLevel2" xfId="2502"/>
    <cellStyle name="SAPBEXHLevel2X" xfId="2503"/>
    <cellStyle name="SAPBEXHLevel3" xfId="2504"/>
    <cellStyle name="SAPBEXHLevel3X" xfId="2505"/>
    <cellStyle name="SAPBEXresData" xfId="2506"/>
    <cellStyle name="SAPBEXresDataEmph" xfId="2507"/>
    <cellStyle name="SAPBEXresItem" xfId="2508"/>
    <cellStyle name="SAPBEXresItemX" xfId="2509"/>
    <cellStyle name="SAPBEXstdData" xfId="2510"/>
    <cellStyle name="SAPBEXstdDataEmph" xfId="2511"/>
    <cellStyle name="SAPBEXstdItem" xfId="2512"/>
    <cellStyle name="SAPBEXstdItemX" xfId="2513"/>
    <cellStyle name="SAPBEXtitle" xfId="2514"/>
    <cellStyle name="SAPBEXundefined" xfId="2515"/>
    <cellStyle name="Satisfaisant" xfId="2516"/>
    <cellStyle name="Satisfaisant 2" xfId="2517"/>
    <cellStyle name="Schlecht" xfId="2518"/>
    <cellStyle name="Section_End" xfId="2519"/>
    <cellStyle name="Selgitav tekst" xfId="2520"/>
    <cellStyle name="Selgitav tekst 2" xfId="2521"/>
    <cellStyle name="Selgitav tekst 3" xfId="2522"/>
    <cellStyle name="Selittävä teksti" xfId="2523"/>
    <cellStyle name="Semleges 2" xfId="2524"/>
    <cellStyle name="Sheet Done" xfId="2525"/>
    <cellStyle name="Sisestus" xfId="2526"/>
    <cellStyle name="Sisestus 2" xfId="2527"/>
    <cellStyle name="Sisestus 3" xfId="2528"/>
    <cellStyle name="Skaičiavimas" xfId="2529"/>
    <cellStyle name="Small" xfId="2530"/>
    <cellStyle name="Sortie" xfId="2531"/>
    <cellStyle name="Sortie 2" xfId="2532"/>
    <cellStyle name="Source Field - Green" xfId="2533"/>
    <cellStyle name="Source Field - Green 2" xfId="2534"/>
    <cellStyle name="Source Field - Green 3" xfId="2535"/>
    <cellStyle name="Standaard_BoQ Lot B2 Airfield Lighting" xfId="2536"/>
    <cellStyle name="Standard 2" xfId="2537"/>
    <cellStyle name="Standard 3" xfId="2538"/>
    <cellStyle name="Standard 4" xfId="2539"/>
    <cellStyle name="Standard 4 2" xfId="2540"/>
    <cellStyle name="Standard,f,u" xfId="2541"/>
    <cellStyle name="Standard,Helv 8" xfId="2542"/>
    <cellStyle name="Standard_Agip_Zusammenfassung" xfId="2543"/>
    <cellStyle name="Stile 1" xfId="2544"/>
    <cellStyle name="Style 1" xfId="2545"/>
    <cellStyle name="Sub totals" xfId="2546"/>
    <cellStyle name="Subtotal (line)" xfId="2547"/>
    <cellStyle name="Suma" xfId="2548"/>
    <cellStyle name="Summa" xfId="2549"/>
    <cellStyle name="Susietas langelis" xfId="2550"/>
    <cellStyle name="Syöttö" xfId="2551"/>
    <cellStyle name="Számítás 2" xfId="2552"/>
    <cellStyle name="Százalék 2" xfId="2553"/>
    <cellStyle name="Százalék 2 2" xfId="2554"/>
    <cellStyle name="Százalék 2 2 2" xfId="2555"/>
    <cellStyle name="Százalék 2 3" xfId="2556"/>
    <cellStyle name="Százalék 3" xfId="2557"/>
    <cellStyle name="TableBorder" xfId="2558"/>
    <cellStyle name="Tarkistussolu" xfId="2559"/>
    <cellStyle name="Texte explicatif" xfId="2560"/>
    <cellStyle name="Texte explicatif 2" xfId="2561"/>
    <cellStyle name="Texto de advertencia" xfId="2562"/>
    <cellStyle name="Texto explicativo" xfId="2563"/>
    <cellStyle name="Thousands" xfId="2564"/>
    <cellStyle name="Tikrinimo langelis" xfId="2565"/>
    <cellStyle name="TimeReport" xfId="2566"/>
    <cellStyle name="Titel" xfId="2567"/>
    <cellStyle name="Title 1" xfId="2568"/>
    <cellStyle name="Title 2" xfId="2569"/>
    <cellStyle name="Title 3" xfId="2570"/>
    <cellStyle name="Title 4" xfId="2571"/>
    <cellStyle name="Title 5" xfId="2572"/>
    <cellStyle name="Titre" xfId="2573"/>
    <cellStyle name="Titre 2" xfId="2574"/>
    <cellStyle name="Titre 1" xfId="2575"/>
    <cellStyle name="Titre 1 2" xfId="2576"/>
    <cellStyle name="Titre 2" xfId="2577"/>
    <cellStyle name="Titre 2 2" xfId="2578"/>
    <cellStyle name="Titre 3" xfId="2579"/>
    <cellStyle name="Titre 3 2" xfId="2580"/>
    <cellStyle name="Titre 4" xfId="2581"/>
    <cellStyle name="Titre 4 2" xfId="2582"/>
    <cellStyle name="Titre_APPOGGIO 2010-2014" xfId="2583"/>
    <cellStyle name="Titulo" xfId="2584"/>
    <cellStyle name="Título" xfId="2585"/>
    <cellStyle name="Título 1" xfId="2586"/>
    <cellStyle name="Título 2" xfId="2587"/>
    <cellStyle name="Título 3" xfId="2588"/>
    <cellStyle name="To" xfId="2589"/>
    <cellStyle name="Total (line)" xfId="2590"/>
    <cellStyle name="Total 2" xfId="2591"/>
    <cellStyle name="Total 3" xfId="2592"/>
    <cellStyle name="Total 4" xfId="2593"/>
    <cellStyle name="Total 5" xfId="2594"/>
    <cellStyle name="Totals" xfId="2595"/>
    <cellStyle name="tr" xfId="2596"/>
    <cellStyle name="Tulostus" xfId="2597"/>
    <cellStyle name="Tusental (0)_Blad1" xfId="2598"/>
    <cellStyle name="Tusental 2" xfId="2599"/>
    <cellStyle name="Überschrift" xfId="2600"/>
    <cellStyle name="Überschrift 1" xfId="2601"/>
    <cellStyle name="Überschrift 2" xfId="2602"/>
    <cellStyle name="Überschrift 3" xfId="2603"/>
    <cellStyle name="Überschrift 4" xfId="2604"/>
    <cellStyle name="Überschrift_CRCO_macros" xfId="2605"/>
    <cellStyle name="Ugyldig" xfId="2606"/>
    <cellStyle name="Under Construction Flag" xfId="2607"/>
    <cellStyle name="Under Construction Flag 2" xfId="2608"/>
    <cellStyle name="Under Construction Flag 3" xfId="2609"/>
    <cellStyle name="UserInstructions" xfId="2610"/>
    <cellStyle name="Utdata" xfId="2611"/>
    <cellStyle name="Väljund" xfId="2612"/>
    <cellStyle name="Väljund 2" xfId="2613"/>
    <cellStyle name="Väljund 3" xfId="2614"/>
    <cellStyle name="Valuta (0)_Blad1" xfId="2615"/>
    <cellStyle name="Valuta 2" xfId="2616"/>
    <cellStyle name="Varningstext" xfId="2617"/>
    <cellStyle name="Varoitusteksti" xfId="2618"/>
    <cellStyle name="Vérification" xfId="2619"/>
    <cellStyle name="Vérification 2" xfId="2620"/>
    <cellStyle name="Verknüpfte Zelle" xfId="2621"/>
    <cellStyle name="Very Large" xfId="2622"/>
    <cellStyle name="Währung [0]_aM120029" xfId="2623"/>
    <cellStyle name="Währung_aM120029" xfId="2624"/>
    <cellStyle name="Warnender Text" xfId="2625"/>
    <cellStyle name="Warning Text 2" xfId="2626"/>
    <cellStyle name="WingDings" xfId="2627"/>
    <cellStyle name="WIP" xfId="2628"/>
    <cellStyle name="Yüzde 2" xfId="2629"/>
    <cellStyle name="Yüzde 3" xfId="2630"/>
    <cellStyle name="Zelle überprüfen" xfId="26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45.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47.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49.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51.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53.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55.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57.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59.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61.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63.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65.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67.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69.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71.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73.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75.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77.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79.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8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Tahoma"/>
                <a:ea typeface="Tahoma"/>
                <a:cs typeface="Tahoma"/>
              </a:defRPr>
            </a:pPr>
            <a:r>
              <a:rPr lang="en-GB" sz="1000" b="1" i="0" u="none" strike="noStrike" baseline="0">
                <a:solidFill>
                  <a:srgbClr val="000000"/>
                </a:solidFill>
                <a:latin typeface="Tahoma"/>
                <a:ea typeface="Tahoma"/>
                <a:cs typeface="Tahoma"/>
              </a:rPr>
              <a:t>TOTAL SERVICE UNITS ('000) - CRCO Total </a:t>
            </a:r>
            <a:r>
              <a:rPr lang="en-GB" sz="1000" b="1" i="0" u="none" strike="noStrike" baseline="0">
                <a:solidFill>
                  <a:srgbClr val="DD0806"/>
                </a:solidFill>
                <a:latin typeface="Tahoma"/>
                <a:ea typeface="Tahoma"/>
                <a:cs typeface="Tahoma"/>
              </a:rPr>
              <a:t>2016</a:t>
            </a:r>
            <a:r>
              <a:rPr lang="en-GB" sz="1000" b="1" i="0" u="none" strike="noStrike" baseline="0">
                <a:solidFill>
                  <a:srgbClr val="000000"/>
                </a:solidFill>
                <a:latin typeface="Tahoma"/>
                <a:ea typeface="Tahoma"/>
                <a:cs typeface="Tahoma"/>
              </a:rPr>
              <a:t> Regional Area</a:t>
            </a:r>
          </a:p>
        </c:rich>
      </c:tx>
      <c:layout>
        <c:manualLayout>
          <c:xMode val="edge"/>
          <c:yMode val="edge"/>
          <c:x val="0.30261695548925949"/>
          <c:y val="2.9850632307325219E-2"/>
        </c:manualLayout>
      </c:layout>
      <c:overlay val="0"/>
      <c:spPr>
        <a:noFill/>
        <a:ln w="25400">
          <a:noFill/>
        </a:ln>
      </c:spPr>
    </c:title>
    <c:autoTitleDeleted val="0"/>
    <c:plotArea>
      <c:layout>
        <c:manualLayout>
          <c:layoutTarget val="inner"/>
          <c:xMode val="edge"/>
          <c:yMode val="edge"/>
          <c:x val="9.6451426513701324E-2"/>
          <c:y val="0.13299246576668255"/>
          <c:w val="0.88990089745660295"/>
          <c:h val="0.59505603272528451"/>
        </c:manualLayout>
      </c:layout>
      <c:barChart>
        <c:barDir val="col"/>
        <c:grouping val="clustered"/>
        <c:varyColors val="0"/>
        <c:ser>
          <c:idx val="2"/>
          <c:order val="0"/>
          <c:tx>
            <c:strRef>
              <c:f>crco_total!$G$3</c:f>
              <c:strCache>
                <c:ptCount val="1"/>
                <c:pt idx="0">
                  <c:v>2014
Actual</c:v>
                </c:pt>
              </c:strCache>
            </c:strRef>
          </c:tx>
          <c:spPr>
            <a:solidFill>
              <a:srgbClr val="3366FF"/>
            </a:solidFill>
            <a:ln w="12700">
              <a:solidFill>
                <a:srgbClr val="3366FF"/>
              </a:solidFill>
              <a:prstDash val="solid"/>
            </a:ln>
          </c:spPr>
          <c:invertIfNegative val="0"/>
          <c:cat>
            <c:strRef>
              <c:f>crco_total!$C$5:$C$16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crco_total!$G$5:$G$16</c:f>
              <c:numCache>
                <c:formatCode>#,##0</c:formatCode>
                <c:ptCount val="12"/>
                <c:pt idx="0">
                  <c:v>8881662.7586000003</c:v>
                </c:pt>
                <c:pt idx="1">
                  <c:v>8182483.0998999998</c:v>
                </c:pt>
                <c:pt idx="2">
                  <c:v>9543279.4984000027</c:v>
                </c:pt>
                <c:pt idx="3">
                  <c:v>10532992.873900004</c:v>
                </c:pt>
                <c:pt idx="4">
                  <c:v>11777120.355000002</c:v>
                </c:pt>
                <c:pt idx="5">
                  <c:v>12346042.211600002</c:v>
                </c:pt>
                <c:pt idx="6">
                  <c:v>13475355.5699</c:v>
                </c:pt>
                <c:pt idx="7">
                  <c:v>13757591.387100002</c:v>
                </c:pt>
                <c:pt idx="8">
                  <c:v>12543242.130800003</c:v>
                </c:pt>
                <c:pt idx="9">
                  <c:v>11939694.323199999</c:v>
                </c:pt>
                <c:pt idx="10">
                  <c:v>9684457.594800001</c:v>
                </c:pt>
                <c:pt idx="11">
                  <c:v>9466392.8037999999</c:v>
                </c:pt>
              </c:numCache>
            </c:numRef>
          </c:val>
          <c:extLst>
            <c:ext xmlns:c16="http://schemas.microsoft.com/office/drawing/2014/chart" uri="{C3380CC4-5D6E-409C-BE32-E72D297353CC}">
              <c16:uniqueId val="{00000000-6028-45EB-A2E7-88AC776B379F}"/>
            </c:ext>
          </c:extLst>
        </c:ser>
        <c:ser>
          <c:idx val="0"/>
          <c:order val="1"/>
          <c:tx>
            <c:strRef>
              <c:f>crco_total!$F$3</c:f>
              <c:strCache>
                <c:ptCount val="1"/>
                <c:pt idx="0">
                  <c:v>2015
Actual</c:v>
                </c:pt>
              </c:strCache>
            </c:strRef>
          </c:tx>
          <c:spPr>
            <a:solidFill>
              <a:srgbClr val="666699"/>
            </a:solidFill>
            <a:ln w="12700">
              <a:solidFill>
                <a:srgbClr val="666699"/>
              </a:solidFill>
              <a:prstDash val="solid"/>
            </a:ln>
          </c:spPr>
          <c:invertIfNegative val="0"/>
          <c:cat>
            <c:strRef>
              <c:f>crco_total!$C$5:$C$16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crco_total!$F$5:$F$16</c:f>
              <c:numCache>
                <c:formatCode>#,##0</c:formatCode>
                <c:ptCount val="12"/>
                <c:pt idx="0">
                  <c:v>9521307.2996999957</c:v>
                </c:pt>
                <c:pt idx="1">
                  <c:v>8724293.7946999986</c:v>
                </c:pt>
                <c:pt idx="2">
                  <c:v>10193071.390699999</c:v>
                </c:pt>
                <c:pt idx="3">
                  <c:v>11072263.654700002</c:v>
                </c:pt>
                <c:pt idx="4">
                  <c:v>12282096.796899999</c:v>
                </c:pt>
                <c:pt idx="5">
                  <c:v>12811993.892999994</c:v>
                </c:pt>
                <c:pt idx="6">
                  <c:v>13957913.980099998</c:v>
                </c:pt>
                <c:pt idx="7">
                  <c:v>14060384.824800007</c:v>
                </c:pt>
                <c:pt idx="8">
                  <c:v>12934926.384100003</c:v>
                </c:pt>
                <c:pt idx="9">
                  <c:v>12263442.430200005</c:v>
                </c:pt>
                <c:pt idx="10">
                  <c:v>9903299.5273000002</c:v>
                </c:pt>
                <c:pt idx="11">
                  <c:v>9963958.0836000014</c:v>
                </c:pt>
              </c:numCache>
            </c:numRef>
          </c:val>
          <c:extLst>
            <c:ext xmlns:c16="http://schemas.microsoft.com/office/drawing/2014/chart" uri="{C3380CC4-5D6E-409C-BE32-E72D297353CC}">
              <c16:uniqueId val="{00000001-6028-45EB-A2E7-88AC776B379F}"/>
            </c:ext>
          </c:extLst>
        </c:ser>
        <c:ser>
          <c:idx val="5"/>
          <c:order val="2"/>
          <c:tx>
            <c:strRef>
              <c:f>crco_total!$E$3</c:f>
              <c:strCache>
                <c:ptCount val="1"/>
                <c:pt idx="0">
                  <c:v>2016 Unit
Rate Basis</c:v>
                </c:pt>
              </c:strCache>
            </c:strRef>
          </c:tx>
          <c:spPr>
            <a:solidFill>
              <a:srgbClr val="FF8080"/>
            </a:solidFill>
            <a:ln w="25400">
              <a:solidFill>
                <a:srgbClr val="DD0806"/>
              </a:solidFill>
              <a:prstDash val="lgDash"/>
            </a:ln>
          </c:spPr>
          <c:invertIfNegative val="0"/>
          <c:cat>
            <c:strRef>
              <c:f>crco_total!$C$5:$C$16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crco_total!$E$5:$E$16</c:f>
              <c:numCache>
                <c:formatCode>#,##0</c:formatCode>
                <c:ptCount val="12"/>
                <c:pt idx="0">
                  <c:v>9563066.0990698803</c:v>
                </c:pt>
                <c:pt idx="1">
                  <c:v>8762927.0624702033</c:v>
                </c:pt>
                <c:pt idx="2">
                  <c:v>10238914.016825825</c:v>
                </c:pt>
                <c:pt idx="3">
                  <c:v>11125175.843564702</c:v>
                </c:pt>
                <c:pt idx="4">
                  <c:v>12341539.945712291</c:v>
                </c:pt>
                <c:pt idx="5">
                  <c:v>12869963.023510698</c:v>
                </c:pt>
                <c:pt idx="6">
                  <c:v>14014359.077789471</c:v>
                </c:pt>
                <c:pt idx="7">
                  <c:v>14113026.008278877</c:v>
                </c:pt>
                <c:pt idx="8">
                  <c:v>12987805.57810737</c:v>
                </c:pt>
                <c:pt idx="9">
                  <c:v>12313449.090183662</c:v>
                </c:pt>
                <c:pt idx="10">
                  <c:v>9948146.9581586197</c:v>
                </c:pt>
                <c:pt idx="11">
                  <c:v>10005979.332947241</c:v>
                </c:pt>
              </c:numCache>
            </c:numRef>
          </c:val>
          <c:extLst>
            <c:ext xmlns:c16="http://schemas.microsoft.com/office/drawing/2014/chart" uri="{C3380CC4-5D6E-409C-BE32-E72D297353CC}">
              <c16:uniqueId val="{00000002-6028-45EB-A2E7-88AC776B379F}"/>
            </c:ext>
          </c:extLst>
        </c:ser>
        <c:ser>
          <c:idx val="1"/>
          <c:order val="3"/>
          <c:tx>
            <c:strRef>
              <c:f>crco_total!$D$3</c:f>
              <c:strCache>
                <c:ptCount val="1"/>
                <c:pt idx="0">
                  <c:v>2016
Actual</c:v>
                </c:pt>
              </c:strCache>
            </c:strRef>
          </c:tx>
          <c:spPr>
            <a:solidFill>
              <a:srgbClr val="993366"/>
            </a:solidFill>
            <a:ln w="38100">
              <a:solidFill>
                <a:srgbClr val="993300"/>
              </a:solidFill>
              <a:prstDash val="solid"/>
            </a:ln>
          </c:spPr>
          <c:invertIfNegative val="0"/>
          <c:cat>
            <c:strRef>
              <c:f>crco_total!$C$5:$C$16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crco_total!$D$5:$D$16</c:f>
              <c:numCache>
                <c:formatCode>#,##0</c:formatCode>
                <c:ptCount val="12"/>
                <c:pt idx="0">
                  <c:v>9786518.4481999986</c:v>
                </c:pt>
                <c:pt idx="1">
                  <c:v>9390917.4628999978</c:v>
                </c:pt>
                <c:pt idx="2">
                  <c:v>10629923.633600002</c:v>
                </c:pt>
                <c:pt idx="3">
                  <c:v>11334144.103299998</c:v>
                </c:pt>
                <c:pt idx="4">
                  <c:v>12644831.7653</c:v>
                </c:pt>
                <c:pt idx="5">
                  <c:v>13143927.552100003</c:v>
                </c:pt>
                <c:pt idx="6">
                  <c:v>14602481.986399999</c:v>
                </c:pt>
                <c:pt idx="7">
                  <c:v>14586073.996599998</c:v>
                </c:pt>
                <c:pt idx="8">
                  <c:v>13593709.032200003</c:v>
                </c:pt>
                <c:pt idx="9">
                  <c:v>12848211.1417</c:v>
                </c:pt>
                <c:pt idx="10">
                  <c:v>0</c:v>
                </c:pt>
                <c:pt idx="11">
                  <c:v>0</c:v>
                </c:pt>
              </c:numCache>
            </c:numRef>
          </c:val>
          <c:extLst>
            <c:ext xmlns:c16="http://schemas.microsoft.com/office/drawing/2014/chart" uri="{C3380CC4-5D6E-409C-BE32-E72D297353CC}">
              <c16:uniqueId val="{00000003-6028-45EB-A2E7-88AC776B379F}"/>
            </c:ext>
          </c:extLst>
        </c:ser>
        <c:dLbls>
          <c:showLegendKey val="0"/>
          <c:showVal val="0"/>
          <c:showCatName val="0"/>
          <c:showSerName val="0"/>
          <c:showPercent val="0"/>
          <c:showBubbleSize val="0"/>
        </c:dLbls>
        <c:gapWidth val="300"/>
        <c:overlap val="30"/>
        <c:axId val="140727384"/>
        <c:axId val="1"/>
      </c:barChart>
      <c:catAx>
        <c:axId val="140727384"/>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15500000"/>
          <c:min val="5000000"/>
        </c:scaling>
        <c:delete val="0"/>
        <c:axPos val="l"/>
        <c:majorGridlines>
          <c:spPr>
            <a:ln w="3175">
              <a:solidFill>
                <a:srgbClr val="000000"/>
              </a:solidFill>
              <a:prstDash val="sysDash"/>
            </a:ln>
          </c:spPr>
        </c:majorGridlines>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0727384"/>
        <c:crosses val="autoZero"/>
        <c:crossBetween val="between"/>
        <c:dispUnits>
          <c:builtInUnit val="thousands"/>
        </c:dispUnits>
      </c:valAx>
      <c:spPr>
        <a:noFill/>
        <a:ln w="25400">
          <a:noFill/>
        </a:ln>
      </c:spPr>
    </c:plotArea>
    <c:legend>
      <c:legendPos val="r"/>
      <c:layout>
        <c:manualLayout>
          <c:xMode val="edge"/>
          <c:yMode val="edge"/>
          <c:wMode val="edge"/>
          <c:hMode val="edge"/>
          <c:x val="0.3540375931269461"/>
          <c:y val="0.90303199978790527"/>
          <c:w val="0.68944164588122137"/>
          <c:h val="0.9838402926906864"/>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78" r="0.75000000000000078" t="1" header="0.5" footer="0.5"/>
    <c:pageSetup paperSize="9" orientation="landscape" horizontalDpi="-3" verticalDpi="300"/>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EUROCONTROL 2002 AREA (ESRA 02)</a:t>
            </a:r>
          </a:p>
        </c:rich>
      </c:tx>
      <c:layout>
        <c:manualLayout>
          <c:xMode val="edge"/>
          <c:yMode val="edge"/>
          <c:x val="0.25641453741196818"/>
          <c:y val="3.5925824489330141E-2"/>
        </c:manualLayout>
      </c:layout>
      <c:overlay val="0"/>
      <c:spPr>
        <a:noFill/>
        <a:ln w="25400">
          <a:noFill/>
        </a:ln>
      </c:spPr>
    </c:title>
    <c:autoTitleDeleted val="0"/>
    <c:plotArea>
      <c:layout>
        <c:manualLayout>
          <c:layoutTarget val="inner"/>
          <c:xMode val="edge"/>
          <c:yMode val="edge"/>
          <c:x val="0.10308831445476795"/>
          <c:y val="0.13816940299121072"/>
          <c:w val="0.88336021179344237"/>
          <c:h val="0.58721996271264554"/>
        </c:manualLayout>
      </c:layout>
      <c:barChart>
        <c:barDir val="col"/>
        <c:grouping val="clustered"/>
        <c:varyColors val="0"/>
        <c:ser>
          <c:idx val="2"/>
          <c:order val="0"/>
          <c:tx>
            <c:strRef>
              <c:f>esra_02!$G$3</c:f>
              <c:strCache>
                <c:ptCount val="1"/>
                <c:pt idx="0">
                  <c:v>2014
Actual</c:v>
                </c:pt>
              </c:strCache>
            </c:strRef>
          </c:tx>
          <c:spPr>
            <a:solidFill>
              <a:srgbClr val="3366FF"/>
            </a:solidFill>
            <a:ln w="12700">
              <a:solidFill>
                <a:srgbClr val="3366FF"/>
              </a:solidFill>
              <a:prstDash val="solid"/>
            </a:ln>
          </c:spPr>
          <c:invertIfNegative val="0"/>
          <c:cat>
            <c:strRef>
              <c:f>esra_02!$C$5:$C$16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esra_02!$G$5:$G$16</c:f>
              <c:numCache>
                <c:formatCode>#,##0</c:formatCode>
                <c:ptCount val="12"/>
                <c:pt idx="0">
                  <c:v>8270761.6574999997</c:v>
                </c:pt>
                <c:pt idx="1">
                  <c:v>7634578.5383000001</c:v>
                </c:pt>
                <c:pt idx="2">
                  <c:v>8898345.7541000005</c:v>
                </c:pt>
                <c:pt idx="3">
                  <c:v>9850121.8064000029</c:v>
                </c:pt>
                <c:pt idx="4">
                  <c:v>10973826.970000003</c:v>
                </c:pt>
                <c:pt idx="5">
                  <c:v>11474028.858900001</c:v>
                </c:pt>
                <c:pt idx="6">
                  <c:v>12508083.514800001</c:v>
                </c:pt>
                <c:pt idx="7">
                  <c:v>12774279.600300001</c:v>
                </c:pt>
                <c:pt idx="8">
                  <c:v>11662895.977300001</c:v>
                </c:pt>
                <c:pt idx="9">
                  <c:v>11126598.0877</c:v>
                </c:pt>
                <c:pt idx="10">
                  <c:v>9036823.8465999998</c:v>
                </c:pt>
                <c:pt idx="11">
                  <c:v>8837815.4589000009</c:v>
                </c:pt>
              </c:numCache>
            </c:numRef>
          </c:val>
          <c:extLst>
            <c:ext xmlns:c16="http://schemas.microsoft.com/office/drawing/2014/chart" uri="{C3380CC4-5D6E-409C-BE32-E72D297353CC}">
              <c16:uniqueId val="{00000000-EE31-404D-8038-D823B86CB5CF}"/>
            </c:ext>
          </c:extLst>
        </c:ser>
        <c:ser>
          <c:idx val="0"/>
          <c:order val="1"/>
          <c:tx>
            <c:strRef>
              <c:f>esra_02!$F$3</c:f>
              <c:strCache>
                <c:ptCount val="1"/>
                <c:pt idx="0">
                  <c:v>2015
Actual</c:v>
                </c:pt>
              </c:strCache>
            </c:strRef>
          </c:tx>
          <c:spPr>
            <a:solidFill>
              <a:srgbClr val="666699"/>
            </a:solidFill>
            <a:ln w="12700">
              <a:solidFill>
                <a:srgbClr val="666699"/>
              </a:solidFill>
              <a:prstDash val="solid"/>
            </a:ln>
          </c:spPr>
          <c:invertIfNegative val="0"/>
          <c:cat>
            <c:strRef>
              <c:f>esra_02!$C$5:$C$16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esra_02!$F$5:$F$16</c:f>
              <c:numCache>
                <c:formatCode>#,##0</c:formatCode>
                <c:ptCount val="12"/>
                <c:pt idx="0">
                  <c:v>8890984.8775999974</c:v>
                </c:pt>
                <c:pt idx="1">
                  <c:v>8159249.9628999988</c:v>
                </c:pt>
                <c:pt idx="2">
                  <c:v>9528556.7061000001</c:v>
                </c:pt>
                <c:pt idx="3">
                  <c:v>10337919.986500002</c:v>
                </c:pt>
                <c:pt idx="4">
                  <c:v>11435832.442100001</c:v>
                </c:pt>
                <c:pt idx="5">
                  <c:v>11902643.226899996</c:v>
                </c:pt>
                <c:pt idx="6">
                  <c:v>12942773.6283</c:v>
                </c:pt>
                <c:pt idx="7">
                  <c:v>13048408.864000006</c:v>
                </c:pt>
                <c:pt idx="8">
                  <c:v>12029193.517200001</c:v>
                </c:pt>
                <c:pt idx="9">
                  <c:v>11429103.822700005</c:v>
                </c:pt>
                <c:pt idx="10">
                  <c:v>9249444.4403000008</c:v>
                </c:pt>
                <c:pt idx="11">
                  <c:v>9300377.8120000008</c:v>
                </c:pt>
              </c:numCache>
            </c:numRef>
          </c:val>
          <c:extLst>
            <c:ext xmlns:c16="http://schemas.microsoft.com/office/drawing/2014/chart" uri="{C3380CC4-5D6E-409C-BE32-E72D297353CC}">
              <c16:uniqueId val="{00000001-EE31-404D-8038-D823B86CB5CF}"/>
            </c:ext>
          </c:extLst>
        </c:ser>
        <c:ser>
          <c:idx val="5"/>
          <c:order val="2"/>
          <c:tx>
            <c:strRef>
              <c:f>esra_02!$E$3</c:f>
              <c:strCache>
                <c:ptCount val="1"/>
                <c:pt idx="0">
                  <c:v>2016 Unit
Rate Basis</c:v>
                </c:pt>
              </c:strCache>
            </c:strRef>
          </c:tx>
          <c:spPr>
            <a:solidFill>
              <a:srgbClr val="FF8080"/>
            </a:solidFill>
            <a:ln w="25400">
              <a:solidFill>
                <a:srgbClr val="DD0806"/>
              </a:solidFill>
              <a:prstDash val="lgDash"/>
            </a:ln>
          </c:spPr>
          <c:invertIfNegative val="0"/>
          <c:cat>
            <c:strRef>
              <c:f>esra_02!$C$5:$C$16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esra_02!$E$5:$E$16</c:f>
              <c:numCache>
                <c:formatCode>#,##0</c:formatCode>
                <c:ptCount val="12"/>
                <c:pt idx="0">
                  <c:v>8876202.1262372546</c:v>
                </c:pt>
                <c:pt idx="1">
                  <c:v>8147475.0721817082</c:v>
                </c:pt>
                <c:pt idx="2">
                  <c:v>9514998.9216721822</c:v>
                </c:pt>
                <c:pt idx="3">
                  <c:v>10326872.143679705</c:v>
                </c:pt>
                <c:pt idx="4">
                  <c:v>11424207.723575518</c:v>
                </c:pt>
                <c:pt idx="5">
                  <c:v>11885069.649572859</c:v>
                </c:pt>
                <c:pt idx="6">
                  <c:v>12916664.689722477</c:v>
                </c:pt>
                <c:pt idx="7">
                  <c:v>13020297.243558355</c:v>
                </c:pt>
                <c:pt idx="8">
                  <c:v>12008066.69310558</c:v>
                </c:pt>
                <c:pt idx="9">
                  <c:v>11408496.962769616</c:v>
                </c:pt>
                <c:pt idx="10">
                  <c:v>9236078.5761070382</c:v>
                </c:pt>
                <c:pt idx="11">
                  <c:v>9282929.8415763285</c:v>
                </c:pt>
              </c:numCache>
            </c:numRef>
          </c:val>
          <c:extLst>
            <c:ext xmlns:c16="http://schemas.microsoft.com/office/drawing/2014/chart" uri="{C3380CC4-5D6E-409C-BE32-E72D297353CC}">
              <c16:uniqueId val="{00000002-EE31-404D-8038-D823B86CB5CF}"/>
            </c:ext>
          </c:extLst>
        </c:ser>
        <c:ser>
          <c:idx val="1"/>
          <c:order val="3"/>
          <c:tx>
            <c:strRef>
              <c:f>esra_02!$D$3</c:f>
              <c:strCache>
                <c:ptCount val="1"/>
                <c:pt idx="0">
                  <c:v>2016
Actual</c:v>
                </c:pt>
              </c:strCache>
            </c:strRef>
          </c:tx>
          <c:spPr>
            <a:solidFill>
              <a:srgbClr val="993366"/>
            </a:solidFill>
            <a:ln w="38100">
              <a:solidFill>
                <a:srgbClr val="993300"/>
              </a:solidFill>
              <a:prstDash val="solid"/>
            </a:ln>
          </c:spPr>
          <c:invertIfNegative val="0"/>
          <c:cat>
            <c:strRef>
              <c:f>esra_02!$C$5:$C$16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esra_02!$D$5:$D$16</c:f>
              <c:numCache>
                <c:formatCode>#,##0</c:formatCode>
                <c:ptCount val="12"/>
                <c:pt idx="0">
                  <c:v>9132644.3050999977</c:v>
                </c:pt>
                <c:pt idx="1">
                  <c:v>8794531.5413999986</c:v>
                </c:pt>
                <c:pt idx="2">
                  <c:v>9950486.7338000014</c:v>
                </c:pt>
                <c:pt idx="3">
                  <c:v>10603186.874799997</c:v>
                </c:pt>
                <c:pt idx="4">
                  <c:v>11776840.0671</c:v>
                </c:pt>
                <c:pt idx="5">
                  <c:v>12193785.261700002</c:v>
                </c:pt>
                <c:pt idx="6">
                  <c:v>13544927.358899998</c:v>
                </c:pt>
                <c:pt idx="7">
                  <c:v>13542867.825199999</c:v>
                </c:pt>
                <c:pt idx="8">
                  <c:v>12619336.312400002</c:v>
                </c:pt>
                <c:pt idx="9">
                  <c:v>11959421.2741</c:v>
                </c:pt>
                <c:pt idx="10">
                  <c:v>0</c:v>
                </c:pt>
                <c:pt idx="11">
                  <c:v>0</c:v>
                </c:pt>
              </c:numCache>
            </c:numRef>
          </c:val>
          <c:extLst>
            <c:ext xmlns:c16="http://schemas.microsoft.com/office/drawing/2014/chart" uri="{C3380CC4-5D6E-409C-BE32-E72D297353CC}">
              <c16:uniqueId val="{00000003-EE31-404D-8038-D823B86CB5CF}"/>
            </c:ext>
          </c:extLst>
        </c:ser>
        <c:dLbls>
          <c:showLegendKey val="0"/>
          <c:showVal val="0"/>
          <c:showCatName val="0"/>
          <c:showSerName val="0"/>
          <c:showPercent val="0"/>
          <c:showBubbleSize val="0"/>
        </c:dLbls>
        <c:gapWidth val="300"/>
        <c:overlap val="30"/>
        <c:axId val="141235624"/>
        <c:axId val="1"/>
      </c:barChart>
      <c:catAx>
        <c:axId val="141235624"/>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14000000"/>
          <c:min val="6000000"/>
        </c:scaling>
        <c:delete val="0"/>
        <c:axPos val="l"/>
        <c:majorGridlines>
          <c:spPr>
            <a:ln w="3175">
              <a:solidFill>
                <a:srgbClr val="000000"/>
              </a:solidFill>
              <a:prstDash val="sysDash"/>
            </a:ln>
          </c:spPr>
        </c:majorGridlines>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1235624"/>
        <c:crosses val="autoZero"/>
        <c:crossBetween val="between"/>
        <c:dispUnits>
          <c:builtInUnit val="thousands"/>
        </c:dispUnits>
      </c:valAx>
      <c:spPr>
        <a:noFill/>
        <a:ln w="25400">
          <a:noFill/>
        </a:ln>
      </c:spPr>
    </c:plotArea>
    <c:legend>
      <c:legendPos val="r"/>
      <c:layout>
        <c:manualLayout>
          <c:xMode val="edge"/>
          <c:yMode val="edge"/>
          <c:wMode val="edge"/>
          <c:hMode val="edge"/>
          <c:x val="0.29461457233368532"/>
          <c:y val="0.89347917379892727"/>
          <c:w val="0.78352692713833161"/>
          <c:h val="0.98043569553805776"/>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BELGIUM-LUXEMBOURG CHARGING ZONE (EB)</a:t>
            </a:r>
          </a:p>
        </c:rich>
      </c:tx>
      <c:layout>
        <c:manualLayout>
          <c:xMode val="edge"/>
          <c:yMode val="edge"/>
          <c:x val="0.23588061920360942"/>
          <c:y val="3.0107651230421251E-2"/>
        </c:manualLayout>
      </c:layout>
      <c:overlay val="0"/>
      <c:spPr>
        <a:noFill/>
        <a:ln w="25400">
          <a:noFill/>
        </a:ln>
      </c:spPr>
    </c:title>
    <c:autoTitleDeleted val="0"/>
    <c:plotArea>
      <c:layout>
        <c:manualLayout>
          <c:layoutTarget val="inner"/>
          <c:xMode val="edge"/>
          <c:yMode val="edge"/>
          <c:x val="9.2117017225448017E-2"/>
          <c:y val="0.13757552526031577"/>
          <c:w val="0.895483696297384"/>
          <c:h val="0.58641567642209602"/>
        </c:manualLayout>
      </c:layout>
      <c:barChart>
        <c:barDir val="col"/>
        <c:grouping val="clustered"/>
        <c:varyColors val="0"/>
        <c:ser>
          <c:idx val="2"/>
          <c:order val="0"/>
          <c:tx>
            <c:strRef>
              <c:f>belgium_luxembourg_eb!$G$3</c:f>
              <c:strCache>
                <c:ptCount val="1"/>
                <c:pt idx="0">
                  <c:v>2014
Actual</c:v>
                </c:pt>
              </c:strCache>
            </c:strRef>
          </c:tx>
          <c:spPr>
            <a:solidFill>
              <a:srgbClr val="3366FF"/>
            </a:solidFill>
            <a:ln w="12700">
              <a:solidFill>
                <a:srgbClr val="3366FF"/>
              </a:solidFill>
              <a:prstDash val="solid"/>
            </a:ln>
          </c:spPr>
          <c:invertIfNegative val="0"/>
          <c:cat>
            <c:strRef>
              <c:f>belgium_luxembourg_eb!$C$5:$C$16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belgium_luxembourg_eb!$G$5:$G$16</c:f>
              <c:numCache>
                <c:formatCode>#,##0"  ";[Red]\-#,##0"  "</c:formatCode>
                <c:ptCount val="12"/>
                <c:pt idx="0">
                  <c:v>165409.92010000002</c:v>
                </c:pt>
                <c:pt idx="1">
                  <c:v>152835.10319999998</c:v>
                </c:pt>
                <c:pt idx="2">
                  <c:v>177515.78219999999</c:v>
                </c:pt>
                <c:pt idx="3">
                  <c:v>188340.54820000002</c:v>
                </c:pt>
                <c:pt idx="4">
                  <c:v>214783.72040000002</c:v>
                </c:pt>
                <c:pt idx="5">
                  <c:v>221147.7298</c:v>
                </c:pt>
                <c:pt idx="6">
                  <c:v>232529.9149</c:v>
                </c:pt>
                <c:pt idx="7">
                  <c:v>225413.2236</c:v>
                </c:pt>
                <c:pt idx="8">
                  <c:v>219658.3222</c:v>
                </c:pt>
                <c:pt idx="9">
                  <c:v>215555.8443</c:v>
                </c:pt>
                <c:pt idx="10">
                  <c:v>179456.8682</c:v>
                </c:pt>
                <c:pt idx="11">
                  <c:v>169391.14899999998</c:v>
                </c:pt>
              </c:numCache>
            </c:numRef>
          </c:val>
          <c:extLst>
            <c:ext xmlns:c16="http://schemas.microsoft.com/office/drawing/2014/chart" uri="{C3380CC4-5D6E-409C-BE32-E72D297353CC}">
              <c16:uniqueId val="{00000000-F629-42A0-8046-A503478E1C2C}"/>
            </c:ext>
          </c:extLst>
        </c:ser>
        <c:ser>
          <c:idx val="0"/>
          <c:order val="1"/>
          <c:tx>
            <c:strRef>
              <c:f>belgium_luxembourg_eb!$F$3</c:f>
              <c:strCache>
                <c:ptCount val="1"/>
                <c:pt idx="0">
                  <c:v>2015
Actual</c:v>
                </c:pt>
              </c:strCache>
            </c:strRef>
          </c:tx>
          <c:spPr>
            <a:solidFill>
              <a:srgbClr val="666699"/>
            </a:solidFill>
            <a:ln w="12700">
              <a:solidFill>
                <a:srgbClr val="666699"/>
              </a:solidFill>
              <a:prstDash val="solid"/>
            </a:ln>
          </c:spPr>
          <c:invertIfNegative val="0"/>
          <c:val>
            <c:numRef>
              <c:f>belgium_luxembourg_eb!$F$5:$F$16</c:f>
              <c:numCache>
                <c:formatCode>#,##0"  ";[Red]\-#,##0"  "</c:formatCode>
                <c:ptCount val="12"/>
                <c:pt idx="0">
                  <c:v>175199.45699999999</c:v>
                </c:pt>
                <c:pt idx="1">
                  <c:v>166789.7501</c:v>
                </c:pt>
                <c:pt idx="2">
                  <c:v>192261.64629999999</c:v>
                </c:pt>
                <c:pt idx="3">
                  <c:v>207746.35070000001</c:v>
                </c:pt>
                <c:pt idx="4">
                  <c:v>223904.32549999998</c:v>
                </c:pt>
                <c:pt idx="5">
                  <c:v>228776.4032</c:v>
                </c:pt>
                <c:pt idx="6">
                  <c:v>232618.63139999998</c:v>
                </c:pt>
                <c:pt idx="7">
                  <c:v>226866.45670000001</c:v>
                </c:pt>
                <c:pt idx="8">
                  <c:v>221236.9081</c:v>
                </c:pt>
                <c:pt idx="9">
                  <c:v>216866.59279999998</c:v>
                </c:pt>
                <c:pt idx="10">
                  <c:v>179029.2971</c:v>
                </c:pt>
                <c:pt idx="11">
                  <c:v>182882.43489999999</c:v>
                </c:pt>
              </c:numCache>
            </c:numRef>
          </c:val>
          <c:extLst>
            <c:ext xmlns:c16="http://schemas.microsoft.com/office/drawing/2014/chart" uri="{C3380CC4-5D6E-409C-BE32-E72D297353CC}">
              <c16:uniqueId val="{00000001-F629-42A0-8046-A503478E1C2C}"/>
            </c:ext>
          </c:extLst>
        </c:ser>
        <c:ser>
          <c:idx val="5"/>
          <c:order val="2"/>
          <c:tx>
            <c:strRef>
              <c:f>belgium_luxembourg_eb!$E$3</c:f>
              <c:strCache>
                <c:ptCount val="1"/>
                <c:pt idx="0">
                  <c:v>2016 Unit
Rate Basis</c:v>
                </c:pt>
              </c:strCache>
            </c:strRef>
          </c:tx>
          <c:spPr>
            <a:solidFill>
              <a:srgbClr val="FF8080"/>
            </a:solidFill>
            <a:ln w="25400">
              <a:solidFill>
                <a:srgbClr val="DD0806"/>
              </a:solidFill>
              <a:prstDash val="lgDash"/>
            </a:ln>
          </c:spPr>
          <c:invertIfNegative val="0"/>
          <c:cat>
            <c:strRef>
              <c:f>belgium_luxembourg_eb!$C$5:$C$16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belgium_luxembourg_eb!$E$5:$E$16</c:f>
              <c:numCache>
                <c:formatCode>#,##0"  ";[Red]\-#,##0"  "</c:formatCode>
                <c:ptCount val="12"/>
                <c:pt idx="0">
                  <c:v>179184.47300602513</c:v>
                </c:pt>
                <c:pt idx="1">
                  <c:v>170583.48231339053</c:v>
                </c:pt>
                <c:pt idx="2">
                  <c:v>196634.75196464965</c:v>
                </c:pt>
                <c:pt idx="3">
                  <c:v>212471.66518960375</c:v>
                </c:pt>
                <c:pt idx="4">
                  <c:v>228997.16275083556</c:v>
                </c:pt>
                <c:pt idx="5">
                  <c:v>233980.05876014743</c:v>
                </c:pt>
                <c:pt idx="6">
                  <c:v>237909.68072915779</c:v>
                </c:pt>
                <c:pt idx="7">
                  <c:v>232026.66938935616</c:v>
                </c:pt>
                <c:pt idx="8">
                  <c:v>226269.07335324053</c:v>
                </c:pt>
                <c:pt idx="9">
                  <c:v>221799.35262858856</c:v>
                </c:pt>
                <c:pt idx="10">
                  <c:v>183101.42510032211</c:v>
                </c:pt>
                <c:pt idx="11">
                  <c:v>187042.20481468271</c:v>
                </c:pt>
              </c:numCache>
            </c:numRef>
          </c:val>
          <c:extLst>
            <c:ext xmlns:c16="http://schemas.microsoft.com/office/drawing/2014/chart" uri="{C3380CC4-5D6E-409C-BE32-E72D297353CC}">
              <c16:uniqueId val="{00000002-F629-42A0-8046-A503478E1C2C}"/>
            </c:ext>
          </c:extLst>
        </c:ser>
        <c:ser>
          <c:idx val="1"/>
          <c:order val="3"/>
          <c:tx>
            <c:strRef>
              <c:f>belgium_luxembourg_eb!$D$3</c:f>
              <c:strCache>
                <c:ptCount val="1"/>
                <c:pt idx="0">
                  <c:v>2016
Actual</c:v>
                </c:pt>
              </c:strCache>
            </c:strRef>
          </c:tx>
          <c:spPr>
            <a:solidFill>
              <a:srgbClr val="993366"/>
            </a:solidFill>
            <a:ln w="38100">
              <a:solidFill>
                <a:srgbClr val="993300"/>
              </a:solidFill>
              <a:prstDash val="solid"/>
            </a:ln>
          </c:spPr>
          <c:invertIfNegative val="0"/>
          <c:cat>
            <c:strRef>
              <c:f>belgium_luxembourg_eb!$C$5:$C$16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belgium_luxembourg_eb!$D$5:$D$16</c:f>
              <c:numCache>
                <c:formatCode>#,##0</c:formatCode>
                <c:ptCount val="12"/>
                <c:pt idx="0">
                  <c:v>180863.92630000002</c:v>
                </c:pt>
                <c:pt idx="1">
                  <c:v>173505.899</c:v>
                </c:pt>
                <c:pt idx="2">
                  <c:v>193857.06639999998</c:v>
                </c:pt>
                <c:pt idx="3">
                  <c:v>198147.31899999999</c:v>
                </c:pt>
                <c:pt idx="4">
                  <c:v>225713.58370000002</c:v>
                </c:pt>
                <c:pt idx="5">
                  <c:v>227863.20019999999</c:v>
                </c:pt>
                <c:pt idx="6">
                  <c:v>242632.32120000001</c:v>
                </c:pt>
                <c:pt idx="7">
                  <c:v>235632.2525</c:v>
                </c:pt>
                <c:pt idx="8">
                  <c:v>232163.5385</c:v>
                </c:pt>
                <c:pt idx="9">
                  <c:v>222782.62019999998</c:v>
                </c:pt>
                <c:pt idx="10">
                  <c:v>0</c:v>
                </c:pt>
                <c:pt idx="11">
                  <c:v>0</c:v>
                </c:pt>
              </c:numCache>
            </c:numRef>
          </c:val>
          <c:extLst>
            <c:ext xmlns:c16="http://schemas.microsoft.com/office/drawing/2014/chart" uri="{C3380CC4-5D6E-409C-BE32-E72D297353CC}">
              <c16:uniqueId val="{00000003-F629-42A0-8046-A503478E1C2C}"/>
            </c:ext>
          </c:extLst>
        </c:ser>
        <c:dLbls>
          <c:showLegendKey val="0"/>
          <c:showVal val="0"/>
          <c:showCatName val="0"/>
          <c:showSerName val="0"/>
          <c:showPercent val="0"/>
          <c:showBubbleSize val="0"/>
        </c:dLbls>
        <c:gapWidth val="300"/>
        <c:overlap val="30"/>
        <c:axId val="139602296"/>
        <c:axId val="1"/>
      </c:barChart>
      <c:catAx>
        <c:axId val="139602296"/>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250000"/>
          <c:min val="10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39602296"/>
        <c:crosses val="autoZero"/>
        <c:crossBetween val="between"/>
        <c:majorUnit val="10000"/>
        <c:minorUnit val="10000"/>
        <c:dispUnits>
          <c:builtInUnit val="thousands"/>
        </c:dispUnits>
      </c:valAx>
      <c:spPr>
        <a:noFill/>
        <a:ln w="25400">
          <a:noFill/>
        </a:ln>
      </c:spPr>
    </c:plotArea>
    <c:legend>
      <c:legendPos val="r"/>
      <c:layout>
        <c:manualLayout>
          <c:xMode val="edge"/>
          <c:yMode val="edge"/>
          <c:wMode val="edge"/>
          <c:hMode val="edge"/>
          <c:x val="0.37980241492864986"/>
          <c:y val="0.90496850960584563"/>
          <c:w val="0.68825466520307355"/>
          <c:h val="0.98488211651729274"/>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GERMANY CHARGING ZONE (ED)</a:t>
            </a:r>
          </a:p>
        </c:rich>
      </c:tx>
      <c:layout>
        <c:manualLayout>
          <c:xMode val="edge"/>
          <c:yMode val="edge"/>
          <c:x val="0.28384293875030325"/>
          <c:y val="3.0303257547352035E-2"/>
        </c:manualLayout>
      </c:layout>
      <c:overlay val="0"/>
      <c:spPr>
        <a:noFill/>
        <a:ln w="25400">
          <a:noFill/>
        </a:ln>
      </c:spPr>
    </c:title>
    <c:autoTitleDeleted val="0"/>
    <c:plotArea>
      <c:layout>
        <c:manualLayout>
          <c:layoutTarget val="inner"/>
          <c:xMode val="edge"/>
          <c:yMode val="edge"/>
          <c:x val="0.10041481011860839"/>
          <c:y val="0.13673763204855863"/>
          <c:w val="0.88626984582945667"/>
          <c:h val="0.58676021853748583"/>
        </c:manualLayout>
      </c:layout>
      <c:barChart>
        <c:barDir val="col"/>
        <c:grouping val="clustered"/>
        <c:varyColors val="0"/>
        <c:ser>
          <c:idx val="2"/>
          <c:order val="0"/>
          <c:tx>
            <c:strRef>
              <c:f>germany_ed!$G$3</c:f>
              <c:strCache>
                <c:ptCount val="1"/>
                <c:pt idx="0">
                  <c:v>2014
Actual</c:v>
                </c:pt>
              </c:strCache>
            </c:strRef>
          </c:tx>
          <c:spPr>
            <a:solidFill>
              <a:srgbClr val="3366FF"/>
            </a:solidFill>
            <a:ln w="12700">
              <a:solidFill>
                <a:srgbClr val="3366FF"/>
              </a:solidFill>
              <a:prstDash val="solid"/>
            </a:ln>
          </c:spPr>
          <c:invertIfNegative val="0"/>
          <c:cat>
            <c:strRef>
              <c:f>germany_ed!$C$5:$C$16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germany_ed!$G$5:$G$16</c:f>
              <c:numCache>
                <c:formatCode>#,##0"  ";[Red]\-#,##0"  "</c:formatCode>
                <c:ptCount val="12"/>
                <c:pt idx="0">
                  <c:v>902235.89430000004</c:v>
                </c:pt>
                <c:pt idx="1">
                  <c:v>842056.44570000004</c:v>
                </c:pt>
                <c:pt idx="2">
                  <c:v>977166.125</c:v>
                </c:pt>
                <c:pt idx="3">
                  <c:v>1042361.4325</c:v>
                </c:pt>
                <c:pt idx="4">
                  <c:v>1175804.3338999997</c:v>
                </c:pt>
                <c:pt idx="5">
                  <c:v>1193389.8273</c:v>
                </c:pt>
                <c:pt idx="6">
                  <c:v>1258652.6051</c:v>
                </c:pt>
                <c:pt idx="7">
                  <c:v>1227080.9169999999</c:v>
                </c:pt>
                <c:pt idx="8">
                  <c:v>1205878.7964000001</c:v>
                </c:pt>
                <c:pt idx="9">
                  <c:v>1174891.5008</c:v>
                </c:pt>
                <c:pt idx="10">
                  <c:v>967511.97019999998</c:v>
                </c:pt>
                <c:pt idx="11">
                  <c:v>913753.4523</c:v>
                </c:pt>
              </c:numCache>
            </c:numRef>
          </c:val>
          <c:extLst>
            <c:ext xmlns:c16="http://schemas.microsoft.com/office/drawing/2014/chart" uri="{C3380CC4-5D6E-409C-BE32-E72D297353CC}">
              <c16:uniqueId val="{00000000-0C7E-4FF4-8BEB-3D31A91C2CCD}"/>
            </c:ext>
          </c:extLst>
        </c:ser>
        <c:ser>
          <c:idx val="0"/>
          <c:order val="1"/>
          <c:tx>
            <c:strRef>
              <c:f>germany_ed!$F$3</c:f>
              <c:strCache>
                <c:ptCount val="1"/>
                <c:pt idx="0">
                  <c:v>2015
Actual</c:v>
                </c:pt>
              </c:strCache>
            </c:strRef>
          </c:tx>
          <c:spPr>
            <a:solidFill>
              <a:srgbClr val="666699"/>
            </a:solidFill>
            <a:ln w="12700">
              <a:solidFill>
                <a:srgbClr val="666699"/>
              </a:solidFill>
              <a:prstDash val="solid"/>
            </a:ln>
          </c:spPr>
          <c:invertIfNegative val="0"/>
          <c:val>
            <c:numRef>
              <c:f>germany_ed!$F$5:$F$16</c:f>
              <c:numCache>
                <c:formatCode>#,##0"  ";[Red]\-#,##0"  "</c:formatCode>
                <c:ptCount val="12"/>
                <c:pt idx="0">
                  <c:v>912218.92709999997</c:v>
                </c:pt>
                <c:pt idx="1">
                  <c:v>855110.56960000005</c:v>
                </c:pt>
                <c:pt idx="2">
                  <c:v>993385.28930000006</c:v>
                </c:pt>
                <c:pt idx="3">
                  <c:v>1064736.6873999999</c:v>
                </c:pt>
                <c:pt idx="4">
                  <c:v>1166938.2582</c:v>
                </c:pt>
                <c:pt idx="5">
                  <c:v>1194415.2393</c:v>
                </c:pt>
                <c:pt idx="6">
                  <c:v>1255043.2992</c:v>
                </c:pt>
                <c:pt idx="7">
                  <c:v>1224268.3348000001</c:v>
                </c:pt>
                <c:pt idx="8">
                  <c:v>1200915.2575999999</c:v>
                </c:pt>
                <c:pt idx="9">
                  <c:v>1182608.1693</c:v>
                </c:pt>
                <c:pt idx="10">
                  <c:v>967212.3526000001</c:v>
                </c:pt>
                <c:pt idx="11">
                  <c:v>959408.35710000002</c:v>
                </c:pt>
              </c:numCache>
            </c:numRef>
          </c:val>
          <c:extLst>
            <c:ext xmlns:c16="http://schemas.microsoft.com/office/drawing/2014/chart" uri="{C3380CC4-5D6E-409C-BE32-E72D297353CC}">
              <c16:uniqueId val="{00000001-0C7E-4FF4-8BEB-3D31A91C2CCD}"/>
            </c:ext>
          </c:extLst>
        </c:ser>
        <c:ser>
          <c:idx val="5"/>
          <c:order val="2"/>
          <c:tx>
            <c:strRef>
              <c:f>germany_ed!$E$3</c:f>
              <c:strCache>
                <c:ptCount val="1"/>
                <c:pt idx="0">
                  <c:v>2016 Unit
Rate Basis</c:v>
                </c:pt>
              </c:strCache>
            </c:strRef>
          </c:tx>
          <c:spPr>
            <a:solidFill>
              <a:srgbClr val="FF8080"/>
            </a:solidFill>
            <a:ln w="25400">
              <a:solidFill>
                <a:srgbClr val="DD0806"/>
              </a:solidFill>
              <a:prstDash val="lgDash"/>
            </a:ln>
          </c:spPr>
          <c:invertIfNegative val="0"/>
          <c:cat>
            <c:strRef>
              <c:f>germany_ed!$C$5:$C$16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germany_ed!$E$5:$E$16</c:f>
              <c:numCache>
                <c:formatCode>#,##0"  ";[Red]\-#,##0"  "</c:formatCode>
                <c:ptCount val="12"/>
                <c:pt idx="0">
                  <c:v>917894.82104440639</c:v>
                </c:pt>
                <c:pt idx="1">
                  <c:v>860431.13110075751</c:v>
                </c:pt>
                <c:pt idx="2">
                  <c:v>999566.20638086461</c:v>
                </c:pt>
                <c:pt idx="3">
                  <c:v>1071361.5581814176</c:v>
                </c:pt>
                <c:pt idx="4">
                  <c:v>1174199.03474875</c:v>
                </c:pt>
                <c:pt idx="5">
                  <c:v>1201846.9796667579</c:v>
                </c:pt>
                <c:pt idx="6">
                  <c:v>1262852.2718602617</c:v>
                </c:pt>
                <c:pt idx="7">
                  <c:v>1231885.8233451135</c:v>
                </c:pt>
                <c:pt idx="8">
                  <c:v>1208387.4415635869</c:v>
                </c:pt>
                <c:pt idx="9">
                  <c:v>1189966.445199925</c:v>
                </c:pt>
                <c:pt idx="10">
                  <c:v>973230.41972400702</c:v>
                </c:pt>
                <c:pt idx="11">
                  <c:v>965377.86718415096</c:v>
                </c:pt>
              </c:numCache>
            </c:numRef>
          </c:val>
          <c:extLst>
            <c:ext xmlns:c16="http://schemas.microsoft.com/office/drawing/2014/chart" uri="{C3380CC4-5D6E-409C-BE32-E72D297353CC}">
              <c16:uniqueId val="{00000002-0C7E-4FF4-8BEB-3D31A91C2CCD}"/>
            </c:ext>
          </c:extLst>
        </c:ser>
        <c:ser>
          <c:idx val="1"/>
          <c:order val="3"/>
          <c:tx>
            <c:strRef>
              <c:f>germany_ed!$D$3</c:f>
              <c:strCache>
                <c:ptCount val="1"/>
                <c:pt idx="0">
                  <c:v>2016
Actual</c:v>
                </c:pt>
              </c:strCache>
            </c:strRef>
          </c:tx>
          <c:spPr>
            <a:solidFill>
              <a:srgbClr val="993366"/>
            </a:solidFill>
            <a:ln w="38100">
              <a:solidFill>
                <a:srgbClr val="993300"/>
              </a:solidFill>
              <a:prstDash val="solid"/>
            </a:ln>
          </c:spPr>
          <c:invertIfNegative val="0"/>
          <c:cat>
            <c:strRef>
              <c:f>germany_ed!$C$5:$C$16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germany_ed!$D$5:$D$16</c:f>
              <c:numCache>
                <c:formatCode>#,##0</c:formatCode>
                <c:ptCount val="12"/>
                <c:pt idx="0">
                  <c:v>950914.65520000004</c:v>
                </c:pt>
                <c:pt idx="1">
                  <c:v>927340.43759999995</c:v>
                </c:pt>
                <c:pt idx="2">
                  <c:v>1045190.8094</c:v>
                </c:pt>
                <c:pt idx="3">
                  <c:v>1094404.7376000001</c:v>
                </c:pt>
                <c:pt idx="4">
                  <c:v>1215371.4650000001</c:v>
                </c:pt>
                <c:pt idx="5">
                  <c:v>1247674.2438000001</c:v>
                </c:pt>
                <c:pt idx="6">
                  <c:v>1312824.3957999998</c:v>
                </c:pt>
                <c:pt idx="7">
                  <c:v>1281851.9911</c:v>
                </c:pt>
                <c:pt idx="8">
                  <c:v>1262228.9964000001</c:v>
                </c:pt>
                <c:pt idx="9">
                  <c:v>1224542.1121999999</c:v>
                </c:pt>
                <c:pt idx="10">
                  <c:v>0</c:v>
                </c:pt>
                <c:pt idx="11">
                  <c:v>0</c:v>
                </c:pt>
              </c:numCache>
            </c:numRef>
          </c:val>
          <c:extLst>
            <c:ext xmlns:c16="http://schemas.microsoft.com/office/drawing/2014/chart" uri="{C3380CC4-5D6E-409C-BE32-E72D297353CC}">
              <c16:uniqueId val="{00000003-0C7E-4FF4-8BEB-3D31A91C2CCD}"/>
            </c:ext>
          </c:extLst>
        </c:ser>
        <c:dLbls>
          <c:showLegendKey val="0"/>
          <c:showVal val="0"/>
          <c:showCatName val="0"/>
          <c:showSerName val="0"/>
          <c:showPercent val="0"/>
          <c:showBubbleSize val="0"/>
        </c:dLbls>
        <c:gapWidth val="300"/>
        <c:overlap val="30"/>
        <c:axId val="141687272"/>
        <c:axId val="1"/>
      </c:barChart>
      <c:catAx>
        <c:axId val="141687272"/>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1400000"/>
          <c:min val="70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1687272"/>
        <c:crosses val="autoZero"/>
        <c:crossBetween val="between"/>
        <c:majorUnit val="100000"/>
        <c:minorUnit val="10000"/>
        <c:dispUnits>
          <c:builtInUnit val="thousands"/>
        </c:dispUnits>
      </c:valAx>
      <c:spPr>
        <a:noFill/>
        <a:ln w="25400">
          <a:noFill/>
        </a:ln>
      </c:spPr>
    </c:plotArea>
    <c:legend>
      <c:legendPos val="r"/>
      <c:layout>
        <c:manualLayout>
          <c:xMode val="edge"/>
          <c:yMode val="edge"/>
          <c:wMode val="edge"/>
          <c:hMode val="edge"/>
          <c:x val="0.38235316173713579"/>
          <c:y val="0.90259922055197639"/>
          <c:w val="0.68802554092503143"/>
          <c:h val="0.98268602788287818"/>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FRANCE CHARGING ZONE (LF)</a:t>
            </a:r>
          </a:p>
        </c:rich>
      </c:tx>
      <c:layout>
        <c:manualLayout>
          <c:xMode val="edge"/>
          <c:yMode val="edge"/>
          <c:x val="0.29302854330708661"/>
          <c:y val="3.0368883628108575E-2"/>
        </c:manualLayout>
      </c:layout>
      <c:overlay val="0"/>
      <c:spPr>
        <a:noFill/>
        <a:ln w="25400">
          <a:noFill/>
        </a:ln>
      </c:spPr>
    </c:title>
    <c:autoTitleDeleted val="0"/>
    <c:plotArea>
      <c:layout>
        <c:manualLayout>
          <c:layoutTarget val="inner"/>
          <c:xMode val="edge"/>
          <c:yMode val="edge"/>
          <c:x val="0.10019614228686038"/>
          <c:y val="0.13876843018213358"/>
          <c:w val="0.88695367693933791"/>
          <c:h val="0.58456201214223769"/>
        </c:manualLayout>
      </c:layout>
      <c:barChart>
        <c:barDir val="col"/>
        <c:grouping val="clustered"/>
        <c:varyColors val="0"/>
        <c:ser>
          <c:idx val="2"/>
          <c:order val="0"/>
          <c:tx>
            <c:strRef>
              <c:f>france_lf!$G$3</c:f>
              <c:strCache>
                <c:ptCount val="1"/>
                <c:pt idx="0">
                  <c:v>2014
Actual</c:v>
                </c:pt>
              </c:strCache>
            </c:strRef>
          </c:tx>
          <c:spPr>
            <a:solidFill>
              <a:srgbClr val="3366FF"/>
            </a:solidFill>
            <a:ln w="12700">
              <a:solidFill>
                <a:srgbClr val="3366FF"/>
              </a:solidFill>
              <a:prstDash val="solid"/>
            </a:ln>
          </c:spPr>
          <c:invertIfNegative val="0"/>
          <c:cat>
            <c:strRef>
              <c:f>france_lf!$C$5:$C$16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france_lf!$G$5:$G$16</c:f>
              <c:numCache>
                <c:formatCode>#,##0"  ";[Red]\-#,##0"  "</c:formatCode>
                <c:ptCount val="12"/>
                <c:pt idx="0">
                  <c:v>1188870.7878</c:v>
                </c:pt>
                <c:pt idx="1">
                  <c:v>1133278.7725</c:v>
                </c:pt>
                <c:pt idx="2">
                  <c:v>1315745.0815999999</c:v>
                </c:pt>
                <c:pt idx="3">
                  <c:v>1545197.8404999999</c:v>
                </c:pt>
                <c:pt idx="4">
                  <c:v>1710486.027</c:v>
                </c:pt>
                <c:pt idx="5">
                  <c:v>1753696.4251000001</c:v>
                </c:pt>
                <c:pt idx="6">
                  <c:v>1953909.5120999999</c:v>
                </c:pt>
                <c:pt idx="7">
                  <c:v>1973846.9981999998</c:v>
                </c:pt>
                <c:pt idx="8">
                  <c:v>1741665.9467</c:v>
                </c:pt>
                <c:pt idx="9">
                  <c:v>1659511.7404</c:v>
                </c:pt>
                <c:pt idx="10">
                  <c:v>1256603.2783000001</c:v>
                </c:pt>
                <c:pt idx="11">
                  <c:v>1263941.862</c:v>
                </c:pt>
              </c:numCache>
            </c:numRef>
          </c:val>
          <c:extLst>
            <c:ext xmlns:c16="http://schemas.microsoft.com/office/drawing/2014/chart" uri="{C3380CC4-5D6E-409C-BE32-E72D297353CC}">
              <c16:uniqueId val="{00000000-F215-47DA-AA9E-F0440298702D}"/>
            </c:ext>
          </c:extLst>
        </c:ser>
        <c:ser>
          <c:idx val="0"/>
          <c:order val="1"/>
          <c:tx>
            <c:strRef>
              <c:f>france_lf!$F$3</c:f>
              <c:strCache>
                <c:ptCount val="1"/>
                <c:pt idx="0">
                  <c:v>2015
Actual</c:v>
                </c:pt>
              </c:strCache>
            </c:strRef>
          </c:tx>
          <c:spPr>
            <a:solidFill>
              <a:srgbClr val="666699"/>
            </a:solidFill>
            <a:ln w="12700">
              <a:solidFill>
                <a:srgbClr val="666699"/>
              </a:solidFill>
              <a:prstDash val="solid"/>
            </a:ln>
          </c:spPr>
          <c:invertIfNegative val="0"/>
          <c:val>
            <c:numRef>
              <c:f>france_lf!$F$5:$F$16</c:f>
              <c:numCache>
                <c:formatCode>#,##0"  ";[Red]\-#,##0"  "</c:formatCode>
                <c:ptCount val="12"/>
                <c:pt idx="0">
                  <c:v>1229336.6942</c:v>
                </c:pt>
                <c:pt idx="1">
                  <c:v>1161866.6059999999</c:v>
                </c:pt>
                <c:pt idx="2">
                  <c:v>1366065.453</c:v>
                </c:pt>
                <c:pt idx="3">
                  <c:v>1538443.6952</c:v>
                </c:pt>
                <c:pt idx="4">
                  <c:v>1753733.7736</c:v>
                </c:pt>
                <c:pt idx="5">
                  <c:v>1810003.2675999999</c:v>
                </c:pt>
                <c:pt idx="6">
                  <c:v>1983317.129</c:v>
                </c:pt>
                <c:pt idx="7">
                  <c:v>1989345.1569000001</c:v>
                </c:pt>
                <c:pt idx="8">
                  <c:v>1810128.4157</c:v>
                </c:pt>
                <c:pt idx="9">
                  <c:v>1686162.1233999999</c:v>
                </c:pt>
                <c:pt idx="10">
                  <c:v>1276239.2180999999</c:v>
                </c:pt>
                <c:pt idx="11">
                  <c:v>1263129.8474000001</c:v>
                </c:pt>
              </c:numCache>
            </c:numRef>
          </c:val>
          <c:extLst>
            <c:ext xmlns:c16="http://schemas.microsoft.com/office/drawing/2014/chart" uri="{C3380CC4-5D6E-409C-BE32-E72D297353CC}">
              <c16:uniqueId val="{00000001-F215-47DA-AA9E-F0440298702D}"/>
            </c:ext>
          </c:extLst>
        </c:ser>
        <c:ser>
          <c:idx val="5"/>
          <c:order val="2"/>
          <c:tx>
            <c:strRef>
              <c:f>france_lf!$E$3</c:f>
              <c:strCache>
                <c:ptCount val="1"/>
                <c:pt idx="0">
                  <c:v>2016 Unit
Rate Basis</c:v>
                </c:pt>
              </c:strCache>
            </c:strRef>
          </c:tx>
          <c:spPr>
            <a:solidFill>
              <a:srgbClr val="FF8080"/>
            </a:solidFill>
            <a:ln w="25400">
              <a:solidFill>
                <a:srgbClr val="DD0806"/>
              </a:solidFill>
              <a:prstDash val="lgDash"/>
            </a:ln>
          </c:spPr>
          <c:invertIfNegative val="0"/>
          <c:cat>
            <c:strRef>
              <c:f>france_lf!$C$5:$C$16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france_lf!$E$5:$E$16</c:f>
              <c:numCache>
                <c:formatCode>#,##0"  ";[Red]\-#,##0"  "</c:formatCode>
                <c:ptCount val="12"/>
                <c:pt idx="0">
                  <c:v>1249484.6004726423</c:v>
                </c:pt>
                <c:pt idx="1">
                  <c:v>1180908.7281374463</c:v>
                </c:pt>
                <c:pt idx="2">
                  <c:v>1388454.2410669255</c:v>
                </c:pt>
                <c:pt idx="3">
                  <c:v>1563657.6333528818</c:v>
                </c:pt>
                <c:pt idx="4">
                  <c:v>1782476.1546452953</c:v>
                </c:pt>
                <c:pt idx="5">
                  <c:v>1839667.8634432997</c:v>
                </c:pt>
                <c:pt idx="6">
                  <c:v>2015822.2090261211</c:v>
                </c:pt>
                <c:pt idx="7">
                  <c:v>2021949.0317816813</c:v>
                </c:pt>
                <c:pt idx="8">
                  <c:v>1839795.062626783</c:v>
                </c:pt>
                <c:pt idx="9">
                  <c:v>1713797.0557851025</c:v>
                </c:pt>
                <c:pt idx="10">
                  <c:v>1297155.8215570231</c:v>
                </c:pt>
                <c:pt idx="11">
                  <c:v>1283831.5981048008</c:v>
                </c:pt>
              </c:numCache>
            </c:numRef>
          </c:val>
          <c:extLst>
            <c:ext xmlns:c16="http://schemas.microsoft.com/office/drawing/2014/chart" uri="{C3380CC4-5D6E-409C-BE32-E72D297353CC}">
              <c16:uniqueId val="{00000002-F215-47DA-AA9E-F0440298702D}"/>
            </c:ext>
          </c:extLst>
        </c:ser>
        <c:ser>
          <c:idx val="1"/>
          <c:order val="3"/>
          <c:tx>
            <c:strRef>
              <c:f>france_lf!$D$3</c:f>
              <c:strCache>
                <c:ptCount val="1"/>
                <c:pt idx="0">
                  <c:v>2016
Actual</c:v>
                </c:pt>
              </c:strCache>
            </c:strRef>
          </c:tx>
          <c:spPr>
            <a:solidFill>
              <a:srgbClr val="993366"/>
            </a:solidFill>
            <a:ln w="38100">
              <a:solidFill>
                <a:srgbClr val="993300"/>
              </a:solidFill>
              <a:prstDash val="solid"/>
            </a:ln>
          </c:spPr>
          <c:invertIfNegative val="0"/>
          <c:cat>
            <c:strRef>
              <c:f>france_lf!$C$5:$C$16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france_lf!$D$5:$D$16</c:f>
              <c:numCache>
                <c:formatCode>#,##0</c:formatCode>
                <c:ptCount val="12"/>
                <c:pt idx="0">
                  <c:v>1255457.7678999999</c:v>
                </c:pt>
                <c:pt idx="1">
                  <c:v>1247782.8351</c:v>
                </c:pt>
                <c:pt idx="2">
                  <c:v>1399419.1004000001</c:v>
                </c:pt>
                <c:pt idx="3">
                  <c:v>1605605.5706</c:v>
                </c:pt>
                <c:pt idx="4">
                  <c:v>1810366.6935000001</c:v>
                </c:pt>
                <c:pt idx="5">
                  <c:v>1868979.3946</c:v>
                </c:pt>
                <c:pt idx="6">
                  <c:v>2121078.4384999997</c:v>
                </c:pt>
                <c:pt idx="7">
                  <c:v>2103095.9303000001</c:v>
                </c:pt>
                <c:pt idx="8">
                  <c:v>1930115.0279000001</c:v>
                </c:pt>
                <c:pt idx="9">
                  <c:v>1826164.8035000002</c:v>
                </c:pt>
                <c:pt idx="10">
                  <c:v>0</c:v>
                </c:pt>
                <c:pt idx="11">
                  <c:v>0</c:v>
                </c:pt>
              </c:numCache>
            </c:numRef>
          </c:val>
          <c:extLst>
            <c:ext xmlns:c16="http://schemas.microsoft.com/office/drawing/2014/chart" uri="{C3380CC4-5D6E-409C-BE32-E72D297353CC}">
              <c16:uniqueId val="{00000003-F215-47DA-AA9E-F0440298702D}"/>
            </c:ext>
          </c:extLst>
        </c:ser>
        <c:dLbls>
          <c:showLegendKey val="0"/>
          <c:showVal val="0"/>
          <c:showCatName val="0"/>
          <c:showSerName val="0"/>
          <c:showPercent val="0"/>
          <c:showBubbleSize val="0"/>
        </c:dLbls>
        <c:gapWidth val="300"/>
        <c:overlap val="30"/>
        <c:axId val="141238904"/>
        <c:axId val="1"/>
      </c:barChart>
      <c:catAx>
        <c:axId val="141238904"/>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in val="90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1238904"/>
        <c:crosses val="autoZero"/>
        <c:crossBetween val="between"/>
        <c:majorUnit val="100000"/>
        <c:minorUnit val="10000"/>
        <c:dispUnits>
          <c:builtInUnit val="thousands"/>
        </c:dispUnits>
      </c:valAx>
      <c:spPr>
        <a:noFill/>
        <a:ln w="25400">
          <a:noFill/>
        </a:ln>
      </c:spPr>
    </c:plotArea>
    <c:legend>
      <c:legendPos val="r"/>
      <c:layout>
        <c:manualLayout>
          <c:xMode val="edge"/>
          <c:yMode val="edge"/>
          <c:wMode val="edge"/>
          <c:hMode val="edge"/>
          <c:x val="0.382292104111986"/>
          <c:y val="0.90849856186277356"/>
          <c:w val="0.68645909886264211"/>
          <c:h val="0.98910881237884463"/>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UNITED KINGDOM CHARGING ZONE (EG)</a:t>
            </a:r>
          </a:p>
        </c:rich>
      </c:tx>
      <c:layout>
        <c:manualLayout>
          <c:xMode val="edge"/>
          <c:yMode val="edge"/>
          <c:x val="0.2536479463245902"/>
          <c:y val="3.0836927992696567E-2"/>
        </c:manualLayout>
      </c:layout>
      <c:overlay val="0"/>
      <c:spPr>
        <a:noFill/>
        <a:ln w="25400">
          <a:noFill/>
        </a:ln>
      </c:spPr>
    </c:title>
    <c:autoTitleDeleted val="0"/>
    <c:plotArea>
      <c:layout>
        <c:manualLayout>
          <c:layoutTarget val="inner"/>
          <c:xMode val="edge"/>
          <c:yMode val="edge"/>
          <c:x val="0.10323171096523535"/>
          <c:y val="0.14090724086826004"/>
          <c:w val="0.88330437904166592"/>
          <c:h val="0.57771968755986625"/>
        </c:manualLayout>
      </c:layout>
      <c:barChart>
        <c:barDir val="col"/>
        <c:grouping val="clustered"/>
        <c:varyColors val="0"/>
        <c:ser>
          <c:idx val="2"/>
          <c:order val="0"/>
          <c:tx>
            <c:strRef>
              <c:f>united_kingdom_eg!$G$3</c:f>
              <c:strCache>
                <c:ptCount val="1"/>
                <c:pt idx="0">
                  <c:v>2014
Actual</c:v>
                </c:pt>
              </c:strCache>
            </c:strRef>
          </c:tx>
          <c:spPr>
            <a:solidFill>
              <a:srgbClr val="3366FF"/>
            </a:solidFill>
            <a:ln w="12700">
              <a:solidFill>
                <a:srgbClr val="3366FF"/>
              </a:solidFill>
              <a:prstDash val="solid"/>
            </a:ln>
          </c:spPr>
          <c:invertIfNegative val="0"/>
          <c:cat>
            <c:strRef>
              <c:f>united_kingdom_eg!$C$5:$C$16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united_kingdom_eg!$G$5:$G$16</c:f>
              <c:numCache>
                <c:formatCode>#,##0"  ";[Red]\-#,##0"  "</c:formatCode>
                <c:ptCount val="12"/>
                <c:pt idx="0">
                  <c:v>728087.48809999996</c:v>
                </c:pt>
                <c:pt idx="1">
                  <c:v>677653.72309999994</c:v>
                </c:pt>
                <c:pt idx="2">
                  <c:v>763401.85510000004</c:v>
                </c:pt>
                <c:pt idx="3">
                  <c:v>801839.7757</c:v>
                </c:pt>
                <c:pt idx="4">
                  <c:v>902423.2317</c:v>
                </c:pt>
                <c:pt idx="5">
                  <c:v>928029.29359999998</c:v>
                </c:pt>
                <c:pt idx="6">
                  <c:v>979984.34979999997</c:v>
                </c:pt>
                <c:pt idx="7">
                  <c:v>979955.22270000004</c:v>
                </c:pt>
                <c:pt idx="8">
                  <c:v>906858.32389999996</c:v>
                </c:pt>
                <c:pt idx="9">
                  <c:v>890327.44530000002</c:v>
                </c:pt>
                <c:pt idx="10">
                  <c:v>735633.72639999993</c:v>
                </c:pt>
                <c:pt idx="11">
                  <c:v>685208.40140000009</c:v>
                </c:pt>
              </c:numCache>
            </c:numRef>
          </c:val>
          <c:extLst>
            <c:ext xmlns:c16="http://schemas.microsoft.com/office/drawing/2014/chart" uri="{C3380CC4-5D6E-409C-BE32-E72D297353CC}">
              <c16:uniqueId val="{00000000-42CC-444F-9345-7847A9021296}"/>
            </c:ext>
          </c:extLst>
        </c:ser>
        <c:ser>
          <c:idx val="0"/>
          <c:order val="1"/>
          <c:tx>
            <c:strRef>
              <c:f>united_kingdom_eg!$F$3</c:f>
              <c:strCache>
                <c:ptCount val="1"/>
                <c:pt idx="0">
                  <c:v>2015
Actual</c:v>
                </c:pt>
              </c:strCache>
            </c:strRef>
          </c:tx>
          <c:spPr>
            <a:solidFill>
              <a:srgbClr val="666699"/>
            </a:solidFill>
            <a:ln w="12700">
              <a:solidFill>
                <a:srgbClr val="666699"/>
              </a:solidFill>
              <a:prstDash val="solid"/>
            </a:ln>
          </c:spPr>
          <c:invertIfNegative val="0"/>
          <c:val>
            <c:numRef>
              <c:f>united_kingdom_eg!$F$5:$F$16</c:f>
              <c:numCache>
                <c:formatCode>#,##0"  ";[Red]\-#,##0"  "</c:formatCode>
                <c:ptCount val="12"/>
                <c:pt idx="0">
                  <c:v>712418.72510000004</c:v>
                </c:pt>
                <c:pt idx="1">
                  <c:v>666195.31549999991</c:v>
                </c:pt>
                <c:pt idx="2">
                  <c:v>771881.3358</c:v>
                </c:pt>
                <c:pt idx="3">
                  <c:v>814743.79139999999</c:v>
                </c:pt>
                <c:pt idx="4">
                  <c:v>898223.22640000004</c:v>
                </c:pt>
                <c:pt idx="5">
                  <c:v>952840.58679999993</c:v>
                </c:pt>
                <c:pt idx="6">
                  <c:v>1013130.3844999999</c:v>
                </c:pt>
                <c:pt idx="7">
                  <c:v>983039.85450000002</c:v>
                </c:pt>
                <c:pt idx="8">
                  <c:v>924002.22279999999</c:v>
                </c:pt>
                <c:pt idx="9">
                  <c:v>905396.01470000006</c:v>
                </c:pt>
                <c:pt idx="10">
                  <c:v>743293.71290000004</c:v>
                </c:pt>
                <c:pt idx="11">
                  <c:v>768742.12270000007</c:v>
                </c:pt>
              </c:numCache>
            </c:numRef>
          </c:val>
          <c:extLst>
            <c:ext xmlns:c16="http://schemas.microsoft.com/office/drawing/2014/chart" uri="{C3380CC4-5D6E-409C-BE32-E72D297353CC}">
              <c16:uniqueId val="{00000001-42CC-444F-9345-7847A9021296}"/>
            </c:ext>
          </c:extLst>
        </c:ser>
        <c:ser>
          <c:idx val="5"/>
          <c:order val="2"/>
          <c:tx>
            <c:strRef>
              <c:f>united_kingdom_eg!$E$3</c:f>
              <c:strCache>
                <c:ptCount val="1"/>
                <c:pt idx="0">
                  <c:v>2016 Unit
Rate Basis</c:v>
                </c:pt>
              </c:strCache>
            </c:strRef>
          </c:tx>
          <c:spPr>
            <a:solidFill>
              <a:srgbClr val="FF8080"/>
            </a:solidFill>
            <a:ln w="25400">
              <a:solidFill>
                <a:srgbClr val="DD0806"/>
              </a:solidFill>
              <a:prstDash val="lgDash"/>
            </a:ln>
          </c:spPr>
          <c:invertIfNegative val="0"/>
          <c:cat>
            <c:strRef>
              <c:f>united_kingdom_eg!$C$5:$C$16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united_kingdom_eg!$E$5:$E$16</c:f>
              <c:numCache>
                <c:formatCode>#,##0"  ";[Red]\-#,##0"  "</c:formatCode>
                <c:ptCount val="12"/>
                <c:pt idx="0">
                  <c:v>732140.7593971506</c:v>
                </c:pt>
                <c:pt idx="1">
                  <c:v>684637.73762899137</c:v>
                </c:pt>
                <c:pt idx="2">
                  <c:v>793249.48579611536</c:v>
                </c:pt>
                <c:pt idx="3">
                  <c:v>837298.5115824684</c:v>
                </c:pt>
                <c:pt idx="4">
                  <c:v>923088.92497505015</c:v>
                </c:pt>
                <c:pt idx="5">
                  <c:v>979218.26901202917</c:v>
                </c:pt>
                <c:pt idx="6">
                  <c:v>1041177.0815990828</c:v>
                </c:pt>
                <c:pt idx="7">
                  <c:v>1010253.5492596284</c:v>
                </c:pt>
                <c:pt idx="8">
                  <c:v>949581.56664184958</c:v>
                </c:pt>
                <c:pt idx="9">
                  <c:v>930460.27905087103</c:v>
                </c:pt>
                <c:pt idx="10">
                  <c:v>763870.46584344993</c:v>
                </c:pt>
                <c:pt idx="11">
                  <c:v>790023.3692133138</c:v>
                </c:pt>
              </c:numCache>
            </c:numRef>
          </c:val>
          <c:extLst>
            <c:ext xmlns:c16="http://schemas.microsoft.com/office/drawing/2014/chart" uri="{C3380CC4-5D6E-409C-BE32-E72D297353CC}">
              <c16:uniqueId val="{00000002-42CC-444F-9345-7847A9021296}"/>
            </c:ext>
          </c:extLst>
        </c:ser>
        <c:ser>
          <c:idx val="1"/>
          <c:order val="3"/>
          <c:tx>
            <c:strRef>
              <c:f>united_kingdom_eg!$D$3</c:f>
              <c:strCache>
                <c:ptCount val="1"/>
                <c:pt idx="0">
                  <c:v>2016
Actual</c:v>
                </c:pt>
              </c:strCache>
            </c:strRef>
          </c:tx>
          <c:spPr>
            <a:solidFill>
              <a:srgbClr val="993366"/>
            </a:solidFill>
            <a:ln w="38100">
              <a:solidFill>
                <a:srgbClr val="993300"/>
              </a:solidFill>
              <a:prstDash val="solid"/>
            </a:ln>
          </c:spPr>
          <c:invertIfNegative val="0"/>
          <c:cat>
            <c:strRef>
              <c:f>united_kingdom_eg!$C$5:$C$16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united_kingdom_eg!$D$5:$D$16</c:f>
              <c:numCache>
                <c:formatCode>#,##0</c:formatCode>
                <c:ptCount val="12"/>
                <c:pt idx="0">
                  <c:v>736164.50040000002</c:v>
                </c:pt>
                <c:pt idx="1">
                  <c:v>718895.60050000006</c:v>
                </c:pt>
                <c:pt idx="2">
                  <c:v>815287.87089999998</c:v>
                </c:pt>
                <c:pt idx="3">
                  <c:v>869911.55069999991</c:v>
                </c:pt>
                <c:pt idx="4">
                  <c:v>970304.31040000007</c:v>
                </c:pt>
                <c:pt idx="5">
                  <c:v>1005683.7095</c:v>
                </c:pt>
                <c:pt idx="6">
                  <c:v>1067599.8743</c:v>
                </c:pt>
                <c:pt idx="7">
                  <c:v>1070831.6395</c:v>
                </c:pt>
                <c:pt idx="8">
                  <c:v>1033265.5449</c:v>
                </c:pt>
                <c:pt idx="9">
                  <c:v>969476.20220000006</c:v>
                </c:pt>
                <c:pt idx="10">
                  <c:v>0</c:v>
                </c:pt>
                <c:pt idx="11">
                  <c:v>0</c:v>
                </c:pt>
              </c:numCache>
            </c:numRef>
          </c:val>
          <c:extLst>
            <c:ext xmlns:c16="http://schemas.microsoft.com/office/drawing/2014/chart" uri="{C3380CC4-5D6E-409C-BE32-E72D297353CC}">
              <c16:uniqueId val="{00000003-42CC-444F-9345-7847A9021296}"/>
            </c:ext>
          </c:extLst>
        </c:ser>
        <c:dLbls>
          <c:showLegendKey val="0"/>
          <c:showVal val="0"/>
          <c:showCatName val="0"/>
          <c:showSerName val="0"/>
          <c:showPercent val="0"/>
          <c:showBubbleSize val="0"/>
        </c:dLbls>
        <c:gapWidth val="300"/>
        <c:overlap val="30"/>
        <c:axId val="123565504"/>
        <c:axId val="1"/>
      </c:barChart>
      <c:catAx>
        <c:axId val="123565504"/>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1200000"/>
          <c:min val="50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23565504"/>
        <c:crosses val="autoZero"/>
        <c:crossBetween val="between"/>
        <c:majorUnit val="100000"/>
        <c:minorUnit val="10000"/>
        <c:dispUnits>
          <c:builtInUnit val="thousands"/>
        </c:dispUnits>
      </c:valAx>
      <c:spPr>
        <a:noFill/>
        <a:ln w="25400">
          <a:noFill/>
        </a:ln>
      </c:spPr>
    </c:plotArea>
    <c:legend>
      <c:legendPos val="r"/>
      <c:layout>
        <c:manualLayout>
          <c:xMode val="edge"/>
          <c:yMode val="edge"/>
          <c:wMode val="edge"/>
          <c:hMode val="edge"/>
          <c:x val="0.37969141274559221"/>
          <c:y val="0.90217482597284027"/>
          <c:w val="0.69205379128933386"/>
          <c:h val="0.9826096085815359"/>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THE NETHERLANDS CHARGING ZONE (EH)</a:t>
            </a:r>
          </a:p>
        </c:rich>
      </c:tx>
      <c:layout>
        <c:manualLayout>
          <c:xMode val="edge"/>
          <c:yMode val="edge"/>
          <c:x val="0.25356771193074551"/>
          <c:y val="3.0434912741170512E-2"/>
        </c:manualLayout>
      </c:layout>
      <c:overlay val="0"/>
      <c:spPr>
        <a:noFill/>
        <a:ln w="25400">
          <a:noFill/>
        </a:ln>
      </c:spPr>
    </c:title>
    <c:autoTitleDeleted val="0"/>
    <c:plotArea>
      <c:layout>
        <c:manualLayout>
          <c:layoutTarget val="inner"/>
          <c:xMode val="edge"/>
          <c:yMode val="edge"/>
          <c:x val="8.9552238805970158E-2"/>
          <c:y val="0.14254687006293765"/>
          <c:w val="0.89640035118525008"/>
          <c:h val="0.57887936257266137"/>
        </c:manualLayout>
      </c:layout>
      <c:barChart>
        <c:barDir val="col"/>
        <c:grouping val="clustered"/>
        <c:varyColors val="0"/>
        <c:ser>
          <c:idx val="2"/>
          <c:order val="0"/>
          <c:tx>
            <c:strRef>
              <c:f>netherlands_eh!$G$3</c:f>
              <c:strCache>
                <c:ptCount val="1"/>
                <c:pt idx="0">
                  <c:v>2014
Actual</c:v>
                </c:pt>
              </c:strCache>
            </c:strRef>
          </c:tx>
          <c:spPr>
            <a:solidFill>
              <a:srgbClr val="3366FF"/>
            </a:solidFill>
            <a:ln w="12700">
              <a:solidFill>
                <a:srgbClr val="3366FF"/>
              </a:solidFill>
              <a:prstDash val="solid"/>
            </a:ln>
          </c:spPr>
          <c:invertIfNegative val="0"/>
          <c:cat>
            <c:strRef>
              <c:f>netherlands_eh!$C$5:$C$16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netherlands_eh!$G$5:$G$16</c:f>
              <c:numCache>
                <c:formatCode>#,##0"  ";[Red]\-#,##0"  "</c:formatCode>
                <c:ptCount val="12"/>
                <c:pt idx="0">
                  <c:v>206980.10400000002</c:v>
                </c:pt>
                <c:pt idx="1">
                  <c:v>193005.43849999999</c:v>
                </c:pt>
                <c:pt idx="2">
                  <c:v>221398.18530000001</c:v>
                </c:pt>
                <c:pt idx="3">
                  <c:v>230730.10860000001</c:v>
                </c:pt>
                <c:pt idx="4">
                  <c:v>247749.8621</c:v>
                </c:pt>
                <c:pt idx="5">
                  <c:v>249750.20259999999</c:v>
                </c:pt>
                <c:pt idx="6">
                  <c:v>258633.91929999998</c:v>
                </c:pt>
                <c:pt idx="7">
                  <c:v>248866.1507</c:v>
                </c:pt>
                <c:pt idx="8">
                  <c:v>243661.27600000001</c:v>
                </c:pt>
                <c:pt idx="9">
                  <c:v>245310.67379999999</c:v>
                </c:pt>
                <c:pt idx="10">
                  <c:v>213672.85319999998</c:v>
                </c:pt>
                <c:pt idx="11">
                  <c:v>207553.70550000001</c:v>
                </c:pt>
              </c:numCache>
            </c:numRef>
          </c:val>
          <c:extLst>
            <c:ext xmlns:c16="http://schemas.microsoft.com/office/drawing/2014/chart" uri="{C3380CC4-5D6E-409C-BE32-E72D297353CC}">
              <c16:uniqueId val="{00000000-ED64-4149-B8AC-9558808D4551}"/>
            </c:ext>
          </c:extLst>
        </c:ser>
        <c:ser>
          <c:idx val="0"/>
          <c:order val="1"/>
          <c:tx>
            <c:strRef>
              <c:f>netherlands_eh!$F$3</c:f>
              <c:strCache>
                <c:ptCount val="1"/>
                <c:pt idx="0">
                  <c:v>2015
Actual</c:v>
                </c:pt>
              </c:strCache>
            </c:strRef>
          </c:tx>
          <c:spPr>
            <a:solidFill>
              <a:srgbClr val="666699"/>
            </a:solidFill>
            <a:ln w="12700">
              <a:solidFill>
                <a:srgbClr val="666699"/>
              </a:solidFill>
              <a:prstDash val="solid"/>
            </a:ln>
          </c:spPr>
          <c:invertIfNegative val="0"/>
          <c:val>
            <c:numRef>
              <c:f>netherlands_eh!$F$5:$F$16</c:f>
              <c:numCache>
                <c:formatCode>#,##0"  ";[Red]\-#,##0"  "</c:formatCode>
                <c:ptCount val="12"/>
                <c:pt idx="0">
                  <c:v>207392.09969999999</c:v>
                </c:pt>
                <c:pt idx="1">
                  <c:v>195425.62910000002</c:v>
                </c:pt>
                <c:pt idx="2">
                  <c:v>225186.2996</c:v>
                </c:pt>
                <c:pt idx="3">
                  <c:v>235563.9333</c:v>
                </c:pt>
                <c:pt idx="4">
                  <c:v>252275.4797</c:v>
                </c:pt>
                <c:pt idx="5">
                  <c:v>259412.4351</c:v>
                </c:pt>
                <c:pt idx="6">
                  <c:v>270862.92859999998</c:v>
                </c:pt>
                <c:pt idx="7">
                  <c:v>267579.80380000005</c:v>
                </c:pt>
                <c:pt idx="8">
                  <c:v>262792.88630000001</c:v>
                </c:pt>
                <c:pt idx="9">
                  <c:v>262387.1164</c:v>
                </c:pt>
                <c:pt idx="10">
                  <c:v>227510.3811</c:v>
                </c:pt>
                <c:pt idx="11">
                  <c:v>226265.47</c:v>
                </c:pt>
              </c:numCache>
            </c:numRef>
          </c:val>
          <c:extLst>
            <c:ext xmlns:c16="http://schemas.microsoft.com/office/drawing/2014/chart" uri="{C3380CC4-5D6E-409C-BE32-E72D297353CC}">
              <c16:uniqueId val="{00000001-ED64-4149-B8AC-9558808D4551}"/>
            </c:ext>
          </c:extLst>
        </c:ser>
        <c:ser>
          <c:idx val="5"/>
          <c:order val="2"/>
          <c:tx>
            <c:strRef>
              <c:f>netherlands_eh!$E$3</c:f>
              <c:strCache>
                <c:ptCount val="1"/>
                <c:pt idx="0">
                  <c:v>2016 Unit
Rate Basis</c:v>
                </c:pt>
              </c:strCache>
            </c:strRef>
          </c:tx>
          <c:spPr>
            <a:solidFill>
              <a:srgbClr val="FF8080"/>
            </a:solidFill>
            <a:ln w="25400">
              <a:solidFill>
                <a:srgbClr val="DD0806"/>
              </a:solidFill>
              <a:prstDash val="lgDash"/>
            </a:ln>
          </c:spPr>
          <c:invertIfNegative val="0"/>
          <c:cat>
            <c:strRef>
              <c:f>netherlands_eh!$C$5:$C$16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netherlands_eh!$E$5:$E$16</c:f>
              <c:numCache>
                <c:formatCode>#,##0"  ";[Red]\-#,##0"  "</c:formatCode>
                <c:ptCount val="12"/>
                <c:pt idx="0">
                  <c:v>202601.42818842171</c:v>
                </c:pt>
                <c:pt idx="1">
                  <c:v>190911.37809759483</c:v>
                </c:pt>
                <c:pt idx="2">
                  <c:v>219984.58944878416</c:v>
                </c:pt>
                <c:pt idx="3">
                  <c:v>230122.50411321773</c:v>
                </c:pt>
                <c:pt idx="4">
                  <c:v>246448.02072052695</c:v>
                </c:pt>
                <c:pt idx="5">
                  <c:v>253420.11541000011</c:v>
                </c:pt>
                <c:pt idx="6">
                  <c:v>264606.10725789616</c:v>
                </c:pt>
                <c:pt idx="7">
                  <c:v>261398.82127948615</c:v>
                </c:pt>
                <c:pt idx="8">
                  <c:v>256722.47958892488</c:v>
                </c:pt>
                <c:pt idx="9">
                  <c:v>256326.08280536949</c:v>
                </c:pt>
                <c:pt idx="10">
                  <c:v>222254.98562977376</c:v>
                </c:pt>
                <c:pt idx="11">
                  <c:v>221038.83146000322</c:v>
                </c:pt>
              </c:numCache>
            </c:numRef>
          </c:val>
          <c:extLst>
            <c:ext xmlns:c16="http://schemas.microsoft.com/office/drawing/2014/chart" uri="{C3380CC4-5D6E-409C-BE32-E72D297353CC}">
              <c16:uniqueId val="{00000002-ED64-4149-B8AC-9558808D4551}"/>
            </c:ext>
          </c:extLst>
        </c:ser>
        <c:ser>
          <c:idx val="1"/>
          <c:order val="3"/>
          <c:tx>
            <c:strRef>
              <c:f>netherlands_eh!$D$3</c:f>
              <c:strCache>
                <c:ptCount val="1"/>
                <c:pt idx="0">
                  <c:v>2016
Actual</c:v>
                </c:pt>
              </c:strCache>
            </c:strRef>
          </c:tx>
          <c:spPr>
            <a:solidFill>
              <a:srgbClr val="993366"/>
            </a:solidFill>
            <a:ln w="38100">
              <a:solidFill>
                <a:srgbClr val="993300"/>
              </a:solidFill>
              <a:prstDash val="solid"/>
            </a:ln>
          </c:spPr>
          <c:invertIfNegative val="0"/>
          <c:cat>
            <c:strRef>
              <c:f>netherlands_eh!$C$5:$C$16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netherlands_eh!$D$5:$D$16</c:f>
              <c:numCache>
                <c:formatCode>#,##0</c:formatCode>
                <c:ptCount val="12"/>
                <c:pt idx="0">
                  <c:v>222247.0184</c:v>
                </c:pt>
                <c:pt idx="1">
                  <c:v>215268.99029999998</c:v>
                </c:pt>
                <c:pt idx="2">
                  <c:v>241533.28649999999</c:v>
                </c:pt>
                <c:pt idx="3">
                  <c:v>252419.8101</c:v>
                </c:pt>
                <c:pt idx="4">
                  <c:v>275907.93480000005</c:v>
                </c:pt>
                <c:pt idx="5">
                  <c:v>274922.2512</c:v>
                </c:pt>
                <c:pt idx="6">
                  <c:v>289256.53999999998</c:v>
                </c:pt>
                <c:pt idx="7">
                  <c:v>289248.67970000004</c:v>
                </c:pt>
                <c:pt idx="8">
                  <c:v>278688.04670000001</c:v>
                </c:pt>
                <c:pt idx="9">
                  <c:v>276546.1765</c:v>
                </c:pt>
                <c:pt idx="10">
                  <c:v>0</c:v>
                </c:pt>
                <c:pt idx="11">
                  <c:v>0</c:v>
                </c:pt>
              </c:numCache>
            </c:numRef>
          </c:val>
          <c:extLst>
            <c:ext xmlns:c16="http://schemas.microsoft.com/office/drawing/2014/chart" uri="{C3380CC4-5D6E-409C-BE32-E72D297353CC}">
              <c16:uniqueId val="{00000003-ED64-4149-B8AC-9558808D4551}"/>
            </c:ext>
          </c:extLst>
        </c:ser>
        <c:dLbls>
          <c:showLegendKey val="0"/>
          <c:showVal val="0"/>
          <c:showCatName val="0"/>
          <c:showSerName val="0"/>
          <c:showPercent val="0"/>
          <c:showBubbleSize val="0"/>
        </c:dLbls>
        <c:gapWidth val="300"/>
        <c:overlap val="30"/>
        <c:axId val="142738864"/>
        <c:axId val="1"/>
      </c:barChart>
      <c:catAx>
        <c:axId val="142738864"/>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310000"/>
          <c:min val="15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2738864"/>
        <c:crosses val="autoZero"/>
        <c:crossBetween val="between"/>
        <c:majorUnit val="20000"/>
        <c:minorUnit val="10000"/>
        <c:dispUnits>
          <c:builtInUnit val="thousands"/>
        </c:dispUnits>
      </c:valAx>
      <c:spPr>
        <a:noFill/>
        <a:ln w="25400">
          <a:noFill/>
        </a:ln>
      </c:spPr>
    </c:plotArea>
    <c:legend>
      <c:legendPos val="r"/>
      <c:layout>
        <c:manualLayout>
          <c:xMode val="edge"/>
          <c:yMode val="edge"/>
          <c:wMode val="edge"/>
          <c:hMode val="edge"/>
          <c:x val="0.37390385412349769"/>
          <c:y val="0.90351061380485331"/>
          <c:w val="0.68092174333471467"/>
          <c:h val="0.98465119491642494"/>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IRELAND CHARGING ZONE (EI)</a:t>
            </a:r>
          </a:p>
        </c:rich>
      </c:tx>
      <c:layout>
        <c:manualLayout>
          <c:xMode val="edge"/>
          <c:yMode val="edge"/>
          <c:x val="0.29144096470141878"/>
          <c:y val="3.0107352460770731E-2"/>
        </c:manualLayout>
      </c:layout>
      <c:overlay val="0"/>
      <c:spPr>
        <a:noFill/>
        <a:ln w="25400">
          <a:noFill/>
        </a:ln>
      </c:spPr>
    </c:title>
    <c:autoTitleDeleted val="0"/>
    <c:plotArea>
      <c:layout>
        <c:manualLayout>
          <c:layoutTarget val="inner"/>
          <c:xMode val="edge"/>
          <c:yMode val="edge"/>
          <c:x val="8.7521663778162923E-2"/>
          <c:y val="0.13757552526031577"/>
          <c:w val="0.90034662045060654"/>
          <c:h val="0.58641567642209602"/>
        </c:manualLayout>
      </c:layout>
      <c:barChart>
        <c:barDir val="col"/>
        <c:grouping val="clustered"/>
        <c:varyColors val="0"/>
        <c:ser>
          <c:idx val="2"/>
          <c:order val="0"/>
          <c:tx>
            <c:strRef>
              <c:f>ireland_ei!$G$3</c:f>
              <c:strCache>
                <c:ptCount val="1"/>
                <c:pt idx="0">
                  <c:v>2014
Actual</c:v>
                </c:pt>
              </c:strCache>
            </c:strRef>
          </c:tx>
          <c:spPr>
            <a:solidFill>
              <a:srgbClr val="3366FF"/>
            </a:solidFill>
            <a:ln w="12700">
              <a:solidFill>
                <a:srgbClr val="3366FF"/>
              </a:solidFill>
              <a:prstDash val="solid"/>
            </a:ln>
          </c:spPr>
          <c:invertIfNegative val="0"/>
          <c:cat>
            <c:strRef>
              <c:f>ireland_ei!$C$5:$C$16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ireland_ei!$G$5:$G$16</c:f>
              <c:numCache>
                <c:formatCode>#,##0"  ";[Red]\-#,##0"  "</c:formatCode>
                <c:ptCount val="12"/>
                <c:pt idx="0">
                  <c:v>251610.18289999999</c:v>
                </c:pt>
                <c:pt idx="1">
                  <c:v>230374.6151</c:v>
                </c:pt>
                <c:pt idx="2">
                  <c:v>300023.0722</c:v>
                </c:pt>
                <c:pt idx="3">
                  <c:v>322858.04699999996</c:v>
                </c:pt>
                <c:pt idx="4">
                  <c:v>368807.12430000002</c:v>
                </c:pt>
                <c:pt idx="5">
                  <c:v>395934.75300000003</c:v>
                </c:pt>
                <c:pt idx="6">
                  <c:v>393429.81319999998</c:v>
                </c:pt>
                <c:pt idx="7">
                  <c:v>377777.19569999998</c:v>
                </c:pt>
                <c:pt idx="8">
                  <c:v>369162.10800000001</c:v>
                </c:pt>
                <c:pt idx="9">
                  <c:v>351875.43780000001</c:v>
                </c:pt>
                <c:pt idx="10">
                  <c:v>280462.386</c:v>
                </c:pt>
                <c:pt idx="11">
                  <c:v>280184.08359999995</c:v>
                </c:pt>
              </c:numCache>
            </c:numRef>
          </c:val>
          <c:extLst>
            <c:ext xmlns:c16="http://schemas.microsoft.com/office/drawing/2014/chart" uri="{C3380CC4-5D6E-409C-BE32-E72D297353CC}">
              <c16:uniqueId val="{00000000-392B-4F56-AFD7-5552ACD8FD11}"/>
            </c:ext>
          </c:extLst>
        </c:ser>
        <c:ser>
          <c:idx val="0"/>
          <c:order val="1"/>
          <c:tx>
            <c:strRef>
              <c:f>ireland_ei!$F$3</c:f>
              <c:strCache>
                <c:ptCount val="1"/>
                <c:pt idx="0">
                  <c:v>2015
Actual</c:v>
                </c:pt>
              </c:strCache>
            </c:strRef>
          </c:tx>
          <c:spPr>
            <a:solidFill>
              <a:srgbClr val="666699"/>
            </a:solidFill>
            <a:ln w="12700">
              <a:solidFill>
                <a:srgbClr val="666699"/>
              </a:solidFill>
              <a:prstDash val="solid"/>
            </a:ln>
          </c:spPr>
          <c:invertIfNegative val="0"/>
          <c:val>
            <c:numRef>
              <c:f>ireland_ei!$F$5:$F$16</c:f>
              <c:numCache>
                <c:formatCode>#,##0"  ";[Red]\-#,##0"  "</c:formatCode>
                <c:ptCount val="12"/>
                <c:pt idx="0">
                  <c:v>272993.55499999999</c:v>
                </c:pt>
                <c:pt idx="1">
                  <c:v>256308.2861</c:v>
                </c:pt>
                <c:pt idx="2">
                  <c:v>300728.74309999996</c:v>
                </c:pt>
                <c:pt idx="3">
                  <c:v>352166.68859999999</c:v>
                </c:pt>
                <c:pt idx="4">
                  <c:v>369314.65179999999</c:v>
                </c:pt>
                <c:pt idx="5">
                  <c:v>396755.5134</c:v>
                </c:pt>
                <c:pt idx="6">
                  <c:v>404631.54970000003</c:v>
                </c:pt>
                <c:pt idx="7">
                  <c:v>418398.36440000002</c:v>
                </c:pt>
                <c:pt idx="8">
                  <c:v>394259.2205</c:v>
                </c:pt>
                <c:pt idx="9">
                  <c:v>386241.77099999995</c:v>
                </c:pt>
                <c:pt idx="10">
                  <c:v>306488.28289999999</c:v>
                </c:pt>
                <c:pt idx="11">
                  <c:v>324163.85590000002</c:v>
                </c:pt>
              </c:numCache>
            </c:numRef>
          </c:val>
          <c:extLst>
            <c:ext xmlns:c16="http://schemas.microsoft.com/office/drawing/2014/chart" uri="{C3380CC4-5D6E-409C-BE32-E72D297353CC}">
              <c16:uniqueId val="{00000001-392B-4F56-AFD7-5552ACD8FD11}"/>
            </c:ext>
          </c:extLst>
        </c:ser>
        <c:ser>
          <c:idx val="5"/>
          <c:order val="2"/>
          <c:tx>
            <c:strRef>
              <c:f>ireland_ei!$E$3</c:f>
              <c:strCache>
                <c:ptCount val="1"/>
                <c:pt idx="0">
                  <c:v>2016 Unit
Rate Basis</c:v>
                </c:pt>
              </c:strCache>
            </c:strRef>
          </c:tx>
          <c:spPr>
            <a:solidFill>
              <a:srgbClr val="FF8080"/>
            </a:solidFill>
            <a:ln w="25400">
              <a:solidFill>
                <a:srgbClr val="DD0806"/>
              </a:solidFill>
              <a:prstDash val="lgDash"/>
            </a:ln>
          </c:spPr>
          <c:invertIfNegative val="0"/>
          <c:cat>
            <c:strRef>
              <c:f>ireland_ei!$C$5:$C$16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ireland_ei!$E$5:$E$16</c:f>
              <c:numCache>
                <c:formatCode>#,##0"  ";[Red]\-#,##0"  "</c:formatCode>
                <c:ptCount val="12"/>
                <c:pt idx="0">
                  <c:v>264323.8113219557</c:v>
                </c:pt>
                <c:pt idx="1">
                  <c:v>248168.43406925941</c:v>
                </c:pt>
                <c:pt idx="2">
                  <c:v>291178.18385951739</c:v>
                </c:pt>
                <c:pt idx="3">
                  <c:v>340982.56038090104</c:v>
                </c:pt>
                <c:pt idx="4">
                  <c:v>357585.9376636821</c:v>
                </c:pt>
                <c:pt idx="5">
                  <c:v>384155.33093771123</c:v>
                </c:pt>
                <c:pt idx="6">
                  <c:v>391781.2396626483</c:v>
                </c:pt>
                <c:pt idx="7">
                  <c:v>405110.84713732701</c:v>
                </c:pt>
                <c:pt idx="8">
                  <c:v>381738.3154389243</c:v>
                </c:pt>
                <c:pt idx="9">
                  <c:v>373975.48452183057</c:v>
                </c:pt>
                <c:pt idx="10">
                  <c:v>296754.81189162063</c:v>
                </c:pt>
                <c:pt idx="11">
                  <c:v>313869.04311462311</c:v>
                </c:pt>
              </c:numCache>
            </c:numRef>
          </c:val>
          <c:extLst>
            <c:ext xmlns:c16="http://schemas.microsoft.com/office/drawing/2014/chart" uri="{C3380CC4-5D6E-409C-BE32-E72D297353CC}">
              <c16:uniqueId val="{00000002-392B-4F56-AFD7-5552ACD8FD11}"/>
            </c:ext>
          </c:extLst>
        </c:ser>
        <c:ser>
          <c:idx val="1"/>
          <c:order val="3"/>
          <c:tx>
            <c:strRef>
              <c:f>ireland_ei!$D$3</c:f>
              <c:strCache>
                <c:ptCount val="1"/>
                <c:pt idx="0">
                  <c:v>2016
Actual</c:v>
                </c:pt>
              </c:strCache>
            </c:strRef>
          </c:tx>
          <c:spPr>
            <a:solidFill>
              <a:srgbClr val="993366"/>
            </a:solidFill>
            <a:ln w="38100">
              <a:solidFill>
                <a:srgbClr val="993300"/>
              </a:solidFill>
              <a:prstDash val="solid"/>
            </a:ln>
          </c:spPr>
          <c:invertIfNegative val="0"/>
          <c:cat>
            <c:strRef>
              <c:f>ireland_ei!$C$5:$C$16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ireland_ei!$D$5:$D$16</c:f>
              <c:numCache>
                <c:formatCode>#,##0</c:formatCode>
                <c:ptCount val="12"/>
                <c:pt idx="0">
                  <c:v>302493.31079999998</c:v>
                </c:pt>
                <c:pt idx="1">
                  <c:v>273707.18309999997</c:v>
                </c:pt>
                <c:pt idx="2">
                  <c:v>341636.95979999995</c:v>
                </c:pt>
                <c:pt idx="3">
                  <c:v>355584.06699999998</c:v>
                </c:pt>
                <c:pt idx="4">
                  <c:v>408454.88829999999</c:v>
                </c:pt>
                <c:pt idx="5">
                  <c:v>435806.86049999995</c:v>
                </c:pt>
                <c:pt idx="6">
                  <c:v>443916.35160000005</c:v>
                </c:pt>
                <c:pt idx="7">
                  <c:v>450777.42259999999</c:v>
                </c:pt>
                <c:pt idx="8">
                  <c:v>402253.04310000001</c:v>
                </c:pt>
                <c:pt idx="9">
                  <c:v>404008.26620000001</c:v>
                </c:pt>
                <c:pt idx="10">
                  <c:v>0</c:v>
                </c:pt>
                <c:pt idx="11">
                  <c:v>0</c:v>
                </c:pt>
              </c:numCache>
            </c:numRef>
          </c:val>
          <c:extLst>
            <c:ext xmlns:c16="http://schemas.microsoft.com/office/drawing/2014/chart" uri="{C3380CC4-5D6E-409C-BE32-E72D297353CC}">
              <c16:uniqueId val="{00000003-392B-4F56-AFD7-5552ACD8FD11}"/>
            </c:ext>
          </c:extLst>
        </c:ser>
        <c:dLbls>
          <c:showLegendKey val="0"/>
          <c:showVal val="0"/>
          <c:showCatName val="0"/>
          <c:showSerName val="0"/>
          <c:showPercent val="0"/>
          <c:showBubbleSize val="0"/>
        </c:dLbls>
        <c:gapWidth val="300"/>
        <c:overlap val="30"/>
        <c:axId val="121531088"/>
        <c:axId val="1"/>
      </c:barChart>
      <c:catAx>
        <c:axId val="121531088"/>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460000"/>
          <c:min val="20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21531088"/>
        <c:crosses val="autoZero"/>
        <c:crossBetween val="between"/>
        <c:majorUnit val="20000"/>
        <c:minorUnit val="10000"/>
        <c:dispUnits>
          <c:builtInUnit val="thousands"/>
        </c:dispUnits>
      </c:valAx>
      <c:spPr>
        <a:noFill/>
        <a:ln w="25400">
          <a:noFill/>
        </a:ln>
      </c:spPr>
    </c:plotArea>
    <c:legend>
      <c:legendPos val="r"/>
      <c:layout>
        <c:manualLayout>
          <c:xMode val="edge"/>
          <c:yMode val="edge"/>
          <c:wMode val="edge"/>
          <c:hMode val="edge"/>
          <c:x val="0.37108987590143466"/>
          <c:y val="0.90558030031653769"/>
          <c:w val="0.67421858675432556"/>
          <c:h val="0.98497944194743903"/>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SWITZERLAND CHARGING ZONE (LS)</a:t>
            </a:r>
          </a:p>
        </c:rich>
      </c:tx>
      <c:layout>
        <c:manualLayout>
          <c:xMode val="edge"/>
          <c:yMode val="edge"/>
          <c:x val="0.26286363981785127"/>
          <c:y val="3.0107651230421251E-2"/>
        </c:manualLayout>
      </c:layout>
      <c:overlay val="0"/>
      <c:spPr>
        <a:noFill/>
        <a:ln w="25400">
          <a:noFill/>
        </a:ln>
      </c:spPr>
    </c:title>
    <c:autoTitleDeleted val="0"/>
    <c:plotArea>
      <c:layout>
        <c:manualLayout>
          <c:layoutTarget val="inner"/>
          <c:xMode val="edge"/>
          <c:yMode val="edge"/>
          <c:x val="9.2149507928599689E-2"/>
          <c:y val="0.13757552526031577"/>
          <c:w val="0.89555007219930383"/>
          <c:h val="0.58641567642209602"/>
        </c:manualLayout>
      </c:layout>
      <c:barChart>
        <c:barDir val="col"/>
        <c:grouping val="clustered"/>
        <c:varyColors val="0"/>
        <c:ser>
          <c:idx val="2"/>
          <c:order val="0"/>
          <c:tx>
            <c:strRef>
              <c:f>switzerland_ls!$G$3</c:f>
              <c:strCache>
                <c:ptCount val="1"/>
                <c:pt idx="0">
                  <c:v>2014
Actual</c:v>
                </c:pt>
              </c:strCache>
            </c:strRef>
          </c:tx>
          <c:spPr>
            <a:solidFill>
              <a:srgbClr val="3366FF"/>
            </a:solidFill>
            <a:ln w="12700">
              <a:solidFill>
                <a:srgbClr val="3366FF"/>
              </a:solidFill>
              <a:prstDash val="solid"/>
            </a:ln>
          </c:spPr>
          <c:invertIfNegative val="0"/>
          <c:cat>
            <c:strRef>
              <c:f>switzerland_ls!$C$5:$C$16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switzerland_ls!$G$5:$G$16</c:f>
              <c:numCache>
                <c:formatCode>#,##0"  ";[Red]\-#,##0"  "</c:formatCode>
                <c:ptCount val="12"/>
                <c:pt idx="0">
                  <c:v>92063.606199999995</c:v>
                </c:pt>
                <c:pt idx="1">
                  <c:v>86942.959300000002</c:v>
                </c:pt>
                <c:pt idx="2">
                  <c:v>103510.1214</c:v>
                </c:pt>
                <c:pt idx="3">
                  <c:v>114606.2295</c:v>
                </c:pt>
                <c:pt idx="4">
                  <c:v>130920.9553</c:v>
                </c:pt>
                <c:pt idx="5">
                  <c:v>136949.85209999999</c:v>
                </c:pt>
                <c:pt idx="6">
                  <c:v>144977.4896</c:v>
                </c:pt>
                <c:pt idx="7">
                  <c:v>149435.6042</c:v>
                </c:pt>
                <c:pt idx="8">
                  <c:v>137953.30409999998</c:v>
                </c:pt>
                <c:pt idx="9">
                  <c:v>133139.87940000001</c:v>
                </c:pt>
                <c:pt idx="10">
                  <c:v>99747.909899999999</c:v>
                </c:pt>
                <c:pt idx="11">
                  <c:v>96819.787199999992</c:v>
                </c:pt>
              </c:numCache>
            </c:numRef>
          </c:val>
          <c:extLst>
            <c:ext xmlns:c16="http://schemas.microsoft.com/office/drawing/2014/chart" uri="{C3380CC4-5D6E-409C-BE32-E72D297353CC}">
              <c16:uniqueId val="{00000000-AB4E-4F48-898B-E965DC33180B}"/>
            </c:ext>
          </c:extLst>
        </c:ser>
        <c:ser>
          <c:idx val="0"/>
          <c:order val="1"/>
          <c:tx>
            <c:strRef>
              <c:f>switzerland_ls!$F$3</c:f>
              <c:strCache>
                <c:ptCount val="1"/>
                <c:pt idx="0">
                  <c:v>2015
Actual</c:v>
                </c:pt>
              </c:strCache>
            </c:strRef>
          </c:tx>
          <c:spPr>
            <a:solidFill>
              <a:srgbClr val="666699"/>
            </a:solidFill>
            <a:ln w="12700">
              <a:solidFill>
                <a:srgbClr val="666699"/>
              </a:solidFill>
              <a:prstDash val="solid"/>
            </a:ln>
          </c:spPr>
          <c:invertIfNegative val="0"/>
          <c:val>
            <c:numRef>
              <c:f>switzerland_ls!$F$5:$F$16</c:f>
              <c:numCache>
                <c:formatCode>#,##0"  ";[Red]\-#,##0"  "</c:formatCode>
                <c:ptCount val="12"/>
                <c:pt idx="0">
                  <c:v>97518.983699999997</c:v>
                </c:pt>
                <c:pt idx="1">
                  <c:v>88999.731999999989</c:v>
                </c:pt>
                <c:pt idx="2">
                  <c:v>102741.3029</c:v>
                </c:pt>
                <c:pt idx="3">
                  <c:v>119120.16940000001</c:v>
                </c:pt>
                <c:pt idx="4">
                  <c:v>134290.96529999998</c:v>
                </c:pt>
                <c:pt idx="5">
                  <c:v>137077.82020000002</c:v>
                </c:pt>
                <c:pt idx="6">
                  <c:v>152259.29620000001</c:v>
                </c:pt>
                <c:pt idx="7">
                  <c:v>148912.2292</c:v>
                </c:pt>
                <c:pt idx="8">
                  <c:v>136241.29510000002</c:v>
                </c:pt>
                <c:pt idx="9">
                  <c:v>130050.74750000001</c:v>
                </c:pt>
                <c:pt idx="10">
                  <c:v>100655.5031</c:v>
                </c:pt>
                <c:pt idx="11">
                  <c:v>106918.0021</c:v>
                </c:pt>
              </c:numCache>
            </c:numRef>
          </c:val>
          <c:extLst>
            <c:ext xmlns:c16="http://schemas.microsoft.com/office/drawing/2014/chart" uri="{C3380CC4-5D6E-409C-BE32-E72D297353CC}">
              <c16:uniqueId val="{00000001-AB4E-4F48-898B-E965DC33180B}"/>
            </c:ext>
          </c:extLst>
        </c:ser>
        <c:ser>
          <c:idx val="5"/>
          <c:order val="2"/>
          <c:tx>
            <c:strRef>
              <c:f>switzerland_ls!$E$3</c:f>
              <c:strCache>
                <c:ptCount val="1"/>
                <c:pt idx="0">
                  <c:v>2016 Unit
Rate Basis</c:v>
                </c:pt>
              </c:strCache>
            </c:strRef>
          </c:tx>
          <c:spPr>
            <a:solidFill>
              <a:srgbClr val="FF8080"/>
            </a:solidFill>
            <a:ln w="25400">
              <a:solidFill>
                <a:srgbClr val="DD0806"/>
              </a:solidFill>
              <a:prstDash val="lgDash"/>
            </a:ln>
          </c:spPr>
          <c:invertIfNegative val="0"/>
          <c:cat>
            <c:strRef>
              <c:f>switzerland_ls!$C$5:$C$16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switzerland_ls!$E$5:$E$16</c:f>
              <c:numCache>
                <c:formatCode>#,##0"  ";[Red]\-#,##0"  "</c:formatCode>
                <c:ptCount val="12"/>
                <c:pt idx="0">
                  <c:v>98543.268496945806</c:v>
                </c:pt>
                <c:pt idx="1">
                  <c:v>89934.53534762605</c:v>
                </c:pt>
                <c:pt idx="2">
                  <c:v>103820.44001347336</c:v>
                </c:pt>
                <c:pt idx="3">
                  <c:v>120371.34095549304</c:v>
                </c:pt>
                <c:pt idx="4">
                  <c:v>135701.48240041523</c:v>
                </c:pt>
                <c:pt idx="5">
                  <c:v>138517.60886372591</c:v>
                </c:pt>
                <c:pt idx="6">
                  <c:v>153858.54258643798</c:v>
                </c:pt>
                <c:pt idx="7">
                  <c:v>150476.31986893166</c:v>
                </c:pt>
                <c:pt idx="8">
                  <c:v>137672.29737250562</c:v>
                </c:pt>
                <c:pt idx="9">
                  <c:v>131416.72772704464</c:v>
                </c:pt>
                <c:pt idx="10">
                  <c:v>101712.73214036235</c:v>
                </c:pt>
                <c:pt idx="11">
                  <c:v>108041.00892303819</c:v>
                </c:pt>
              </c:numCache>
            </c:numRef>
          </c:val>
          <c:extLst>
            <c:ext xmlns:c16="http://schemas.microsoft.com/office/drawing/2014/chart" uri="{C3380CC4-5D6E-409C-BE32-E72D297353CC}">
              <c16:uniqueId val="{00000002-AB4E-4F48-898B-E965DC33180B}"/>
            </c:ext>
          </c:extLst>
        </c:ser>
        <c:ser>
          <c:idx val="1"/>
          <c:order val="3"/>
          <c:tx>
            <c:strRef>
              <c:f>switzerland_ls!$D$3</c:f>
              <c:strCache>
                <c:ptCount val="1"/>
                <c:pt idx="0">
                  <c:v>2016
Actual</c:v>
                </c:pt>
              </c:strCache>
            </c:strRef>
          </c:tx>
          <c:spPr>
            <a:solidFill>
              <a:srgbClr val="993366"/>
            </a:solidFill>
            <a:ln w="38100">
              <a:solidFill>
                <a:srgbClr val="993300"/>
              </a:solidFill>
              <a:prstDash val="solid"/>
            </a:ln>
          </c:spPr>
          <c:invertIfNegative val="0"/>
          <c:cat>
            <c:strRef>
              <c:f>switzerland_ls!$C$5:$C$16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switzerland_ls!$D$5:$D$16</c:f>
              <c:numCache>
                <c:formatCode>#,##0</c:formatCode>
                <c:ptCount val="12"/>
                <c:pt idx="0">
                  <c:v>98516.935299999997</c:v>
                </c:pt>
                <c:pt idx="1">
                  <c:v>95814.986499999999</c:v>
                </c:pt>
                <c:pt idx="2">
                  <c:v>108562.4152</c:v>
                </c:pt>
                <c:pt idx="3">
                  <c:v>116573.76119999999</c:v>
                </c:pt>
                <c:pt idx="4">
                  <c:v>136465.39869999999</c:v>
                </c:pt>
                <c:pt idx="5">
                  <c:v>143781.17059999998</c:v>
                </c:pt>
                <c:pt idx="6">
                  <c:v>157784.21030000001</c:v>
                </c:pt>
                <c:pt idx="7">
                  <c:v>152411.3964</c:v>
                </c:pt>
                <c:pt idx="8">
                  <c:v>144450.91080000001</c:v>
                </c:pt>
                <c:pt idx="9">
                  <c:v>135140.41149999999</c:v>
                </c:pt>
                <c:pt idx="10">
                  <c:v>0</c:v>
                </c:pt>
                <c:pt idx="11">
                  <c:v>0</c:v>
                </c:pt>
              </c:numCache>
            </c:numRef>
          </c:val>
          <c:extLst>
            <c:ext xmlns:c16="http://schemas.microsoft.com/office/drawing/2014/chart" uri="{C3380CC4-5D6E-409C-BE32-E72D297353CC}">
              <c16:uniqueId val="{00000003-AB4E-4F48-898B-E965DC33180B}"/>
            </c:ext>
          </c:extLst>
        </c:ser>
        <c:dLbls>
          <c:showLegendKey val="0"/>
          <c:showVal val="0"/>
          <c:showCatName val="0"/>
          <c:showSerName val="0"/>
          <c:showPercent val="0"/>
          <c:showBubbleSize val="0"/>
        </c:dLbls>
        <c:gapWidth val="300"/>
        <c:overlap val="30"/>
        <c:axId val="143129840"/>
        <c:axId val="1"/>
      </c:barChart>
      <c:catAx>
        <c:axId val="143129840"/>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170000"/>
          <c:min val="8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3129840"/>
        <c:crosses val="autoZero"/>
        <c:crossBetween val="between"/>
        <c:majorUnit val="10000"/>
        <c:minorUnit val="10000"/>
        <c:dispUnits>
          <c:builtInUnit val="thousands"/>
        </c:dispUnits>
      </c:valAx>
      <c:spPr>
        <a:noFill/>
        <a:ln w="25400">
          <a:noFill/>
        </a:ln>
      </c:spPr>
    </c:plotArea>
    <c:legend>
      <c:legendPos val="r"/>
      <c:layout>
        <c:manualLayout>
          <c:xMode val="edge"/>
          <c:yMode val="edge"/>
          <c:wMode val="edge"/>
          <c:hMode val="edge"/>
          <c:x val="0.36414277279927981"/>
          <c:y val="0.90496850960584563"/>
          <c:w val="0.67594689861985513"/>
          <c:h val="0.98488211651729274"/>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PORTUGAL-LISBON CHARGING ZONE (LP)</a:t>
            </a:r>
          </a:p>
        </c:rich>
      </c:tx>
      <c:layout>
        <c:manualLayout>
          <c:xMode val="edge"/>
          <c:yMode val="edge"/>
          <c:x val="0.25138423414488303"/>
          <c:y val="3.0501220242206566E-2"/>
        </c:manualLayout>
      </c:layout>
      <c:overlay val="0"/>
      <c:spPr>
        <a:noFill/>
        <a:ln w="25400">
          <a:noFill/>
        </a:ln>
      </c:spPr>
    </c:title>
    <c:autoTitleDeleted val="0"/>
    <c:plotArea>
      <c:layout>
        <c:manualLayout>
          <c:layoutTarget val="inner"/>
          <c:xMode val="edge"/>
          <c:yMode val="edge"/>
          <c:x val="9.2117027656409417E-2"/>
          <c:y val="0.11816625331472121"/>
          <c:w val="0.895483696297384"/>
          <c:h val="0.58014060658441013"/>
        </c:manualLayout>
      </c:layout>
      <c:barChart>
        <c:barDir val="col"/>
        <c:grouping val="clustered"/>
        <c:varyColors val="0"/>
        <c:ser>
          <c:idx val="2"/>
          <c:order val="0"/>
          <c:tx>
            <c:strRef>
              <c:f>portugal_lisbon_lp!$G$3</c:f>
              <c:strCache>
                <c:ptCount val="1"/>
                <c:pt idx="0">
                  <c:v>2014
Actual</c:v>
                </c:pt>
              </c:strCache>
            </c:strRef>
          </c:tx>
          <c:spPr>
            <a:solidFill>
              <a:srgbClr val="3366FF"/>
            </a:solidFill>
            <a:ln w="12700">
              <a:solidFill>
                <a:srgbClr val="3366FF"/>
              </a:solidFill>
              <a:prstDash val="solid"/>
            </a:ln>
          </c:spPr>
          <c:invertIfNegative val="0"/>
          <c:cat>
            <c:strRef>
              <c:f>portugal_lisbon_lp!$C$5:$C$16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portugal_lisbon_lp!$G$5:$G$16</c:f>
              <c:numCache>
                <c:formatCode>#,##0"  ";[Red]\-#,##0"  "</c:formatCode>
                <c:ptCount val="12"/>
                <c:pt idx="0">
                  <c:v>235395.15879999998</c:v>
                </c:pt>
                <c:pt idx="1">
                  <c:v>216796.66700000002</c:v>
                </c:pt>
                <c:pt idx="2">
                  <c:v>251662.62250000003</c:v>
                </c:pt>
                <c:pt idx="3">
                  <c:v>264521.97649999999</c:v>
                </c:pt>
                <c:pt idx="4">
                  <c:v>254650.74860000002</c:v>
                </c:pt>
                <c:pt idx="5">
                  <c:v>249455.23750000002</c:v>
                </c:pt>
                <c:pt idx="6">
                  <c:v>277921.42369999998</c:v>
                </c:pt>
                <c:pt idx="7">
                  <c:v>283999.31760000001</c:v>
                </c:pt>
                <c:pt idx="8">
                  <c:v>252587.788</c:v>
                </c:pt>
                <c:pt idx="9">
                  <c:v>262061.70050000001</c:v>
                </c:pt>
                <c:pt idx="10">
                  <c:v>225675.3039</c:v>
                </c:pt>
                <c:pt idx="11">
                  <c:v>244883.24189999999</c:v>
                </c:pt>
              </c:numCache>
            </c:numRef>
          </c:val>
          <c:extLst>
            <c:ext xmlns:c16="http://schemas.microsoft.com/office/drawing/2014/chart" uri="{C3380CC4-5D6E-409C-BE32-E72D297353CC}">
              <c16:uniqueId val="{00000000-14AF-4731-A065-1B58763829BA}"/>
            </c:ext>
          </c:extLst>
        </c:ser>
        <c:ser>
          <c:idx val="0"/>
          <c:order val="1"/>
          <c:tx>
            <c:strRef>
              <c:f>portugal_lisbon_lp!$F$3</c:f>
              <c:strCache>
                <c:ptCount val="1"/>
                <c:pt idx="0">
                  <c:v>2015
Actual</c:v>
                </c:pt>
              </c:strCache>
            </c:strRef>
          </c:tx>
          <c:spPr>
            <a:solidFill>
              <a:srgbClr val="666699"/>
            </a:solidFill>
            <a:ln w="12700">
              <a:solidFill>
                <a:srgbClr val="666699"/>
              </a:solidFill>
              <a:prstDash val="solid"/>
            </a:ln>
          </c:spPr>
          <c:invertIfNegative val="0"/>
          <c:val>
            <c:numRef>
              <c:f>portugal_lisbon_lp!$F$5:$F$16</c:f>
              <c:numCache>
                <c:formatCode>#,##0"  ";[Red]\-#,##0"  "</c:formatCode>
                <c:ptCount val="12"/>
                <c:pt idx="0">
                  <c:v>251921.02799999999</c:v>
                </c:pt>
                <c:pt idx="1">
                  <c:v>226209.15119999999</c:v>
                </c:pt>
                <c:pt idx="2">
                  <c:v>252080.1237</c:v>
                </c:pt>
                <c:pt idx="3">
                  <c:v>262989.91489999997</c:v>
                </c:pt>
                <c:pt idx="4">
                  <c:v>250739.33840000001</c:v>
                </c:pt>
                <c:pt idx="5">
                  <c:v>257853.50959999999</c:v>
                </c:pt>
                <c:pt idx="6">
                  <c:v>289497.55060000002</c:v>
                </c:pt>
                <c:pt idx="7">
                  <c:v>299559.88279999996</c:v>
                </c:pt>
                <c:pt idx="8">
                  <c:v>269231.766</c:v>
                </c:pt>
                <c:pt idx="9">
                  <c:v>284094.39720000001</c:v>
                </c:pt>
                <c:pt idx="10">
                  <c:v>250687.9253</c:v>
                </c:pt>
                <c:pt idx="11">
                  <c:v>255321.67730000001</c:v>
                </c:pt>
              </c:numCache>
            </c:numRef>
          </c:val>
          <c:extLst>
            <c:ext xmlns:c16="http://schemas.microsoft.com/office/drawing/2014/chart" uri="{C3380CC4-5D6E-409C-BE32-E72D297353CC}">
              <c16:uniqueId val="{00000001-14AF-4731-A065-1B58763829BA}"/>
            </c:ext>
          </c:extLst>
        </c:ser>
        <c:ser>
          <c:idx val="5"/>
          <c:order val="2"/>
          <c:tx>
            <c:strRef>
              <c:f>portugal_lisbon_lp!$E$3</c:f>
              <c:strCache>
                <c:ptCount val="1"/>
                <c:pt idx="0">
                  <c:v>2016 Unit
Rate Basis</c:v>
                </c:pt>
              </c:strCache>
            </c:strRef>
          </c:tx>
          <c:spPr>
            <a:solidFill>
              <a:srgbClr val="FF8080"/>
            </a:solidFill>
            <a:ln w="25400">
              <a:solidFill>
                <a:srgbClr val="DD0806"/>
              </a:solidFill>
              <a:prstDash val="lgDash"/>
            </a:ln>
          </c:spPr>
          <c:invertIfNegative val="0"/>
          <c:cat>
            <c:strRef>
              <c:f>portugal_lisbon_lp!$C$5:$C$16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portugal_lisbon_lp!$E$5:$E$16</c:f>
              <c:numCache>
                <c:formatCode>#,##0"  ";[Red]\-#,##0"  "</c:formatCode>
                <c:ptCount val="12"/>
                <c:pt idx="0">
                  <c:v>248270.34715128213</c:v>
                </c:pt>
                <c:pt idx="1">
                  <c:v>222931.07067354801</c:v>
                </c:pt>
                <c:pt idx="2">
                  <c:v>248427.13733661463</c:v>
                </c:pt>
                <c:pt idx="3">
                  <c:v>259178.83071479501</c:v>
                </c:pt>
                <c:pt idx="4">
                  <c:v>247105.78185260028</c:v>
                </c:pt>
                <c:pt idx="5">
                  <c:v>254116.85896489935</c:v>
                </c:pt>
                <c:pt idx="6">
                  <c:v>285302.33445581159</c:v>
                </c:pt>
                <c:pt idx="7">
                  <c:v>295218.84967599204</c:v>
                </c:pt>
                <c:pt idx="8">
                  <c:v>265330.22884049505</c:v>
                </c:pt>
                <c:pt idx="9">
                  <c:v>279977.48015135218</c:v>
                </c:pt>
                <c:pt idx="10">
                  <c:v>247055.11379885953</c:v>
                </c:pt>
                <c:pt idx="11">
                  <c:v>251621.71638374956</c:v>
                </c:pt>
              </c:numCache>
            </c:numRef>
          </c:val>
          <c:extLst>
            <c:ext xmlns:c16="http://schemas.microsoft.com/office/drawing/2014/chart" uri="{C3380CC4-5D6E-409C-BE32-E72D297353CC}">
              <c16:uniqueId val="{00000002-14AF-4731-A065-1B58763829BA}"/>
            </c:ext>
          </c:extLst>
        </c:ser>
        <c:ser>
          <c:idx val="1"/>
          <c:order val="3"/>
          <c:tx>
            <c:strRef>
              <c:f>portugal_lisbon_lp!$D$3</c:f>
              <c:strCache>
                <c:ptCount val="1"/>
                <c:pt idx="0">
                  <c:v>2016
Actual</c:v>
                </c:pt>
              </c:strCache>
            </c:strRef>
          </c:tx>
          <c:spPr>
            <a:solidFill>
              <a:srgbClr val="993366"/>
            </a:solidFill>
            <a:ln w="38100">
              <a:solidFill>
                <a:srgbClr val="993300"/>
              </a:solidFill>
              <a:prstDash val="solid"/>
            </a:ln>
          </c:spPr>
          <c:invertIfNegative val="0"/>
          <c:cat>
            <c:strRef>
              <c:f>portugal_lisbon_lp!$C$5:$C$16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portugal_lisbon_lp!$D$5:$D$16</c:f>
              <c:numCache>
                <c:formatCode>#,##0</c:formatCode>
                <c:ptCount val="12"/>
                <c:pt idx="0">
                  <c:v>258226.71729999999</c:v>
                </c:pt>
                <c:pt idx="1">
                  <c:v>247128.16239999997</c:v>
                </c:pt>
                <c:pt idx="2">
                  <c:v>281496.25380000001</c:v>
                </c:pt>
                <c:pt idx="3">
                  <c:v>289571.28979999997</c:v>
                </c:pt>
                <c:pt idx="4">
                  <c:v>288817.68049999996</c:v>
                </c:pt>
                <c:pt idx="5">
                  <c:v>288518.21669999999</c:v>
                </c:pt>
                <c:pt idx="6">
                  <c:v>323066.40159999998</c:v>
                </c:pt>
                <c:pt idx="7">
                  <c:v>331461.52249999996</c:v>
                </c:pt>
                <c:pt idx="8">
                  <c:v>306401.60019999999</c:v>
                </c:pt>
                <c:pt idx="9">
                  <c:v>314328.67620000005</c:v>
                </c:pt>
                <c:pt idx="10">
                  <c:v>0</c:v>
                </c:pt>
                <c:pt idx="11">
                  <c:v>0</c:v>
                </c:pt>
              </c:numCache>
            </c:numRef>
          </c:val>
          <c:extLst>
            <c:ext xmlns:c16="http://schemas.microsoft.com/office/drawing/2014/chart" uri="{C3380CC4-5D6E-409C-BE32-E72D297353CC}">
              <c16:uniqueId val="{00000003-14AF-4731-A065-1B58763829BA}"/>
            </c:ext>
          </c:extLst>
        </c:ser>
        <c:dLbls>
          <c:showLegendKey val="0"/>
          <c:showVal val="0"/>
          <c:showCatName val="0"/>
          <c:showSerName val="0"/>
          <c:showPercent val="0"/>
          <c:showBubbleSize val="0"/>
        </c:dLbls>
        <c:gapWidth val="300"/>
        <c:overlap val="30"/>
        <c:axId val="121936040"/>
        <c:axId val="1"/>
      </c:barChart>
      <c:catAx>
        <c:axId val="121936040"/>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350000"/>
          <c:min val="17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21936040"/>
        <c:crosses val="autoZero"/>
        <c:crossBetween val="between"/>
        <c:majorUnit val="20000"/>
        <c:minorUnit val="10000"/>
        <c:dispUnits>
          <c:builtInUnit val="thousands"/>
        </c:dispUnits>
      </c:valAx>
      <c:spPr>
        <a:noFill/>
        <a:ln w="25400">
          <a:noFill/>
        </a:ln>
      </c:spPr>
    </c:plotArea>
    <c:legend>
      <c:legendPos val="r"/>
      <c:layout>
        <c:manualLayout>
          <c:xMode val="edge"/>
          <c:yMode val="edge"/>
          <c:wMode val="edge"/>
          <c:hMode val="edge"/>
          <c:x val="0.38006594739732014"/>
          <c:y val="0.89473868398029188"/>
          <c:w val="0.68784262317703171"/>
          <c:h val="0.97587926509186351"/>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oddHeader>&amp;C&amp;"Arial,Bold"Monthly follow-up of total service units - 2012</c:oddHeader>
    </c:headerFooter>
    <c:pageMargins b="0.98425196850393704" l="0.74803149606299213" r="0.74803149606299213" t="0.98425196850393704" header="0.51181102362204722" footer="0.51181102362204722"/>
    <c:pageSetup paperSize="9" orientation="landscape" horizontalDpi="-3" verticalDpi="300"/>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AUSTRIA CHARGING ZONE (LO)</a:t>
            </a:r>
          </a:p>
        </c:rich>
      </c:tx>
      <c:layout>
        <c:manualLayout>
          <c:xMode val="edge"/>
          <c:yMode val="edge"/>
          <c:x val="0.28349979128425939"/>
          <c:y val="3.0634709122898101E-2"/>
        </c:manualLayout>
      </c:layout>
      <c:overlay val="0"/>
      <c:spPr>
        <a:noFill/>
        <a:ln w="25400">
          <a:noFill/>
        </a:ln>
      </c:spPr>
    </c:title>
    <c:autoTitleDeleted val="0"/>
    <c:plotArea>
      <c:layout>
        <c:manualLayout>
          <c:layoutTarget val="inner"/>
          <c:xMode val="edge"/>
          <c:yMode val="edge"/>
          <c:x val="9.2117055531063571E-2"/>
          <c:y val="0.1428357689240343"/>
          <c:w val="0.895483696297384"/>
          <c:h val="0.57917822135141273"/>
        </c:manualLayout>
      </c:layout>
      <c:barChart>
        <c:barDir val="col"/>
        <c:grouping val="clustered"/>
        <c:varyColors val="0"/>
        <c:ser>
          <c:idx val="2"/>
          <c:order val="0"/>
          <c:tx>
            <c:strRef>
              <c:f>austria_lo!$G$3</c:f>
              <c:strCache>
                <c:ptCount val="1"/>
                <c:pt idx="0">
                  <c:v>2014
Actual</c:v>
                </c:pt>
              </c:strCache>
            </c:strRef>
          </c:tx>
          <c:spPr>
            <a:solidFill>
              <a:srgbClr val="3366FF"/>
            </a:solidFill>
            <a:ln w="12700">
              <a:solidFill>
                <a:srgbClr val="3366FF"/>
              </a:solidFill>
              <a:prstDash val="solid"/>
            </a:ln>
          </c:spPr>
          <c:invertIfNegative val="0"/>
          <c:cat>
            <c:strRef>
              <c:f>austria_lo!$C$5:$C$16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austria_lo!$G$5:$G$16</c:f>
              <c:numCache>
                <c:formatCode>#,##0"  ";[Red]\-#,##0"  "</c:formatCode>
                <c:ptCount val="12"/>
                <c:pt idx="0">
                  <c:v>164358.6557</c:v>
                </c:pt>
                <c:pt idx="1">
                  <c:v>148572.69589999999</c:v>
                </c:pt>
                <c:pt idx="2">
                  <c:v>171842.95190000001</c:v>
                </c:pt>
                <c:pt idx="3">
                  <c:v>199905.4093</c:v>
                </c:pt>
                <c:pt idx="4">
                  <c:v>235942.5809</c:v>
                </c:pt>
                <c:pt idx="5">
                  <c:v>251310.71919999999</c:v>
                </c:pt>
                <c:pt idx="6">
                  <c:v>279089.32309999998</c:v>
                </c:pt>
                <c:pt idx="7">
                  <c:v>297905.08350000001</c:v>
                </c:pt>
                <c:pt idx="8">
                  <c:v>271450.3848</c:v>
                </c:pt>
                <c:pt idx="9">
                  <c:v>250398.4939</c:v>
                </c:pt>
                <c:pt idx="10">
                  <c:v>193716.4859</c:v>
                </c:pt>
                <c:pt idx="11">
                  <c:v>180898.82309999998</c:v>
                </c:pt>
              </c:numCache>
            </c:numRef>
          </c:val>
          <c:extLst>
            <c:ext xmlns:c16="http://schemas.microsoft.com/office/drawing/2014/chart" uri="{C3380CC4-5D6E-409C-BE32-E72D297353CC}">
              <c16:uniqueId val="{00000000-B080-47D1-9FF3-61A027CDF30A}"/>
            </c:ext>
          </c:extLst>
        </c:ser>
        <c:ser>
          <c:idx val="0"/>
          <c:order val="1"/>
          <c:tx>
            <c:strRef>
              <c:f>austria_lo!$F$3</c:f>
              <c:strCache>
                <c:ptCount val="1"/>
                <c:pt idx="0">
                  <c:v>2015
Actual</c:v>
                </c:pt>
              </c:strCache>
            </c:strRef>
          </c:tx>
          <c:spPr>
            <a:solidFill>
              <a:srgbClr val="666699"/>
            </a:solidFill>
            <a:ln w="12700">
              <a:solidFill>
                <a:srgbClr val="666699"/>
              </a:solidFill>
              <a:prstDash val="solid"/>
            </a:ln>
          </c:spPr>
          <c:invertIfNegative val="0"/>
          <c:val>
            <c:numRef>
              <c:f>austria_lo!$F$5:$F$16</c:f>
              <c:numCache>
                <c:formatCode>#,##0"  ";[Red]\-#,##0"  "</c:formatCode>
                <c:ptCount val="12"/>
                <c:pt idx="0">
                  <c:v>181484.75399999999</c:v>
                </c:pt>
                <c:pt idx="1">
                  <c:v>163059.98970000001</c:v>
                </c:pt>
                <c:pt idx="2">
                  <c:v>192952.6269</c:v>
                </c:pt>
                <c:pt idx="3">
                  <c:v>214718.62269999998</c:v>
                </c:pt>
                <c:pt idx="4">
                  <c:v>248397.8578</c:v>
                </c:pt>
                <c:pt idx="5">
                  <c:v>265533.87569999998</c:v>
                </c:pt>
                <c:pt idx="6">
                  <c:v>290400.65820000001</c:v>
                </c:pt>
                <c:pt idx="7">
                  <c:v>291223.9276</c:v>
                </c:pt>
                <c:pt idx="8">
                  <c:v>267761.03320000001</c:v>
                </c:pt>
                <c:pt idx="9">
                  <c:v>249986.6017</c:v>
                </c:pt>
                <c:pt idx="10">
                  <c:v>188113.70030000003</c:v>
                </c:pt>
                <c:pt idx="11">
                  <c:v>185651.38219999999</c:v>
                </c:pt>
              </c:numCache>
            </c:numRef>
          </c:val>
          <c:extLst>
            <c:ext xmlns:c16="http://schemas.microsoft.com/office/drawing/2014/chart" uri="{C3380CC4-5D6E-409C-BE32-E72D297353CC}">
              <c16:uniqueId val="{00000001-B080-47D1-9FF3-61A027CDF30A}"/>
            </c:ext>
          </c:extLst>
        </c:ser>
        <c:ser>
          <c:idx val="5"/>
          <c:order val="2"/>
          <c:tx>
            <c:strRef>
              <c:f>austria_lo!$E$3</c:f>
              <c:strCache>
                <c:ptCount val="1"/>
                <c:pt idx="0">
                  <c:v>2016 Unit
Rate Basis</c:v>
                </c:pt>
              </c:strCache>
            </c:strRef>
          </c:tx>
          <c:spPr>
            <a:solidFill>
              <a:srgbClr val="FF8080"/>
            </a:solidFill>
            <a:ln w="25400">
              <a:solidFill>
                <a:srgbClr val="DD0806"/>
              </a:solidFill>
              <a:prstDash val="lgDash"/>
            </a:ln>
          </c:spPr>
          <c:invertIfNegative val="0"/>
          <c:cat>
            <c:strRef>
              <c:f>austria_lo!$C$5:$C$16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austria_lo!$E$5:$E$16</c:f>
              <c:numCache>
                <c:formatCode>#,##0"  ";[Red]\-#,##0"  "</c:formatCode>
                <c:ptCount val="12"/>
                <c:pt idx="0">
                  <c:v>183983.46880244149</c:v>
                </c:pt>
                <c:pt idx="1">
                  <c:v>165305.02902682606</c:v>
                </c:pt>
                <c:pt idx="2">
                  <c:v>195609.23344340696</c:v>
                </c:pt>
                <c:pt idx="3">
                  <c:v>217674.90739651141</c:v>
                </c:pt>
                <c:pt idx="4">
                  <c:v>251817.84427544585</c:v>
                </c:pt>
                <c:pt idx="5">
                  <c:v>269189.7939583527</c:v>
                </c:pt>
                <c:pt idx="6">
                  <c:v>294398.94680160395</c:v>
                </c:pt>
                <c:pt idx="7">
                  <c:v>295233.55112308264</c:v>
                </c:pt>
                <c:pt idx="8">
                  <c:v>271447.6153642179</c:v>
                </c:pt>
                <c:pt idx="9">
                  <c:v>253428.46228780365</c:v>
                </c:pt>
                <c:pt idx="10">
                  <c:v>190703.68362984853</c:v>
                </c:pt>
                <c:pt idx="11">
                  <c:v>188207.46389045904</c:v>
                </c:pt>
              </c:numCache>
            </c:numRef>
          </c:val>
          <c:extLst>
            <c:ext xmlns:c16="http://schemas.microsoft.com/office/drawing/2014/chart" uri="{C3380CC4-5D6E-409C-BE32-E72D297353CC}">
              <c16:uniqueId val="{00000002-B080-47D1-9FF3-61A027CDF30A}"/>
            </c:ext>
          </c:extLst>
        </c:ser>
        <c:ser>
          <c:idx val="1"/>
          <c:order val="3"/>
          <c:tx>
            <c:strRef>
              <c:f>austria_lo!$D$3</c:f>
              <c:strCache>
                <c:ptCount val="1"/>
                <c:pt idx="0">
                  <c:v>2016
Actual</c:v>
                </c:pt>
              </c:strCache>
            </c:strRef>
          </c:tx>
          <c:spPr>
            <a:solidFill>
              <a:srgbClr val="993366"/>
            </a:solidFill>
            <a:ln w="38100">
              <a:solidFill>
                <a:srgbClr val="993300"/>
              </a:solidFill>
              <a:prstDash val="solid"/>
            </a:ln>
          </c:spPr>
          <c:invertIfNegative val="0"/>
          <c:cat>
            <c:strRef>
              <c:f>austria_lo!$C$5:$C$16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austria_lo!$D$5:$D$16</c:f>
              <c:numCache>
                <c:formatCode>#,##0</c:formatCode>
                <c:ptCount val="12"/>
                <c:pt idx="0">
                  <c:v>185407.30610000002</c:v>
                </c:pt>
                <c:pt idx="1">
                  <c:v>172849.19529999999</c:v>
                </c:pt>
                <c:pt idx="2">
                  <c:v>195418.14440000002</c:v>
                </c:pt>
                <c:pt idx="3">
                  <c:v>212163.68339999998</c:v>
                </c:pt>
                <c:pt idx="4">
                  <c:v>250714.8223</c:v>
                </c:pt>
                <c:pt idx="5">
                  <c:v>261995.16390000001</c:v>
                </c:pt>
                <c:pt idx="6">
                  <c:v>285870.93420000002</c:v>
                </c:pt>
                <c:pt idx="7">
                  <c:v>286269.47450000001</c:v>
                </c:pt>
                <c:pt idx="8">
                  <c:v>268359.25170000002</c:v>
                </c:pt>
                <c:pt idx="9">
                  <c:v>253000.22649999999</c:v>
                </c:pt>
                <c:pt idx="10">
                  <c:v>0</c:v>
                </c:pt>
                <c:pt idx="11">
                  <c:v>0</c:v>
                </c:pt>
              </c:numCache>
            </c:numRef>
          </c:val>
          <c:extLst>
            <c:ext xmlns:c16="http://schemas.microsoft.com/office/drawing/2014/chart" uri="{C3380CC4-5D6E-409C-BE32-E72D297353CC}">
              <c16:uniqueId val="{00000003-B080-47D1-9FF3-61A027CDF30A}"/>
            </c:ext>
          </c:extLst>
        </c:ser>
        <c:dLbls>
          <c:showLegendKey val="0"/>
          <c:showVal val="0"/>
          <c:showCatName val="0"/>
          <c:showSerName val="0"/>
          <c:showPercent val="0"/>
          <c:showBubbleSize val="0"/>
        </c:dLbls>
        <c:gapWidth val="300"/>
        <c:overlap val="30"/>
        <c:axId val="139598032"/>
        <c:axId val="1"/>
      </c:barChart>
      <c:catAx>
        <c:axId val="139598032"/>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320000"/>
          <c:min val="10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39598032"/>
        <c:crosses val="autoZero"/>
        <c:crossBetween val="between"/>
        <c:majorUnit val="20000"/>
        <c:minorUnit val="10000"/>
        <c:dispUnits>
          <c:builtInUnit val="thousands"/>
        </c:dispUnits>
      </c:valAx>
      <c:spPr>
        <a:noFill/>
        <a:ln w="25400">
          <a:noFill/>
        </a:ln>
      </c:spPr>
    </c:plotArea>
    <c:legend>
      <c:legendPos val="r"/>
      <c:layout>
        <c:manualLayout>
          <c:xMode val="edge"/>
          <c:yMode val="edge"/>
          <c:wMode val="edge"/>
          <c:hMode val="edge"/>
          <c:x val="0.37363868732094763"/>
          <c:y val="0.89450549450549455"/>
          <c:w val="0.6830072221364486"/>
          <c:h val="0.97582417582417591"/>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SPAIN CONTINENTAL CHARGING ZONE (LE)</a:t>
            </a:r>
          </a:p>
        </c:rich>
      </c:tx>
      <c:layout>
        <c:manualLayout>
          <c:xMode val="edge"/>
          <c:yMode val="edge"/>
          <c:x val="0.24640881428283004"/>
          <c:y val="3.0769230769230771E-2"/>
        </c:manualLayout>
      </c:layout>
      <c:overlay val="0"/>
      <c:spPr>
        <a:noFill/>
        <a:ln w="25400">
          <a:noFill/>
        </a:ln>
      </c:spPr>
    </c:title>
    <c:autoTitleDeleted val="0"/>
    <c:plotArea>
      <c:layout>
        <c:manualLayout>
          <c:layoutTarget val="inner"/>
          <c:xMode val="edge"/>
          <c:yMode val="edge"/>
          <c:x val="0.10517012814847548"/>
          <c:y val="0.14235500878734625"/>
          <c:w val="0.8828988068935042"/>
          <c:h val="0.57644991212653784"/>
        </c:manualLayout>
      </c:layout>
      <c:barChart>
        <c:barDir val="col"/>
        <c:grouping val="clustered"/>
        <c:varyColors val="0"/>
        <c:ser>
          <c:idx val="2"/>
          <c:order val="0"/>
          <c:tx>
            <c:strRef>
              <c:f>spain_continental_le!$G$3</c:f>
              <c:strCache>
                <c:ptCount val="1"/>
                <c:pt idx="0">
                  <c:v>2014
Actual</c:v>
                </c:pt>
              </c:strCache>
            </c:strRef>
          </c:tx>
          <c:spPr>
            <a:solidFill>
              <a:srgbClr val="3366FF"/>
            </a:solidFill>
            <a:ln w="12700">
              <a:solidFill>
                <a:srgbClr val="3366FF"/>
              </a:solidFill>
              <a:prstDash val="solid"/>
            </a:ln>
          </c:spPr>
          <c:invertIfNegative val="0"/>
          <c:cat>
            <c:strRef>
              <c:f>spain_continental_le!$C$5:$C$16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spain_continental_le!$G$5:$G$16</c:f>
              <c:numCache>
                <c:formatCode>#,##0"  ";[Red]\-#,##0"  "</c:formatCode>
                <c:ptCount val="12"/>
                <c:pt idx="0">
                  <c:v>583447.65110000002</c:v>
                </c:pt>
                <c:pt idx="1">
                  <c:v>536458.59870000009</c:v>
                </c:pt>
                <c:pt idx="2">
                  <c:v>636555.11899999995</c:v>
                </c:pt>
                <c:pt idx="3">
                  <c:v>743741.35210000002</c:v>
                </c:pt>
                <c:pt idx="4">
                  <c:v>793659.57979999995</c:v>
                </c:pt>
                <c:pt idx="5">
                  <c:v>813647.41119999997</c:v>
                </c:pt>
                <c:pt idx="6">
                  <c:v>900926.28100000008</c:v>
                </c:pt>
                <c:pt idx="7">
                  <c:v>927386.50150000001</c:v>
                </c:pt>
                <c:pt idx="8">
                  <c:v>822805.6017</c:v>
                </c:pt>
                <c:pt idx="9">
                  <c:v>786838.15749999997</c:v>
                </c:pt>
                <c:pt idx="10">
                  <c:v>621615.70649999997</c:v>
                </c:pt>
                <c:pt idx="11">
                  <c:v>600686.67890000006</c:v>
                </c:pt>
              </c:numCache>
            </c:numRef>
          </c:val>
          <c:extLst>
            <c:ext xmlns:c16="http://schemas.microsoft.com/office/drawing/2014/chart" uri="{C3380CC4-5D6E-409C-BE32-E72D297353CC}">
              <c16:uniqueId val="{00000000-58EF-4128-A6D0-4ABF0FB1BEDD}"/>
            </c:ext>
          </c:extLst>
        </c:ser>
        <c:ser>
          <c:idx val="0"/>
          <c:order val="1"/>
          <c:tx>
            <c:strRef>
              <c:f>spain_continental_le!$F$3</c:f>
              <c:strCache>
                <c:ptCount val="1"/>
                <c:pt idx="0">
                  <c:v>2015
Actual</c:v>
                </c:pt>
              </c:strCache>
            </c:strRef>
          </c:tx>
          <c:spPr>
            <a:solidFill>
              <a:srgbClr val="666699"/>
            </a:solidFill>
            <a:ln w="12700">
              <a:solidFill>
                <a:srgbClr val="666699"/>
              </a:solidFill>
              <a:prstDash val="solid"/>
            </a:ln>
          </c:spPr>
          <c:invertIfNegative val="0"/>
          <c:val>
            <c:numRef>
              <c:f>spain_continental_le!$F$5:$F$16</c:f>
              <c:numCache>
                <c:formatCode>#,##0"  ";[Red]\-#,##0"  "</c:formatCode>
                <c:ptCount val="12"/>
                <c:pt idx="0">
                  <c:v>592125.20559999999</c:v>
                </c:pt>
                <c:pt idx="1">
                  <c:v>542779.16700000002</c:v>
                </c:pt>
                <c:pt idx="2">
                  <c:v>646013.19129999995</c:v>
                </c:pt>
                <c:pt idx="3">
                  <c:v>752508.48599999992</c:v>
                </c:pt>
                <c:pt idx="4">
                  <c:v>809709.40350000001</c:v>
                </c:pt>
                <c:pt idx="5">
                  <c:v>829215.45869999996</c:v>
                </c:pt>
                <c:pt idx="6">
                  <c:v>928044.27190000005</c:v>
                </c:pt>
                <c:pt idx="7">
                  <c:v>955158.0371999999</c:v>
                </c:pt>
                <c:pt idx="8">
                  <c:v>849491.03650000005</c:v>
                </c:pt>
                <c:pt idx="9">
                  <c:v>813856.93110000005</c:v>
                </c:pt>
                <c:pt idx="10">
                  <c:v>629360.94640000002</c:v>
                </c:pt>
                <c:pt idx="11">
                  <c:v>649154.71480000007</c:v>
                </c:pt>
              </c:numCache>
            </c:numRef>
          </c:val>
          <c:extLst>
            <c:ext xmlns:c16="http://schemas.microsoft.com/office/drawing/2014/chart" uri="{C3380CC4-5D6E-409C-BE32-E72D297353CC}">
              <c16:uniqueId val="{00000001-58EF-4128-A6D0-4ABF0FB1BEDD}"/>
            </c:ext>
          </c:extLst>
        </c:ser>
        <c:ser>
          <c:idx val="5"/>
          <c:order val="2"/>
          <c:tx>
            <c:strRef>
              <c:f>spain_continental_le!$E$3</c:f>
              <c:strCache>
                <c:ptCount val="1"/>
                <c:pt idx="0">
                  <c:v>2016 Unit
Rate Basis</c:v>
                </c:pt>
              </c:strCache>
            </c:strRef>
          </c:tx>
          <c:spPr>
            <a:solidFill>
              <a:srgbClr val="FF8080"/>
            </a:solidFill>
            <a:ln w="25400">
              <a:solidFill>
                <a:srgbClr val="DD0806"/>
              </a:solidFill>
              <a:prstDash val="lgDash"/>
            </a:ln>
          </c:spPr>
          <c:invertIfNegative val="0"/>
          <c:cat>
            <c:strRef>
              <c:f>spain_continental_le!$C$5:$C$16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spain_continental_le!$E$5:$E$16</c:f>
              <c:numCache>
                <c:formatCode>#,##0"  ";[Red]\-#,##0"  "</c:formatCode>
                <c:ptCount val="12"/>
                <c:pt idx="0">
                  <c:v>588083.32718758052</c:v>
                </c:pt>
                <c:pt idx="1">
                  <c:v>539074.1272937688</c:v>
                </c:pt>
                <c:pt idx="2">
                  <c:v>641603.47060687758</c:v>
                </c:pt>
                <c:pt idx="3">
                  <c:v>747371.82271331572</c:v>
                </c:pt>
                <c:pt idx="4">
                  <c:v>804182.28368245496</c:v>
                </c:pt>
                <c:pt idx="5">
                  <c:v>823555.18950344063</c:v>
                </c:pt>
                <c:pt idx="6">
                  <c:v>921709.39192379429</c:v>
                </c:pt>
                <c:pt idx="7">
                  <c:v>948638.07720759313</c:v>
                </c:pt>
                <c:pt idx="8">
                  <c:v>843692.36512188497</c:v>
                </c:pt>
                <c:pt idx="9">
                  <c:v>808301.50003660226</c:v>
                </c:pt>
                <c:pt idx="10">
                  <c:v>625064.89482371823</c:v>
                </c:pt>
                <c:pt idx="11">
                  <c:v>644723.54989896913</c:v>
                </c:pt>
              </c:numCache>
            </c:numRef>
          </c:val>
          <c:extLst>
            <c:ext xmlns:c16="http://schemas.microsoft.com/office/drawing/2014/chart" uri="{C3380CC4-5D6E-409C-BE32-E72D297353CC}">
              <c16:uniqueId val="{00000002-58EF-4128-A6D0-4ABF0FB1BEDD}"/>
            </c:ext>
          </c:extLst>
        </c:ser>
        <c:ser>
          <c:idx val="1"/>
          <c:order val="3"/>
          <c:tx>
            <c:strRef>
              <c:f>spain_continental_le!$D$3</c:f>
              <c:strCache>
                <c:ptCount val="1"/>
                <c:pt idx="0">
                  <c:v>2016
Actual</c:v>
                </c:pt>
              </c:strCache>
            </c:strRef>
          </c:tx>
          <c:spPr>
            <a:solidFill>
              <a:srgbClr val="993366"/>
            </a:solidFill>
            <a:ln w="38100">
              <a:solidFill>
                <a:srgbClr val="993300"/>
              </a:solidFill>
              <a:prstDash val="solid"/>
            </a:ln>
          </c:spPr>
          <c:invertIfNegative val="0"/>
          <c:cat>
            <c:strRef>
              <c:f>spain_continental_le!$C$5:$C$16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spain_continental_le!$D$5:$D$16</c:f>
              <c:numCache>
                <c:formatCode>#,##0</c:formatCode>
                <c:ptCount val="12"/>
                <c:pt idx="0">
                  <c:v>628950.90450000006</c:v>
                </c:pt>
                <c:pt idx="1">
                  <c:v>603274.27580000006</c:v>
                </c:pt>
                <c:pt idx="2">
                  <c:v>707118.84889999998</c:v>
                </c:pt>
                <c:pt idx="3">
                  <c:v>804255.71499999997</c:v>
                </c:pt>
                <c:pt idx="4">
                  <c:v>880189.01659999997</c:v>
                </c:pt>
                <c:pt idx="5">
                  <c:v>904784.1899</c:v>
                </c:pt>
                <c:pt idx="6">
                  <c:v>1027968.9328</c:v>
                </c:pt>
                <c:pt idx="7">
                  <c:v>1034746.9151999999</c:v>
                </c:pt>
                <c:pt idx="8">
                  <c:v>927968.48629999999</c:v>
                </c:pt>
                <c:pt idx="9">
                  <c:v>877675.58289999992</c:v>
                </c:pt>
                <c:pt idx="10">
                  <c:v>0</c:v>
                </c:pt>
                <c:pt idx="11">
                  <c:v>0</c:v>
                </c:pt>
              </c:numCache>
            </c:numRef>
          </c:val>
          <c:extLst>
            <c:ext xmlns:c16="http://schemas.microsoft.com/office/drawing/2014/chart" uri="{C3380CC4-5D6E-409C-BE32-E72D297353CC}">
              <c16:uniqueId val="{00000003-58EF-4128-A6D0-4ABF0FB1BEDD}"/>
            </c:ext>
          </c:extLst>
        </c:ser>
        <c:dLbls>
          <c:showLegendKey val="0"/>
          <c:showVal val="0"/>
          <c:showCatName val="0"/>
          <c:showSerName val="0"/>
          <c:showPercent val="0"/>
          <c:showBubbleSize val="0"/>
        </c:dLbls>
        <c:gapWidth val="300"/>
        <c:overlap val="30"/>
        <c:axId val="143125904"/>
        <c:axId val="1"/>
      </c:barChart>
      <c:catAx>
        <c:axId val="143125904"/>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1050000"/>
          <c:min val="50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3125904"/>
        <c:crosses val="autoZero"/>
        <c:crossBetween val="between"/>
        <c:majorUnit val="50000"/>
        <c:minorUnit val="10000"/>
        <c:dispUnits>
          <c:builtInUnit val="thousands"/>
        </c:dispUnits>
      </c:valAx>
      <c:spPr>
        <a:noFill/>
        <a:ln w="25400">
          <a:noFill/>
        </a:ln>
      </c:spPr>
    </c:plotArea>
    <c:legend>
      <c:legendPos val="r"/>
      <c:layout>
        <c:manualLayout>
          <c:xMode val="edge"/>
          <c:yMode val="edge"/>
          <c:wMode val="edge"/>
          <c:hMode val="edge"/>
          <c:x val="0.38571451645467392"/>
          <c:y val="0.90109890109890112"/>
          <c:w val="0.69450584061607679"/>
          <c:h val="0.98241758241758248"/>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SPAIN CANARIAS CHARGING ZONE (GC)</a:t>
            </a:r>
          </a:p>
        </c:rich>
      </c:tx>
      <c:layout>
        <c:manualLayout>
          <c:xMode val="edge"/>
          <c:yMode val="edge"/>
          <c:x val="0.2533185334212078"/>
          <c:y val="3.0701854575870321E-2"/>
        </c:manualLayout>
      </c:layout>
      <c:overlay val="0"/>
      <c:spPr>
        <a:noFill/>
        <a:ln w="25400">
          <a:noFill/>
        </a:ln>
      </c:spPr>
    </c:title>
    <c:autoTitleDeleted val="0"/>
    <c:plotArea>
      <c:layout>
        <c:manualLayout>
          <c:layoutTarget val="inner"/>
          <c:xMode val="edge"/>
          <c:yMode val="edge"/>
          <c:x val="9.2015090609647729E-2"/>
          <c:y val="0.14204326767673961"/>
          <c:w val="0.89537761247080283"/>
          <c:h val="0.57694117364996689"/>
        </c:manualLayout>
      </c:layout>
      <c:barChart>
        <c:barDir val="col"/>
        <c:grouping val="clustered"/>
        <c:varyColors val="0"/>
        <c:ser>
          <c:idx val="2"/>
          <c:order val="0"/>
          <c:tx>
            <c:strRef>
              <c:f>spain_canaries_gc!$G$3</c:f>
              <c:strCache>
                <c:ptCount val="1"/>
                <c:pt idx="0">
                  <c:v>2014
Actual</c:v>
                </c:pt>
              </c:strCache>
            </c:strRef>
          </c:tx>
          <c:spPr>
            <a:solidFill>
              <a:srgbClr val="3366FF"/>
            </a:solidFill>
            <a:ln w="12700">
              <a:solidFill>
                <a:srgbClr val="3366FF"/>
              </a:solidFill>
              <a:prstDash val="solid"/>
            </a:ln>
          </c:spPr>
          <c:invertIfNegative val="0"/>
          <c:cat>
            <c:strRef>
              <c:f>spain_canaries_gc!$C$5:$C$16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spain_canaries_gc!$G$5:$G$16</c:f>
              <c:numCache>
                <c:formatCode>#,##0"  ";[Red]\-#,##0"  "</c:formatCode>
                <c:ptCount val="12"/>
                <c:pt idx="0">
                  <c:v>131843.03349999999</c:v>
                </c:pt>
                <c:pt idx="1">
                  <c:v>118275.01549999999</c:v>
                </c:pt>
                <c:pt idx="2">
                  <c:v>135205.03150000001</c:v>
                </c:pt>
                <c:pt idx="3">
                  <c:v>124487.6029</c:v>
                </c:pt>
                <c:pt idx="4">
                  <c:v>112521.897</c:v>
                </c:pt>
                <c:pt idx="5">
                  <c:v>113387.38800000001</c:v>
                </c:pt>
                <c:pt idx="6">
                  <c:v>126724.34970000001</c:v>
                </c:pt>
                <c:pt idx="7">
                  <c:v>128920.2169</c:v>
                </c:pt>
                <c:pt idx="8">
                  <c:v>118116.3845</c:v>
                </c:pt>
                <c:pt idx="9">
                  <c:v>131252.94649999999</c:v>
                </c:pt>
                <c:pt idx="10">
                  <c:v>122977.91620000001</c:v>
                </c:pt>
                <c:pt idx="11">
                  <c:v>128068.7871</c:v>
                </c:pt>
              </c:numCache>
            </c:numRef>
          </c:val>
          <c:extLst>
            <c:ext xmlns:c16="http://schemas.microsoft.com/office/drawing/2014/chart" uri="{C3380CC4-5D6E-409C-BE32-E72D297353CC}">
              <c16:uniqueId val="{00000000-485A-4FC8-BA45-CAEADC9A9D6D}"/>
            </c:ext>
          </c:extLst>
        </c:ser>
        <c:ser>
          <c:idx val="0"/>
          <c:order val="1"/>
          <c:tx>
            <c:strRef>
              <c:f>spain_canaries_gc!$F$3</c:f>
              <c:strCache>
                <c:ptCount val="1"/>
                <c:pt idx="0">
                  <c:v>2015
Actual</c:v>
                </c:pt>
              </c:strCache>
            </c:strRef>
          </c:tx>
          <c:spPr>
            <a:solidFill>
              <a:srgbClr val="666699"/>
            </a:solidFill>
            <a:ln w="12700">
              <a:solidFill>
                <a:srgbClr val="666699"/>
              </a:solidFill>
              <a:prstDash val="solid"/>
            </a:ln>
          </c:spPr>
          <c:invertIfNegative val="0"/>
          <c:val>
            <c:numRef>
              <c:f>spain_canaries_gc!$F$5:$F$16</c:f>
              <c:numCache>
                <c:formatCode>#,##0"  ";[Red]\-#,##0"  "</c:formatCode>
                <c:ptCount val="12"/>
                <c:pt idx="0">
                  <c:v>121935.0739</c:v>
                </c:pt>
                <c:pt idx="1">
                  <c:v>106558.57579999999</c:v>
                </c:pt>
                <c:pt idx="2">
                  <c:v>120269.0469</c:v>
                </c:pt>
                <c:pt idx="3">
                  <c:v>113118.40889999999</c:v>
                </c:pt>
                <c:pt idx="4">
                  <c:v>107476.52649999999</c:v>
                </c:pt>
                <c:pt idx="5">
                  <c:v>107104.7611</c:v>
                </c:pt>
                <c:pt idx="6">
                  <c:v>119947.80590000001</c:v>
                </c:pt>
                <c:pt idx="7">
                  <c:v>120875.516</c:v>
                </c:pt>
                <c:pt idx="8">
                  <c:v>115968.58869999999</c:v>
                </c:pt>
                <c:pt idx="9">
                  <c:v>121642.68860000001</c:v>
                </c:pt>
                <c:pt idx="10">
                  <c:v>118290.4204</c:v>
                </c:pt>
                <c:pt idx="11">
                  <c:v>129161.5465</c:v>
                </c:pt>
              </c:numCache>
            </c:numRef>
          </c:val>
          <c:extLst>
            <c:ext xmlns:c16="http://schemas.microsoft.com/office/drawing/2014/chart" uri="{C3380CC4-5D6E-409C-BE32-E72D297353CC}">
              <c16:uniqueId val="{00000001-485A-4FC8-BA45-CAEADC9A9D6D}"/>
            </c:ext>
          </c:extLst>
        </c:ser>
        <c:ser>
          <c:idx val="5"/>
          <c:order val="2"/>
          <c:tx>
            <c:strRef>
              <c:f>spain_canaries_gc!$E$3</c:f>
              <c:strCache>
                <c:ptCount val="1"/>
                <c:pt idx="0">
                  <c:v>2016 Unit
Rate Basis</c:v>
                </c:pt>
              </c:strCache>
            </c:strRef>
          </c:tx>
          <c:spPr>
            <a:solidFill>
              <a:srgbClr val="FF8080"/>
            </a:solidFill>
            <a:ln w="25400">
              <a:solidFill>
                <a:srgbClr val="DD0806"/>
              </a:solidFill>
              <a:prstDash val="lgDash"/>
            </a:ln>
          </c:spPr>
          <c:invertIfNegative val="0"/>
          <c:cat>
            <c:strRef>
              <c:f>spain_canaries_gc!$C$5:$C$16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spain_canaries_gc!$E$5:$E$16</c:f>
              <c:numCache>
                <c:formatCode>#,##0"  ";[Red]\-#,##0"  "</c:formatCode>
                <c:ptCount val="12"/>
                <c:pt idx="0">
                  <c:v>132860.50643592194</c:v>
                </c:pt>
                <c:pt idx="1">
                  <c:v>116106.26781174709</c:v>
                </c:pt>
                <c:pt idx="2">
                  <c:v>131045.20273472887</c:v>
                </c:pt>
                <c:pt idx="3">
                  <c:v>123253.8646427941</c:v>
                </c:pt>
                <c:pt idx="4">
                  <c:v>117106.46727023293</c:v>
                </c:pt>
                <c:pt idx="5">
                  <c:v>116701.39153820967</c:v>
                </c:pt>
                <c:pt idx="6">
                  <c:v>130695.17840962792</c:v>
                </c:pt>
                <c:pt idx="7">
                  <c:v>131706.01171434877</c:v>
                </c:pt>
                <c:pt idx="8">
                  <c:v>126359.4217196036</c:v>
                </c:pt>
                <c:pt idx="9">
                  <c:v>132541.92329335315</c:v>
                </c:pt>
                <c:pt idx="10">
                  <c:v>128889.29049037228</c:v>
                </c:pt>
                <c:pt idx="11">
                  <c:v>140734.4739390598</c:v>
                </c:pt>
              </c:numCache>
            </c:numRef>
          </c:val>
          <c:extLst>
            <c:ext xmlns:c16="http://schemas.microsoft.com/office/drawing/2014/chart" uri="{C3380CC4-5D6E-409C-BE32-E72D297353CC}">
              <c16:uniqueId val="{00000002-485A-4FC8-BA45-CAEADC9A9D6D}"/>
            </c:ext>
          </c:extLst>
        </c:ser>
        <c:ser>
          <c:idx val="1"/>
          <c:order val="3"/>
          <c:tx>
            <c:strRef>
              <c:f>spain_canaries_gc!$D$3</c:f>
              <c:strCache>
                <c:ptCount val="1"/>
                <c:pt idx="0">
                  <c:v>2016
Actual</c:v>
                </c:pt>
              </c:strCache>
            </c:strRef>
          </c:tx>
          <c:spPr>
            <a:solidFill>
              <a:srgbClr val="993366"/>
            </a:solidFill>
            <a:ln w="38100">
              <a:solidFill>
                <a:srgbClr val="993300"/>
              </a:solidFill>
              <a:prstDash val="solid"/>
            </a:ln>
          </c:spPr>
          <c:invertIfNegative val="0"/>
          <c:cat>
            <c:strRef>
              <c:f>spain_canaries_gc!$C$5:$C$16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spain_canaries_gc!$D$5:$D$16</c:f>
              <c:numCache>
                <c:formatCode>#,##0</c:formatCode>
                <c:ptCount val="12"/>
                <c:pt idx="0">
                  <c:v>129018.5457</c:v>
                </c:pt>
                <c:pt idx="1">
                  <c:v>119889.40579999999</c:v>
                </c:pt>
                <c:pt idx="2">
                  <c:v>126454.19259999999</c:v>
                </c:pt>
                <c:pt idx="3">
                  <c:v>115231.03730000001</c:v>
                </c:pt>
                <c:pt idx="4">
                  <c:v>106711.5733</c:v>
                </c:pt>
                <c:pt idx="5">
                  <c:v>107592.82180000001</c:v>
                </c:pt>
                <c:pt idx="6">
                  <c:v>125757.46090000001</c:v>
                </c:pt>
                <c:pt idx="7">
                  <c:v>135309.90280000001</c:v>
                </c:pt>
                <c:pt idx="8">
                  <c:v>122632.62149999999</c:v>
                </c:pt>
                <c:pt idx="9">
                  <c:v>125986.8159</c:v>
                </c:pt>
                <c:pt idx="10">
                  <c:v>0</c:v>
                </c:pt>
                <c:pt idx="11">
                  <c:v>0</c:v>
                </c:pt>
              </c:numCache>
            </c:numRef>
          </c:val>
          <c:extLst>
            <c:ext xmlns:c16="http://schemas.microsoft.com/office/drawing/2014/chart" uri="{C3380CC4-5D6E-409C-BE32-E72D297353CC}">
              <c16:uniqueId val="{00000003-485A-4FC8-BA45-CAEADC9A9D6D}"/>
            </c:ext>
          </c:extLst>
        </c:ser>
        <c:dLbls>
          <c:showLegendKey val="0"/>
          <c:showVal val="0"/>
          <c:showCatName val="0"/>
          <c:showSerName val="0"/>
          <c:showPercent val="0"/>
          <c:showBubbleSize val="0"/>
        </c:dLbls>
        <c:gapWidth val="300"/>
        <c:overlap val="30"/>
        <c:axId val="143118688"/>
        <c:axId val="1"/>
      </c:barChart>
      <c:catAx>
        <c:axId val="143118688"/>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160000"/>
          <c:min val="9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3118688"/>
        <c:crosses val="autoZero"/>
        <c:crossBetween val="between"/>
        <c:majorUnit val="10000"/>
        <c:minorUnit val="10000"/>
        <c:dispUnits>
          <c:builtInUnit val="thousands"/>
        </c:dispUnits>
      </c:valAx>
      <c:spPr>
        <a:noFill/>
        <a:ln w="25400">
          <a:noFill/>
        </a:ln>
      </c:spPr>
    </c:plotArea>
    <c:legend>
      <c:legendPos val="r"/>
      <c:layout>
        <c:manualLayout>
          <c:xMode val="edge"/>
          <c:yMode val="edge"/>
          <c:wMode val="edge"/>
          <c:hMode val="edge"/>
          <c:x val="0.38546255506607929"/>
          <c:y val="0.89890109890109893"/>
          <c:w val="0.69273127753303965"/>
          <c:h val="0.98021978021978029"/>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PORTUGAL-SANTA MARIA CHARGING ZONE (AZ)</a:t>
            </a:r>
          </a:p>
        </c:rich>
      </c:tx>
      <c:layout>
        <c:manualLayout>
          <c:xMode val="edge"/>
          <c:yMode val="edge"/>
          <c:x val="0.23143161334768081"/>
          <c:y val="3.0836875479060694E-2"/>
        </c:manualLayout>
      </c:layout>
      <c:overlay val="0"/>
      <c:spPr>
        <a:noFill/>
        <a:ln w="25400">
          <a:noFill/>
        </a:ln>
      </c:spPr>
    </c:title>
    <c:autoTitleDeleted val="0"/>
    <c:plotArea>
      <c:layout>
        <c:manualLayout>
          <c:layoutTarget val="inner"/>
          <c:xMode val="edge"/>
          <c:yMode val="edge"/>
          <c:x val="8.8678433060697379E-2"/>
          <c:y val="0.14090724086826004"/>
          <c:w val="0.89883770985794231"/>
          <c:h val="0.57771968755986625"/>
        </c:manualLayout>
      </c:layout>
      <c:barChart>
        <c:barDir val="col"/>
        <c:grouping val="clustered"/>
        <c:varyColors val="0"/>
        <c:ser>
          <c:idx val="2"/>
          <c:order val="0"/>
          <c:tx>
            <c:strRef>
              <c:f>portugal_santa_maria_az!$G$3</c:f>
              <c:strCache>
                <c:ptCount val="1"/>
                <c:pt idx="0">
                  <c:v>2014
Actual</c:v>
                </c:pt>
              </c:strCache>
            </c:strRef>
          </c:tx>
          <c:spPr>
            <a:solidFill>
              <a:srgbClr val="3366FF"/>
            </a:solidFill>
            <a:ln w="12700">
              <a:solidFill>
                <a:srgbClr val="3366FF"/>
              </a:solidFill>
              <a:prstDash val="solid"/>
            </a:ln>
          </c:spPr>
          <c:invertIfNegative val="0"/>
          <c:cat>
            <c:strRef>
              <c:f>portugal_santa_maria_az!$C$5:$C$16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portugal_santa_maria_az!$G$5:$G$16</c:f>
              <c:numCache>
                <c:formatCode>#,##0"  ";[Red]\-#,##0"  "</c:formatCode>
                <c:ptCount val="12"/>
                <c:pt idx="0">
                  <c:v>349607.22070000001</c:v>
                </c:pt>
                <c:pt idx="1">
                  <c:v>309344.16759999999</c:v>
                </c:pt>
                <c:pt idx="2">
                  <c:v>337409.26679999998</c:v>
                </c:pt>
                <c:pt idx="3">
                  <c:v>336687.19790000003</c:v>
                </c:pt>
                <c:pt idx="4">
                  <c:v>333819.00469999999</c:v>
                </c:pt>
                <c:pt idx="5">
                  <c:v>331987.36799999996</c:v>
                </c:pt>
                <c:pt idx="6">
                  <c:v>405619.64299999998</c:v>
                </c:pt>
                <c:pt idx="7">
                  <c:v>390274.14320000005</c:v>
                </c:pt>
                <c:pt idx="8">
                  <c:v>335756.90780000004</c:v>
                </c:pt>
                <c:pt idx="9">
                  <c:v>323607.22019999998</c:v>
                </c:pt>
                <c:pt idx="10">
                  <c:v>331831.11830000003</c:v>
                </c:pt>
                <c:pt idx="11">
                  <c:v>380155.71299999999</c:v>
                </c:pt>
              </c:numCache>
            </c:numRef>
          </c:val>
          <c:extLst>
            <c:ext xmlns:c16="http://schemas.microsoft.com/office/drawing/2014/chart" uri="{C3380CC4-5D6E-409C-BE32-E72D297353CC}">
              <c16:uniqueId val="{00000000-6BE2-497A-889C-E1908C6F6C3B}"/>
            </c:ext>
          </c:extLst>
        </c:ser>
        <c:ser>
          <c:idx val="0"/>
          <c:order val="1"/>
          <c:tx>
            <c:strRef>
              <c:f>portugal_santa_maria_az!$F$3</c:f>
              <c:strCache>
                <c:ptCount val="1"/>
                <c:pt idx="0">
                  <c:v>2015
Actual</c:v>
                </c:pt>
              </c:strCache>
            </c:strRef>
          </c:tx>
          <c:spPr>
            <a:solidFill>
              <a:srgbClr val="666699"/>
            </a:solidFill>
            <a:ln w="12700">
              <a:solidFill>
                <a:srgbClr val="666699"/>
              </a:solidFill>
              <a:prstDash val="solid"/>
            </a:ln>
          </c:spPr>
          <c:invertIfNegative val="0"/>
          <c:val>
            <c:numRef>
              <c:f>portugal_santa_maria_az!$F$5:$F$16</c:f>
              <c:numCache>
                <c:formatCode>#,##0"  ";[Red]\-#,##0"  "</c:formatCode>
                <c:ptCount val="12"/>
                <c:pt idx="0">
                  <c:v>398254.22690000001</c:v>
                </c:pt>
                <c:pt idx="1">
                  <c:v>352683.25549999997</c:v>
                </c:pt>
                <c:pt idx="2">
                  <c:v>405232.50380000001</c:v>
                </c:pt>
                <c:pt idx="3">
                  <c:v>378607.97200000001</c:v>
                </c:pt>
                <c:pt idx="4">
                  <c:v>392043.72599999997</c:v>
                </c:pt>
                <c:pt idx="5">
                  <c:v>377752.01250000001</c:v>
                </c:pt>
                <c:pt idx="6">
                  <c:v>414182.97169999999</c:v>
                </c:pt>
                <c:pt idx="7">
                  <c:v>422581.40860000002</c:v>
                </c:pt>
                <c:pt idx="8">
                  <c:v>360036.04180000001</c:v>
                </c:pt>
                <c:pt idx="9">
                  <c:v>376521.83669999999</c:v>
                </c:pt>
                <c:pt idx="10">
                  <c:v>382367.11139999999</c:v>
                </c:pt>
                <c:pt idx="11">
                  <c:v>401357.29350000003</c:v>
                </c:pt>
              </c:numCache>
            </c:numRef>
          </c:val>
          <c:extLst>
            <c:ext xmlns:c16="http://schemas.microsoft.com/office/drawing/2014/chart" uri="{C3380CC4-5D6E-409C-BE32-E72D297353CC}">
              <c16:uniqueId val="{00000001-6BE2-497A-889C-E1908C6F6C3B}"/>
            </c:ext>
          </c:extLst>
        </c:ser>
        <c:ser>
          <c:idx val="5"/>
          <c:order val="2"/>
          <c:tx>
            <c:strRef>
              <c:f>portugal_santa_maria_az!$E$3</c:f>
              <c:strCache>
                <c:ptCount val="1"/>
                <c:pt idx="0">
                  <c:v>2016 Unit
Rate Basis</c:v>
                </c:pt>
              </c:strCache>
            </c:strRef>
          </c:tx>
          <c:spPr>
            <a:solidFill>
              <a:srgbClr val="FF8080"/>
            </a:solidFill>
            <a:ln w="25400">
              <a:solidFill>
                <a:srgbClr val="DD0806"/>
              </a:solidFill>
              <a:prstDash val="lgDash"/>
            </a:ln>
          </c:spPr>
          <c:invertIfNegative val="0"/>
          <c:cat>
            <c:strRef>
              <c:f>portugal_santa_maria_az!$C$5:$C$16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portugal_santa_maria_az!$E$5:$E$16</c:f>
              <c:numCache>
                <c:formatCode>#,##0"  ";[Red]\-#,##0"  "</c:formatCode>
                <c:ptCount val="12"/>
                <c:pt idx="0">
                  <c:v>370501.61087243276</c:v>
                </c:pt>
                <c:pt idx="1">
                  <c:v>328106.28353555279</c:v>
                </c:pt>
                <c:pt idx="2">
                  <c:v>376993.60181171057</c:v>
                </c:pt>
                <c:pt idx="3">
                  <c:v>352224.4185756435</c:v>
                </c:pt>
                <c:pt idx="4">
                  <c:v>364723.89294163854</c:v>
                </c:pt>
                <c:pt idx="5">
                  <c:v>351428.10719419224</c:v>
                </c:pt>
                <c:pt idx="6">
                  <c:v>385320.35028296954</c:v>
                </c:pt>
                <c:pt idx="7">
                  <c:v>393133.53640903119</c:v>
                </c:pt>
                <c:pt idx="8">
                  <c:v>334946.68593317707</c:v>
                </c:pt>
                <c:pt idx="9">
                  <c:v>350283.65702952212</c:v>
                </c:pt>
                <c:pt idx="10">
                  <c:v>355721.59979587886</c:v>
                </c:pt>
                <c:pt idx="11">
                  <c:v>373388.43817089888</c:v>
                </c:pt>
              </c:numCache>
            </c:numRef>
          </c:val>
          <c:extLst>
            <c:ext xmlns:c16="http://schemas.microsoft.com/office/drawing/2014/chart" uri="{C3380CC4-5D6E-409C-BE32-E72D297353CC}">
              <c16:uniqueId val="{00000002-6BE2-497A-889C-E1908C6F6C3B}"/>
            </c:ext>
          </c:extLst>
        </c:ser>
        <c:ser>
          <c:idx val="1"/>
          <c:order val="3"/>
          <c:tx>
            <c:strRef>
              <c:f>portugal_santa_maria_az!$D$3</c:f>
              <c:strCache>
                <c:ptCount val="1"/>
                <c:pt idx="0">
                  <c:v>2016
Actual</c:v>
                </c:pt>
              </c:strCache>
            </c:strRef>
          </c:tx>
          <c:spPr>
            <a:solidFill>
              <a:srgbClr val="993366"/>
            </a:solidFill>
            <a:ln w="38100">
              <a:solidFill>
                <a:srgbClr val="993300"/>
              </a:solidFill>
              <a:prstDash val="solid"/>
            </a:ln>
          </c:spPr>
          <c:invertIfNegative val="0"/>
          <c:cat>
            <c:strRef>
              <c:f>portugal_santa_maria_az!$C$5:$C$16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portugal_santa_maria_az!$D$5:$D$16</c:f>
              <c:numCache>
                <c:formatCode>#,##0</c:formatCode>
                <c:ptCount val="12"/>
                <c:pt idx="0">
                  <c:v>400841.85099999997</c:v>
                </c:pt>
                <c:pt idx="1">
                  <c:v>403015.47319999995</c:v>
                </c:pt>
                <c:pt idx="2">
                  <c:v>422629.18570000003</c:v>
                </c:pt>
                <c:pt idx="3">
                  <c:v>401710.78850000002</c:v>
                </c:pt>
                <c:pt idx="4">
                  <c:v>409358.00180000003</c:v>
                </c:pt>
                <c:pt idx="5">
                  <c:v>423658.87949999998</c:v>
                </c:pt>
                <c:pt idx="6">
                  <c:v>469888.32280000002</c:v>
                </c:pt>
                <c:pt idx="7">
                  <c:v>462772.24470000004</c:v>
                </c:pt>
                <c:pt idx="8">
                  <c:v>417071.45069999999</c:v>
                </c:pt>
                <c:pt idx="9">
                  <c:v>409341.12450000003</c:v>
                </c:pt>
                <c:pt idx="10">
                  <c:v>0</c:v>
                </c:pt>
                <c:pt idx="11">
                  <c:v>0</c:v>
                </c:pt>
              </c:numCache>
            </c:numRef>
          </c:val>
          <c:extLst>
            <c:ext xmlns:c16="http://schemas.microsoft.com/office/drawing/2014/chart" uri="{C3380CC4-5D6E-409C-BE32-E72D297353CC}">
              <c16:uniqueId val="{00000003-6BE2-497A-889C-E1908C6F6C3B}"/>
            </c:ext>
          </c:extLst>
        </c:ser>
        <c:dLbls>
          <c:showLegendKey val="0"/>
          <c:showVal val="0"/>
          <c:showCatName val="0"/>
          <c:showSerName val="0"/>
          <c:showPercent val="0"/>
          <c:showBubbleSize val="0"/>
        </c:dLbls>
        <c:gapWidth val="300"/>
        <c:overlap val="30"/>
        <c:axId val="121929152"/>
        <c:axId val="1"/>
      </c:barChart>
      <c:catAx>
        <c:axId val="121929152"/>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480000"/>
          <c:min val="200000"/>
        </c:scaling>
        <c:delete val="0"/>
        <c:axPos val="l"/>
        <c:majorGridlines>
          <c:spPr>
            <a:ln w="3175">
              <a:solidFill>
                <a:srgbClr val="000000"/>
              </a:solidFill>
              <a:prstDash val="sysDash"/>
            </a:ln>
          </c:spPr>
        </c:majorGridlines>
        <c:min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21929152"/>
        <c:crosses val="autoZero"/>
        <c:crossBetween val="between"/>
        <c:majorUnit val="50000"/>
        <c:minorUnit val="10000"/>
        <c:dispUnits>
          <c:builtInUnit val="thousands"/>
        </c:dispUnits>
      </c:valAx>
      <c:spPr>
        <a:noFill/>
        <a:ln w="25400">
          <a:noFill/>
        </a:ln>
      </c:spPr>
    </c:plotArea>
    <c:legend>
      <c:legendPos val="r"/>
      <c:layout>
        <c:manualLayout>
          <c:xMode val="edge"/>
          <c:yMode val="edge"/>
          <c:wMode val="edge"/>
          <c:hMode val="edge"/>
          <c:x val="0.38937116049214021"/>
          <c:y val="0.90044247787610621"/>
          <c:w val="0.68980511384016263"/>
          <c:h val="0.98230088495575218"/>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GREECE CHARGING ZONE (LG)</a:t>
            </a:r>
          </a:p>
        </c:rich>
      </c:tx>
      <c:layout>
        <c:manualLayout>
          <c:xMode val="edge"/>
          <c:yMode val="edge"/>
          <c:x val="0.29198671241835716"/>
          <c:y val="3.0107352460770731E-2"/>
        </c:manualLayout>
      </c:layout>
      <c:overlay val="0"/>
      <c:spPr>
        <a:noFill/>
        <a:ln w="25400">
          <a:noFill/>
        </a:ln>
      </c:spPr>
    </c:title>
    <c:autoTitleDeleted val="0"/>
    <c:plotArea>
      <c:layout>
        <c:manualLayout>
          <c:layoutTarget val="inner"/>
          <c:xMode val="edge"/>
          <c:yMode val="edge"/>
          <c:x val="8.9552238805970158E-2"/>
          <c:y val="0.13757552526031577"/>
          <c:w val="0.89640035118525008"/>
          <c:h val="0.58641567642209602"/>
        </c:manualLayout>
      </c:layout>
      <c:barChart>
        <c:barDir val="col"/>
        <c:grouping val="clustered"/>
        <c:varyColors val="0"/>
        <c:ser>
          <c:idx val="2"/>
          <c:order val="0"/>
          <c:tx>
            <c:strRef>
              <c:f>greece_lg!$G$3</c:f>
              <c:strCache>
                <c:ptCount val="1"/>
                <c:pt idx="0">
                  <c:v>2014
Actual</c:v>
                </c:pt>
              </c:strCache>
            </c:strRef>
          </c:tx>
          <c:spPr>
            <a:solidFill>
              <a:srgbClr val="3366FF"/>
            </a:solidFill>
            <a:ln w="12700">
              <a:solidFill>
                <a:srgbClr val="3366FF"/>
              </a:solidFill>
              <a:prstDash val="solid"/>
            </a:ln>
          </c:spPr>
          <c:invertIfNegative val="0"/>
          <c:cat>
            <c:strRef>
              <c:f>greece_lg!$C$5:$C$16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greece_lg!$G$5:$G$16</c:f>
              <c:numCache>
                <c:formatCode>#,##0"  ";[Red]\-#,##0"  "</c:formatCode>
                <c:ptCount val="12"/>
                <c:pt idx="0">
                  <c:v>240662.57130000001</c:v>
                </c:pt>
                <c:pt idx="1">
                  <c:v>216122.9964</c:v>
                </c:pt>
                <c:pt idx="2">
                  <c:v>257504.76860000001</c:v>
                </c:pt>
                <c:pt idx="3">
                  <c:v>316511.37880000001</c:v>
                </c:pt>
                <c:pt idx="4">
                  <c:v>408050.66899999999</c:v>
                </c:pt>
                <c:pt idx="5">
                  <c:v>466742.54119999998</c:v>
                </c:pt>
                <c:pt idx="6">
                  <c:v>540528.88699999999</c:v>
                </c:pt>
                <c:pt idx="7">
                  <c:v>597738.64379999996</c:v>
                </c:pt>
                <c:pt idx="8">
                  <c:v>509369.41260000004</c:v>
                </c:pt>
                <c:pt idx="9">
                  <c:v>448664.62520000001</c:v>
                </c:pt>
                <c:pt idx="10">
                  <c:v>313515.26190000004</c:v>
                </c:pt>
                <c:pt idx="11">
                  <c:v>302387.12100000004</c:v>
                </c:pt>
              </c:numCache>
            </c:numRef>
          </c:val>
          <c:extLst>
            <c:ext xmlns:c16="http://schemas.microsoft.com/office/drawing/2014/chart" uri="{C3380CC4-5D6E-409C-BE32-E72D297353CC}">
              <c16:uniqueId val="{00000000-5419-4116-A90A-E0AED644D7C5}"/>
            </c:ext>
          </c:extLst>
        </c:ser>
        <c:ser>
          <c:idx val="0"/>
          <c:order val="1"/>
          <c:tx>
            <c:strRef>
              <c:f>greece_lg!$F$3</c:f>
              <c:strCache>
                <c:ptCount val="1"/>
                <c:pt idx="0">
                  <c:v>2015
Actual</c:v>
                </c:pt>
              </c:strCache>
            </c:strRef>
          </c:tx>
          <c:spPr>
            <a:solidFill>
              <a:srgbClr val="666699"/>
            </a:solidFill>
            <a:ln w="12700">
              <a:solidFill>
                <a:srgbClr val="666699"/>
              </a:solidFill>
              <a:prstDash val="solid"/>
            </a:ln>
          </c:spPr>
          <c:invertIfNegative val="0"/>
          <c:val>
            <c:numRef>
              <c:f>greece_lg!$F$5:$F$16</c:f>
              <c:numCache>
                <c:formatCode>#,##0"  ";[Red]\-#,##0"  "</c:formatCode>
                <c:ptCount val="12"/>
                <c:pt idx="0">
                  <c:v>291815.63130000001</c:v>
                </c:pt>
                <c:pt idx="1">
                  <c:v>263820.7451</c:v>
                </c:pt>
                <c:pt idx="2">
                  <c:v>312153.54889999999</c:v>
                </c:pt>
                <c:pt idx="3">
                  <c:v>361650.05089999997</c:v>
                </c:pt>
                <c:pt idx="4">
                  <c:v>443328.18430000002</c:v>
                </c:pt>
                <c:pt idx="5">
                  <c:v>487716.9914</c:v>
                </c:pt>
                <c:pt idx="6">
                  <c:v>585798.25509999995</c:v>
                </c:pt>
                <c:pt idx="7">
                  <c:v>598542.50470000005</c:v>
                </c:pt>
                <c:pt idx="8">
                  <c:v>500853.94330000004</c:v>
                </c:pt>
                <c:pt idx="9">
                  <c:v>438628.77270000003</c:v>
                </c:pt>
                <c:pt idx="10">
                  <c:v>298595.65269999998</c:v>
                </c:pt>
                <c:pt idx="11">
                  <c:v>315913.29810000001</c:v>
                </c:pt>
              </c:numCache>
            </c:numRef>
          </c:val>
          <c:extLst>
            <c:ext xmlns:c16="http://schemas.microsoft.com/office/drawing/2014/chart" uri="{C3380CC4-5D6E-409C-BE32-E72D297353CC}">
              <c16:uniqueId val="{00000001-5419-4116-A90A-E0AED644D7C5}"/>
            </c:ext>
          </c:extLst>
        </c:ser>
        <c:ser>
          <c:idx val="5"/>
          <c:order val="2"/>
          <c:tx>
            <c:strRef>
              <c:f>greece_lg!$E$3</c:f>
              <c:strCache>
                <c:ptCount val="1"/>
                <c:pt idx="0">
                  <c:v>2016 Unit
Rate Basis</c:v>
                </c:pt>
              </c:strCache>
            </c:strRef>
          </c:tx>
          <c:spPr>
            <a:solidFill>
              <a:srgbClr val="FF8080"/>
            </a:solidFill>
            <a:ln w="25400">
              <a:solidFill>
                <a:srgbClr val="DD0806"/>
              </a:solidFill>
              <a:prstDash val="lgDash"/>
            </a:ln>
          </c:spPr>
          <c:invertIfNegative val="0"/>
          <c:cat>
            <c:strRef>
              <c:f>greece_lg!$C$5:$C$16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greece_lg!$E$5:$E$16</c:f>
              <c:numCache>
                <c:formatCode>#,##0"  ";[Red]\-#,##0"  "</c:formatCode>
                <c:ptCount val="12"/>
                <c:pt idx="0">
                  <c:v>257233.88878090179</c:v>
                </c:pt>
                <c:pt idx="1">
                  <c:v>232556.54914997023</c:v>
                </c:pt>
                <c:pt idx="2">
                  <c:v>275161.65231655427</c:v>
                </c:pt>
                <c:pt idx="3">
                  <c:v>318792.54910502135</c:v>
                </c:pt>
                <c:pt idx="4">
                  <c:v>390791.3786031151</c:v>
                </c:pt>
                <c:pt idx="5">
                  <c:v>429919.87017092883</c:v>
                </c:pt>
                <c:pt idx="6">
                  <c:v>516377.96964181925</c:v>
                </c:pt>
                <c:pt idx="7">
                  <c:v>527611.95621614461</c:v>
                </c:pt>
                <c:pt idx="8">
                  <c:v>441500.02168272575</c:v>
                </c:pt>
                <c:pt idx="9">
                  <c:v>386648.87288652675</c:v>
                </c:pt>
                <c:pt idx="10">
                  <c:v>263210.44069818669</c:v>
                </c:pt>
                <c:pt idx="11">
                  <c:v>278475.85074810649</c:v>
                </c:pt>
              </c:numCache>
            </c:numRef>
          </c:val>
          <c:extLst>
            <c:ext xmlns:c16="http://schemas.microsoft.com/office/drawing/2014/chart" uri="{C3380CC4-5D6E-409C-BE32-E72D297353CC}">
              <c16:uniqueId val="{00000002-5419-4116-A90A-E0AED644D7C5}"/>
            </c:ext>
          </c:extLst>
        </c:ser>
        <c:ser>
          <c:idx val="1"/>
          <c:order val="3"/>
          <c:tx>
            <c:strRef>
              <c:f>greece_lg!$D$3</c:f>
              <c:strCache>
                <c:ptCount val="1"/>
                <c:pt idx="0">
                  <c:v>2016
Actual</c:v>
                </c:pt>
              </c:strCache>
            </c:strRef>
          </c:tx>
          <c:spPr>
            <a:solidFill>
              <a:srgbClr val="993366"/>
            </a:solidFill>
            <a:ln w="38100">
              <a:solidFill>
                <a:srgbClr val="993300"/>
              </a:solidFill>
              <a:prstDash val="solid"/>
            </a:ln>
          </c:spPr>
          <c:invertIfNegative val="0"/>
          <c:cat>
            <c:strRef>
              <c:f>greece_lg!$C$5:$C$16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greece_lg!$D$5:$D$16</c:f>
              <c:numCache>
                <c:formatCode>#,##0</c:formatCode>
                <c:ptCount val="12"/>
                <c:pt idx="0">
                  <c:v>284853.92430000001</c:v>
                </c:pt>
                <c:pt idx="1">
                  <c:v>265900.28169999999</c:v>
                </c:pt>
                <c:pt idx="2">
                  <c:v>287036.32649999997</c:v>
                </c:pt>
                <c:pt idx="3">
                  <c:v>323008.39289999998</c:v>
                </c:pt>
                <c:pt idx="4">
                  <c:v>418913.17630000005</c:v>
                </c:pt>
                <c:pt idx="5">
                  <c:v>464564.64189999999</c:v>
                </c:pt>
                <c:pt idx="6">
                  <c:v>579070.19070000004</c:v>
                </c:pt>
                <c:pt idx="7">
                  <c:v>573109.28749999998</c:v>
                </c:pt>
                <c:pt idx="8">
                  <c:v>496442.20789999998</c:v>
                </c:pt>
                <c:pt idx="9">
                  <c:v>417499.33930000005</c:v>
                </c:pt>
                <c:pt idx="10">
                  <c:v>0</c:v>
                </c:pt>
                <c:pt idx="11">
                  <c:v>0</c:v>
                </c:pt>
              </c:numCache>
            </c:numRef>
          </c:val>
          <c:extLst>
            <c:ext xmlns:c16="http://schemas.microsoft.com/office/drawing/2014/chart" uri="{C3380CC4-5D6E-409C-BE32-E72D297353CC}">
              <c16:uniqueId val="{00000003-5419-4116-A90A-E0AED644D7C5}"/>
            </c:ext>
          </c:extLst>
        </c:ser>
        <c:dLbls>
          <c:showLegendKey val="0"/>
          <c:showVal val="0"/>
          <c:showCatName val="0"/>
          <c:showSerName val="0"/>
          <c:showPercent val="0"/>
          <c:showBubbleSize val="0"/>
        </c:dLbls>
        <c:gapWidth val="300"/>
        <c:overlap val="30"/>
        <c:axId val="141693176"/>
        <c:axId val="1"/>
      </c:barChart>
      <c:catAx>
        <c:axId val="141693176"/>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650000"/>
          <c:min val="20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1693176"/>
        <c:crosses val="autoZero"/>
        <c:crossBetween val="between"/>
        <c:majorUnit val="50000"/>
        <c:minorUnit val="50000"/>
        <c:dispUnits>
          <c:builtInUnit val="thousands"/>
        </c:dispUnits>
      </c:valAx>
      <c:spPr>
        <a:noFill/>
        <a:ln w="25400">
          <a:noFill/>
        </a:ln>
      </c:spPr>
    </c:plotArea>
    <c:legend>
      <c:legendPos val="r"/>
      <c:layout>
        <c:manualLayout>
          <c:xMode val="edge"/>
          <c:yMode val="edge"/>
          <c:wMode val="edge"/>
          <c:hMode val="edge"/>
          <c:x val="0.37211855104281011"/>
          <c:y val="0.89914253207619432"/>
          <c:w val="0.67837541163556536"/>
          <c:h val="0.97854167370709566"/>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TURKEY CHARGING ZONE (LT)</a:t>
            </a:r>
          </a:p>
        </c:rich>
      </c:tx>
      <c:layout>
        <c:manualLayout>
          <c:xMode val="edge"/>
          <c:yMode val="edge"/>
          <c:x val="0.29152937824316849"/>
          <c:y val="3.6638137624101334E-2"/>
        </c:manualLayout>
      </c:layout>
      <c:overlay val="0"/>
      <c:spPr>
        <a:noFill/>
        <a:ln w="25400">
          <a:noFill/>
        </a:ln>
      </c:spPr>
    </c:title>
    <c:autoTitleDeleted val="0"/>
    <c:plotArea>
      <c:layout>
        <c:manualLayout>
          <c:layoutTarget val="inner"/>
          <c:xMode val="edge"/>
          <c:yMode val="edge"/>
          <c:x val="0.10206786149983063"/>
          <c:y val="0.13959500215424389"/>
          <c:w val="0.88517472990370338"/>
          <c:h val="0.58423093494183542"/>
        </c:manualLayout>
      </c:layout>
      <c:barChart>
        <c:barDir val="col"/>
        <c:grouping val="clustered"/>
        <c:varyColors val="0"/>
        <c:ser>
          <c:idx val="2"/>
          <c:order val="0"/>
          <c:tx>
            <c:strRef>
              <c:f>turkey_lt!$G$3</c:f>
              <c:strCache>
                <c:ptCount val="1"/>
                <c:pt idx="0">
                  <c:v>2014
Actual</c:v>
                </c:pt>
              </c:strCache>
            </c:strRef>
          </c:tx>
          <c:spPr>
            <a:solidFill>
              <a:srgbClr val="3366FF"/>
            </a:solidFill>
            <a:ln w="12700">
              <a:solidFill>
                <a:srgbClr val="3366FF"/>
              </a:solidFill>
              <a:prstDash val="solid"/>
            </a:ln>
          </c:spPr>
          <c:invertIfNegative val="0"/>
          <c:cat>
            <c:strRef>
              <c:f>turkey_lt!$C$5:$C$16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turkey_lt!$G$5:$G$16</c:f>
              <c:numCache>
                <c:formatCode>#,##0"  ";[Red]\-#,##0"  "</c:formatCode>
                <c:ptCount val="12"/>
                <c:pt idx="0">
                  <c:v>800735.40280000004</c:v>
                </c:pt>
                <c:pt idx="1">
                  <c:v>737890.81670000008</c:v>
                </c:pt>
                <c:pt idx="2">
                  <c:v>861856.92210000008</c:v>
                </c:pt>
                <c:pt idx="3">
                  <c:v>986215.353</c:v>
                </c:pt>
                <c:pt idx="4">
                  <c:v>1104650.4545</c:v>
                </c:pt>
                <c:pt idx="5">
                  <c:v>1155675.9092999999</c:v>
                </c:pt>
                <c:pt idx="6">
                  <c:v>1276200.4709000001</c:v>
                </c:pt>
                <c:pt idx="7">
                  <c:v>1377062.1982</c:v>
                </c:pt>
                <c:pt idx="8">
                  <c:v>1267209.8511000001</c:v>
                </c:pt>
                <c:pt idx="9">
                  <c:v>1211718.9743000001</c:v>
                </c:pt>
                <c:pt idx="10">
                  <c:v>1026909.4723</c:v>
                </c:pt>
                <c:pt idx="11">
                  <c:v>1002722.9478000001</c:v>
                </c:pt>
              </c:numCache>
            </c:numRef>
          </c:val>
          <c:extLst>
            <c:ext xmlns:c16="http://schemas.microsoft.com/office/drawing/2014/chart" uri="{C3380CC4-5D6E-409C-BE32-E72D297353CC}">
              <c16:uniqueId val="{00000000-0440-481F-9E35-BE8B20954BD7}"/>
            </c:ext>
          </c:extLst>
        </c:ser>
        <c:ser>
          <c:idx val="0"/>
          <c:order val="1"/>
          <c:tx>
            <c:strRef>
              <c:f>turkey_lt!$F$3</c:f>
              <c:strCache>
                <c:ptCount val="1"/>
                <c:pt idx="0">
                  <c:v>2015
Actual</c:v>
                </c:pt>
              </c:strCache>
            </c:strRef>
          </c:tx>
          <c:spPr>
            <a:solidFill>
              <a:srgbClr val="666699"/>
            </a:solidFill>
            <a:ln w="12700">
              <a:solidFill>
                <a:srgbClr val="666699"/>
              </a:solidFill>
              <a:prstDash val="solid"/>
            </a:ln>
          </c:spPr>
          <c:invertIfNegative val="0"/>
          <c:val>
            <c:numRef>
              <c:f>turkey_lt!$F$5:$F$16</c:f>
              <c:numCache>
                <c:formatCode>#,##0"  ";[Red]\-#,##0"  "</c:formatCode>
                <c:ptCount val="12"/>
                <c:pt idx="0">
                  <c:v>1019014.2409000001</c:v>
                </c:pt>
                <c:pt idx="1">
                  <c:v>907791.44709999999</c:v>
                </c:pt>
                <c:pt idx="2">
                  <c:v>1068795.166</c:v>
                </c:pt>
                <c:pt idx="3">
                  <c:v>1122705.7213000001</c:v>
                </c:pt>
                <c:pt idx="4">
                  <c:v>1245672.6016000002</c:v>
                </c:pt>
                <c:pt idx="5">
                  <c:v>1284431.7567</c:v>
                </c:pt>
                <c:pt idx="6">
                  <c:v>1403200.7582999999</c:v>
                </c:pt>
                <c:pt idx="7">
                  <c:v>1439863.6225000001</c:v>
                </c:pt>
                <c:pt idx="8">
                  <c:v>1337633.9475</c:v>
                </c:pt>
                <c:pt idx="9">
                  <c:v>1249546.2744</c:v>
                </c:pt>
                <c:pt idx="10">
                  <c:v>1069859.5384</c:v>
                </c:pt>
                <c:pt idx="11">
                  <c:v>1033091.7969</c:v>
                </c:pt>
              </c:numCache>
            </c:numRef>
          </c:val>
          <c:extLst>
            <c:ext xmlns:c16="http://schemas.microsoft.com/office/drawing/2014/chart" uri="{C3380CC4-5D6E-409C-BE32-E72D297353CC}">
              <c16:uniqueId val="{00000001-0440-481F-9E35-BE8B20954BD7}"/>
            </c:ext>
          </c:extLst>
        </c:ser>
        <c:ser>
          <c:idx val="5"/>
          <c:order val="2"/>
          <c:tx>
            <c:strRef>
              <c:f>turkey_lt!$E$3</c:f>
              <c:strCache>
                <c:ptCount val="1"/>
                <c:pt idx="0">
                  <c:v>2016 Unit
Rate Basis</c:v>
                </c:pt>
              </c:strCache>
            </c:strRef>
          </c:tx>
          <c:spPr>
            <a:solidFill>
              <a:srgbClr val="FF8080"/>
            </a:solidFill>
            <a:ln w="25400">
              <a:solidFill>
                <a:srgbClr val="DD0806"/>
              </a:solidFill>
              <a:prstDash val="lgDash"/>
            </a:ln>
          </c:spPr>
          <c:invertIfNegative val="0"/>
          <c:cat>
            <c:strRef>
              <c:f>turkey_lt!$C$5:$C$16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turkey_lt!$E$5:$E$16</c:f>
              <c:numCache>
                <c:formatCode>#,##0"  ";[Red]\-#,##0"  "</c:formatCode>
                <c:ptCount val="12"/>
                <c:pt idx="0">
                  <c:v>1078009.840821642</c:v>
                </c:pt>
                <c:pt idx="1">
                  <c:v>960347.82842995971</c:v>
                </c:pt>
                <c:pt idx="2">
                  <c:v>1130672.8213660633</c:v>
                </c:pt>
                <c:pt idx="3">
                  <c:v>1187704.5161206243</c:v>
                </c:pt>
                <c:pt idx="4">
                  <c:v>1317790.5362546113</c:v>
                </c:pt>
                <c:pt idx="5">
                  <c:v>1358793.6439077775</c:v>
                </c:pt>
                <c:pt idx="6">
                  <c:v>1484438.7501000918</c:v>
                </c:pt>
                <c:pt idx="7">
                  <c:v>1523224.2025638383</c:v>
                </c:pt>
                <c:pt idx="8">
                  <c:v>1415075.9635591856</c:v>
                </c:pt>
                <c:pt idx="9">
                  <c:v>1321888.4744687374</c:v>
                </c:pt>
                <c:pt idx="10">
                  <c:v>1131798.8153663881</c:v>
                </c:pt>
                <c:pt idx="11">
                  <c:v>1092902.4137549843</c:v>
                </c:pt>
              </c:numCache>
            </c:numRef>
          </c:val>
          <c:extLst>
            <c:ext xmlns:c16="http://schemas.microsoft.com/office/drawing/2014/chart" uri="{C3380CC4-5D6E-409C-BE32-E72D297353CC}">
              <c16:uniqueId val="{00000002-0440-481F-9E35-BE8B20954BD7}"/>
            </c:ext>
          </c:extLst>
        </c:ser>
        <c:ser>
          <c:idx val="1"/>
          <c:order val="3"/>
          <c:tx>
            <c:strRef>
              <c:f>turkey_lt!$D$3</c:f>
              <c:strCache>
                <c:ptCount val="1"/>
                <c:pt idx="0">
                  <c:v>2016
Actual</c:v>
                </c:pt>
              </c:strCache>
            </c:strRef>
          </c:tx>
          <c:spPr>
            <a:solidFill>
              <a:srgbClr val="993366"/>
            </a:solidFill>
            <a:ln w="38100">
              <a:solidFill>
                <a:srgbClr val="993300"/>
              </a:solidFill>
              <a:prstDash val="solid"/>
            </a:ln>
          </c:spPr>
          <c:invertIfNegative val="0"/>
          <c:cat>
            <c:strRef>
              <c:f>turkey_lt!$C$5:$C$16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turkey_lt!$D$5:$D$16</c:f>
              <c:numCache>
                <c:formatCode>#,##0</c:formatCode>
                <c:ptCount val="12"/>
                <c:pt idx="0">
                  <c:v>1039812.8924</c:v>
                </c:pt>
                <c:pt idx="1">
                  <c:v>979631.56740000006</c:v>
                </c:pt>
                <c:pt idx="2">
                  <c:v>1116892.5755999999</c:v>
                </c:pt>
                <c:pt idx="3">
                  <c:v>1133972.8724</c:v>
                </c:pt>
                <c:pt idx="4">
                  <c:v>1219657.267</c:v>
                </c:pt>
                <c:pt idx="5">
                  <c:v>1221369.6254999998</c:v>
                </c:pt>
                <c:pt idx="6">
                  <c:v>1361635.9380000001</c:v>
                </c:pt>
                <c:pt idx="7">
                  <c:v>1388058.0213000001</c:v>
                </c:pt>
                <c:pt idx="8">
                  <c:v>1336695.3533000001</c:v>
                </c:pt>
                <c:pt idx="9">
                  <c:v>1302601.9489</c:v>
                </c:pt>
                <c:pt idx="10">
                  <c:v>0</c:v>
                </c:pt>
                <c:pt idx="11">
                  <c:v>0</c:v>
                </c:pt>
              </c:numCache>
            </c:numRef>
          </c:val>
          <c:extLst>
            <c:ext xmlns:c16="http://schemas.microsoft.com/office/drawing/2014/chart" uri="{C3380CC4-5D6E-409C-BE32-E72D297353CC}">
              <c16:uniqueId val="{00000003-0440-481F-9E35-BE8B20954BD7}"/>
            </c:ext>
          </c:extLst>
        </c:ser>
        <c:dLbls>
          <c:showLegendKey val="0"/>
          <c:showVal val="0"/>
          <c:showCatName val="0"/>
          <c:showSerName val="0"/>
          <c:showPercent val="0"/>
          <c:showBubbleSize val="0"/>
        </c:dLbls>
        <c:gapWidth val="300"/>
        <c:overlap val="30"/>
        <c:axId val="143130496"/>
        <c:axId val="1"/>
      </c:barChart>
      <c:catAx>
        <c:axId val="143130496"/>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in val="35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3130496"/>
        <c:crosses val="autoZero"/>
        <c:crossBetween val="between"/>
        <c:majorUnit val="100000"/>
        <c:minorUnit val="10000"/>
        <c:dispUnits>
          <c:builtInUnit val="thousands"/>
        </c:dispUnits>
      </c:valAx>
      <c:spPr>
        <a:noFill/>
        <a:ln w="25400">
          <a:noFill/>
        </a:ln>
      </c:spPr>
    </c:plotArea>
    <c:legend>
      <c:legendPos val="r"/>
      <c:layout>
        <c:manualLayout>
          <c:xMode val="edge"/>
          <c:yMode val="edge"/>
          <c:wMode val="edge"/>
          <c:hMode val="edge"/>
          <c:x val="0.37160773483690318"/>
          <c:y val="0.90434873901631863"/>
          <c:w val="0.6764095145726825"/>
          <c:h val="0.98478352162501426"/>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oddHeader>&amp;C&amp;"Arial,Bold"Monthly follow-up of total service units 2012</c:oddHeader>
    </c:headerFooter>
    <c:pageMargins b="0.98425196850393704" l="0.74803149606299213" r="0.74803149606299213" t="0.98425196850393704" header="0.51181102362204722" footer="0.51181102362204722"/>
    <c:pageSetup paperSize="9" orientation="landscape" horizontalDpi="-3" verticalDpi="300"/>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MALTA CHARGING ZONE (LM)</a:t>
            </a:r>
          </a:p>
        </c:rich>
      </c:tx>
      <c:layout>
        <c:manualLayout>
          <c:xMode val="edge"/>
          <c:yMode val="edge"/>
          <c:x val="0.28744471766282881"/>
          <c:y val="3.0107651230421251E-2"/>
        </c:manualLayout>
      </c:layout>
      <c:overlay val="0"/>
      <c:spPr>
        <a:noFill/>
        <a:ln w="25400">
          <a:noFill/>
        </a:ln>
      </c:spPr>
    </c:title>
    <c:autoTitleDeleted val="0"/>
    <c:plotArea>
      <c:layout>
        <c:manualLayout>
          <c:layoutTarget val="inner"/>
          <c:xMode val="edge"/>
          <c:yMode val="edge"/>
          <c:x val="8.1920281876238718E-2"/>
          <c:y val="0.13585583119456182"/>
          <c:w val="0.90552741686853111"/>
          <c:h val="0.58813537048784992"/>
        </c:manualLayout>
      </c:layout>
      <c:barChart>
        <c:barDir val="col"/>
        <c:grouping val="clustered"/>
        <c:varyColors val="0"/>
        <c:ser>
          <c:idx val="2"/>
          <c:order val="0"/>
          <c:tx>
            <c:strRef>
              <c:f>malta_lm!$G$3</c:f>
              <c:strCache>
                <c:ptCount val="1"/>
                <c:pt idx="0">
                  <c:v>2014
Actual</c:v>
                </c:pt>
              </c:strCache>
            </c:strRef>
          </c:tx>
          <c:spPr>
            <a:solidFill>
              <a:srgbClr val="3366FF"/>
            </a:solidFill>
            <a:ln w="12700">
              <a:solidFill>
                <a:srgbClr val="3366FF"/>
              </a:solidFill>
              <a:prstDash val="solid"/>
            </a:ln>
          </c:spPr>
          <c:invertIfNegative val="0"/>
          <c:cat>
            <c:strRef>
              <c:f>malta_lm!$C$5:$C$16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malta_lm!$G$5:$G$16</c:f>
              <c:numCache>
                <c:formatCode>#,##0"  ";[Red]\-#,##0"  "</c:formatCode>
                <c:ptCount val="12"/>
                <c:pt idx="0">
                  <c:v>59904.073899999996</c:v>
                </c:pt>
                <c:pt idx="1">
                  <c:v>57367.597500000003</c:v>
                </c:pt>
                <c:pt idx="2">
                  <c:v>67890.440499999997</c:v>
                </c:pt>
                <c:pt idx="3">
                  <c:v>65391.3554</c:v>
                </c:pt>
                <c:pt idx="4">
                  <c:v>63718.285300000003</c:v>
                </c:pt>
                <c:pt idx="5">
                  <c:v>67532.837899999999</c:v>
                </c:pt>
                <c:pt idx="6">
                  <c:v>61264.327400000002</c:v>
                </c:pt>
                <c:pt idx="7">
                  <c:v>59719.448099999994</c:v>
                </c:pt>
                <c:pt idx="8">
                  <c:v>59195.1345</c:v>
                </c:pt>
                <c:pt idx="9">
                  <c:v>61071.669200000004</c:v>
                </c:pt>
                <c:pt idx="10">
                  <c:v>52578.888299999999</c:v>
                </c:pt>
                <c:pt idx="11">
                  <c:v>51741.169900000001</c:v>
                </c:pt>
              </c:numCache>
            </c:numRef>
          </c:val>
          <c:extLst>
            <c:ext xmlns:c16="http://schemas.microsoft.com/office/drawing/2014/chart" uri="{C3380CC4-5D6E-409C-BE32-E72D297353CC}">
              <c16:uniqueId val="{00000000-9F19-4BA1-AF51-B5C26433D628}"/>
            </c:ext>
          </c:extLst>
        </c:ser>
        <c:ser>
          <c:idx val="0"/>
          <c:order val="1"/>
          <c:tx>
            <c:strRef>
              <c:f>malta_lm!$F$3</c:f>
              <c:strCache>
                <c:ptCount val="1"/>
                <c:pt idx="0">
                  <c:v>2015
Actual</c:v>
                </c:pt>
              </c:strCache>
            </c:strRef>
          </c:tx>
          <c:spPr>
            <a:solidFill>
              <a:srgbClr val="666699"/>
            </a:solidFill>
            <a:ln w="12700">
              <a:solidFill>
                <a:srgbClr val="666699"/>
              </a:solidFill>
              <a:prstDash val="solid"/>
            </a:ln>
          </c:spPr>
          <c:invertIfNegative val="0"/>
          <c:val>
            <c:numRef>
              <c:f>malta_lm!$F$5:$F$16</c:f>
              <c:numCache>
                <c:formatCode>#,##0"  ";[Red]\-#,##0"  "</c:formatCode>
                <c:ptCount val="12"/>
                <c:pt idx="0">
                  <c:v>63688.5743</c:v>
                </c:pt>
                <c:pt idx="1">
                  <c:v>57323.074000000001</c:v>
                </c:pt>
                <c:pt idx="2">
                  <c:v>69173.546199999997</c:v>
                </c:pt>
                <c:pt idx="3">
                  <c:v>70880.083900000012</c:v>
                </c:pt>
                <c:pt idx="4">
                  <c:v>65942.936300000001</c:v>
                </c:pt>
                <c:pt idx="5">
                  <c:v>68159.356599999999</c:v>
                </c:pt>
                <c:pt idx="6">
                  <c:v>74579.228799999997</c:v>
                </c:pt>
                <c:pt idx="7">
                  <c:v>70446.195099999997</c:v>
                </c:pt>
                <c:pt idx="8">
                  <c:v>77613.414799999999</c:v>
                </c:pt>
                <c:pt idx="9">
                  <c:v>75677.200299999997</c:v>
                </c:pt>
                <c:pt idx="10">
                  <c:v>56656.0723</c:v>
                </c:pt>
                <c:pt idx="11">
                  <c:v>73204.722799999989</c:v>
                </c:pt>
              </c:numCache>
            </c:numRef>
          </c:val>
          <c:extLst>
            <c:ext xmlns:c16="http://schemas.microsoft.com/office/drawing/2014/chart" uri="{C3380CC4-5D6E-409C-BE32-E72D297353CC}">
              <c16:uniqueId val="{00000001-9F19-4BA1-AF51-B5C26433D628}"/>
            </c:ext>
          </c:extLst>
        </c:ser>
        <c:ser>
          <c:idx val="5"/>
          <c:order val="2"/>
          <c:tx>
            <c:strRef>
              <c:f>malta_lm!$E$3</c:f>
              <c:strCache>
                <c:ptCount val="1"/>
                <c:pt idx="0">
                  <c:v>2016 Unit
Rate Basis</c:v>
                </c:pt>
              </c:strCache>
            </c:strRef>
          </c:tx>
          <c:spPr>
            <a:solidFill>
              <a:srgbClr val="FF8080"/>
            </a:solidFill>
            <a:ln w="25400">
              <a:solidFill>
                <a:srgbClr val="DD0806"/>
              </a:solidFill>
              <a:prstDash val="lgDash"/>
            </a:ln>
          </c:spPr>
          <c:invertIfNegative val="0"/>
          <c:cat>
            <c:strRef>
              <c:f>malta_lm!$C$5:$C$16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malta_lm!$E$5:$E$16</c:f>
              <c:numCache>
                <c:formatCode>#,##0"  ";[Red]\-#,##0"  "</c:formatCode>
                <c:ptCount val="12"/>
                <c:pt idx="0">
                  <c:v>48036.525639699212</c:v>
                </c:pt>
                <c:pt idx="1">
                  <c:v>43235.405160378585</c:v>
                </c:pt>
                <c:pt idx="2">
                  <c:v>52173.515613226991</c:v>
                </c:pt>
                <c:pt idx="3">
                  <c:v>53460.656091439334</c:v>
                </c:pt>
                <c:pt idx="4">
                  <c:v>49736.857594125824</c:v>
                </c:pt>
                <c:pt idx="5">
                  <c:v>51408.57236776458</c:v>
                </c:pt>
                <c:pt idx="6">
                  <c:v>56250.702356202579</c:v>
                </c:pt>
                <c:pt idx="7">
                  <c:v>53133.399425780561</c:v>
                </c:pt>
                <c:pt idx="8">
                  <c:v>58539.209442231295</c:v>
                </c:pt>
                <c:pt idx="9">
                  <c:v>57078.837334746277</c:v>
                </c:pt>
                <c:pt idx="10">
                  <c:v>42732.325218396392</c:v>
                </c:pt>
                <c:pt idx="11">
                  <c:v>55213.993756008334</c:v>
                </c:pt>
              </c:numCache>
            </c:numRef>
          </c:val>
          <c:extLst>
            <c:ext xmlns:c16="http://schemas.microsoft.com/office/drawing/2014/chart" uri="{C3380CC4-5D6E-409C-BE32-E72D297353CC}">
              <c16:uniqueId val="{00000002-9F19-4BA1-AF51-B5C26433D628}"/>
            </c:ext>
          </c:extLst>
        </c:ser>
        <c:ser>
          <c:idx val="1"/>
          <c:order val="3"/>
          <c:tx>
            <c:strRef>
              <c:f>malta_lm!$D$3</c:f>
              <c:strCache>
                <c:ptCount val="1"/>
                <c:pt idx="0">
                  <c:v>2016
Actual</c:v>
                </c:pt>
              </c:strCache>
            </c:strRef>
          </c:tx>
          <c:spPr>
            <a:solidFill>
              <a:srgbClr val="993366"/>
            </a:solidFill>
            <a:ln w="38100">
              <a:solidFill>
                <a:srgbClr val="993300"/>
              </a:solidFill>
              <a:prstDash val="solid"/>
            </a:ln>
          </c:spPr>
          <c:invertIfNegative val="0"/>
          <c:cat>
            <c:strRef>
              <c:f>malta_lm!$C$5:$C$16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malta_lm!$D$5:$D$16</c:f>
              <c:numCache>
                <c:formatCode>#,##0</c:formatCode>
                <c:ptCount val="12"/>
                <c:pt idx="0">
                  <c:v>74418.091700000004</c:v>
                </c:pt>
                <c:pt idx="1">
                  <c:v>68447.967499999999</c:v>
                </c:pt>
                <c:pt idx="2">
                  <c:v>83837.774400000009</c:v>
                </c:pt>
                <c:pt idx="3">
                  <c:v>84389.489600000001</c:v>
                </c:pt>
                <c:pt idx="4">
                  <c:v>82914.271999999997</c:v>
                </c:pt>
                <c:pt idx="5">
                  <c:v>81626.080199999997</c:v>
                </c:pt>
                <c:pt idx="6">
                  <c:v>80203.722099999999</c:v>
                </c:pt>
                <c:pt idx="7">
                  <c:v>75974.2932</c:v>
                </c:pt>
                <c:pt idx="8">
                  <c:v>75322.769899999999</c:v>
                </c:pt>
                <c:pt idx="9">
                  <c:v>64228.388200000001</c:v>
                </c:pt>
                <c:pt idx="10">
                  <c:v>0</c:v>
                </c:pt>
                <c:pt idx="11">
                  <c:v>0</c:v>
                </c:pt>
              </c:numCache>
            </c:numRef>
          </c:val>
          <c:extLst>
            <c:ext xmlns:c16="http://schemas.microsoft.com/office/drawing/2014/chart" uri="{C3380CC4-5D6E-409C-BE32-E72D297353CC}">
              <c16:uniqueId val="{00000003-9F19-4BA1-AF51-B5C26433D628}"/>
            </c:ext>
          </c:extLst>
        </c:ser>
        <c:dLbls>
          <c:showLegendKey val="0"/>
          <c:showVal val="0"/>
          <c:showCatName val="0"/>
          <c:showSerName val="0"/>
          <c:showPercent val="0"/>
          <c:showBubbleSize val="0"/>
        </c:dLbls>
        <c:gapWidth val="300"/>
        <c:overlap val="30"/>
        <c:axId val="142381944"/>
        <c:axId val="1"/>
      </c:barChart>
      <c:catAx>
        <c:axId val="142381944"/>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90000"/>
          <c:min val="2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2381944"/>
        <c:crosses val="autoZero"/>
        <c:crossBetween val="between"/>
        <c:majorUnit val="5000"/>
        <c:minorUnit val="1000"/>
        <c:dispUnits>
          <c:builtInUnit val="thousands"/>
        </c:dispUnits>
      </c:valAx>
      <c:spPr>
        <a:noFill/>
        <a:ln w="25400">
          <a:noFill/>
        </a:ln>
      </c:spPr>
    </c:plotArea>
    <c:legend>
      <c:legendPos val="r"/>
      <c:layout>
        <c:manualLayout>
          <c:xMode val="edge"/>
          <c:yMode val="edge"/>
          <c:wMode val="edge"/>
          <c:hMode val="edge"/>
          <c:x val="0.37091319052987598"/>
          <c:y val="0.90064885517819993"/>
          <c:w val="0.67869222096956028"/>
          <c:h val="0.98056246208964704"/>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oddHeader>&amp;C&amp;"Arial,Bold"Monthly follow-uo of total service units - 2012</c:oddHeader>
      <c:oddFooter>&amp;LCRCO - Unit R1&amp;C&amp;F&amp;R&amp;A</c:oddFooter>
    </c:headerFooter>
    <c:pageMargins b="0.98425196850393704" l="0.74803149606299213" r="0.74803149606299213" t="0.98425196850393704" header="0.51181102362204722" footer="0.51181102362204722"/>
    <c:pageSetup paperSize="9" orientation="landscape" horizontalDpi="-3" verticalDpi="300"/>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ITALY CHARGING ZONE (LI)</a:t>
            </a:r>
          </a:p>
        </c:rich>
      </c:tx>
      <c:layout>
        <c:manualLayout>
          <c:xMode val="edge"/>
          <c:yMode val="edge"/>
          <c:x val="0.29560446165603349"/>
          <c:y val="3.0107414987223514E-2"/>
        </c:manualLayout>
      </c:layout>
      <c:overlay val="0"/>
      <c:spPr>
        <a:noFill/>
        <a:ln w="25400">
          <a:noFill/>
        </a:ln>
      </c:spPr>
    </c:title>
    <c:autoTitleDeleted val="0"/>
    <c:plotArea>
      <c:layout>
        <c:manualLayout>
          <c:layoutTarget val="inner"/>
          <c:xMode val="edge"/>
          <c:yMode val="edge"/>
          <c:x val="0.10195566884535426"/>
          <c:y val="0.13757552526031577"/>
          <c:w val="0.8842017487795375"/>
          <c:h val="0.58641567642209602"/>
        </c:manualLayout>
      </c:layout>
      <c:barChart>
        <c:barDir val="col"/>
        <c:grouping val="clustered"/>
        <c:varyColors val="0"/>
        <c:ser>
          <c:idx val="2"/>
          <c:order val="0"/>
          <c:tx>
            <c:strRef>
              <c:f>italy_li!$G$3</c:f>
              <c:strCache>
                <c:ptCount val="1"/>
                <c:pt idx="0">
                  <c:v>2014
Actual</c:v>
                </c:pt>
              </c:strCache>
            </c:strRef>
          </c:tx>
          <c:spPr>
            <a:solidFill>
              <a:srgbClr val="3366FF"/>
            </a:solidFill>
            <a:ln w="12700">
              <a:solidFill>
                <a:srgbClr val="3366FF"/>
              </a:solidFill>
              <a:prstDash val="solid"/>
            </a:ln>
          </c:spPr>
          <c:invertIfNegative val="0"/>
          <c:cat>
            <c:strRef>
              <c:f>italy_li!$C$5:$C$16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italy_li!$G$5:$G$16</c:f>
              <c:numCache>
                <c:formatCode>#,##0"  ";[Red]\-#,##0"  "</c:formatCode>
                <c:ptCount val="12"/>
                <c:pt idx="0">
                  <c:v>529974.00400000007</c:v>
                </c:pt>
                <c:pt idx="1">
                  <c:v>479912.89319999999</c:v>
                </c:pt>
                <c:pt idx="2">
                  <c:v>571955.92440000002</c:v>
                </c:pt>
                <c:pt idx="3">
                  <c:v>673542.14199999999</c:v>
                </c:pt>
                <c:pt idx="4">
                  <c:v>767842.9611999999</c:v>
                </c:pt>
                <c:pt idx="5">
                  <c:v>836747.39139999996</c:v>
                </c:pt>
                <c:pt idx="6">
                  <c:v>920812.73090000008</c:v>
                </c:pt>
                <c:pt idx="7">
                  <c:v>954476.53830000001</c:v>
                </c:pt>
                <c:pt idx="8">
                  <c:v>817213.9351</c:v>
                </c:pt>
                <c:pt idx="9">
                  <c:v>709266.36300000001</c:v>
                </c:pt>
                <c:pt idx="10">
                  <c:v>530391.14500000002</c:v>
                </c:pt>
                <c:pt idx="11">
                  <c:v>521409.54</c:v>
                </c:pt>
              </c:numCache>
            </c:numRef>
          </c:val>
          <c:extLst>
            <c:ext xmlns:c16="http://schemas.microsoft.com/office/drawing/2014/chart" uri="{C3380CC4-5D6E-409C-BE32-E72D297353CC}">
              <c16:uniqueId val="{00000000-C73D-4EEC-8CCE-62C80749E7AD}"/>
            </c:ext>
          </c:extLst>
        </c:ser>
        <c:ser>
          <c:idx val="0"/>
          <c:order val="1"/>
          <c:tx>
            <c:strRef>
              <c:f>italy_li!$F$3</c:f>
              <c:strCache>
                <c:ptCount val="1"/>
                <c:pt idx="0">
                  <c:v>2015
Actual</c:v>
                </c:pt>
              </c:strCache>
            </c:strRef>
          </c:tx>
          <c:spPr>
            <a:solidFill>
              <a:srgbClr val="666699"/>
            </a:solidFill>
            <a:ln w="12700">
              <a:solidFill>
                <a:srgbClr val="666699"/>
              </a:solidFill>
              <a:prstDash val="solid"/>
            </a:ln>
          </c:spPr>
          <c:invertIfNegative val="0"/>
          <c:val>
            <c:numRef>
              <c:f>italy_li!$F$5:$F$16</c:f>
              <c:numCache>
                <c:formatCode>#,##0"  ";[Red]\-#,##0"  "</c:formatCode>
                <c:ptCount val="12"/>
                <c:pt idx="0">
                  <c:v>519745.84289999999</c:v>
                </c:pt>
                <c:pt idx="1">
                  <c:v>473081.02159999998</c:v>
                </c:pt>
                <c:pt idx="2">
                  <c:v>556671.86400000006</c:v>
                </c:pt>
                <c:pt idx="3">
                  <c:v>665046.23790000007</c:v>
                </c:pt>
                <c:pt idx="4">
                  <c:v>748916.70409999997</c:v>
                </c:pt>
                <c:pt idx="5">
                  <c:v>795283.58600000001</c:v>
                </c:pt>
                <c:pt idx="6">
                  <c:v>892656.07830000005</c:v>
                </c:pt>
                <c:pt idx="7">
                  <c:v>915132.39720000001</c:v>
                </c:pt>
                <c:pt idx="8">
                  <c:v>794616.73589999997</c:v>
                </c:pt>
                <c:pt idx="9">
                  <c:v>714809.46050000004</c:v>
                </c:pt>
                <c:pt idx="10">
                  <c:v>542443.89100000006</c:v>
                </c:pt>
                <c:pt idx="11">
                  <c:v>553104.94170000008</c:v>
                </c:pt>
              </c:numCache>
            </c:numRef>
          </c:val>
          <c:extLst>
            <c:ext xmlns:c16="http://schemas.microsoft.com/office/drawing/2014/chart" uri="{C3380CC4-5D6E-409C-BE32-E72D297353CC}">
              <c16:uniqueId val="{00000001-C73D-4EEC-8CCE-62C80749E7AD}"/>
            </c:ext>
          </c:extLst>
        </c:ser>
        <c:ser>
          <c:idx val="5"/>
          <c:order val="2"/>
          <c:tx>
            <c:strRef>
              <c:f>italy_li!$E$3</c:f>
              <c:strCache>
                <c:ptCount val="1"/>
                <c:pt idx="0">
                  <c:v>2016 Unit
Rate Basis</c:v>
                </c:pt>
              </c:strCache>
            </c:strRef>
          </c:tx>
          <c:spPr>
            <a:solidFill>
              <a:srgbClr val="FF8080"/>
            </a:solidFill>
            <a:ln w="25400">
              <a:solidFill>
                <a:srgbClr val="DD0806"/>
              </a:solidFill>
              <a:prstDash val="lgDash"/>
            </a:ln>
          </c:spPr>
          <c:invertIfNegative val="0"/>
          <c:cat>
            <c:strRef>
              <c:f>italy_li!$C$5:$C$16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italy_li!$E$5:$E$16</c:f>
              <c:numCache>
                <c:formatCode>#,##0"  ";[Red]\-#,##0"  "</c:formatCode>
                <c:ptCount val="12"/>
                <c:pt idx="0">
                  <c:v>563921.91794649628</c:v>
                </c:pt>
                <c:pt idx="1">
                  <c:v>513290.79527835472</c:v>
                </c:pt>
                <c:pt idx="2">
                  <c:v>603986.48589889705</c:v>
                </c:pt>
                <c:pt idx="3">
                  <c:v>721572.19749389531</c:v>
                </c:pt>
                <c:pt idx="4">
                  <c:v>812571.27868841414</c:v>
                </c:pt>
                <c:pt idx="5">
                  <c:v>862879.13843839103</c:v>
                </c:pt>
                <c:pt idx="6">
                  <c:v>968527.85764057876</c:v>
                </c:pt>
                <c:pt idx="7">
                  <c:v>992914.56324988895</c:v>
                </c:pt>
                <c:pt idx="8">
                  <c:v>862155.60905857605</c:v>
                </c:pt>
                <c:pt idx="9">
                  <c:v>775565.0717326022</c:v>
                </c:pt>
                <c:pt idx="10">
                  <c:v>588549.19874738681</c:v>
                </c:pt>
                <c:pt idx="11">
                  <c:v>600116.39113612054</c:v>
                </c:pt>
              </c:numCache>
            </c:numRef>
          </c:val>
          <c:extLst>
            <c:ext xmlns:c16="http://schemas.microsoft.com/office/drawing/2014/chart" uri="{C3380CC4-5D6E-409C-BE32-E72D297353CC}">
              <c16:uniqueId val="{00000002-C73D-4EEC-8CCE-62C80749E7AD}"/>
            </c:ext>
          </c:extLst>
        </c:ser>
        <c:ser>
          <c:idx val="1"/>
          <c:order val="3"/>
          <c:tx>
            <c:strRef>
              <c:f>italy_li!$D$3</c:f>
              <c:strCache>
                <c:ptCount val="1"/>
                <c:pt idx="0">
                  <c:v>2016
Actual</c:v>
                </c:pt>
              </c:strCache>
            </c:strRef>
          </c:tx>
          <c:spPr>
            <a:solidFill>
              <a:srgbClr val="993366"/>
            </a:solidFill>
            <a:ln w="38100">
              <a:solidFill>
                <a:srgbClr val="993300"/>
              </a:solidFill>
              <a:prstDash val="solid"/>
            </a:ln>
          </c:spPr>
          <c:invertIfNegative val="0"/>
          <c:cat>
            <c:strRef>
              <c:f>italy_li!$C$5:$C$16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italy_li!$D$5:$D$16</c:f>
              <c:numCache>
                <c:formatCode>#,##0</c:formatCode>
                <c:ptCount val="12"/>
                <c:pt idx="0">
                  <c:v>518276.5943</c:v>
                </c:pt>
                <c:pt idx="1">
                  <c:v>491569.50260000001</c:v>
                </c:pt>
                <c:pt idx="2">
                  <c:v>577636.52020000003</c:v>
                </c:pt>
                <c:pt idx="3">
                  <c:v>645303.88809999998</c:v>
                </c:pt>
                <c:pt idx="4">
                  <c:v>750385.53389999992</c:v>
                </c:pt>
                <c:pt idx="5">
                  <c:v>801875.15369999991</c:v>
                </c:pt>
                <c:pt idx="6">
                  <c:v>938542.29759999993</c:v>
                </c:pt>
                <c:pt idx="7">
                  <c:v>932658.07120000001</c:v>
                </c:pt>
                <c:pt idx="8">
                  <c:v>833467.23270000005</c:v>
                </c:pt>
                <c:pt idx="9">
                  <c:v>731572.45340000011</c:v>
                </c:pt>
                <c:pt idx="10">
                  <c:v>0</c:v>
                </c:pt>
                <c:pt idx="11">
                  <c:v>0</c:v>
                </c:pt>
              </c:numCache>
            </c:numRef>
          </c:val>
          <c:extLst>
            <c:ext xmlns:c16="http://schemas.microsoft.com/office/drawing/2014/chart" uri="{C3380CC4-5D6E-409C-BE32-E72D297353CC}">
              <c16:uniqueId val="{00000003-C73D-4EEC-8CCE-62C80749E7AD}"/>
            </c:ext>
          </c:extLst>
        </c:ser>
        <c:dLbls>
          <c:showLegendKey val="0"/>
          <c:showVal val="0"/>
          <c:showCatName val="0"/>
          <c:showSerName val="0"/>
          <c:showPercent val="0"/>
          <c:showBubbleSize val="0"/>
        </c:dLbls>
        <c:gapWidth val="300"/>
        <c:overlap val="30"/>
        <c:axId val="121533712"/>
        <c:axId val="1"/>
      </c:barChart>
      <c:catAx>
        <c:axId val="121533712"/>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1100000"/>
          <c:min val="45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21533712"/>
        <c:crosses val="autoZero"/>
        <c:crossBetween val="between"/>
        <c:majorUnit val="50000"/>
        <c:minorUnit val="10000"/>
        <c:dispUnits>
          <c:builtInUnit val="thousands"/>
        </c:dispUnits>
      </c:valAx>
      <c:spPr>
        <a:noFill/>
        <a:ln w="25400">
          <a:noFill/>
        </a:ln>
      </c:spPr>
    </c:plotArea>
    <c:legend>
      <c:legendPos val="r"/>
      <c:layout>
        <c:manualLayout>
          <c:xMode val="edge"/>
          <c:yMode val="edge"/>
          <c:wMode val="edge"/>
          <c:hMode val="edge"/>
          <c:x val="0.37840785169029445"/>
          <c:y val="0.90748991177864879"/>
          <c:w val="0.68702290076335881"/>
          <c:h val="0.98678506596367077"/>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CYPRUS CHARGING ZONE (LC)</a:t>
            </a:r>
          </a:p>
        </c:rich>
      </c:tx>
      <c:layout>
        <c:manualLayout>
          <c:xMode val="edge"/>
          <c:yMode val="edge"/>
          <c:x val="0.28776175255320807"/>
          <c:y val="3.0303320780554602E-2"/>
        </c:manualLayout>
      </c:layout>
      <c:overlay val="0"/>
      <c:spPr>
        <a:noFill/>
        <a:ln w="25400">
          <a:noFill/>
        </a:ln>
      </c:spPr>
    </c:title>
    <c:autoTitleDeleted val="0"/>
    <c:plotArea>
      <c:layout>
        <c:manualLayout>
          <c:layoutTarget val="inner"/>
          <c:xMode val="edge"/>
          <c:yMode val="edge"/>
          <c:x val="9.5052638715363527E-2"/>
          <c:y val="0.11567646992843843"/>
          <c:w val="0.89506221014340259"/>
          <c:h val="0.58502936243560533"/>
        </c:manualLayout>
      </c:layout>
      <c:barChart>
        <c:barDir val="col"/>
        <c:grouping val="clustered"/>
        <c:varyColors val="0"/>
        <c:ser>
          <c:idx val="2"/>
          <c:order val="0"/>
          <c:tx>
            <c:strRef>
              <c:f>cyprus_lc!$G$3</c:f>
              <c:strCache>
                <c:ptCount val="1"/>
                <c:pt idx="0">
                  <c:v>2014
Actual</c:v>
                </c:pt>
              </c:strCache>
            </c:strRef>
          </c:tx>
          <c:spPr>
            <a:solidFill>
              <a:srgbClr val="3366FF"/>
            </a:solidFill>
            <a:ln w="12700">
              <a:solidFill>
                <a:srgbClr val="3366FF"/>
              </a:solidFill>
              <a:prstDash val="solid"/>
            </a:ln>
          </c:spPr>
          <c:invertIfNegative val="0"/>
          <c:cat>
            <c:strRef>
              <c:f>cyprus_lc!$C$5:$C$16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cyprus_lc!$G$5:$G$16</c:f>
              <c:numCache>
                <c:formatCode>#,##0"  ";[Red]\-#,##0"  "</c:formatCode>
                <c:ptCount val="12"/>
                <c:pt idx="0">
                  <c:v>97245.752700000012</c:v>
                </c:pt>
                <c:pt idx="1">
                  <c:v>87249.159499999994</c:v>
                </c:pt>
                <c:pt idx="2">
                  <c:v>103430.44399999999</c:v>
                </c:pt>
                <c:pt idx="3">
                  <c:v>117978.21519999999</c:v>
                </c:pt>
                <c:pt idx="4">
                  <c:v>126753.9908</c:v>
                </c:pt>
                <c:pt idx="5">
                  <c:v>132207.85690000001</c:v>
                </c:pt>
                <c:pt idx="6">
                  <c:v>136535.67680000002</c:v>
                </c:pt>
                <c:pt idx="7">
                  <c:v>147308.45979999998</c:v>
                </c:pt>
                <c:pt idx="8">
                  <c:v>136257.28509999998</c:v>
                </c:pt>
                <c:pt idx="9">
                  <c:v>145622.0098</c:v>
                </c:pt>
                <c:pt idx="10">
                  <c:v>115893.6952</c:v>
                </c:pt>
                <c:pt idx="11">
                  <c:v>107741.11240000001</c:v>
                </c:pt>
              </c:numCache>
            </c:numRef>
          </c:val>
          <c:extLst>
            <c:ext xmlns:c16="http://schemas.microsoft.com/office/drawing/2014/chart" uri="{C3380CC4-5D6E-409C-BE32-E72D297353CC}">
              <c16:uniqueId val="{00000000-C03C-45C9-9989-039337A9D895}"/>
            </c:ext>
          </c:extLst>
        </c:ser>
        <c:ser>
          <c:idx val="0"/>
          <c:order val="1"/>
          <c:tx>
            <c:strRef>
              <c:f>cyprus_lc!$F$3</c:f>
              <c:strCache>
                <c:ptCount val="1"/>
                <c:pt idx="0">
                  <c:v>2015
Actual</c:v>
                </c:pt>
              </c:strCache>
            </c:strRef>
          </c:tx>
          <c:spPr>
            <a:solidFill>
              <a:srgbClr val="666699"/>
            </a:solidFill>
            <a:ln w="12700">
              <a:solidFill>
                <a:srgbClr val="666699"/>
              </a:solidFill>
              <a:prstDash val="solid"/>
            </a:ln>
          </c:spPr>
          <c:invertIfNegative val="0"/>
          <c:val>
            <c:numRef>
              <c:f>cyprus_lc!$F$5:$F$16</c:f>
              <c:numCache>
                <c:formatCode>#,##0"  ";[Red]\-#,##0"  "</c:formatCode>
                <c:ptCount val="12"/>
                <c:pt idx="0">
                  <c:v>111814.9195</c:v>
                </c:pt>
                <c:pt idx="1">
                  <c:v>98875.894499999995</c:v>
                </c:pt>
                <c:pt idx="2">
                  <c:v>120707.44780000001</c:v>
                </c:pt>
                <c:pt idx="3">
                  <c:v>128895.01519999999</c:v>
                </c:pt>
                <c:pt idx="4">
                  <c:v>131461.06630000001</c:v>
                </c:pt>
                <c:pt idx="5">
                  <c:v>130896.77</c:v>
                </c:pt>
                <c:pt idx="6">
                  <c:v>156236.36800000002</c:v>
                </c:pt>
                <c:pt idx="7">
                  <c:v>164660.45139999999</c:v>
                </c:pt>
                <c:pt idx="8">
                  <c:v>145384.38859999998</c:v>
                </c:pt>
                <c:pt idx="9">
                  <c:v>143042.63259999998</c:v>
                </c:pt>
                <c:pt idx="10">
                  <c:v>106507.1312</c:v>
                </c:pt>
                <c:pt idx="11">
                  <c:v>109164.2752</c:v>
                </c:pt>
              </c:numCache>
            </c:numRef>
          </c:val>
          <c:extLst>
            <c:ext xmlns:c16="http://schemas.microsoft.com/office/drawing/2014/chart" uri="{C3380CC4-5D6E-409C-BE32-E72D297353CC}">
              <c16:uniqueId val="{00000001-C03C-45C9-9989-039337A9D895}"/>
            </c:ext>
          </c:extLst>
        </c:ser>
        <c:ser>
          <c:idx val="5"/>
          <c:order val="2"/>
          <c:tx>
            <c:strRef>
              <c:f>cyprus_lc!$E$3</c:f>
              <c:strCache>
                <c:ptCount val="1"/>
                <c:pt idx="0">
                  <c:v>2016 Unit
Rate Basis</c:v>
                </c:pt>
              </c:strCache>
            </c:strRef>
          </c:tx>
          <c:spPr>
            <a:solidFill>
              <a:srgbClr val="FF8080"/>
            </a:solidFill>
            <a:ln w="25400">
              <a:solidFill>
                <a:srgbClr val="DD0806"/>
              </a:solidFill>
              <a:prstDash val="lgDash"/>
            </a:ln>
          </c:spPr>
          <c:invertIfNegative val="0"/>
          <c:cat>
            <c:strRef>
              <c:f>cyprus_lc!$C$5:$C$16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cyprus_lc!$E$5:$E$16</c:f>
              <c:numCache>
                <c:formatCode>#,##0"  ";[Red]\-#,##0"  "</c:formatCode>
                <c:ptCount val="12"/>
                <c:pt idx="0">
                  <c:v>103009.74431394388</c:v>
                </c:pt>
                <c:pt idx="1">
                  <c:v>91089.638635007839</c:v>
                </c:pt>
                <c:pt idx="2">
                  <c:v>111202.00587066315</c:v>
                </c:pt>
                <c:pt idx="3">
                  <c:v>118744.82062381586</c:v>
                </c:pt>
                <c:pt idx="4">
                  <c:v>121108.80093064348</c:v>
                </c:pt>
                <c:pt idx="5">
                  <c:v>120588.94170398363</c:v>
                </c:pt>
                <c:pt idx="6">
                  <c:v>143933.10295429087</c:v>
                </c:pt>
                <c:pt idx="7">
                  <c:v>151693.80860067232</c:v>
                </c:pt>
                <c:pt idx="8">
                  <c:v>133935.69269550883</c:v>
                </c:pt>
                <c:pt idx="9">
                  <c:v>131778.34475049112</c:v>
                </c:pt>
                <c:pt idx="10">
                  <c:v>98119.932488290855</c:v>
                </c:pt>
                <c:pt idx="11">
                  <c:v>100567.83233268801</c:v>
                </c:pt>
              </c:numCache>
            </c:numRef>
          </c:val>
          <c:extLst>
            <c:ext xmlns:c16="http://schemas.microsoft.com/office/drawing/2014/chart" uri="{C3380CC4-5D6E-409C-BE32-E72D297353CC}">
              <c16:uniqueId val="{00000002-C03C-45C9-9989-039337A9D895}"/>
            </c:ext>
          </c:extLst>
        </c:ser>
        <c:ser>
          <c:idx val="1"/>
          <c:order val="3"/>
          <c:tx>
            <c:strRef>
              <c:f>cyprus_lc!$D$3</c:f>
              <c:strCache>
                <c:ptCount val="1"/>
                <c:pt idx="0">
                  <c:v>2016
Actual</c:v>
                </c:pt>
              </c:strCache>
            </c:strRef>
          </c:tx>
          <c:spPr>
            <a:solidFill>
              <a:srgbClr val="993366"/>
            </a:solidFill>
            <a:ln w="38100">
              <a:solidFill>
                <a:srgbClr val="993300"/>
              </a:solidFill>
              <a:prstDash val="solid"/>
            </a:ln>
          </c:spPr>
          <c:invertIfNegative val="0"/>
          <c:cat>
            <c:strRef>
              <c:f>cyprus_lc!$C$5:$C$16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cyprus_lc!$D$5:$D$16</c:f>
              <c:numCache>
                <c:formatCode>#,##0</c:formatCode>
                <c:ptCount val="12"/>
                <c:pt idx="0">
                  <c:v>106974.7951</c:v>
                </c:pt>
                <c:pt idx="1">
                  <c:v>100575.0573</c:v>
                </c:pt>
                <c:pt idx="2">
                  <c:v>114362.94750000001</c:v>
                </c:pt>
                <c:pt idx="3">
                  <c:v>121637.1905</c:v>
                </c:pt>
                <c:pt idx="4">
                  <c:v>131410.03020000001</c:v>
                </c:pt>
                <c:pt idx="5">
                  <c:v>129421.8787</c:v>
                </c:pt>
                <c:pt idx="6">
                  <c:v>156655.7231</c:v>
                </c:pt>
                <c:pt idx="7">
                  <c:v>160766.90010000003</c:v>
                </c:pt>
                <c:pt idx="8">
                  <c:v>149817.5698</c:v>
                </c:pt>
                <c:pt idx="9">
                  <c:v>135570.78099999999</c:v>
                </c:pt>
                <c:pt idx="10">
                  <c:v>0</c:v>
                </c:pt>
                <c:pt idx="11">
                  <c:v>0</c:v>
                </c:pt>
              </c:numCache>
            </c:numRef>
          </c:val>
          <c:extLst>
            <c:ext xmlns:c16="http://schemas.microsoft.com/office/drawing/2014/chart" uri="{C3380CC4-5D6E-409C-BE32-E72D297353CC}">
              <c16:uniqueId val="{00000003-C03C-45C9-9989-039337A9D895}"/>
            </c:ext>
          </c:extLst>
        </c:ser>
        <c:dLbls>
          <c:showLegendKey val="0"/>
          <c:showVal val="0"/>
          <c:showCatName val="0"/>
          <c:showSerName val="0"/>
          <c:showPercent val="0"/>
          <c:showBubbleSize val="0"/>
        </c:dLbls>
        <c:gapWidth val="300"/>
        <c:overlap val="30"/>
        <c:axId val="140981336"/>
        <c:axId val="1"/>
      </c:barChart>
      <c:catAx>
        <c:axId val="140981336"/>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170000"/>
          <c:min val="5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0981336"/>
        <c:crosses val="autoZero"/>
        <c:crossBetween val="between"/>
        <c:majorUnit val="10000"/>
        <c:minorUnit val="1000"/>
        <c:dispUnits>
          <c:builtInUnit val="thousands"/>
        </c:dispUnits>
      </c:valAx>
      <c:spPr>
        <a:noFill/>
        <a:ln w="25400">
          <a:noFill/>
        </a:ln>
      </c:spPr>
    </c:plotArea>
    <c:legend>
      <c:legendPos val="r"/>
      <c:layout>
        <c:manualLayout>
          <c:xMode val="edge"/>
          <c:yMode val="edge"/>
          <c:wMode val="edge"/>
          <c:hMode val="edge"/>
          <c:x val="0.36523687014370726"/>
          <c:y val="0.90000091292936202"/>
          <c:w val="0.67216790970435625"/>
          <c:h val="0.98043569553805765"/>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HUNGARY CHARGING ZONE (LH)</a:t>
            </a:r>
          </a:p>
        </c:rich>
      </c:tx>
      <c:layout>
        <c:manualLayout>
          <c:xMode val="edge"/>
          <c:yMode val="edge"/>
          <c:x val="0.28017754800088435"/>
          <c:y val="3.0107651230421251E-2"/>
        </c:manualLayout>
      </c:layout>
      <c:overlay val="0"/>
      <c:spPr>
        <a:noFill/>
        <a:ln w="25400">
          <a:noFill/>
        </a:ln>
      </c:spPr>
    </c:title>
    <c:autoTitleDeleted val="0"/>
    <c:plotArea>
      <c:layout>
        <c:manualLayout>
          <c:layoutTarget val="inner"/>
          <c:xMode val="edge"/>
          <c:yMode val="edge"/>
          <c:x val="9.2117017225448017E-2"/>
          <c:y val="0.13757552526031577"/>
          <c:w val="0.895483696297384"/>
          <c:h val="0.58641567642209602"/>
        </c:manualLayout>
      </c:layout>
      <c:barChart>
        <c:barDir val="col"/>
        <c:grouping val="clustered"/>
        <c:varyColors val="0"/>
        <c:ser>
          <c:idx val="2"/>
          <c:order val="0"/>
          <c:tx>
            <c:strRef>
              <c:f>hungary_lh!$G$3</c:f>
              <c:strCache>
                <c:ptCount val="1"/>
                <c:pt idx="0">
                  <c:v>2014
Actual</c:v>
                </c:pt>
              </c:strCache>
            </c:strRef>
          </c:tx>
          <c:spPr>
            <a:solidFill>
              <a:srgbClr val="3366FF"/>
            </a:solidFill>
            <a:ln w="12700">
              <a:solidFill>
                <a:srgbClr val="3366FF"/>
              </a:solidFill>
              <a:prstDash val="solid"/>
            </a:ln>
          </c:spPr>
          <c:invertIfNegative val="0"/>
          <c:cat>
            <c:strRef>
              <c:f>hungary_lh!$C$5:$C$16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hungary_lh!$G$5:$G$16</c:f>
              <c:numCache>
                <c:formatCode>#,##0"  ";[Red]\-#,##0"  "</c:formatCode>
                <c:ptCount val="12"/>
                <c:pt idx="0">
                  <c:v>147660.52889999998</c:v>
                </c:pt>
                <c:pt idx="1">
                  <c:v>134213.77680000002</c:v>
                </c:pt>
                <c:pt idx="2">
                  <c:v>153986.0741</c:v>
                </c:pt>
                <c:pt idx="3">
                  <c:v>175015.76420000001</c:v>
                </c:pt>
                <c:pt idx="4">
                  <c:v>198212.62779999999</c:v>
                </c:pt>
                <c:pt idx="5">
                  <c:v>219518.4749</c:v>
                </c:pt>
                <c:pt idx="6">
                  <c:v>257857.76179999998</c:v>
                </c:pt>
                <c:pt idx="7">
                  <c:v>276698.10270000005</c:v>
                </c:pt>
                <c:pt idx="8">
                  <c:v>252926.49789999999</c:v>
                </c:pt>
                <c:pt idx="9">
                  <c:v>228112.27260000003</c:v>
                </c:pt>
                <c:pt idx="10">
                  <c:v>186199.93309999999</c:v>
                </c:pt>
                <c:pt idx="11">
                  <c:v>175751.48740000001</c:v>
                </c:pt>
              </c:numCache>
            </c:numRef>
          </c:val>
          <c:extLst>
            <c:ext xmlns:c16="http://schemas.microsoft.com/office/drawing/2014/chart" uri="{C3380CC4-5D6E-409C-BE32-E72D297353CC}">
              <c16:uniqueId val="{00000000-FD66-46E0-AAFA-0F7085E42C4B}"/>
            </c:ext>
          </c:extLst>
        </c:ser>
        <c:ser>
          <c:idx val="0"/>
          <c:order val="1"/>
          <c:tx>
            <c:strRef>
              <c:f>hungary_lh!$F$3</c:f>
              <c:strCache>
                <c:ptCount val="1"/>
                <c:pt idx="0">
                  <c:v>2015
Actual</c:v>
                </c:pt>
              </c:strCache>
            </c:strRef>
          </c:tx>
          <c:spPr>
            <a:solidFill>
              <a:srgbClr val="666699"/>
            </a:solidFill>
            <a:ln w="12700">
              <a:solidFill>
                <a:srgbClr val="666699"/>
              </a:solidFill>
              <a:prstDash val="solid"/>
            </a:ln>
          </c:spPr>
          <c:invertIfNegative val="0"/>
          <c:val>
            <c:numRef>
              <c:f>hungary_lh!$F$5:$F$16</c:f>
              <c:numCache>
                <c:formatCode>#,##0"  ";[Red]\-#,##0"  "</c:formatCode>
                <c:ptCount val="12"/>
                <c:pt idx="0">
                  <c:v>180945.57490000001</c:v>
                </c:pt>
                <c:pt idx="1">
                  <c:v>161135.00779999999</c:v>
                </c:pt>
                <c:pt idx="2">
                  <c:v>187647.47460000002</c:v>
                </c:pt>
                <c:pt idx="3">
                  <c:v>205042.03</c:v>
                </c:pt>
                <c:pt idx="4">
                  <c:v>235755.07500000001</c:v>
                </c:pt>
                <c:pt idx="5">
                  <c:v>261511.42619999999</c:v>
                </c:pt>
                <c:pt idx="6">
                  <c:v>289248.63390000002</c:v>
                </c:pt>
                <c:pt idx="7">
                  <c:v>289768.7403</c:v>
                </c:pt>
                <c:pt idx="8">
                  <c:v>265864.62420000002</c:v>
                </c:pt>
                <c:pt idx="9">
                  <c:v>242564.34399999998</c:v>
                </c:pt>
                <c:pt idx="10">
                  <c:v>190517.00999999998</c:v>
                </c:pt>
                <c:pt idx="11">
                  <c:v>185133.04120000001</c:v>
                </c:pt>
              </c:numCache>
            </c:numRef>
          </c:val>
          <c:extLst>
            <c:ext xmlns:c16="http://schemas.microsoft.com/office/drawing/2014/chart" uri="{C3380CC4-5D6E-409C-BE32-E72D297353CC}">
              <c16:uniqueId val="{00000001-FD66-46E0-AAFA-0F7085E42C4B}"/>
            </c:ext>
          </c:extLst>
        </c:ser>
        <c:ser>
          <c:idx val="5"/>
          <c:order val="2"/>
          <c:tx>
            <c:strRef>
              <c:f>hungary_lh!$E$3</c:f>
              <c:strCache>
                <c:ptCount val="1"/>
                <c:pt idx="0">
                  <c:v>2016 Unit
Rate Basis</c:v>
                </c:pt>
              </c:strCache>
            </c:strRef>
          </c:tx>
          <c:spPr>
            <a:solidFill>
              <a:srgbClr val="FF8080"/>
            </a:solidFill>
            <a:ln w="25400">
              <a:solidFill>
                <a:srgbClr val="DD0806"/>
              </a:solidFill>
              <a:prstDash val="lgDash"/>
            </a:ln>
          </c:spPr>
          <c:invertIfNegative val="0"/>
          <c:cat>
            <c:strRef>
              <c:f>hungary_lh!$C$5:$C$16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hungary_lh!$E$5:$E$16</c:f>
              <c:numCache>
                <c:formatCode>#,##0"  ";[Red]\-#,##0"  "</c:formatCode>
                <c:ptCount val="12"/>
                <c:pt idx="0">
                  <c:v>158725.06138204594</c:v>
                </c:pt>
                <c:pt idx="1">
                  <c:v>141347.27537816923</c:v>
                </c:pt>
                <c:pt idx="2">
                  <c:v>164603.95309767206</c:v>
                </c:pt>
                <c:pt idx="3">
                  <c:v>179862.41893804556</c:v>
                </c:pt>
                <c:pt idx="4">
                  <c:v>206803.83464024594</c:v>
                </c:pt>
                <c:pt idx="5">
                  <c:v>229397.24941403567</c:v>
                </c:pt>
                <c:pt idx="6">
                  <c:v>253728.26716444024</c:v>
                </c:pt>
                <c:pt idx="7">
                  <c:v>254184.50335762053</c:v>
                </c:pt>
                <c:pt idx="8">
                  <c:v>233215.86515050818</c:v>
                </c:pt>
                <c:pt idx="9">
                  <c:v>212776.91047030795</c:v>
                </c:pt>
                <c:pt idx="10">
                  <c:v>167121.10325597055</c:v>
                </c:pt>
                <c:pt idx="11">
                  <c:v>162398.29763482566</c:v>
                </c:pt>
              </c:numCache>
            </c:numRef>
          </c:val>
          <c:extLst>
            <c:ext xmlns:c16="http://schemas.microsoft.com/office/drawing/2014/chart" uri="{C3380CC4-5D6E-409C-BE32-E72D297353CC}">
              <c16:uniqueId val="{00000002-FD66-46E0-AAFA-0F7085E42C4B}"/>
            </c:ext>
          </c:extLst>
        </c:ser>
        <c:ser>
          <c:idx val="1"/>
          <c:order val="3"/>
          <c:tx>
            <c:strRef>
              <c:f>hungary_lh!$D$3</c:f>
              <c:strCache>
                <c:ptCount val="1"/>
                <c:pt idx="0">
                  <c:v>2016
Actual</c:v>
                </c:pt>
              </c:strCache>
            </c:strRef>
          </c:tx>
          <c:spPr>
            <a:solidFill>
              <a:srgbClr val="993366"/>
            </a:solidFill>
            <a:ln w="38100">
              <a:solidFill>
                <a:srgbClr val="993300"/>
              </a:solidFill>
              <a:prstDash val="solid"/>
            </a:ln>
          </c:spPr>
          <c:invertIfNegative val="0"/>
          <c:cat>
            <c:strRef>
              <c:f>hungary_lh!$C$5:$C$16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hungary_lh!$D$5:$D$16</c:f>
              <c:numCache>
                <c:formatCode>#,##0</c:formatCode>
                <c:ptCount val="12"/>
                <c:pt idx="0">
                  <c:v>189042.7928</c:v>
                </c:pt>
                <c:pt idx="1">
                  <c:v>177136.96730000002</c:v>
                </c:pt>
                <c:pt idx="2">
                  <c:v>201946.70050000001</c:v>
                </c:pt>
                <c:pt idx="3">
                  <c:v>213671.25270000001</c:v>
                </c:pt>
                <c:pt idx="4">
                  <c:v>243584.1257</c:v>
                </c:pt>
                <c:pt idx="5">
                  <c:v>256707.8383</c:v>
                </c:pt>
                <c:pt idx="6">
                  <c:v>293835.76759999996</c:v>
                </c:pt>
                <c:pt idx="7">
                  <c:v>297164.52250000002</c:v>
                </c:pt>
                <c:pt idx="8">
                  <c:v>271532.83600000001</c:v>
                </c:pt>
                <c:pt idx="9">
                  <c:v>247730.55670000002</c:v>
                </c:pt>
                <c:pt idx="10">
                  <c:v>0</c:v>
                </c:pt>
                <c:pt idx="11">
                  <c:v>0</c:v>
                </c:pt>
              </c:numCache>
            </c:numRef>
          </c:val>
          <c:extLst>
            <c:ext xmlns:c16="http://schemas.microsoft.com/office/drawing/2014/chart" uri="{C3380CC4-5D6E-409C-BE32-E72D297353CC}">
              <c16:uniqueId val="{00000003-FD66-46E0-AAFA-0F7085E42C4B}"/>
            </c:ext>
          </c:extLst>
        </c:ser>
        <c:dLbls>
          <c:showLegendKey val="0"/>
          <c:showVal val="0"/>
          <c:showCatName val="0"/>
          <c:showSerName val="0"/>
          <c:showPercent val="0"/>
          <c:showBubbleSize val="0"/>
        </c:dLbls>
        <c:gapWidth val="300"/>
        <c:overlap val="30"/>
        <c:axId val="121531744"/>
        <c:axId val="1"/>
      </c:barChart>
      <c:catAx>
        <c:axId val="121531744"/>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300000"/>
          <c:min val="10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21531744"/>
        <c:crosses val="autoZero"/>
        <c:crossBetween val="between"/>
        <c:majorUnit val="20000"/>
        <c:minorUnit val="10000"/>
        <c:dispUnits>
          <c:builtInUnit val="thousands"/>
        </c:dispUnits>
      </c:valAx>
      <c:spPr>
        <a:noFill/>
        <a:ln w="25400">
          <a:noFill/>
        </a:ln>
      </c:spPr>
    </c:plotArea>
    <c:legend>
      <c:legendPos val="r"/>
      <c:layout>
        <c:manualLayout>
          <c:xMode val="edge"/>
          <c:yMode val="edge"/>
          <c:wMode val="edge"/>
          <c:hMode val="edge"/>
          <c:x val="0.37688984881209503"/>
          <c:y val="0.90496850960584563"/>
          <c:w val="0.68682505399568039"/>
          <c:h val="0.98488211651729274"/>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NORWAY CHARGING ZONE (EN)</a:t>
            </a:r>
          </a:p>
        </c:rich>
      </c:tx>
      <c:layout>
        <c:manualLayout>
          <c:xMode val="edge"/>
          <c:yMode val="edge"/>
          <c:x val="0.28399179110244804"/>
          <c:y val="3.0107651230421251E-2"/>
        </c:manualLayout>
      </c:layout>
      <c:overlay val="0"/>
      <c:spPr>
        <a:noFill/>
        <a:ln w="25400">
          <a:noFill/>
        </a:ln>
      </c:spPr>
    </c:title>
    <c:autoTitleDeleted val="0"/>
    <c:plotArea>
      <c:layout>
        <c:manualLayout>
          <c:layoutTarget val="inner"/>
          <c:xMode val="edge"/>
          <c:yMode val="edge"/>
          <c:x val="8.9454162856370228E-2"/>
          <c:y val="0.13757552526031577"/>
          <c:w val="0.89629563175696447"/>
          <c:h val="0.58641567642209602"/>
        </c:manualLayout>
      </c:layout>
      <c:barChart>
        <c:barDir val="col"/>
        <c:grouping val="clustered"/>
        <c:varyColors val="0"/>
        <c:ser>
          <c:idx val="2"/>
          <c:order val="0"/>
          <c:tx>
            <c:strRef>
              <c:f>norway_en!$G$3</c:f>
              <c:strCache>
                <c:ptCount val="1"/>
                <c:pt idx="0">
                  <c:v>2014
Actual</c:v>
                </c:pt>
              </c:strCache>
            </c:strRef>
          </c:tx>
          <c:spPr>
            <a:solidFill>
              <a:srgbClr val="3366FF"/>
            </a:solidFill>
            <a:ln w="12700">
              <a:solidFill>
                <a:srgbClr val="3366FF"/>
              </a:solidFill>
              <a:prstDash val="solid"/>
            </a:ln>
          </c:spPr>
          <c:invertIfNegative val="0"/>
          <c:cat>
            <c:strRef>
              <c:f>norway_en!$C$5:$C$16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norway_en!$G$5:$G$16</c:f>
              <c:numCache>
                <c:formatCode>#,##0"  ";[Red]\-#,##0"  "</c:formatCode>
                <c:ptCount val="12"/>
                <c:pt idx="0">
                  <c:v>169126.86270000003</c:v>
                </c:pt>
                <c:pt idx="1">
                  <c:v>153698.6531</c:v>
                </c:pt>
                <c:pt idx="2">
                  <c:v>185734.06170000002</c:v>
                </c:pt>
                <c:pt idx="3">
                  <c:v>174712.53519999998</c:v>
                </c:pt>
                <c:pt idx="4">
                  <c:v>187593.17249999999</c:v>
                </c:pt>
                <c:pt idx="5">
                  <c:v>196737.38190000001</c:v>
                </c:pt>
                <c:pt idx="6">
                  <c:v>196061.08099999998</c:v>
                </c:pt>
                <c:pt idx="7">
                  <c:v>201239.97209999998</c:v>
                </c:pt>
                <c:pt idx="8">
                  <c:v>196098.51380000002</c:v>
                </c:pt>
                <c:pt idx="9">
                  <c:v>196532.96830000001</c:v>
                </c:pt>
                <c:pt idx="10">
                  <c:v>183148.76009999998</c:v>
                </c:pt>
                <c:pt idx="11">
                  <c:v>180050.23689999999</c:v>
                </c:pt>
              </c:numCache>
            </c:numRef>
          </c:val>
          <c:extLst>
            <c:ext xmlns:c16="http://schemas.microsoft.com/office/drawing/2014/chart" uri="{C3380CC4-5D6E-409C-BE32-E72D297353CC}">
              <c16:uniqueId val="{00000000-0674-4038-959A-DCEA873510E8}"/>
            </c:ext>
          </c:extLst>
        </c:ser>
        <c:ser>
          <c:idx val="0"/>
          <c:order val="1"/>
          <c:tx>
            <c:strRef>
              <c:f>norway_en!$F$3</c:f>
              <c:strCache>
                <c:ptCount val="1"/>
                <c:pt idx="0">
                  <c:v>2015
Actual</c:v>
                </c:pt>
              </c:strCache>
            </c:strRef>
          </c:tx>
          <c:spPr>
            <a:solidFill>
              <a:srgbClr val="666699"/>
            </a:solidFill>
            <a:ln w="12700">
              <a:solidFill>
                <a:srgbClr val="666699"/>
              </a:solidFill>
              <a:prstDash val="solid"/>
            </a:ln>
          </c:spPr>
          <c:invertIfNegative val="0"/>
          <c:val>
            <c:numRef>
              <c:f>norway_en!$F$5:$F$16</c:f>
              <c:numCache>
                <c:formatCode>#,##0"  ";[Red]\-#,##0"  "</c:formatCode>
                <c:ptCount val="12"/>
                <c:pt idx="0">
                  <c:v>181300.53419999999</c:v>
                </c:pt>
                <c:pt idx="1">
                  <c:v>164931.74400000001</c:v>
                </c:pt>
                <c:pt idx="2">
                  <c:v>186419.29209999999</c:v>
                </c:pt>
                <c:pt idx="3">
                  <c:v>184004.35069999998</c:v>
                </c:pt>
                <c:pt idx="4">
                  <c:v>198877.5191</c:v>
                </c:pt>
                <c:pt idx="5">
                  <c:v>207664.88200000001</c:v>
                </c:pt>
                <c:pt idx="6">
                  <c:v>207722.60080000001</c:v>
                </c:pt>
                <c:pt idx="7">
                  <c:v>212430.80539999998</c:v>
                </c:pt>
                <c:pt idx="8">
                  <c:v>207112.27690000003</c:v>
                </c:pt>
                <c:pt idx="9">
                  <c:v>199988.9755</c:v>
                </c:pt>
                <c:pt idx="10">
                  <c:v>181395.41930000001</c:v>
                </c:pt>
                <c:pt idx="11">
                  <c:v>182042.52559999999</c:v>
                </c:pt>
              </c:numCache>
            </c:numRef>
          </c:val>
          <c:extLst>
            <c:ext xmlns:c16="http://schemas.microsoft.com/office/drawing/2014/chart" uri="{C3380CC4-5D6E-409C-BE32-E72D297353CC}">
              <c16:uniqueId val="{00000001-0674-4038-959A-DCEA873510E8}"/>
            </c:ext>
          </c:extLst>
        </c:ser>
        <c:ser>
          <c:idx val="5"/>
          <c:order val="2"/>
          <c:tx>
            <c:strRef>
              <c:f>norway_en!$E$3</c:f>
              <c:strCache>
                <c:ptCount val="1"/>
                <c:pt idx="0">
                  <c:v>2016 Unit
Rate Basis</c:v>
                </c:pt>
              </c:strCache>
            </c:strRef>
          </c:tx>
          <c:spPr>
            <a:solidFill>
              <a:srgbClr val="FF8080"/>
            </a:solidFill>
            <a:ln w="25400">
              <a:solidFill>
                <a:srgbClr val="DD0806"/>
              </a:solidFill>
              <a:prstDash val="lgDash"/>
            </a:ln>
          </c:spPr>
          <c:invertIfNegative val="0"/>
          <c:cat>
            <c:strRef>
              <c:f>norway_en!$C$5:$C$16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norway_en!$E$5:$E$16</c:f>
              <c:numCache>
                <c:formatCode>#,##0"  ";[Red]\-#,##0"  "</c:formatCode>
                <c:ptCount val="12"/>
                <c:pt idx="0">
                  <c:v>185536.5226857271</c:v>
                </c:pt>
                <c:pt idx="1">
                  <c:v>168785.28459544131</c:v>
                </c:pt>
                <c:pt idx="2">
                  <c:v>190774.87758317284</c:v>
                </c:pt>
                <c:pt idx="3">
                  <c:v>188303.51238933654</c:v>
                </c:pt>
                <c:pt idx="4">
                  <c:v>203524.18428879775</c:v>
                </c:pt>
                <c:pt idx="5">
                  <c:v>212516.85914901097</c:v>
                </c:pt>
                <c:pt idx="6">
                  <c:v>212575.92651741585</c:v>
                </c:pt>
                <c:pt idx="7">
                  <c:v>217394.13576004995</c:v>
                </c:pt>
                <c:pt idx="8">
                  <c:v>211951.34273106547</c:v>
                </c:pt>
                <c:pt idx="9">
                  <c:v>204661.60926375844</c:v>
                </c:pt>
                <c:pt idx="10">
                  <c:v>185633.62472454004</c:v>
                </c:pt>
                <c:pt idx="11">
                  <c:v>186295.85031168352</c:v>
                </c:pt>
              </c:numCache>
            </c:numRef>
          </c:val>
          <c:extLst>
            <c:ext xmlns:c16="http://schemas.microsoft.com/office/drawing/2014/chart" uri="{C3380CC4-5D6E-409C-BE32-E72D297353CC}">
              <c16:uniqueId val="{00000002-0674-4038-959A-DCEA873510E8}"/>
            </c:ext>
          </c:extLst>
        </c:ser>
        <c:ser>
          <c:idx val="1"/>
          <c:order val="3"/>
          <c:tx>
            <c:strRef>
              <c:f>norway_en!$D$3</c:f>
              <c:strCache>
                <c:ptCount val="1"/>
                <c:pt idx="0">
                  <c:v>2016
Actual</c:v>
                </c:pt>
              </c:strCache>
            </c:strRef>
          </c:tx>
          <c:spPr>
            <a:solidFill>
              <a:srgbClr val="993366"/>
            </a:solidFill>
            <a:ln w="38100">
              <a:solidFill>
                <a:srgbClr val="993300"/>
              </a:solidFill>
              <a:prstDash val="solid"/>
            </a:ln>
          </c:spPr>
          <c:invertIfNegative val="0"/>
          <c:cat>
            <c:strRef>
              <c:f>norway_en!$C$5:$C$16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norway_en!$D$5:$D$16</c:f>
              <c:numCache>
                <c:formatCode>#,##0</c:formatCode>
                <c:ptCount val="12"/>
                <c:pt idx="0">
                  <c:v>178092.44959999999</c:v>
                </c:pt>
                <c:pt idx="1">
                  <c:v>181198.90849999999</c:v>
                </c:pt>
                <c:pt idx="2">
                  <c:v>190691.53270000001</c:v>
                </c:pt>
                <c:pt idx="3">
                  <c:v>200222.59229999999</c:v>
                </c:pt>
                <c:pt idx="4">
                  <c:v>211889.4185</c:v>
                </c:pt>
                <c:pt idx="5">
                  <c:v>223098.11799999999</c:v>
                </c:pt>
                <c:pt idx="6">
                  <c:v>232234.0221</c:v>
                </c:pt>
                <c:pt idx="7">
                  <c:v>232895.68680000002</c:v>
                </c:pt>
                <c:pt idx="8">
                  <c:v>223325.31209999998</c:v>
                </c:pt>
                <c:pt idx="9">
                  <c:v>217745.67850000001</c:v>
                </c:pt>
                <c:pt idx="10">
                  <c:v>0</c:v>
                </c:pt>
                <c:pt idx="11">
                  <c:v>0</c:v>
                </c:pt>
              </c:numCache>
            </c:numRef>
          </c:val>
          <c:extLst>
            <c:ext xmlns:c16="http://schemas.microsoft.com/office/drawing/2014/chart" uri="{C3380CC4-5D6E-409C-BE32-E72D297353CC}">
              <c16:uniqueId val="{00000003-0674-4038-959A-DCEA873510E8}"/>
            </c:ext>
          </c:extLst>
        </c:ser>
        <c:dLbls>
          <c:showLegendKey val="0"/>
          <c:showVal val="0"/>
          <c:showCatName val="0"/>
          <c:showSerName val="0"/>
          <c:showPercent val="0"/>
          <c:showBubbleSize val="0"/>
        </c:dLbls>
        <c:gapWidth val="300"/>
        <c:overlap val="30"/>
        <c:axId val="142740832"/>
        <c:axId val="1"/>
      </c:barChart>
      <c:catAx>
        <c:axId val="142740832"/>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245000"/>
          <c:min val="85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2740832"/>
        <c:crosses val="autoZero"/>
        <c:crossBetween val="between"/>
        <c:majorUnit val="20000"/>
        <c:minorUnit val="1000"/>
        <c:dispUnits>
          <c:builtInUnit val="thousands"/>
        </c:dispUnits>
      </c:valAx>
      <c:spPr>
        <a:noFill/>
        <a:ln w="25400">
          <a:noFill/>
        </a:ln>
      </c:spPr>
    </c:plotArea>
    <c:legend>
      <c:legendPos val="r"/>
      <c:layout>
        <c:manualLayout>
          <c:xMode val="edge"/>
          <c:yMode val="edge"/>
          <c:wMode val="edge"/>
          <c:hMode val="edge"/>
          <c:x val="0.37731733914940024"/>
          <c:y val="0.90496850960584563"/>
          <c:w val="0.68375136314067619"/>
          <c:h val="0.98488211651729274"/>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DENMARK CHARGING ZONE (EK)</a:t>
            </a:r>
          </a:p>
        </c:rich>
      </c:tx>
      <c:layout>
        <c:manualLayout>
          <c:xMode val="edge"/>
          <c:yMode val="edge"/>
          <c:x val="0.28162849350671554"/>
          <c:y val="3.0107651230421251E-2"/>
        </c:manualLayout>
      </c:layout>
      <c:overlay val="0"/>
      <c:spPr>
        <a:noFill/>
        <a:ln w="25400">
          <a:noFill/>
        </a:ln>
      </c:spPr>
    </c:title>
    <c:autoTitleDeleted val="0"/>
    <c:plotArea>
      <c:layout>
        <c:manualLayout>
          <c:layoutTarget val="inner"/>
          <c:xMode val="edge"/>
          <c:yMode val="edge"/>
          <c:x val="8.974932649123038E-2"/>
          <c:y val="0.13585583119456182"/>
          <c:w val="0.89661336955454674"/>
          <c:h val="0.58813537048784992"/>
        </c:manualLayout>
      </c:layout>
      <c:barChart>
        <c:barDir val="col"/>
        <c:grouping val="clustered"/>
        <c:varyColors val="0"/>
        <c:ser>
          <c:idx val="2"/>
          <c:order val="0"/>
          <c:tx>
            <c:strRef>
              <c:f>denmark_ek!$G$3</c:f>
              <c:strCache>
                <c:ptCount val="1"/>
                <c:pt idx="0">
                  <c:v>2014
Actual</c:v>
                </c:pt>
              </c:strCache>
            </c:strRef>
          </c:tx>
          <c:spPr>
            <a:solidFill>
              <a:srgbClr val="3366FF"/>
            </a:solidFill>
            <a:ln w="12700">
              <a:solidFill>
                <a:srgbClr val="3366FF"/>
              </a:solidFill>
              <a:prstDash val="solid"/>
            </a:ln>
          </c:spPr>
          <c:invertIfNegative val="0"/>
          <c:cat>
            <c:strRef>
              <c:f>denmark_ek!$C$5:$C$16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denmark_ek!$G$5:$G$16</c:f>
              <c:numCache>
                <c:formatCode>#,##0"  ";[Red]\-#,##0"  "</c:formatCode>
                <c:ptCount val="12"/>
                <c:pt idx="0">
                  <c:v>118090.87950000001</c:v>
                </c:pt>
                <c:pt idx="1">
                  <c:v>109306.79909999999</c:v>
                </c:pt>
                <c:pt idx="2">
                  <c:v>125783.6017</c:v>
                </c:pt>
                <c:pt idx="3">
                  <c:v>125334.1381</c:v>
                </c:pt>
                <c:pt idx="4">
                  <c:v>133504.1146</c:v>
                </c:pt>
                <c:pt idx="5">
                  <c:v>137331.02490000002</c:v>
                </c:pt>
                <c:pt idx="6">
                  <c:v>143367.4448</c:v>
                </c:pt>
                <c:pt idx="7">
                  <c:v>138304.47569999998</c:v>
                </c:pt>
                <c:pt idx="8">
                  <c:v>133620.15470000001</c:v>
                </c:pt>
                <c:pt idx="9">
                  <c:v>137285.63760000002</c:v>
                </c:pt>
                <c:pt idx="10">
                  <c:v>117134.0481</c:v>
                </c:pt>
                <c:pt idx="11">
                  <c:v>112940.5217</c:v>
                </c:pt>
              </c:numCache>
            </c:numRef>
          </c:val>
          <c:extLst>
            <c:ext xmlns:c16="http://schemas.microsoft.com/office/drawing/2014/chart" uri="{C3380CC4-5D6E-409C-BE32-E72D297353CC}">
              <c16:uniqueId val="{00000000-FFAA-40BF-9112-5D162EF997A7}"/>
            </c:ext>
          </c:extLst>
        </c:ser>
        <c:ser>
          <c:idx val="0"/>
          <c:order val="1"/>
          <c:tx>
            <c:strRef>
              <c:f>denmark_ek!$F$3</c:f>
              <c:strCache>
                <c:ptCount val="1"/>
                <c:pt idx="0">
                  <c:v>2015
Actual</c:v>
                </c:pt>
              </c:strCache>
            </c:strRef>
          </c:tx>
          <c:spPr>
            <a:solidFill>
              <a:srgbClr val="666699"/>
            </a:solidFill>
            <a:ln w="12700">
              <a:solidFill>
                <a:srgbClr val="666699"/>
              </a:solidFill>
              <a:prstDash val="solid"/>
            </a:ln>
          </c:spPr>
          <c:invertIfNegative val="0"/>
          <c:val>
            <c:numRef>
              <c:f>denmark_ek!$F$5:$F$16</c:f>
              <c:numCache>
                <c:formatCode>#,##0"  ";[Red]\-#,##0"  "</c:formatCode>
                <c:ptCount val="12"/>
                <c:pt idx="0">
                  <c:v>117610.117</c:v>
                </c:pt>
                <c:pt idx="1">
                  <c:v>108601.45490000001</c:v>
                </c:pt>
                <c:pt idx="2">
                  <c:v>127150.84139999999</c:v>
                </c:pt>
                <c:pt idx="3">
                  <c:v>128491.45240000001</c:v>
                </c:pt>
                <c:pt idx="4">
                  <c:v>135224.80870000002</c:v>
                </c:pt>
                <c:pt idx="5">
                  <c:v>142692.13250000001</c:v>
                </c:pt>
                <c:pt idx="6">
                  <c:v>150381.0252</c:v>
                </c:pt>
                <c:pt idx="7">
                  <c:v>144354.00519999999</c:v>
                </c:pt>
                <c:pt idx="8">
                  <c:v>143407.44289999999</c:v>
                </c:pt>
                <c:pt idx="9">
                  <c:v>141031.7524</c:v>
                </c:pt>
                <c:pt idx="10">
                  <c:v>123892.5999</c:v>
                </c:pt>
                <c:pt idx="11">
                  <c:v>120607.81940000001</c:v>
                </c:pt>
              </c:numCache>
            </c:numRef>
          </c:val>
          <c:extLst>
            <c:ext xmlns:c16="http://schemas.microsoft.com/office/drawing/2014/chart" uri="{C3380CC4-5D6E-409C-BE32-E72D297353CC}">
              <c16:uniqueId val="{00000001-FFAA-40BF-9112-5D162EF997A7}"/>
            </c:ext>
          </c:extLst>
        </c:ser>
        <c:ser>
          <c:idx val="5"/>
          <c:order val="2"/>
          <c:tx>
            <c:strRef>
              <c:f>denmark_ek!$E$3</c:f>
              <c:strCache>
                <c:ptCount val="1"/>
                <c:pt idx="0">
                  <c:v>2016 Unit
Rate Basis</c:v>
                </c:pt>
              </c:strCache>
            </c:strRef>
          </c:tx>
          <c:spPr>
            <a:solidFill>
              <a:srgbClr val="FF8080"/>
            </a:solidFill>
            <a:ln w="25400">
              <a:solidFill>
                <a:srgbClr val="DD0806"/>
              </a:solidFill>
              <a:prstDash val="lgDash"/>
            </a:ln>
          </c:spPr>
          <c:invertIfNegative val="0"/>
          <c:cat>
            <c:strRef>
              <c:f>denmark_ek!$C$5:$C$16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denmark_ek!$E$5:$E$16</c:f>
              <c:numCache>
                <c:formatCode>#,##0"  ";[Red]\-#,##0"  "</c:formatCode>
                <c:ptCount val="12"/>
                <c:pt idx="0">
                  <c:v>116685.7333704152</c:v>
                </c:pt>
                <c:pt idx="1">
                  <c:v>107747.8769118185</c:v>
                </c:pt>
                <c:pt idx="2">
                  <c:v>126151.47026360282</c:v>
                </c:pt>
                <c:pt idx="3">
                  <c:v>127481.54442465011</c:v>
                </c:pt>
                <c:pt idx="4">
                  <c:v>134161.97836988466</c:v>
                </c:pt>
                <c:pt idx="5">
                  <c:v>141570.61102958478</c:v>
                </c:pt>
                <c:pt idx="6">
                  <c:v>149199.07111780945</c:v>
                </c:pt>
                <c:pt idx="7">
                  <c:v>143219.42186078028</c:v>
                </c:pt>
                <c:pt idx="8">
                  <c:v>142280.2992837975</c:v>
                </c:pt>
                <c:pt idx="9">
                  <c:v>139923.28106695798</c:v>
                </c:pt>
                <c:pt idx="10">
                  <c:v>122918.83765831921</c:v>
                </c:pt>
                <c:pt idx="11">
                  <c:v>119659.87464237954</c:v>
                </c:pt>
              </c:numCache>
            </c:numRef>
          </c:val>
          <c:extLst>
            <c:ext xmlns:c16="http://schemas.microsoft.com/office/drawing/2014/chart" uri="{C3380CC4-5D6E-409C-BE32-E72D297353CC}">
              <c16:uniqueId val="{00000002-FFAA-40BF-9112-5D162EF997A7}"/>
            </c:ext>
          </c:extLst>
        </c:ser>
        <c:ser>
          <c:idx val="1"/>
          <c:order val="3"/>
          <c:tx>
            <c:strRef>
              <c:f>denmark_ek!$D$3</c:f>
              <c:strCache>
                <c:ptCount val="1"/>
                <c:pt idx="0">
                  <c:v>2016
Actual</c:v>
                </c:pt>
              </c:strCache>
            </c:strRef>
          </c:tx>
          <c:spPr>
            <a:solidFill>
              <a:srgbClr val="993366"/>
            </a:solidFill>
            <a:ln w="38100">
              <a:solidFill>
                <a:srgbClr val="993300"/>
              </a:solidFill>
              <a:prstDash val="solid"/>
            </a:ln>
          </c:spPr>
          <c:invertIfNegative val="0"/>
          <c:cat>
            <c:strRef>
              <c:f>denmark_ek!$C$5:$C$16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denmark_ek!$D$5:$D$16</c:f>
              <c:numCache>
                <c:formatCode>#,##0</c:formatCode>
                <c:ptCount val="12"/>
                <c:pt idx="0">
                  <c:v>118853.9997</c:v>
                </c:pt>
                <c:pt idx="1">
                  <c:v>118526.01670000001</c:v>
                </c:pt>
                <c:pt idx="2">
                  <c:v>127717.6636</c:v>
                </c:pt>
                <c:pt idx="3">
                  <c:v>131921.1067</c:v>
                </c:pt>
                <c:pt idx="4">
                  <c:v>137895.63939999999</c:v>
                </c:pt>
                <c:pt idx="5">
                  <c:v>146432.60150000002</c:v>
                </c:pt>
                <c:pt idx="6">
                  <c:v>155779.101</c:v>
                </c:pt>
                <c:pt idx="7">
                  <c:v>146213.38399999999</c:v>
                </c:pt>
                <c:pt idx="8">
                  <c:v>144915.2023</c:v>
                </c:pt>
                <c:pt idx="9">
                  <c:v>143488.17449999999</c:v>
                </c:pt>
                <c:pt idx="10">
                  <c:v>0</c:v>
                </c:pt>
                <c:pt idx="11">
                  <c:v>0</c:v>
                </c:pt>
              </c:numCache>
            </c:numRef>
          </c:val>
          <c:extLst>
            <c:ext xmlns:c16="http://schemas.microsoft.com/office/drawing/2014/chart" uri="{C3380CC4-5D6E-409C-BE32-E72D297353CC}">
              <c16:uniqueId val="{00000003-FFAA-40BF-9112-5D162EF997A7}"/>
            </c:ext>
          </c:extLst>
        </c:ser>
        <c:dLbls>
          <c:showLegendKey val="0"/>
          <c:showVal val="0"/>
          <c:showCatName val="0"/>
          <c:showSerName val="0"/>
          <c:showPercent val="0"/>
          <c:showBubbleSize val="0"/>
        </c:dLbls>
        <c:gapWidth val="300"/>
        <c:overlap val="30"/>
        <c:axId val="140982976"/>
        <c:axId val="1"/>
      </c:barChart>
      <c:catAx>
        <c:axId val="140982976"/>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in val="9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0982976"/>
        <c:crosses val="autoZero"/>
        <c:crossBetween val="between"/>
        <c:majorUnit val="10000"/>
        <c:minorUnit val="1000"/>
        <c:dispUnits>
          <c:builtInUnit val="thousands"/>
        </c:dispUnits>
      </c:valAx>
      <c:spPr>
        <a:noFill/>
        <a:ln w="25400">
          <a:noFill/>
        </a:ln>
      </c:spPr>
    </c:plotArea>
    <c:legend>
      <c:legendPos val="r"/>
      <c:layout>
        <c:manualLayout>
          <c:xMode val="edge"/>
          <c:yMode val="edge"/>
          <c:wMode val="edge"/>
          <c:hMode val="edge"/>
          <c:x val="0.37025007053271436"/>
          <c:y val="0.90064885517819993"/>
          <c:w val="0.67752511392102044"/>
          <c:h val="0.98056246208964704"/>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SLOVENIA CHARGING ZONE (LJ)</a:t>
            </a:r>
          </a:p>
        </c:rich>
      </c:tx>
      <c:layout>
        <c:manualLayout>
          <c:xMode val="edge"/>
          <c:yMode val="edge"/>
          <c:x val="0.2803535031094086"/>
          <c:y val="3.0107651230421251E-2"/>
        </c:manualLayout>
      </c:layout>
      <c:overlay val="0"/>
      <c:spPr>
        <a:noFill/>
        <a:ln w="25400">
          <a:noFill/>
        </a:ln>
      </c:spPr>
    </c:title>
    <c:autoTitleDeleted val="0"/>
    <c:plotArea>
      <c:layout>
        <c:manualLayout>
          <c:layoutTarget val="inner"/>
          <c:xMode val="edge"/>
          <c:yMode val="edge"/>
          <c:x val="8.3866786472256302E-2"/>
          <c:y val="0.13757552526031577"/>
          <c:w val="0.90399567734305741"/>
          <c:h val="0.58641567642209602"/>
        </c:manualLayout>
      </c:layout>
      <c:barChart>
        <c:barDir val="col"/>
        <c:grouping val="clustered"/>
        <c:varyColors val="0"/>
        <c:ser>
          <c:idx val="2"/>
          <c:order val="0"/>
          <c:tx>
            <c:strRef>
              <c:f>slovenia_lj!$G$3</c:f>
              <c:strCache>
                <c:ptCount val="1"/>
                <c:pt idx="0">
                  <c:v>2014
Actual</c:v>
                </c:pt>
              </c:strCache>
            </c:strRef>
          </c:tx>
          <c:spPr>
            <a:solidFill>
              <a:srgbClr val="3366FF"/>
            </a:solidFill>
            <a:ln w="12700">
              <a:solidFill>
                <a:srgbClr val="3366FF"/>
              </a:solidFill>
              <a:prstDash val="solid"/>
            </a:ln>
          </c:spPr>
          <c:invertIfNegative val="0"/>
          <c:cat>
            <c:strRef>
              <c:f>slovenia_lj!$C$5:$C$16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slovenia_lj!$G$5:$G$16</c:f>
              <c:numCache>
                <c:formatCode>#,##0"  ";[Red]\-#,##0"  "</c:formatCode>
                <c:ptCount val="12"/>
                <c:pt idx="0">
                  <c:v>23269.428400000001</c:v>
                </c:pt>
                <c:pt idx="1">
                  <c:v>20882.892899999999</c:v>
                </c:pt>
                <c:pt idx="2">
                  <c:v>24344.584900000002</c:v>
                </c:pt>
                <c:pt idx="3">
                  <c:v>33457.468399999998</c:v>
                </c:pt>
                <c:pt idx="4">
                  <c:v>43854.532200000001</c:v>
                </c:pt>
                <c:pt idx="5">
                  <c:v>47931.531900000002</c:v>
                </c:pt>
                <c:pt idx="6">
                  <c:v>55062.415399999998</c:v>
                </c:pt>
                <c:pt idx="7">
                  <c:v>56391.597200000004</c:v>
                </c:pt>
                <c:pt idx="8">
                  <c:v>49819.842900000003</c:v>
                </c:pt>
                <c:pt idx="9">
                  <c:v>45965.955000000002</c:v>
                </c:pt>
                <c:pt idx="10">
                  <c:v>30167.185999999998</c:v>
                </c:pt>
                <c:pt idx="11">
                  <c:v>28058.098699999999</c:v>
                </c:pt>
              </c:numCache>
            </c:numRef>
          </c:val>
          <c:extLst>
            <c:ext xmlns:c16="http://schemas.microsoft.com/office/drawing/2014/chart" uri="{C3380CC4-5D6E-409C-BE32-E72D297353CC}">
              <c16:uniqueId val="{00000000-988D-446B-8EB7-32C918C20FE3}"/>
            </c:ext>
          </c:extLst>
        </c:ser>
        <c:ser>
          <c:idx val="0"/>
          <c:order val="1"/>
          <c:tx>
            <c:strRef>
              <c:f>slovenia_lj!$F$3</c:f>
              <c:strCache>
                <c:ptCount val="1"/>
                <c:pt idx="0">
                  <c:v>2015
Actual</c:v>
                </c:pt>
              </c:strCache>
            </c:strRef>
          </c:tx>
          <c:spPr>
            <a:solidFill>
              <a:srgbClr val="666699"/>
            </a:solidFill>
            <a:ln w="12700">
              <a:solidFill>
                <a:srgbClr val="666699"/>
              </a:solidFill>
              <a:prstDash val="solid"/>
            </a:ln>
          </c:spPr>
          <c:invertIfNegative val="0"/>
          <c:val>
            <c:numRef>
              <c:f>slovenia_lj!$F$5:$F$16</c:f>
              <c:numCache>
                <c:formatCode>#,##0"  ";[Red]\-#,##0"  "</c:formatCode>
                <c:ptCount val="12"/>
                <c:pt idx="0">
                  <c:v>26555.650600000001</c:v>
                </c:pt>
                <c:pt idx="1">
                  <c:v>23596.443599999999</c:v>
                </c:pt>
                <c:pt idx="2">
                  <c:v>29311.210500000001</c:v>
                </c:pt>
                <c:pt idx="3">
                  <c:v>34169.155200000001</c:v>
                </c:pt>
                <c:pt idx="4">
                  <c:v>43928.568299999999</c:v>
                </c:pt>
                <c:pt idx="5">
                  <c:v>46624.313900000001</c:v>
                </c:pt>
                <c:pt idx="6">
                  <c:v>53814.742700000003</c:v>
                </c:pt>
                <c:pt idx="7">
                  <c:v>56595.818599999999</c:v>
                </c:pt>
                <c:pt idx="8">
                  <c:v>49342.322700000004</c:v>
                </c:pt>
                <c:pt idx="9">
                  <c:v>43749.771500000003</c:v>
                </c:pt>
                <c:pt idx="10">
                  <c:v>28786.711599999999</c:v>
                </c:pt>
                <c:pt idx="11">
                  <c:v>29789.4002</c:v>
                </c:pt>
              </c:numCache>
            </c:numRef>
          </c:val>
          <c:extLst>
            <c:ext xmlns:c16="http://schemas.microsoft.com/office/drawing/2014/chart" uri="{C3380CC4-5D6E-409C-BE32-E72D297353CC}">
              <c16:uniqueId val="{00000001-988D-446B-8EB7-32C918C20FE3}"/>
            </c:ext>
          </c:extLst>
        </c:ser>
        <c:ser>
          <c:idx val="5"/>
          <c:order val="2"/>
          <c:tx>
            <c:strRef>
              <c:f>slovenia_lj!$E$3</c:f>
              <c:strCache>
                <c:ptCount val="1"/>
                <c:pt idx="0">
                  <c:v>2016 Unit
Rate Basis</c:v>
                </c:pt>
              </c:strCache>
            </c:strRef>
          </c:tx>
          <c:spPr>
            <a:solidFill>
              <a:srgbClr val="FF8080"/>
            </a:solidFill>
            <a:ln w="25400">
              <a:solidFill>
                <a:srgbClr val="DD0806"/>
              </a:solidFill>
              <a:prstDash val="lgDash"/>
            </a:ln>
          </c:spPr>
          <c:invertIfNegative val="0"/>
          <c:cat>
            <c:strRef>
              <c:f>slovenia_lj!$C$5:$C$16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slovenia_lj!$E$5:$E$16</c:f>
              <c:numCache>
                <c:formatCode>#,##0"  ";[Red]\-#,##0"  "</c:formatCode>
                <c:ptCount val="12"/>
                <c:pt idx="0">
                  <c:v>28456.351453003881</c:v>
                </c:pt>
                <c:pt idx="1">
                  <c:v>25285.341422687045</c:v>
                </c:pt>
                <c:pt idx="2">
                  <c:v>31409.138494275023</c:v>
                </c:pt>
                <c:pt idx="3">
                  <c:v>36614.786956996453</c:v>
                </c:pt>
                <c:pt idx="4">
                  <c:v>47072.722758751966</c:v>
                </c:pt>
                <c:pt idx="5">
                  <c:v>49961.414336185539</c:v>
                </c:pt>
                <c:pt idx="6">
                  <c:v>57666.492705856544</c:v>
                </c:pt>
                <c:pt idx="7">
                  <c:v>60646.622035765678</c:v>
                </c:pt>
                <c:pt idx="8">
                  <c:v>52873.962585527144</c:v>
                </c:pt>
                <c:pt idx="9">
                  <c:v>46881.128711364086</c:v>
                </c:pt>
                <c:pt idx="10">
                  <c:v>30847.0989773402</c:v>
                </c:pt>
                <c:pt idx="11">
                  <c:v>31921.554264815644</c:v>
                </c:pt>
              </c:numCache>
            </c:numRef>
          </c:val>
          <c:extLst>
            <c:ext xmlns:c16="http://schemas.microsoft.com/office/drawing/2014/chart" uri="{C3380CC4-5D6E-409C-BE32-E72D297353CC}">
              <c16:uniqueId val="{00000002-988D-446B-8EB7-32C918C20FE3}"/>
            </c:ext>
          </c:extLst>
        </c:ser>
        <c:ser>
          <c:idx val="1"/>
          <c:order val="3"/>
          <c:tx>
            <c:strRef>
              <c:f>slovenia_lj!$D$3</c:f>
              <c:strCache>
                <c:ptCount val="1"/>
                <c:pt idx="0">
                  <c:v>2016
Actual</c:v>
                </c:pt>
              </c:strCache>
            </c:strRef>
          </c:tx>
          <c:spPr>
            <a:solidFill>
              <a:srgbClr val="993366"/>
            </a:solidFill>
            <a:ln w="38100">
              <a:solidFill>
                <a:srgbClr val="993300"/>
              </a:solidFill>
              <a:prstDash val="solid"/>
            </a:ln>
          </c:spPr>
          <c:invertIfNegative val="0"/>
          <c:cat>
            <c:strRef>
              <c:f>slovenia_lj!$C$5:$C$16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slovenia_lj!$D$5:$D$16</c:f>
              <c:numCache>
                <c:formatCode>#,##0</c:formatCode>
                <c:ptCount val="12"/>
                <c:pt idx="0">
                  <c:v>28747.894200000002</c:v>
                </c:pt>
                <c:pt idx="1">
                  <c:v>26176.9794</c:v>
                </c:pt>
                <c:pt idx="2">
                  <c:v>30060.027099999999</c:v>
                </c:pt>
                <c:pt idx="3">
                  <c:v>34707.537999999993</c:v>
                </c:pt>
                <c:pt idx="4">
                  <c:v>47334.570799999994</c:v>
                </c:pt>
                <c:pt idx="5">
                  <c:v>51384.918299999998</c:v>
                </c:pt>
                <c:pt idx="6">
                  <c:v>58619.556700000001</c:v>
                </c:pt>
                <c:pt idx="7">
                  <c:v>59843.763800000001</c:v>
                </c:pt>
                <c:pt idx="8">
                  <c:v>55071.452299999997</c:v>
                </c:pt>
                <c:pt idx="9">
                  <c:v>49278.911</c:v>
                </c:pt>
                <c:pt idx="10">
                  <c:v>0</c:v>
                </c:pt>
                <c:pt idx="11">
                  <c:v>0</c:v>
                </c:pt>
              </c:numCache>
            </c:numRef>
          </c:val>
          <c:extLst>
            <c:ext xmlns:c16="http://schemas.microsoft.com/office/drawing/2014/chart" uri="{C3380CC4-5D6E-409C-BE32-E72D297353CC}">
              <c16:uniqueId val="{00000003-988D-446B-8EB7-32C918C20FE3}"/>
            </c:ext>
          </c:extLst>
        </c:ser>
        <c:dLbls>
          <c:showLegendKey val="0"/>
          <c:showVal val="0"/>
          <c:showCatName val="0"/>
          <c:showSerName val="0"/>
          <c:showPercent val="0"/>
          <c:showBubbleSize val="0"/>
        </c:dLbls>
        <c:gapWidth val="300"/>
        <c:overlap val="30"/>
        <c:axId val="143122296"/>
        <c:axId val="1"/>
      </c:barChart>
      <c:catAx>
        <c:axId val="143122296"/>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in val="1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3122296"/>
        <c:crosses val="autoZero"/>
        <c:crossBetween val="between"/>
        <c:majorUnit val="5000"/>
        <c:minorUnit val="1000"/>
        <c:dispUnits>
          <c:builtInUnit val="thousands"/>
        </c:dispUnits>
      </c:valAx>
      <c:spPr>
        <a:noFill/>
        <a:ln w="25400">
          <a:noFill/>
        </a:ln>
      </c:spPr>
    </c:plotArea>
    <c:legend>
      <c:legendPos val="r"/>
      <c:layout>
        <c:manualLayout>
          <c:xMode val="edge"/>
          <c:yMode val="edge"/>
          <c:wMode val="edge"/>
          <c:hMode val="edge"/>
          <c:x val="0.37500035468539406"/>
          <c:y val="0.90496850960584563"/>
          <c:w val="0.6846853940554728"/>
          <c:h val="0.98488211651729274"/>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ROMANIA CHARGING ZONE (LR)</a:t>
            </a:r>
          </a:p>
        </c:rich>
      </c:tx>
      <c:layout>
        <c:manualLayout>
          <c:xMode val="edge"/>
          <c:yMode val="edge"/>
          <c:x val="0.28100990601981207"/>
          <c:y val="3.0434529017206179E-2"/>
        </c:manualLayout>
      </c:layout>
      <c:overlay val="0"/>
      <c:spPr>
        <a:noFill/>
        <a:ln w="25400">
          <a:noFill/>
        </a:ln>
      </c:spPr>
    </c:title>
    <c:autoTitleDeleted val="0"/>
    <c:plotArea>
      <c:layout>
        <c:manualLayout>
          <c:layoutTarget val="inner"/>
          <c:xMode val="edge"/>
          <c:yMode val="edge"/>
          <c:x val="8.9552238805970158E-2"/>
          <c:y val="0.14254687006293765"/>
          <c:w val="0.89815627743634785"/>
          <c:h val="0.57887936257266137"/>
        </c:manualLayout>
      </c:layout>
      <c:barChart>
        <c:barDir val="col"/>
        <c:grouping val="clustered"/>
        <c:varyColors val="0"/>
        <c:ser>
          <c:idx val="2"/>
          <c:order val="0"/>
          <c:tx>
            <c:strRef>
              <c:f>romania_lr!$G$3</c:f>
              <c:strCache>
                <c:ptCount val="1"/>
                <c:pt idx="0">
                  <c:v>2014
Actual</c:v>
                </c:pt>
              </c:strCache>
            </c:strRef>
          </c:tx>
          <c:spPr>
            <a:solidFill>
              <a:srgbClr val="3366FF"/>
            </a:solidFill>
            <a:ln w="12700">
              <a:solidFill>
                <a:srgbClr val="3366FF"/>
              </a:solidFill>
              <a:prstDash val="solid"/>
            </a:ln>
          </c:spPr>
          <c:invertIfNegative val="0"/>
          <c:cat>
            <c:strRef>
              <c:f>romania_lr!$C$5:$C$16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romania_lr!$G$5:$G$16</c:f>
              <c:numCache>
                <c:formatCode>#,##0"  ";[Red]\-#,##0"  "</c:formatCode>
                <c:ptCount val="12"/>
                <c:pt idx="0">
                  <c:v>274354.22349999996</c:v>
                </c:pt>
                <c:pt idx="1">
                  <c:v>255683.34950000001</c:v>
                </c:pt>
                <c:pt idx="2">
                  <c:v>289524.39359999995</c:v>
                </c:pt>
                <c:pt idx="3">
                  <c:v>301598.46029999998</c:v>
                </c:pt>
                <c:pt idx="4">
                  <c:v>338489.91220000002</c:v>
                </c:pt>
                <c:pt idx="5">
                  <c:v>381924.64390000002</c:v>
                </c:pt>
                <c:pt idx="6">
                  <c:v>435677.04059999995</c:v>
                </c:pt>
                <c:pt idx="7">
                  <c:v>452510.34460000001</c:v>
                </c:pt>
                <c:pt idx="8">
                  <c:v>410757.45020000002</c:v>
                </c:pt>
                <c:pt idx="9">
                  <c:v>386846.69640000002</c:v>
                </c:pt>
                <c:pt idx="10">
                  <c:v>332050.79239999998</c:v>
                </c:pt>
                <c:pt idx="11">
                  <c:v>322427.2904</c:v>
                </c:pt>
              </c:numCache>
            </c:numRef>
          </c:val>
          <c:extLst>
            <c:ext xmlns:c16="http://schemas.microsoft.com/office/drawing/2014/chart" uri="{C3380CC4-5D6E-409C-BE32-E72D297353CC}">
              <c16:uniqueId val="{00000000-80A0-4754-ADE5-B2F5DEB428E0}"/>
            </c:ext>
          </c:extLst>
        </c:ser>
        <c:ser>
          <c:idx val="0"/>
          <c:order val="1"/>
          <c:tx>
            <c:strRef>
              <c:f>romania_lr!$F$3</c:f>
              <c:strCache>
                <c:ptCount val="1"/>
                <c:pt idx="0">
                  <c:v>2015
Actual</c:v>
                </c:pt>
              </c:strCache>
            </c:strRef>
          </c:tx>
          <c:spPr>
            <a:solidFill>
              <a:srgbClr val="666699"/>
            </a:solidFill>
            <a:ln w="12700">
              <a:solidFill>
                <a:srgbClr val="666699"/>
              </a:solidFill>
              <a:prstDash val="solid"/>
            </a:ln>
          </c:spPr>
          <c:invertIfNegative val="0"/>
          <c:val>
            <c:numRef>
              <c:f>romania_lr!$F$5:$F$16</c:f>
              <c:numCache>
                <c:formatCode>#,##0"  ";[Red]\-#,##0"  "</c:formatCode>
                <c:ptCount val="12"/>
                <c:pt idx="0">
                  <c:v>329334.78670000006</c:v>
                </c:pt>
                <c:pt idx="1">
                  <c:v>296120.57870000001</c:v>
                </c:pt>
                <c:pt idx="2">
                  <c:v>340787.89379999996</c:v>
                </c:pt>
                <c:pt idx="3">
                  <c:v>356018.62160000001</c:v>
                </c:pt>
                <c:pt idx="4">
                  <c:v>399487.03570000001</c:v>
                </c:pt>
                <c:pt idx="5">
                  <c:v>425347.16229999997</c:v>
                </c:pt>
                <c:pt idx="6">
                  <c:v>458532.22120000003</c:v>
                </c:pt>
                <c:pt idx="7">
                  <c:v>463029.60589999997</c:v>
                </c:pt>
                <c:pt idx="8">
                  <c:v>431124.63549999997</c:v>
                </c:pt>
                <c:pt idx="9">
                  <c:v>400025.73420000001</c:v>
                </c:pt>
                <c:pt idx="10">
                  <c:v>338550.71290000004</c:v>
                </c:pt>
                <c:pt idx="11">
                  <c:v>332325.21300000005</c:v>
                </c:pt>
              </c:numCache>
            </c:numRef>
          </c:val>
          <c:extLst>
            <c:ext xmlns:c16="http://schemas.microsoft.com/office/drawing/2014/chart" uri="{C3380CC4-5D6E-409C-BE32-E72D297353CC}">
              <c16:uniqueId val="{00000001-80A0-4754-ADE5-B2F5DEB428E0}"/>
            </c:ext>
          </c:extLst>
        </c:ser>
        <c:ser>
          <c:idx val="5"/>
          <c:order val="2"/>
          <c:tx>
            <c:strRef>
              <c:f>romania_lr!$E$3</c:f>
              <c:strCache>
                <c:ptCount val="1"/>
                <c:pt idx="0">
                  <c:v>2016 Unit
Rate Basis</c:v>
                </c:pt>
              </c:strCache>
            </c:strRef>
          </c:tx>
          <c:spPr>
            <a:solidFill>
              <a:srgbClr val="FF8080"/>
            </a:solidFill>
            <a:ln w="25400">
              <a:solidFill>
                <a:srgbClr val="DD0806"/>
              </a:solidFill>
              <a:prstDash val="lgDash"/>
            </a:ln>
          </c:spPr>
          <c:invertIfNegative val="0"/>
          <c:cat>
            <c:strRef>
              <c:f>romania_lr!$C$5:$C$16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romania_lr!$E$5:$E$16</c:f>
              <c:numCache>
                <c:formatCode>#,##0"  ";[Red]\-#,##0"  "</c:formatCode>
                <c:ptCount val="12"/>
                <c:pt idx="0">
                  <c:v>296646.5225840538</c:v>
                </c:pt>
                <c:pt idx="1">
                  <c:v>266729.00490451779</c:v>
                </c:pt>
                <c:pt idx="2">
                  <c:v>306962.84667493281</c:v>
                </c:pt>
                <c:pt idx="3">
                  <c:v>320681.8421189519</c:v>
                </c:pt>
                <c:pt idx="4">
                  <c:v>359835.78031727171</c:v>
                </c:pt>
                <c:pt idx="5">
                  <c:v>383129.14906929911</c:v>
                </c:pt>
                <c:pt idx="6">
                  <c:v>413020.41085513472</c:v>
                </c:pt>
                <c:pt idx="7">
                  <c:v>417071.40572678484</c:v>
                </c:pt>
                <c:pt idx="8">
                  <c:v>388333.17671325331</c:v>
                </c:pt>
                <c:pt idx="9">
                  <c:v>360321.01006887952</c:v>
                </c:pt>
                <c:pt idx="10">
                  <c:v>304947.7181152493</c:v>
                </c:pt>
                <c:pt idx="11">
                  <c:v>299340.13285167178</c:v>
                </c:pt>
              </c:numCache>
            </c:numRef>
          </c:val>
          <c:extLst>
            <c:ext xmlns:c16="http://schemas.microsoft.com/office/drawing/2014/chart" uri="{C3380CC4-5D6E-409C-BE32-E72D297353CC}">
              <c16:uniqueId val="{00000002-80A0-4754-ADE5-B2F5DEB428E0}"/>
            </c:ext>
          </c:extLst>
        </c:ser>
        <c:ser>
          <c:idx val="1"/>
          <c:order val="3"/>
          <c:tx>
            <c:strRef>
              <c:f>romania_lr!$D$3</c:f>
              <c:strCache>
                <c:ptCount val="1"/>
                <c:pt idx="0">
                  <c:v>2016
Actual</c:v>
                </c:pt>
              </c:strCache>
            </c:strRef>
          </c:tx>
          <c:spPr>
            <a:solidFill>
              <a:srgbClr val="993366"/>
            </a:solidFill>
            <a:ln w="38100">
              <a:solidFill>
                <a:srgbClr val="993300"/>
              </a:solidFill>
              <a:prstDash val="solid"/>
            </a:ln>
          </c:spPr>
          <c:invertIfNegative val="0"/>
          <c:cat>
            <c:strRef>
              <c:f>romania_lr!$C$5:$C$16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romania_lr!$D$5:$D$16</c:f>
              <c:numCache>
                <c:formatCode>#,##0</c:formatCode>
                <c:ptCount val="12"/>
                <c:pt idx="0">
                  <c:v>328886.11129999999</c:v>
                </c:pt>
                <c:pt idx="1">
                  <c:v>307869.8124</c:v>
                </c:pt>
                <c:pt idx="2">
                  <c:v>346358.17079999996</c:v>
                </c:pt>
                <c:pt idx="3">
                  <c:v>355778.03699999995</c:v>
                </c:pt>
                <c:pt idx="4">
                  <c:v>365061.93230000004</c:v>
                </c:pt>
                <c:pt idx="5">
                  <c:v>387473.84300000005</c:v>
                </c:pt>
                <c:pt idx="6">
                  <c:v>441312.49829999998</c:v>
                </c:pt>
                <c:pt idx="7">
                  <c:v>448135.34740000003</c:v>
                </c:pt>
                <c:pt idx="8">
                  <c:v>407653.38010000001</c:v>
                </c:pt>
                <c:pt idx="9">
                  <c:v>381845.65040000004</c:v>
                </c:pt>
                <c:pt idx="10">
                  <c:v>0</c:v>
                </c:pt>
                <c:pt idx="11">
                  <c:v>0</c:v>
                </c:pt>
              </c:numCache>
            </c:numRef>
          </c:val>
          <c:extLst>
            <c:ext xmlns:c16="http://schemas.microsoft.com/office/drawing/2014/chart" uri="{C3380CC4-5D6E-409C-BE32-E72D297353CC}">
              <c16:uniqueId val="{00000003-80A0-4754-ADE5-B2F5DEB428E0}"/>
            </c:ext>
          </c:extLst>
        </c:ser>
        <c:dLbls>
          <c:showLegendKey val="0"/>
          <c:showVal val="0"/>
          <c:showCatName val="0"/>
          <c:showSerName val="0"/>
          <c:showPercent val="0"/>
          <c:showBubbleSize val="0"/>
        </c:dLbls>
        <c:gapWidth val="300"/>
        <c:overlap val="30"/>
        <c:axId val="121935056"/>
        <c:axId val="1"/>
      </c:barChart>
      <c:catAx>
        <c:axId val="121935056"/>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500000"/>
          <c:min val="15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21935056"/>
        <c:crosses val="autoZero"/>
        <c:crossBetween val="between"/>
        <c:majorUnit val="50000"/>
        <c:minorUnit val="5000"/>
        <c:dispUnits>
          <c:builtInUnit val="thousands"/>
        </c:dispUnits>
      </c:valAx>
      <c:spPr>
        <a:noFill/>
        <a:ln w="25400">
          <a:noFill/>
        </a:ln>
      </c:spPr>
    </c:plotArea>
    <c:legend>
      <c:legendPos val="r"/>
      <c:layout>
        <c:manualLayout>
          <c:xMode val="edge"/>
          <c:yMode val="edge"/>
          <c:wMode val="edge"/>
          <c:hMode val="edge"/>
          <c:x val="0.36774227415121502"/>
          <c:y val="0.90414126338782808"/>
          <c:w val="0.67311895690458057"/>
          <c:h val="0.98475151390389914"/>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CZECH REPUBLIC CHARGING ZONE (LK)</a:t>
            </a:r>
          </a:p>
        </c:rich>
      </c:tx>
      <c:layout>
        <c:manualLayout>
          <c:xMode val="edge"/>
          <c:yMode val="edge"/>
          <c:x val="0.2590560390477506"/>
          <c:y val="3.0172087184754077E-2"/>
        </c:manualLayout>
      </c:layout>
      <c:overlay val="0"/>
      <c:spPr>
        <a:noFill/>
        <a:ln w="25400">
          <a:noFill/>
        </a:ln>
      </c:spPr>
    </c:title>
    <c:autoTitleDeleted val="0"/>
    <c:plotArea>
      <c:layout>
        <c:manualLayout>
          <c:layoutTarget val="inner"/>
          <c:xMode val="edge"/>
          <c:yMode val="edge"/>
          <c:x val="8.9552238805970158E-2"/>
          <c:y val="0.13614821197759586"/>
          <c:w val="0.89640035118525008"/>
          <c:h val="0.58767772511848348"/>
        </c:manualLayout>
      </c:layout>
      <c:barChart>
        <c:barDir val="col"/>
        <c:grouping val="clustered"/>
        <c:varyColors val="0"/>
        <c:ser>
          <c:idx val="2"/>
          <c:order val="0"/>
          <c:tx>
            <c:strRef>
              <c:f>czech_republic_lk!$G$3</c:f>
              <c:strCache>
                <c:ptCount val="1"/>
                <c:pt idx="0">
                  <c:v>2014
Actual</c:v>
                </c:pt>
              </c:strCache>
            </c:strRef>
          </c:tx>
          <c:spPr>
            <a:solidFill>
              <a:srgbClr val="3366FF"/>
            </a:solidFill>
            <a:ln w="12700">
              <a:solidFill>
                <a:srgbClr val="3366FF"/>
              </a:solidFill>
              <a:prstDash val="solid"/>
            </a:ln>
          </c:spPr>
          <c:invertIfNegative val="0"/>
          <c:cat>
            <c:strRef>
              <c:f>czech_republic_lk!$C$5:$C$16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czech_republic_lk!$G$5:$G$16</c:f>
              <c:numCache>
                <c:formatCode>#,##0"  ";[Red]\-#,##0"  "</c:formatCode>
                <c:ptCount val="12"/>
                <c:pt idx="0">
                  <c:v>174936.6881</c:v>
                </c:pt>
                <c:pt idx="1">
                  <c:v>159831.23060000001</c:v>
                </c:pt>
                <c:pt idx="2">
                  <c:v>185089.46480000002</c:v>
                </c:pt>
                <c:pt idx="3">
                  <c:v>194966.9443</c:v>
                </c:pt>
                <c:pt idx="4">
                  <c:v>218072.5313</c:v>
                </c:pt>
                <c:pt idx="5">
                  <c:v>227141.80459999997</c:v>
                </c:pt>
                <c:pt idx="6">
                  <c:v>241634.16129999998</c:v>
                </c:pt>
                <c:pt idx="7">
                  <c:v>229310.83119999999</c:v>
                </c:pt>
                <c:pt idx="8">
                  <c:v>217550.12390000001</c:v>
                </c:pt>
                <c:pt idx="9">
                  <c:v>208188.4137</c:v>
                </c:pt>
                <c:pt idx="10">
                  <c:v>172345.73809999999</c:v>
                </c:pt>
                <c:pt idx="11">
                  <c:v>164339.84450000001</c:v>
                </c:pt>
              </c:numCache>
            </c:numRef>
          </c:val>
          <c:extLst>
            <c:ext xmlns:c16="http://schemas.microsoft.com/office/drawing/2014/chart" uri="{C3380CC4-5D6E-409C-BE32-E72D297353CC}">
              <c16:uniqueId val="{00000000-0598-4E9F-A082-0675A057F4F8}"/>
            </c:ext>
          </c:extLst>
        </c:ser>
        <c:ser>
          <c:idx val="0"/>
          <c:order val="1"/>
          <c:tx>
            <c:strRef>
              <c:f>czech_republic_lk!$F$3</c:f>
              <c:strCache>
                <c:ptCount val="1"/>
                <c:pt idx="0">
                  <c:v>2015
Actual</c:v>
                </c:pt>
              </c:strCache>
            </c:strRef>
          </c:tx>
          <c:spPr>
            <a:solidFill>
              <a:srgbClr val="666699"/>
            </a:solidFill>
            <a:ln w="12700">
              <a:solidFill>
                <a:srgbClr val="666699"/>
              </a:solidFill>
              <a:prstDash val="solid"/>
            </a:ln>
          </c:spPr>
          <c:invertIfNegative val="0"/>
          <c:val>
            <c:numRef>
              <c:f>czech_republic_lk!$F$5:$F$16</c:f>
              <c:numCache>
                <c:formatCode>#,##0"  ";[Red]\-#,##0"  "</c:formatCode>
                <c:ptCount val="12"/>
                <c:pt idx="0">
                  <c:v>176890.97820000001</c:v>
                </c:pt>
                <c:pt idx="1">
                  <c:v>160284.24540000001</c:v>
                </c:pt>
                <c:pt idx="2">
                  <c:v>187666.1814</c:v>
                </c:pt>
                <c:pt idx="3">
                  <c:v>199054.18230000001</c:v>
                </c:pt>
                <c:pt idx="4">
                  <c:v>228068.69810000001</c:v>
                </c:pt>
                <c:pt idx="5">
                  <c:v>234699.28350000002</c:v>
                </c:pt>
                <c:pt idx="6">
                  <c:v>250366.82459999999</c:v>
                </c:pt>
                <c:pt idx="7">
                  <c:v>251655.06639999998</c:v>
                </c:pt>
                <c:pt idx="8">
                  <c:v>243896.52780000001</c:v>
                </c:pt>
                <c:pt idx="9">
                  <c:v>229874.71520000001</c:v>
                </c:pt>
                <c:pt idx="10">
                  <c:v>188010.46799999999</c:v>
                </c:pt>
                <c:pt idx="11">
                  <c:v>181347.86119999998</c:v>
                </c:pt>
              </c:numCache>
            </c:numRef>
          </c:val>
          <c:extLst>
            <c:ext xmlns:c16="http://schemas.microsoft.com/office/drawing/2014/chart" uri="{C3380CC4-5D6E-409C-BE32-E72D297353CC}">
              <c16:uniqueId val="{00000001-0598-4E9F-A082-0675A057F4F8}"/>
            </c:ext>
          </c:extLst>
        </c:ser>
        <c:ser>
          <c:idx val="5"/>
          <c:order val="2"/>
          <c:tx>
            <c:strRef>
              <c:f>czech_republic_lk!$E$3</c:f>
              <c:strCache>
                <c:ptCount val="1"/>
                <c:pt idx="0">
                  <c:v>2016 Unit
Rate Basis</c:v>
                </c:pt>
              </c:strCache>
            </c:strRef>
          </c:tx>
          <c:spPr>
            <a:solidFill>
              <a:srgbClr val="FF8080"/>
            </a:solidFill>
            <a:ln w="25400">
              <a:solidFill>
                <a:srgbClr val="DD0806"/>
              </a:solidFill>
              <a:prstDash val="lgDash"/>
            </a:ln>
          </c:spPr>
          <c:invertIfNegative val="0"/>
          <c:cat>
            <c:strRef>
              <c:f>czech_republic_lk!$C$5:$C$16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czech_republic_lk!$E$5:$E$16</c:f>
              <c:numCache>
                <c:formatCode>#,##0"  ";[Red]\-#,##0"  "</c:formatCode>
                <c:ptCount val="12"/>
                <c:pt idx="0">
                  <c:v>184239.9636621543</c:v>
                </c:pt>
                <c:pt idx="1">
                  <c:v>166943.29947524608</c:v>
                </c:pt>
                <c:pt idx="2">
                  <c:v>195462.82571097941</c:v>
                </c:pt>
                <c:pt idx="3">
                  <c:v>207323.94431267743</c:v>
                </c:pt>
                <c:pt idx="4">
                  <c:v>237543.87633557018</c:v>
                </c:pt>
                <c:pt idx="5">
                  <c:v>244449.93127169923</c:v>
                </c:pt>
                <c:pt idx="6">
                  <c:v>260768.38477516518</c:v>
                </c:pt>
                <c:pt idx="7">
                  <c:v>262110.14694322619</c:v>
                </c:pt>
                <c:pt idx="8">
                  <c:v>254029.27767402443</c:v>
                </c:pt>
                <c:pt idx="9">
                  <c:v>239424.92492415913</c:v>
                </c:pt>
                <c:pt idx="10">
                  <c:v>195821.4157946503</c:v>
                </c:pt>
                <c:pt idx="11">
                  <c:v>188882.00912044817</c:v>
                </c:pt>
              </c:numCache>
            </c:numRef>
          </c:val>
          <c:extLst>
            <c:ext xmlns:c16="http://schemas.microsoft.com/office/drawing/2014/chart" uri="{C3380CC4-5D6E-409C-BE32-E72D297353CC}">
              <c16:uniqueId val="{00000002-0598-4E9F-A082-0675A057F4F8}"/>
            </c:ext>
          </c:extLst>
        </c:ser>
        <c:ser>
          <c:idx val="1"/>
          <c:order val="3"/>
          <c:tx>
            <c:strRef>
              <c:f>czech_republic_lk!$D$3</c:f>
              <c:strCache>
                <c:ptCount val="1"/>
                <c:pt idx="0">
                  <c:v>2016
Actual</c:v>
                </c:pt>
              </c:strCache>
            </c:strRef>
          </c:tx>
          <c:spPr>
            <a:solidFill>
              <a:srgbClr val="993366"/>
            </a:solidFill>
            <a:ln w="38100">
              <a:solidFill>
                <a:srgbClr val="993300"/>
              </a:solidFill>
              <a:prstDash val="solid"/>
            </a:ln>
          </c:spPr>
          <c:invertIfNegative val="0"/>
          <c:cat>
            <c:strRef>
              <c:f>czech_republic_lk!$C$5:$C$16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czech_republic_lk!$D$5:$D$16</c:f>
              <c:numCache>
                <c:formatCode>#,##0</c:formatCode>
                <c:ptCount val="12"/>
                <c:pt idx="0">
                  <c:v>186271.39680000002</c:v>
                </c:pt>
                <c:pt idx="1">
                  <c:v>178250.76690000002</c:v>
                </c:pt>
                <c:pt idx="2">
                  <c:v>207471.2458</c:v>
                </c:pt>
                <c:pt idx="3">
                  <c:v>218587.58490000002</c:v>
                </c:pt>
                <c:pt idx="4">
                  <c:v>239230.12889999998</c:v>
                </c:pt>
                <c:pt idx="5">
                  <c:v>244861.4633</c:v>
                </c:pt>
                <c:pt idx="6">
                  <c:v>272359.45299999998</c:v>
                </c:pt>
                <c:pt idx="7">
                  <c:v>274158.60100000002</c:v>
                </c:pt>
                <c:pt idx="8">
                  <c:v>257846.323</c:v>
                </c:pt>
                <c:pt idx="9">
                  <c:v>247514.136</c:v>
                </c:pt>
                <c:pt idx="10">
                  <c:v>0</c:v>
                </c:pt>
                <c:pt idx="11">
                  <c:v>0</c:v>
                </c:pt>
              </c:numCache>
            </c:numRef>
          </c:val>
          <c:extLst>
            <c:ext xmlns:c16="http://schemas.microsoft.com/office/drawing/2014/chart" uri="{C3380CC4-5D6E-409C-BE32-E72D297353CC}">
              <c16:uniqueId val="{00000003-0598-4E9F-A082-0675A057F4F8}"/>
            </c:ext>
          </c:extLst>
        </c:ser>
        <c:dLbls>
          <c:showLegendKey val="0"/>
          <c:showVal val="0"/>
          <c:showCatName val="0"/>
          <c:showSerName val="0"/>
          <c:showPercent val="0"/>
          <c:showBubbleSize val="0"/>
        </c:dLbls>
        <c:gapWidth val="300"/>
        <c:overlap val="30"/>
        <c:axId val="140981664"/>
        <c:axId val="1"/>
      </c:barChart>
      <c:catAx>
        <c:axId val="140981664"/>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280000"/>
          <c:min val="10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0981664"/>
        <c:crosses val="autoZero"/>
        <c:crossBetween val="between"/>
        <c:majorUnit val="20000"/>
        <c:minorUnit val="5000"/>
        <c:dispUnits>
          <c:builtInUnit val="thousands"/>
        </c:dispUnits>
      </c:valAx>
      <c:spPr>
        <a:noFill/>
        <a:ln w="25400">
          <a:noFill/>
        </a:ln>
      </c:spPr>
    </c:plotArea>
    <c:legend>
      <c:legendPos val="r"/>
      <c:layout>
        <c:manualLayout>
          <c:xMode val="edge"/>
          <c:yMode val="edge"/>
          <c:wMode val="edge"/>
          <c:hMode val="edge"/>
          <c:x val="0.37061438043928718"/>
          <c:y val="0.90000091292936202"/>
          <c:w val="0.67653577842243406"/>
          <c:h val="0.98043569553805765"/>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SWEDEN CHARGING ZONE (ES)</a:t>
            </a:r>
          </a:p>
        </c:rich>
      </c:tx>
      <c:layout>
        <c:manualLayout>
          <c:xMode val="edge"/>
          <c:yMode val="edge"/>
          <c:x val="0.28665920042270426"/>
          <c:y val="3.0172325233539358E-2"/>
        </c:manualLayout>
      </c:layout>
      <c:overlay val="0"/>
      <c:spPr>
        <a:noFill/>
        <a:ln w="25400">
          <a:noFill/>
        </a:ln>
      </c:spPr>
    </c:title>
    <c:autoTitleDeleted val="0"/>
    <c:plotArea>
      <c:layout>
        <c:manualLayout>
          <c:layoutTarget val="inner"/>
          <c:xMode val="edge"/>
          <c:yMode val="edge"/>
          <c:x val="9.1710807738831404E-2"/>
          <c:y val="0.13959500215424389"/>
          <c:w val="0.89506221014340259"/>
          <c:h val="0.58423093494183542"/>
        </c:manualLayout>
      </c:layout>
      <c:barChart>
        <c:barDir val="col"/>
        <c:grouping val="clustered"/>
        <c:varyColors val="0"/>
        <c:ser>
          <c:idx val="2"/>
          <c:order val="0"/>
          <c:tx>
            <c:strRef>
              <c:f>sweden_es!$G$3</c:f>
              <c:strCache>
                <c:ptCount val="1"/>
                <c:pt idx="0">
                  <c:v>2014
Actual</c:v>
                </c:pt>
              </c:strCache>
            </c:strRef>
          </c:tx>
          <c:spPr>
            <a:solidFill>
              <a:srgbClr val="3366FF"/>
            </a:solidFill>
            <a:ln w="12700">
              <a:solidFill>
                <a:srgbClr val="3366FF"/>
              </a:solidFill>
              <a:prstDash val="solid"/>
            </a:ln>
          </c:spPr>
          <c:invertIfNegative val="0"/>
          <c:cat>
            <c:strRef>
              <c:f>sweden_es!$C$5:$C$16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sweden_es!$G$5:$G$16</c:f>
              <c:numCache>
                <c:formatCode>#,##0"  ";[Red]\-#,##0"  "</c:formatCode>
                <c:ptCount val="12"/>
                <c:pt idx="0">
                  <c:v>247591.5624</c:v>
                </c:pt>
                <c:pt idx="1">
                  <c:v>229249.01690000002</c:v>
                </c:pt>
                <c:pt idx="2">
                  <c:v>269423.96490000002</c:v>
                </c:pt>
                <c:pt idx="3">
                  <c:v>264607.84179999999</c:v>
                </c:pt>
                <c:pt idx="4">
                  <c:v>288543.66250000003</c:v>
                </c:pt>
                <c:pt idx="5">
                  <c:v>295618.20500000002</c:v>
                </c:pt>
                <c:pt idx="6">
                  <c:v>291364.99670000002</c:v>
                </c:pt>
                <c:pt idx="7">
                  <c:v>293706.18209999998</c:v>
                </c:pt>
                <c:pt idx="8">
                  <c:v>296658.533</c:v>
                </c:pt>
                <c:pt idx="9">
                  <c:v>294338.7121</c:v>
                </c:pt>
                <c:pt idx="10">
                  <c:v>262312.57980000001</c:v>
                </c:pt>
                <c:pt idx="11">
                  <c:v>251425.41329999999</c:v>
                </c:pt>
              </c:numCache>
            </c:numRef>
          </c:val>
          <c:extLst>
            <c:ext xmlns:c16="http://schemas.microsoft.com/office/drawing/2014/chart" uri="{C3380CC4-5D6E-409C-BE32-E72D297353CC}">
              <c16:uniqueId val="{00000000-0091-4CA4-BD43-7DE3375E2671}"/>
            </c:ext>
          </c:extLst>
        </c:ser>
        <c:ser>
          <c:idx val="0"/>
          <c:order val="1"/>
          <c:tx>
            <c:strRef>
              <c:f>sweden_es!$F$3</c:f>
              <c:strCache>
                <c:ptCount val="1"/>
                <c:pt idx="0">
                  <c:v>2015
Actual</c:v>
                </c:pt>
              </c:strCache>
            </c:strRef>
          </c:tx>
          <c:spPr>
            <a:solidFill>
              <a:srgbClr val="666699"/>
            </a:solidFill>
            <a:ln w="12700">
              <a:solidFill>
                <a:srgbClr val="666699"/>
              </a:solidFill>
              <a:prstDash val="solid"/>
            </a:ln>
          </c:spPr>
          <c:invertIfNegative val="0"/>
          <c:val>
            <c:numRef>
              <c:f>sweden_es!$F$5:$F$16</c:f>
              <c:numCache>
                <c:formatCode>#,##0"  ";[Red]\-#,##0"  "</c:formatCode>
                <c:ptCount val="12"/>
                <c:pt idx="0">
                  <c:v>249965.91269999999</c:v>
                </c:pt>
                <c:pt idx="1">
                  <c:v>237590.24800000002</c:v>
                </c:pt>
                <c:pt idx="2">
                  <c:v>276816.83490000002</c:v>
                </c:pt>
                <c:pt idx="3">
                  <c:v>280836.5993</c:v>
                </c:pt>
                <c:pt idx="4">
                  <c:v>299523.52610000002</c:v>
                </c:pt>
                <c:pt idx="5">
                  <c:v>303875.70640000002</c:v>
                </c:pt>
                <c:pt idx="6">
                  <c:v>293999.005</c:v>
                </c:pt>
                <c:pt idx="7">
                  <c:v>296233.23190000001</c:v>
                </c:pt>
                <c:pt idx="8">
                  <c:v>306185.7487</c:v>
                </c:pt>
                <c:pt idx="9">
                  <c:v>292825.3124</c:v>
                </c:pt>
                <c:pt idx="10">
                  <c:v>261855.19810000001</c:v>
                </c:pt>
                <c:pt idx="11">
                  <c:v>255230.21010000003</c:v>
                </c:pt>
              </c:numCache>
            </c:numRef>
          </c:val>
          <c:extLst>
            <c:ext xmlns:c16="http://schemas.microsoft.com/office/drawing/2014/chart" uri="{C3380CC4-5D6E-409C-BE32-E72D297353CC}">
              <c16:uniqueId val="{00000001-0091-4CA4-BD43-7DE3375E2671}"/>
            </c:ext>
          </c:extLst>
        </c:ser>
        <c:ser>
          <c:idx val="5"/>
          <c:order val="2"/>
          <c:tx>
            <c:strRef>
              <c:f>sweden_es!$E$3</c:f>
              <c:strCache>
                <c:ptCount val="1"/>
                <c:pt idx="0">
                  <c:v>2016 Unit
Rate Basis</c:v>
                </c:pt>
              </c:strCache>
            </c:strRef>
          </c:tx>
          <c:spPr>
            <a:solidFill>
              <a:srgbClr val="FF8080"/>
            </a:solidFill>
            <a:ln w="25400">
              <a:solidFill>
                <a:srgbClr val="DD0806"/>
              </a:solidFill>
              <a:prstDash val="lgDash"/>
            </a:ln>
          </c:spPr>
          <c:invertIfNegative val="0"/>
          <c:cat>
            <c:strRef>
              <c:f>sweden_es!$C$5:$C$16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sweden_es!$E$5:$E$16</c:f>
              <c:numCache>
                <c:formatCode>#,##0"  ";[Red]\-#,##0"  "</c:formatCode>
                <c:ptCount val="12"/>
                <c:pt idx="0">
                  <c:v>246096.20935688584</c:v>
                </c:pt>
                <c:pt idx="1">
                  <c:v>233912.13138383423</c:v>
                </c:pt>
                <c:pt idx="2">
                  <c:v>272531.45446603489</c:v>
                </c:pt>
                <c:pt idx="3">
                  <c:v>276488.9891981206</c:v>
                </c:pt>
                <c:pt idx="4">
                  <c:v>294886.62510109629</c:v>
                </c:pt>
                <c:pt idx="5">
                  <c:v>299171.42962783651</c:v>
                </c:pt>
                <c:pt idx="6">
                  <c:v>289447.62869339873</c:v>
                </c:pt>
                <c:pt idx="7">
                  <c:v>291647.26769614982</c:v>
                </c:pt>
                <c:pt idx="8">
                  <c:v>301445.71033812821</c:v>
                </c:pt>
                <c:pt idx="9">
                  <c:v>288292.10593955475</c:v>
                </c:pt>
                <c:pt idx="10">
                  <c:v>257801.43763100551</c:v>
                </c:pt>
                <c:pt idx="11">
                  <c:v>251279.01056795398</c:v>
                </c:pt>
              </c:numCache>
            </c:numRef>
          </c:val>
          <c:extLst>
            <c:ext xmlns:c16="http://schemas.microsoft.com/office/drawing/2014/chart" uri="{C3380CC4-5D6E-409C-BE32-E72D297353CC}">
              <c16:uniqueId val="{00000002-0091-4CA4-BD43-7DE3375E2671}"/>
            </c:ext>
          </c:extLst>
        </c:ser>
        <c:ser>
          <c:idx val="1"/>
          <c:order val="3"/>
          <c:tx>
            <c:strRef>
              <c:f>sweden_es!$D$3</c:f>
              <c:strCache>
                <c:ptCount val="1"/>
                <c:pt idx="0">
                  <c:v>2016
Actual</c:v>
                </c:pt>
              </c:strCache>
            </c:strRef>
          </c:tx>
          <c:spPr>
            <a:solidFill>
              <a:srgbClr val="993366"/>
            </a:solidFill>
            <a:ln w="38100">
              <a:solidFill>
                <a:srgbClr val="993300"/>
              </a:solidFill>
              <a:prstDash val="solid"/>
            </a:ln>
          </c:spPr>
          <c:invertIfNegative val="0"/>
          <c:cat>
            <c:strRef>
              <c:f>sweden_es!$C$5:$C$16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sweden_es!$D$5:$D$16</c:f>
              <c:numCache>
                <c:formatCode>#,##0</c:formatCode>
                <c:ptCount val="12"/>
                <c:pt idx="0">
                  <c:v>250329.38039999999</c:v>
                </c:pt>
                <c:pt idx="1">
                  <c:v>248531.47820000001</c:v>
                </c:pt>
                <c:pt idx="2">
                  <c:v>274514.73259999999</c:v>
                </c:pt>
                <c:pt idx="3">
                  <c:v>276062.17549999995</c:v>
                </c:pt>
                <c:pt idx="4">
                  <c:v>295144.5013</c:v>
                </c:pt>
                <c:pt idx="5">
                  <c:v>295263.08720000001</c:v>
                </c:pt>
                <c:pt idx="6">
                  <c:v>302823.00499999995</c:v>
                </c:pt>
                <c:pt idx="7">
                  <c:v>304589.48879999999</c:v>
                </c:pt>
                <c:pt idx="8">
                  <c:v>301694.15219999995</c:v>
                </c:pt>
                <c:pt idx="9">
                  <c:v>302229.12340000004</c:v>
                </c:pt>
                <c:pt idx="10">
                  <c:v>0</c:v>
                </c:pt>
                <c:pt idx="11">
                  <c:v>0</c:v>
                </c:pt>
              </c:numCache>
            </c:numRef>
          </c:val>
          <c:extLst>
            <c:ext xmlns:c16="http://schemas.microsoft.com/office/drawing/2014/chart" uri="{C3380CC4-5D6E-409C-BE32-E72D297353CC}">
              <c16:uniqueId val="{00000003-0091-4CA4-BD43-7DE3375E2671}"/>
            </c:ext>
          </c:extLst>
        </c:ser>
        <c:dLbls>
          <c:showLegendKey val="0"/>
          <c:showVal val="0"/>
          <c:showCatName val="0"/>
          <c:showSerName val="0"/>
          <c:showPercent val="0"/>
          <c:showBubbleSize val="0"/>
        </c:dLbls>
        <c:gapWidth val="300"/>
        <c:overlap val="30"/>
        <c:axId val="143131808"/>
        <c:axId val="1"/>
      </c:barChart>
      <c:catAx>
        <c:axId val="143131808"/>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310000"/>
          <c:min val="15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3131808"/>
        <c:crosses val="autoZero"/>
        <c:crossBetween val="between"/>
        <c:majorUnit val="20000"/>
        <c:minorUnit val="20000"/>
        <c:dispUnits>
          <c:builtInUnit val="thousands"/>
        </c:dispUnits>
      </c:valAx>
      <c:spPr>
        <a:noFill/>
        <a:ln w="25400">
          <a:noFill/>
        </a:ln>
      </c:spPr>
    </c:plotArea>
    <c:legend>
      <c:legendPos val="r"/>
      <c:layout>
        <c:manualLayout>
          <c:xMode val="edge"/>
          <c:yMode val="edge"/>
          <c:wMode val="edge"/>
          <c:hMode val="edge"/>
          <c:x val="0.37199124726477023"/>
          <c:y val="0.90322761267744744"/>
          <c:w val="0.6816192560175055"/>
          <c:h val="0.98279773092879508"/>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SLOVAK REPUBLIC CHARGING ZONE (LZ)</a:t>
            </a:r>
          </a:p>
        </c:rich>
      </c:tx>
      <c:layout>
        <c:manualLayout>
          <c:xMode val="edge"/>
          <c:yMode val="edge"/>
          <c:x val="0.25248080313811977"/>
          <c:y val="3.0107698076202012E-2"/>
        </c:manualLayout>
      </c:layout>
      <c:overlay val="0"/>
      <c:spPr>
        <a:noFill/>
        <a:ln w="25400">
          <a:noFill/>
        </a:ln>
      </c:spPr>
    </c:title>
    <c:autoTitleDeleted val="0"/>
    <c:plotArea>
      <c:layout>
        <c:manualLayout>
          <c:layoutTarget val="inner"/>
          <c:xMode val="edge"/>
          <c:yMode val="edge"/>
          <c:x val="9.6630831662647326E-2"/>
          <c:y val="0.13757558743187662"/>
          <c:w val="0.89594404483319912"/>
          <c:h val="0.58641567642209602"/>
        </c:manualLayout>
      </c:layout>
      <c:barChart>
        <c:barDir val="col"/>
        <c:grouping val="clustered"/>
        <c:varyColors val="0"/>
        <c:ser>
          <c:idx val="2"/>
          <c:order val="0"/>
          <c:tx>
            <c:strRef>
              <c:f>slovak_republic_lz!$G$3</c:f>
              <c:strCache>
                <c:ptCount val="1"/>
                <c:pt idx="0">
                  <c:v>2014
Actual</c:v>
                </c:pt>
              </c:strCache>
            </c:strRef>
          </c:tx>
          <c:spPr>
            <a:solidFill>
              <a:srgbClr val="3366FF"/>
            </a:solidFill>
            <a:ln w="12700">
              <a:solidFill>
                <a:srgbClr val="3366FF"/>
              </a:solidFill>
              <a:prstDash val="solid"/>
            </a:ln>
          </c:spPr>
          <c:invertIfNegative val="0"/>
          <c:cat>
            <c:strRef>
              <c:f>slovak_republic_lz!$C$5:$C$16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slovak_republic_lz!$G$5:$G$16</c:f>
              <c:numCache>
                <c:formatCode>#,##0"  ";[Red]\-#,##0"  "</c:formatCode>
                <c:ptCount val="12"/>
                <c:pt idx="0">
                  <c:v>76545.435400000002</c:v>
                </c:pt>
                <c:pt idx="1">
                  <c:v>63612.535100000001</c:v>
                </c:pt>
                <c:pt idx="2">
                  <c:v>73035.886899999998</c:v>
                </c:pt>
                <c:pt idx="3">
                  <c:v>78178.077499999999</c:v>
                </c:pt>
                <c:pt idx="4">
                  <c:v>90457.2454</c:v>
                </c:pt>
                <c:pt idx="5">
                  <c:v>101427.7758</c:v>
                </c:pt>
                <c:pt idx="6">
                  <c:v>114288.4639</c:v>
                </c:pt>
                <c:pt idx="7">
                  <c:v>112553.22009999999</c:v>
                </c:pt>
                <c:pt idx="8">
                  <c:v>101012.4608</c:v>
                </c:pt>
                <c:pt idx="9">
                  <c:v>90422.720700000005</c:v>
                </c:pt>
                <c:pt idx="10">
                  <c:v>72461.903600000005</c:v>
                </c:pt>
                <c:pt idx="11">
                  <c:v>70347.772299999997</c:v>
                </c:pt>
              </c:numCache>
            </c:numRef>
          </c:val>
          <c:extLst>
            <c:ext xmlns:c16="http://schemas.microsoft.com/office/drawing/2014/chart" uri="{C3380CC4-5D6E-409C-BE32-E72D297353CC}">
              <c16:uniqueId val="{00000000-3D73-483F-B380-7546BF72670A}"/>
            </c:ext>
          </c:extLst>
        </c:ser>
        <c:ser>
          <c:idx val="0"/>
          <c:order val="1"/>
          <c:tx>
            <c:strRef>
              <c:f>slovak_republic_lz!$F$3</c:f>
              <c:strCache>
                <c:ptCount val="1"/>
                <c:pt idx="0">
                  <c:v>2015
Actual</c:v>
                </c:pt>
              </c:strCache>
            </c:strRef>
          </c:tx>
          <c:spPr>
            <a:solidFill>
              <a:srgbClr val="666699"/>
            </a:solidFill>
            <a:ln w="12700">
              <a:solidFill>
                <a:srgbClr val="666699"/>
              </a:solidFill>
              <a:prstDash val="solid"/>
            </a:ln>
          </c:spPr>
          <c:invertIfNegative val="0"/>
          <c:val>
            <c:numRef>
              <c:f>slovak_republic_lz!$F$5:$F$16</c:f>
              <c:numCache>
                <c:formatCode>#,##0"  ";[Red]\-#,##0"  "</c:formatCode>
                <c:ptCount val="12"/>
                <c:pt idx="0">
                  <c:v>75552.196400000001</c:v>
                </c:pt>
                <c:pt idx="1">
                  <c:v>65943.309699999998</c:v>
                </c:pt>
                <c:pt idx="2">
                  <c:v>76487.025900000008</c:v>
                </c:pt>
                <c:pt idx="3">
                  <c:v>80420.241699999999</c:v>
                </c:pt>
                <c:pt idx="4">
                  <c:v>96306.079500000007</c:v>
                </c:pt>
                <c:pt idx="5">
                  <c:v>103653.6057</c:v>
                </c:pt>
                <c:pt idx="6">
                  <c:v>113613.44579999999</c:v>
                </c:pt>
                <c:pt idx="7">
                  <c:v>112576.5353</c:v>
                </c:pt>
                <c:pt idx="8">
                  <c:v>104839.1796</c:v>
                </c:pt>
                <c:pt idx="9">
                  <c:v>93464.339600000007</c:v>
                </c:pt>
                <c:pt idx="10">
                  <c:v>74970.355100000001</c:v>
                </c:pt>
                <c:pt idx="11">
                  <c:v>73555.689799999993</c:v>
                </c:pt>
              </c:numCache>
            </c:numRef>
          </c:val>
          <c:extLst>
            <c:ext xmlns:c16="http://schemas.microsoft.com/office/drawing/2014/chart" uri="{C3380CC4-5D6E-409C-BE32-E72D297353CC}">
              <c16:uniqueId val="{00000001-3D73-483F-B380-7546BF72670A}"/>
            </c:ext>
          </c:extLst>
        </c:ser>
        <c:ser>
          <c:idx val="5"/>
          <c:order val="2"/>
          <c:tx>
            <c:strRef>
              <c:f>slovak_republic_lz!$E$3</c:f>
              <c:strCache>
                <c:ptCount val="1"/>
                <c:pt idx="0">
                  <c:v>2016 Unit
Rate Basis</c:v>
                </c:pt>
              </c:strCache>
            </c:strRef>
          </c:tx>
          <c:spPr>
            <a:solidFill>
              <a:srgbClr val="FF8080"/>
            </a:solidFill>
            <a:ln w="25400">
              <a:solidFill>
                <a:srgbClr val="DD0806"/>
              </a:solidFill>
              <a:prstDash val="lgDash"/>
            </a:ln>
          </c:spPr>
          <c:invertIfNegative val="0"/>
          <c:cat>
            <c:strRef>
              <c:f>slovak_republic_lz!$C$5:$C$16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slovak_republic_lz!$E$5:$E$16</c:f>
              <c:numCache>
                <c:formatCode>#,##0"  ";[Red]\-#,##0"  "</c:formatCode>
                <c:ptCount val="12"/>
                <c:pt idx="0">
                  <c:v>79403.772716775624</c:v>
                </c:pt>
                <c:pt idx="1">
                  <c:v>69305.034467677571</c:v>
                </c:pt>
                <c:pt idx="2">
                  <c:v>80386.2589009488</c:v>
                </c:pt>
                <c:pt idx="3">
                  <c:v>84519.9861558884</c:v>
                </c:pt>
                <c:pt idx="4">
                  <c:v>101215.66826959548</c:v>
                </c:pt>
                <c:pt idx="5">
                  <c:v>108937.76409493078</c:v>
                </c:pt>
                <c:pt idx="6">
                  <c:v>119405.34700157183</c:v>
                </c:pt>
                <c:pt idx="7">
                  <c:v>118315.5758288884</c:v>
                </c:pt>
                <c:pt idx="8">
                  <c:v>110183.77738084688</c:v>
                </c:pt>
                <c:pt idx="9">
                  <c:v>98229.059277513385</c:v>
                </c:pt>
                <c:pt idx="10">
                  <c:v>78792.269722238823</c:v>
                </c:pt>
                <c:pt idx="11">
                  <c:v>77305.486183123736</c:v>
                </c:pt>
              </c:numCache>
            </c:numRef>
          </c:val>
          <c:extLst>
            <c:ext xmlns:c16="http://schemas.microsoft.com/office/drawing/2014/chart" uri="{C3380CC4-5D6E-409C-BE32-E72D297353CC}">
              <c16:uniqueId val="{00000002-3D73-483F-B380-7546BF72670A}"/>
            </c:ext>
          </c:extLst>
        </c:ser>
        <c:ser>
          <c:idx val="1"/>
          <c:order val="3"/>
          <c:tx>
            <c:strRef>
              <c:f>slovak_republic_lz!$D$3</c:f>
              <c:strCache>
                <c:ptCount val="1"/>
                <c:pt idx="0">
                  <c:v>2016
Actual</c:v>
                </c:pt>
              </c:strCache>
            </c:strRef>
          </c:tx>
          <c:spPr>
            <a:solidFill>
              <a:srgbClr val="993366"/>
            </a:solidFill>
            <a:ln w="38100">
              <a:solidFill>
                <a:srgbClr val="993300"/>
              </a:solidFill>
              <a:prstDash val="solid"/>
            </a:ln>
          </c:spPr>
          <c:invertIfNegative val="0"/>
          <c:cat>
            <c:strRef>
              <c:f>slovak_republic_lz!$C$5:$C$16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slovak_republic_lz!$D$5:$D$16</c:f>
              <c:numCache>
                <c:formatCode>#,##0</c:formatCode>
                <c:ptCount val="12"/>
                <c:pt idx="0">
                  <c:v>74754.178899999999</c:v>
                </c:pt>
                <c:pt idx="1">
                  <c:v>69626.11559999999</c:v>
                </c:pt>
                <c:pt idx="2">
                  <c:v>79903.839599999992</c:v>
                </c:pt>
                <c:pt idx="3">
                  <c:v>85241.662100000001</c:v>
                </c:pt>
                <c:pt idx="4">
                  <c:v>96314.065000000002</c:v>
                </c:pt>
                <c:pt idx="5">
                  <c:v>107533.0876</c:v>
                </c:pt>
                <c:pt idx="6">
                  <c:v>125594.76640000001</c:v>
                </c:pt>
                <c:pt idx="7">
                  <c:v>124161.0192</c:v>
                </c:pt>
                <c:pt idx="8">
                  <c:v>112592.7258</c:v>
                </c:pt>
                <c:pt idx="9">
                  <c:v>100675.4406</c:v>
                </c:pt>
                <c:pt idx="10">
                  <c:v>0</c:v>
                </c:pt>
                <c:pt idx="11">
                  <c:v>0</c:v>
                </c:pt>
              </c:numCache>
            </c:numRef>
          </c:val>
          <c:extLst>
            <c:ext xmlns:c16="http://schemas.microsoft.com/office/drawing/2014/chart" uri="{C3380CC4-5D6E-409C-BE32-E72D297353CC}">
              <c16:uniqueId val="{00000003-3D73-483F-B380-7546BF72670A}"/>
            </c:ext>
          </c:extLst>
        </c:ser>
        <c:dLbls>
          <c:showLegendKey val="0"/>
          <c:showVal val="0"/>
          <c:showCatName val="0"/>
          <c:showSerName val="0"/>
          <c:showPercent val="0"/>
          <c:showBubbleSize val="0"/>
        </c:dLbls>
        <c:gapWidth val="300"/>
        <c:overlap val="30"/>
        <c:axId val="143123608"/>
        <c:axId val="1"/>
      </c:barChart>
      <c:catAx>
        <c:axId val="143123608"/>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in val="3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3123608"/>
        <c:crosses val="autoZero"/>
        <c:crossBetween val="between"/>
        <c:majorUnit val="10000"/>
        <c:minorUnit val="5000"/>
        <c:dispUnits>
          <c:builtInUnit val="thousands"/>
        </c:dispUnits>
      </c:valAx>
      <c:spPr>
        <a:noFill/>
        <a:ln w="25400">
          <a:noFill/>
        </a:ln>
      </c:spPr>
    </c:plotArea>
    <c:legend>
      <c:legendPos val="r"/>
      <c:layout>
        <c:manualLayout>
          <c:xMode val="edge"/>
          <c:yMode val="edge"/>
          <c:wMode val="edge"/>
          <c:hMode val="edge"/>
          <c:x val="0.37308533916849013"/>
          <c:y val="0.90989010989010988"/>
          <c:w val="0.6794310722100656"/>
          <c:h val="0.98901098901098905"/>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CROATIA CHARGING ZONE (LD)</a:t>
            </a:r>
          </a:p>
        </c:rich>
      </c:tx>
      <c:layout>
        <c:manualLayout>
          <c:xMode val="edge"/>
          <c:yMode val="edge"/>
          <c:x val="0.28272850509070979"/>
          <c:y val="3.0107651230421251E-2"/>
        </c:manualLayout>
      </c:layout>
      <c:overlay val="0"/>
      <c:spPr>
        <a:noFill/>
        <a:ln w="25400">
          <a:noFill/>
        </a:ln>
      </c:spPr>
    </c:title>
    <c:autoTitleDeleted val="0"/>
    <c:plotArea>
      <c:layout>
        <c:manualLayout>
          <c:layoutTarget val="inner"/>
          <c:xMode val="edge"/>
          <c:yMode val="edge"/>
          <c:x val="8.974932649123038E-2"/>
          <c:y val="0.13929521932606972"/>
          <c:w val="0.89749326491230375"/>
          <c:h val="0.58469598235634201"/>
        </c:manualLayout>
      </c:layout>
      <c:barChart>
        <c:barDir val="col"/>
        <c:grouping val="clustered"/>
        <c:varyColors val="0"/>
        <c:ser>
          <c:idx val="2"/>
          <c:order val="0"/>
          <c:tx>
            <c:strRef>
              <c:f>croatia_ld!$G$3</c:f>
              <c:strCache>
                <c:ptCount val="1"/>
                <c:pt idx="0">
                  <c:v>2014
Actual</c:v>
                </c:pt>
              </c:strCache>
            </c:strRef>
          </c:tx>
          <c:spPr>
            <a:solidFill>
              <a:srgbClr val="3366FF"/>
            </a:solidFill>
            <a:ln w="12700">
              <a:solidFill>
                <a:srgbClr val="3366FF"/>
              </a:solidFill>
              <a:prstDash val="solid"/>
            </a:ln>
          </c:spPr>
          <c:invertIfNegative val="0"/>
          <c:cat>
            <c:strRef>
              <c:f>croatia_ld!$C$5:$C$16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croatia_ld!$G$5:$G$16</c:f>
              <c:numCache>
                <c:formatCode>#,##0"  ";[Red]\-#,##0"  "</c:formatCode>
                <c:ptCount val="12"/>
                <c:pt idx="0">
                  <c:v>93033.308900000004</c:v>
                </c:pt>
                <c:pt idx="1">
                  <c:v>82931.454899999997</c:v>
                </c:pt>
                <c:pt idx="2">
                  <c:v>99397.744699999996</c:v>
                </c:pt>
                <c:pt idx="3">
                  <c:v>128188.50200000001</c:v>
                </c:pt>
                <c:pt idx="4">
                  <c:v>169511.64350000001</c:v>
                </c:pt>
                <c:pt idx="5">
                  <c:v>186335.90669999999</c:v>
                </c:pt>
                <c:pt idx="6">
                  <c:v>210263.6145</c:v>
                </c:pt>
                <c:pt idx="7">
                  <c:v>225420.2732</c:v>
                </c:pt>
                <c:pt idx="8">
                  <c:v>192448.60579999999</c:v>
                </c:pt>
                <c:pt idx="9">
                  <c:v>162687.27249999999</c:v>
                </c:pt>
                <c:pt idx="10">
                  <c:v>105030.2824</c:v>
                </c:pt>
                <c:pt idx="11">
                  <c:v>105174.92359999999</c:v>
                </c:pt>
              </c:numCache>
            </c:numRef>
          </c:val>
          <c:extLst>
            <c:ext xmlns:c16="http://schemas.microsoft.com/office/drawing/2014/chart" uri="{C3380CC4-5D6E-409C-BE32-E72D297353CC}">
              <c16:uniqueId val="{00000000-4176-4AEE-9E46-11CBFC661C17}"/>
            </c:ext>
          </c:extLst>
        </c:ser>
        <c:ser>
          <c:idx val="0"/>
          <c:order val="1"/>
          <c:tx>
            <c:strRef>
              <c:f>croatia_ld!$F$3</c:f>
              <c:strCache>
                <c:ptCount val="1"/>
                <c:pt idx="0">
                  <c:v>2015
Actual</c:v>
                </c:pt>
              </c:strCache>
            </c:strRef>
          </c:tx>
          <c:spPr>
            <a:solidFill>
              <a:srgbClr val="666699"/>
            </a:solidFill>
            <a:ln w="12700">
              <a:solidFill>
                <a:srgbClr val="666699"/>
              </a:solidFill>
              <a:prstDash val="solid"/>
            </a:ln>
          </c:spPr>
          <c:invertIfNegative val="0"/>
          <c:val>
            <c:numRef>
              <c:f>croatia_ld!$F$5:$F$16</c:f>
              <c:numCache>
                <c:formatCode>#,##0"  ";[Red]\-#,##0"  "</c:formatCode>
                <c:ptCount val="12"/>
                <c:pt idx="0">
                  <c:v>102789.96860000001</c:v>
                </c:pt>
                <c:pt idx="1">
                  <c:v>96847.503400000001</c:v>
                </c:pt>
                <c:pt idx="2">
                  <c:v>113319.10939999999</c:v>
                </c:pt>
                <c:pt idx="3">
                  <c:v>138283.47349999999</c:v>
                </c:pt>
                <c:pt idx="4">
                  <c:v>173961.0631</c:v>
                </c:pt>
                <c:pt idx="5">
                  <c:v>181284.47150000001</c:v>
                </c:pt>
                <c:pt idx="6">
                  <c:v>211409.43219999998</c:v>
                </c:pt>
                <c:pt idx="7">
                  <c:v>218695.1888</c:v>
                </c:pt>
                <c:pt idx="8">
                  <c:v>183551.65290000002</c:v>
                </c:pt>
                <c:pt idx="9">
                  <c:v>157478.78349999999</c:v>
                </c:pt>
                <c:pt idx="10">
                  <c:v>105496.1961</c:v>
                </c:pt>
                <c:pt idx="11">
                  <c:v>107093.1725</c:v>
                </c:pt>
              </c:numCache>
            </c:numRef>
          </c:val>
          <c:extLst>
            <c:ext xmlns:c16="http://schemas.microsoft.com/office/drawing/2014/chart" uri="{C3380CC4-5D6E-409C-BE32-E72D297353CC}">
              <c16:uniqueId val="{00000001-4176-4AEE-9E46-11CBFC661C17}"/>
            </c:ext>
          </c:extLst>
        </c:ser>
        <c:ser>
          <c:idx val="5"/>
          <c:order val="2"/>
          <c:tx>
            <c:strRef>
              <c:f>croatia_ld!$E$3</c:f>
              <c:strCache>
                <c:ptCount val="1"/>
                <c:pt idx="0">
                  <c:v>2016 Unit
Rate Basis</c:v>
                </c:pt>
              </c:strCache>
            </c:strRef>
          </c:tx>
          <c:spPr>
            <a:solidFill>
              <a:srgbClr val="FF8080"/>
            </a:solidFill>
            <a:ln w="25400">
              <a:solidFill>
                <a:srgbClr val="DD0806"/>
              </a:solidFill>
              <a:prstDash val="lgDash"/>
            </a:ln>
          </c:spPr>
          <c:invertIfNegative val="0"/>
          <c:cat>
            <c:strRef>
              <c:f>croatia_ld!$C$5:$C$16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croatia_ld!$E$5:$E$16</c:f>
              <c:numCache>
                <c:formatCode>#,##0"  ";[Red]\-#,##0"  "</c:formatCode>
                <c:ptCount val="12"/>
                <c:pt idx="0">
                  <c:v>102375.98517881826</c:v>
                </c:pt>
                <c:pt idx="1">
                  <c:v>96457.453073722892</c:v>
                </c:pt>
                <c:pt idx="2">
                  <c:v>112862.72018971395</c:v>
                </c:pt>
                <c:pt idx="3">
                  <c:v>137726.54108497806</c:v>
                </c:pt>
                <c:pt idx="4">
                  <c:v>173260.44029569891</c:v>
                </c:pt>
                <c:pt idx="5">
                  <c:v>180554.35389474279</c:v>
                </c:pt>
                <c:pt idx="6">
                  <c:v>210557.98724672029</c:v>
                </c:pt>
                <c:pt idx="7">
                  <c:v>217814.40068722484</c:v>
                </c:pt>
                <c:pt idx="8">
                  <c:v>182812.40429173544</c:v>
                </c:pt>
                <c:pt idx="9">
                  <c:v>156844.54256730192</c:v>
                </c:pt>
                <c:pt idx="10">
                  <c:v>105071.31343121456</c:v>
                </c:pt>
                <c:pt idx="11">
                  <c:v>106661.85805812791</c:v>
                </c:pt>
              </c:numCache>
            </c:numRef>
          </c:val>
          <c:extLst>
            <c:ext xmlns:c16="http://schemas.microsoft.com/office/drawing/2014/chart" uri="{C3380CC4-5D6E-409C-BE32-E72D297353CC}">
              <c16:uniqueId val="{00000002-4176-4AEE-9E46-11CBFC661C17}"/>
            </c:ext>
          </c:extLst>
        </c:ser>
        <c:ser>
          <c:idx val="1"/>
          <c:order val="3"/>
          <c:tx>
            <c:strRef>
              <c:f>croatia_ld!$D$3</c:f>
              <c:strCache>
                <c:ptCount val="1"/>
                <c:pt idx="0">
                  <c:v>2016
Actual</c:v>
                </c:pt>
              </c:strCache>
            </c:strRef>
          </c:tx>
          <c:spPr>
            <a:solidFill>
              <a:srgbClr val="993366"/>
            </a:solidFill>
            <a:ln w="38100">
              <a:solidFill>
                <a:srgbClr val="993300"/>
              </a:solidFill>
              <a:prstDash val="solid"/>
            </a:ln>
          </c:spPr>
          <c:invertIfNegative val="0"/>
          <c:cat>
            <c:strRef>
              <c:f>croatia_ld!$C$5:$C$16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croatia_ld!$D$5:$D$16</c:f>
              <c:numCache>
                <c:formatCode>#,##0</c:formatCode>
                <c:ptCount val="12"/>
                <c:pt idx="0">
                  <c:v>99113.028999999995</c:v>
                </c:pt>
                <c:pt idx="1">
                  <c:v>92284.575699999987</c:v>
                </c:pt>
                <c:pt idx="2">
                  <c:v>104352.6222</c:v>
                </c:pt>
                <c:pt idx="3">
                  <c:v>123383.7047</c:v>
                </c:pt>
                <c:pt idx="4">
                  <c:v>169124.26879999999</c:v>
                </c:pt>
                <c:pt idx="5">
                  <c:v>185649.9523</c:v>
                </c:pt>
                <c:pt idx="6">
                  <c:v>226455.47210000001</c:v>
                </c:pt>
                <c:pt idx="7">
                  <c:v>225708.38380000001</c:v>
                </c:pt>
                <c:pt idx="8">
                  <c:v>193979.7959</c:v>
                </c:pt>
                <c:pt idx="9">
                  <c:v>164779.77439999999</c:v>
                </c:pt>
                <c:pt idx="10">
                  <c:v>0</c:v>
                </c:pt>
                <c:pt idx="11">
                  <c:v>0</c:v>
                </c:pt>
              </c:numCache>
            </c:numRef>
          </c:val>
          <c:extLst>
            <c:ext xmlns:c16="http://schemas.microsoft.com/office/drawing/2014/chart" uri="{C3380CC4-5D6E-409C-BE32-E72D297353CC}">
              <c16:uniqueId val="{00000003-4176-4AEE-9E46-11CBFC661C17}"/>
            </c:ext>
          </c:extLst>
        </c:ser>
        <c:dLbls>
          <c:showLegendKey val="0"/>
          <c:showVal val="0"/>
          <c:showCatName val="0"/>
          <c:showSerName val="0"/>
          <c:showPercent val="0"/>
          <c:showBubbleSize val="0"/>
        </c:dLbls>
        <c:gapWidth val="300"/>
        <c:overlap val="30"/>
        <c:axId val="140726072"/>
        <c:axId val="1"/>
      </c:barChart>
      <c:catAx>
        <c:axId val="140726072"/>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At val="0"/>
        <c:auto val="0"/>
        <c:lblAlgn val="ctr"/>
        <c:lblOffset val="100"/>
        <c:tickLblSkip val="1"/>
        <c:tickMarkSkip val="1"/>
        <c:noMultiLvlLbl val="0"/>
      </c:catAx>
      <c:valAx>
        <c:axId val="1"/>
        <c:scaling>
          <c:orientation val="minMax"/>
          <c:min val="2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0726072"/>
        <c:crosses val="autoZero"/>
        <c:crossBetween val="between"/>
        <c:majorUnit val="20000"/>
        <c:minorUnit val="5000"/>
        <c:dispUnits>
          <c:builtInUnit val="thousands"/>
        </c:dispUnits>
      </c:valAx>
      <c:spPr>
        <a:noFill/>
        <a:ln w="25400">
          <a:noFill/>
        </a:ln>
      </c:spPr>
    </c:plotArea>
    <c:legend>
      <c:legendPos val="r"/>
      <c:layout>
        <c:manualLayout>
          <c:xMode val="edge"/>
          <c:yMode val="edge"/>
          <c:wMode val="edge"/>
          <c:hMode val="edge"/>
          <c:x val="0.37362660436676182"/>
          <c:y val="0.90496850960584563"/>
          <c:w val="0.68131902742926365"/>
          <c:h val="0.98488211651729274"/>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BULGARIA CHARGING ZONE (LB)</a:t>
            </a:r>
          </a:p>
        </c:rich>
      </c:tx>
      <c:layout>
        <c:manualLayout>
          <c:xMode val="edge"/>
          <c:yMode val="edge"/>
          <c:x val="0.28039450660772669"/>
          <c:y val="3.0107651230421251E-2"/>
        </c:manualLayout>
      </c:layout>
      <c:overlay val="0"/>
      <c:spPr>
        <a:noFill/>
        <a:ln w="25400">
          <a:noFill/>
        </a:ln>
      </c:spPr>
    </c:title>
    <c:autoTitleDeleted val="0"/>
    <c:plotArea>
      <c:layout>
        <c:manualLayout>
          <c:layoutTarget val="inner"/>
          <c:xMode val="edge"/>
          <c:yMode val="edge"/>
          <c:x val="8.9356158159150906E-2"/>
          <c:y val="0.13757552526031577"/>
          <c:w val="0.89794178542283998"/>
          <c:h val="0.58641567642209602"/>
        </c:manualLayout>
      </c:layout>
      <c:barChart>
        <c:barDir val="col"/>
        <c:grouping val="clustered"/>
        <c:varyColors val="0"/>
        <c:ser>
          <c:idx val="2"/>
          <c:order val="0"/>
          <c:tx>
            <c:strRef>
              <c:f>bulgaria_lb!$G$3</c:f>
              <c:strCache>
                <c:ptCount val="1"/>
                <c:pt idx="0">
                  <c:v>2014
Actual</c:v>
                </c:pt>
              </c:strCache>
            </c:strRef>
          </c:tx>
          <c:spPr>
            <a:solidFill>
              <a:srgbClr val="3366FF"/>
            </a:solidFill>
            <a:ln w="12700">
              <a:solidFill>
                <a:srgbClr val="3366FF"/>
              </a:solidFill>
              <a:prstDash val="solid"/>
            </a:ln>
          </c:spPr>
          <c:invertIfNegative val="0"/>
          <c:cat>
            <c:strRef>
              <c:f>bulgaria_lb!$C$5:$C$16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bulgaria_lb!$G$5:$G$16</c:f>
              <c:numCache>
                <c:formatCode>#,##0"  ";[Red]\-#,##0"  "</c:formatCode>
                <c:ptCount val="12"/>
                <c:pt idx="0">
                  <c:v>128374.0254</c:v>
                </c:pt>
                <c:pt idx="1">
                  <c:v>120021.2963</c:v>
                </c:pt>
                <c:pt idx="2">
                  <c:v>143858.09019999998</c:v>
                </c:pt>
                <c:pt idx="3">
                  <c:v>209946.81579999998</c:v>
                </c:pt>
                <c:pt idx="4">
                  <c:v>250288.44030000002</c:v>
                </c:pt>
                <c:pt idx="5">
                  <c:v>273666.01770000003</c:v>
                </c:pt>
                <c:pt idx="6">
                  <c:v>308058.5246</c:v>
                </c:pt>
                <c:pt idx="7">
                  <c:v>326986.81770000001</c:v>
                </c:pt>
                <c:pt idx="8">
                  <c:v>289743.56969999999</c:v>
                </c:pt>
                <c:pt idx="9">
                  <c:v>270024.65269999998</c:v>
                </c:pt>
                <c:pt idx="10">
                  <c:v>218499.40229999999</c:v>
                </c:pt>
                <c:pt idx="11">
                  <c:v>204138.1151</c:v>
                </c:pt>
              </c:numCache>
            </c:numRef>
          </c:val>
          <c:extLst>
            <c:ext xmlns:c16="http://schemas.microsoft.com/office/drawing/2014/chart" uri="{C3380CC4-5D6E-409C-BE32-E72D297353CC}">
              <c16:uniqueId val="{00000000-1B93-4ED3-9C20-D60A9C0E9E66}"/>
            </c:ext>
          </c:extLst>
        </c:ser>
        <c:ser>
          <c:idx val="0"/>
          <c:order val="1"/>
          <c:tx>
            <c:strRef>
              <c:f>bulgaria_lb!$F$3</c:f>
              <c:strCache>
                <c:ptCount val="1"/>
                <c:pt idx="0">
                  <c:v>2015
Actual</c:v>
                </c:pt>
              </c:strCache>
            </c:strRef>
          </c:tx>
          <c:spPr>
            <a:solidFill>
              <a:srgbClr val="666699"/>
            </a:solidFill>
            <a:ln w="12700">
              <a:solidFill>
                <a:srgbClr val="666699"/>
              </a:solidFill>
              <a:prstDash val="solid"/>
            </a:ln>
          </c:spPr>
          <c:invertIfNegative val="0"/>
          <c:val>
            <c:numRef>
              <c:f>bulgaria_lb!$F$5:$F$16</c:f>
              <c:numCache>
                <c:formatCode>#,##0"  ";[Red]\-#,##0"  "</c:formatCode>
                <c:ptCount val="12"/>
                <c:pt idx="0">
                  <c:v>211689.40699999998</c:v>
                </c:pt>
                <c:pt idx="1">
                  <c:v>189867.01209999999</c:v>
                </c:pt>
                <c:pt idx="2">
                  <c:v>221642.55299999999</c:v>
                </c:pt>
                <c:pt idx="3">
                  <c:v>243299.87469999999</c:v>
                </c:pt>
                <c:pt idx="4">
                  <c:v>281515.88789999997</c:v>
                </c:pt>
                <c:pt idx="5">
                  <c:v>307276.6275</c:v>
                </c:pt>
                <c:pt idx="6">
                  <c:v>341649.66639999999</c:v>
                </c:pt>
                <c:pt idx="7">
                  <c:v>357049.60610000003</c:v>
                </c:pt>
                <c:pt idx="8">
                  <c:v>318814.84639999998</c:v>
                </c:pt>
                <c:pt idx="9">
                  <c:v>295503.424</c:v>
                </c:pt>
                <c:pt idx="10">
                  <c:v>235359.70480000001</c:v>
                </c:pt>
                <c:pt idx="11">
                  <c:v>219081.05349999998</c:v>
                </c:pt>
              </c:numCache>
            </c:numRef>
          </c:val>
          <c:extLst>
            <c:ext xmlns:c16="http://schemas.microsoft.com/office/drawing/2014/chart" uri="{C3380CC4-5D6E-409C-BE32-E72D297353CC}">
              <c16:uniqueId val="{00000001-1B93-4ED3-9C20-D60A9C0E9E66}"/>
            </c:ext>
          </c:extLst>
        </c:ser>
        <c:ser>
          <c:idx val="5"/>
          <c:order val="2"/>
          <c:tx>
            <c:strRef>
              <c:f>bulgaria_lb!$E$3</c:f>
              <c:strCache>
                <c:ptCount val="1"/>
                <c:pt idx="0">
                  <c:v>2016 Unit
Rate Basis</c:v>
                </c:pt>
              </c:strCache>
            </c:strRef>
          </c:tx>
          <c:spPr>
            <a:solidFill>
              <a:srgbClr val="FF8080"/>
            </a:solidFill>
            <a:ln w="25400">
              <a:solidFill>
                <a:srgbClr val="DD0806"/>
              </a:solidFill>
              <a:prstDash val="lgDash"/>
            </a:ln>
          </c:spPr>
          <c:invertIfNegative val="0"/>
          <c:cat>
            <c:strRef>
              <c:f>bulgaria_lb!$C$5:$C$16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bulgaria_lb!$E$5:$E$16</c:f>
              <c:numCache>
                <c:formatCode>#,##0"  ";[Red]\-#,##0"  "</c:formatCode>
                <c:ptCount val="12"/>
                <c:pt idx="0">
                  <c:v>175184.45657779477</c:v>
                </c:pt>
                <c:pt idx="1">
                  <c:v>157125.24215625055</c:v>
                </c:pt>
                <c:pt idx="2">
                  <c:v>183421.22429309878</c:v>
                </c:pt>
                <c:pt idx="3">
                  <c:v>201343.83169567407</c:v>
                </c:pt>
                <c:pt idx="4">
                  <c:v>232969.65369541087</c:v>
                </c:pt>
                <c:pt idx="5">
                  <c:v>254288.06179066375</c:v>
                </c:pt>
                <c:pt idx="6">
                  <c:v>282733.61429119058</c:v>
                </c:pt>
                <c:pt idx="7">
                  <c:v>295477.89897651412</c:v>
                </c:pt>
                <c:pt idx="8">
                  <c:v>263836.56323208043</c:v>
                </c:pt>
                <c:pt idx="9">
                  <c:v>244545.09785800325</c:v>
                </c:pt>
                <c:pt idx="10">
                  <c:v>194772.9107942477</c:v>
                </c:pt>
                <c:pt idx="11">
                  <c:v>181301.44463907107</c:v>
                </c:pt>
              </c:numCache>
            </c:numRef>
          </c:val>
          <c:extLst>
            <c:ext xmlns:c16="http://schemas.microsoft.com/office/drawing/2014/chart" uri="{C3380CC4-5D6E-409C-BE32-E72D297353CC}">
              <c16:uniqueId val="{00000002-1B93-4ED3-9C20-D60A9C0E9E66}"/>
            </c:ext>
          </c:extLst>
        </c:ser>
        <c:ser>
          <c:idx val="1"/>
          <c:order val="3"/>
          <c:tx>
            <c:strRef>
              <c:f>bulgaria_lb!$D$3</c:f>
              <c:strCache>
                <c:ptCount val="1"/>
                <c:pt idx="0">
                  <c:v>2016
Actual</c:v>
                </c:pt>
              </c:strCache>
            </c:strRef>
          </c:tx>
          <c:spPr>
            <a:solidFill>
              <a:srgbClr val="993366"/>
            </a:solidFill>
            <a:ln w="38100">
              <a:solidFill>
                <a:srgbClr val="993300"/>
              </a:solidFill>
              <a:prstDash val="solid"/>
            </a:ln>
          </c:spPr>
          <c:invertIfNegative val="0"/>
          <c:cat>
            <c:strRef>
              <c:f>bulgaria_lb!$C$5:$C$16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bulgaria_lb!$D$5:$D$16</c:f>
              <c:numCache>
                <c:formatCode>#,##0</c:formatCode>
                <c:ptCount val="12"/>
                <c:pt idx="0">
                  <c:v>230860.6722</c:v>
                </c:pt>
                <c:pt idx="1">
                  <c:v>216522.52679999999</c:v>
                </c:pt>
                <c:pt idx="2">
                  <c:v>247694.95629999999</c:v>
                </c:pt>
                <c:pt idx="3">
                  <c:v>259215.7941</c:v>
                </c:pt>
                <c:pt idx="4">
                  <c:v>298440.39400000003</c:v>
                </c:pt>
                <c:pt idx="5">
                  <c:v>312406.7513</c:v>
                </c:pt>
                <c:pt idx="6">
                  <c:v>348142.99459999998</c:v>
                </c:pt>
                <c:pt idx="7">
                  <c:v>356179.78629999998</c:v>
                </c:pt>
                <c:pt idx="8">
                  <c:v>330125.16110000003</c:v>
                </c:pt>
                <c:pt idx="9">
                  <c:v>317997.8567</c:v>
                </c:pt>
                <c:pt idx="10">
                  <c:v>0</c:v>
                </c:pt>
                <c:pt idx="11">
                  <c:v>0</c:v>
                </c:pt>
              </c:numCache>
            </c:numRef>
          </c:val>
          <c:extLst>
            <c:ext xmlns:c16="http://schemas.microsoft.com/office/drawing/2014/chart" uri="{C3380CC4-5D6E-409C-BE32-E72D297353CC}">
              <c16:uniqueId val="{00000003-1B93-4ED3-9C20-D60A9C0E9E66}"/>
            </c:ext>
          </c:extLst>
        </c:ser>
        <c:dLbls>
          <c:showLegendKey val="0"/>
          <c:showVal val="0"/>
          <c:showCatName val="0"/>
          <c:showSerName val="0"/>
          <c:showPercent val="0"/>
          <c:showBubbleSize val="0"/>
        </c:dLbls>
        <c:gapWidth val="300"/>
        <c:overlap val="30"/>
        <c:axId val="140730336"/>
        <c:axId val="1"/>
      </c:barChart>
      <c:catAx>
        <c:axId val="140730336"/>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in val="6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0730336"/>
        <c:crosses val="autoZero"/>
        <c:crossBetween val="between"/>
        <c:majorUnit val="20000"/>
        <c:minorUnit val="5000"/>
        <c:dispUnits>
          <c:builtInUnit val="thousands"/>
        </c:dispUnits>
      </c:valAx>
      <c:spPr>
        <a:noFill/>
        <a:ln w="25400">
          <a:noFill/>
        </a:ln>
      </c:spPr>
    </c:plotArea>
    <c:legend>
      <c:legendPos val="r"/>
      <c:layout>
        <c:manualLayout>
          <c:xMode val="edge"/>
          <c:yMode val="edge"/>
          <c:wMode val="edge"/>
          <c:hMode val="edge"/>
          <c:x val="0.37061438043928718"/>
          <c:y val="0.90496850960584563"/>
          <c:w val="0.67653577842243406"/>
          <c:h val="0.98488211651729274"/>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FYROM CHARGING ZONE (LW)</a:t>
            </a:r>
          </a:p>
        </c:rich>
      </c:tx>
      <c:layout>
        <c:manualLayout>
          <c:xMode val="edge"/>
          <c:yMode val="edge"/>
          <c:x val="0.28915672786951296"/>
          <c:y val="3.0107651230421251E-2"/>
        </c:manualLayout>
      </c:layout>
      <c:overlay val="0"/>
      <c:spPr>
        <a:noFill/>
        <a:ln w="25400">
          <a:noFill/>
        </a:ln>
      </c:spPr>
    </c:title>
    <c:autoTitleDeleted val="0"/>
    <c:plotArea>
      <c:layout>
        <c:manualLayout>
          <c:layoutTarget val="inner"/>
          <c:xMode val="edge"/>
          <c:yMode val="edge"/>
          <c:x val="8.1471817489089521E-2"/>
          <c:y val="0.13474593264976004"/>
          <c:w val="0.9058261523192358"/>
          <c:h val="0.58641567642209602"/>
        </c:manualLayout>
      </c:layout>
      <c:barChart>
        <c:barDir val="col"/>
        <c:grouping val="clustered"/>
        <c:varyColors val="0"/>
        <c:ser>
          <c:idx val="2"/>
          <c:order val="0"/>
          <c:tx>
            <c:strRef>
              <c:f>fyrom_lw!$G$3</c:f>
              <c:strCache>
                <c:ptCount val="1"/>
                <c:pt idx="0">
                  <c:v>2014
Actual</c:v>
                </c:pt>
              </c:strCache>
            </c:strRef>
          </c:tx>
          <c:spPr>
            <a:solidFill>
              <a:srgbClr val="3366FF"/>
            </a:solidFill>
            <a:ln w="12700">
              <a:solidFill>
                <a:srgbClr val="3366FF"/>
              </a:solidFill>
              <a:prstDash val="solid"/>
            </a:ln>
          </c:spPr>
          <c:invertIfNegative val="0"/>
          <c:cat>
            <c:strRef>
              <c:f>fyrom_lw!$C$5:$C$16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fyrom_lw!$G$5:$G$16</c:f>
              <c:numCache>
                <c:formatCode>#,##0"  ";[Red]\-#,##0"  "</c:formatCode>
                <c:ptCount val="12"/>
                <c:pt idx="0">
                  <c:v>7924.0812000000005</c:v>
                </c:pt>
                <c:pt idx="1">
                  <c:v>6931.5022999999992</c:v>
                </c:pt>
                <c:pt idx="2">
                  <c:v>8374.4868999999999</c:v>
                </c:pt>
                <c:pt idx="3">
                  <c:v>14440.859899999999</c:v>
                </c:pt>
                <c:pt idx="4">
                  <c:v>23985.912700000001</c:v>
                </c:pt>
                <c:pt idx="5">
                  <c:v>29136.926899999999</c:v>
                </c:pt>
                <c:pt idx="6">
                  <c:v>33958.327700000002</c:v>
                </c:pt>
                <c:pt idx="7">
                  <c:v>35164.3269</c:v>
                </c:pt>
                <c:pt idx="8">
                  <c:v>30882.947899999999</c:v>
                </c:pt>
                <c:pt idx="9">
                  <c:v>27238.164399999998</c:v>
                </c:pt>
                <c:pt idx="10">
                  <c:v>15024.0537</c:v>
                </c:pt>
                <c:pt idx="11">
                  <c:v>13404.5476</c:v>
                </c:pt>
              </c:numCache>
            </c:numRef>
          </c:val>
          <c:extLst>
            <c:ext xmlns:c16="http://schemas.microsoft.com/office/drawing/2014/chart" uri="{C3380CC4-5D6E-409C-BE32-E72D297353CC}">
              <c16:uniqueId val="{00000000-A28B-4EBE-B673-7357A4C07836}"/>
            </c:ext>
          </c:extLst>
        </c:ser>
        <c:ser>
          <c:idx val="0"/>
          <c:order val="1"/>
          <c:tx>
            <c:strRef>
              <c:f>fyrom_lw!$F$3</c:f>
              <c:strCache>
                <c:ptCount val="1"/>
                <c:pt idx="0">
                  <c:v>2015
Actual</c:v>
                </c:pt>
              </c:strCache>
            </c:strRef>
          </c:tx>
          <c:spPr>
            <a:solidFill>
              <a:srgbClr val="666699"/>
            </a:solidFill>
            <a:ln w="12700">
              <a:solidFill>
                <a:srgbClr val="666699"/>
              </a:solidFill>
              <a:prstDash val="solid"/>
            </a:ln>
          </c:spPr>
          <c:invertIfNegative val="0"/>
          <c:val>
            <c:numRef>
              <c:f>fyrom_lw!$F$5:$F$16</c:f>
              <c:numCache>
                <c:formatCode>#,##0"  ";[Red]\-#,##0"  "</c:formatCode>
                <c:ptCount val="12"/>
                <c:pt idx="0">
                  <c:v>12116.752399999999</c:v>
                </c:pt>
                <c:pt idx="1">
                  <c:v>10381.903100000001</c:v>
                </c:pt>
                <c:pt idx="2">
                  <c:v>12938.895700000001</c:v>
                </c:pt>
                <c:pt idx="3">
                  <c:v>15918.438099999999</c:v>
                </c:pt>
                <c:pt idx="4">
                  <c:v>25318.684499999999</c:v>
                </c:pt>
                <c:pt idx="5">
                  <c:v>30866.8711</c:v>
                </c:pt>
                <c:pt idx="6">
                  <c:v>36935.255899999996</c:v>
                </c:pt>
                <c:pt idx="7">
                  <c:v>38588.117900000005</c:v>
                </c:pt>
                <c:pt idx="8">
                  <c:v>30710.3266</c:v>
                </c:pt>
                <c:pt idx="9">
                  <c:v>23600.601500000001</c:v>
                </c:pt>
                <c:pt idx="10">
                  <c:v>12333.799300000001</c:v>
                </c:pt>
                <c:pt idx="11">
                  <c:v>14278.732400000001</c:v>
                </c:pt>
              </c:numCache>
            </c:numRef>
          </c:val>
          <c:extLst>
            <c:ext xmlns:c16="http://schemas.microsoft.com/office/drawing/2014/chart" uri="{C3380CC4-5D6E-409C-BE32-E72D297353CC}">
              <c16:uniqueId val="{00000001-A28B-4EBE-B673-7357A4C07836}"/>
            </c:ext>
          </c:extLst>
        </c:ser>
        <c:ser>
          <c:idx val="5"/>
          <c:order val="2"/>
          <c:tx>
            <c:strRef>
              <c:f>fyrom_lw!$E$3</c:f>
              <c:strCache>
                <c:ptCount val="1"/>
                <c:pt idx="0">
                  <c:v>2016 Unit
Rate Basis</c:v>
                </c:pt>
              </c:strCache>
            </c:strRef>
          </c:tx>
          <c:spPr>
            <a:solidFill>
              <a:srgbClr val="FF8080"/>
            </a:solidFill>
            <a:ln w="25400">
              <a:solidFill>
                <a:srgbClr val="DD0806"/>
              </a:solidFill>
              <a:prstDash val="lgDash"/>
            </a:ln>
          </c:spPr>
          <c:invertIfNegative val="0"/>
          <c:cat>
            <c:strRef>
              <c:f>fyrom_lw!$C$5:$C$16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fyrom_lw!$E$5:$E$16</c:f>
              <c:numCache>
                <c:formatCode>#,##0"  ";[Red]\-#,##0"  "</c:formatCode>
                <c:ptCount val="12"/>
                <c:pt idx="0">
                  <c:v>12943.464391179628</c:v>
                </c:pt>
                <c:pt idx="1">
                  <c:v>11090.248331518884</c:v>
                </c:pt>
                <c:pt idx="2">
                  <c:v>13821.70157691241</c:v>
                </c:pt>
                <c:pt idx="3">
                  <c:v>17004.534706060935</c:v>
                </c:pt>
                <c:pt idx="4">
                  <c:v>27046.149037200896</c:v>
                </c:pt>
                <c:pt idx="5">
                  <c:v>32972.881986924287</c:v>
                </c:pt>
                <c:pt idx="6">
                  <c:v>39455.305657707198</c:v>
                </c:pt>
                <c:pt idx="7">
                  <c:v>41220.94051878879</c:v>
                </c:pt>
                <c:pt idx="8">
                  <c:v>32805.656636888663</c:v>
                </c:pt>
                <c:pt idx="9">
                  <c:v>25210.843222782249</c:v>
                </c:pt>
                <c:pt idx="10">
                  <c:v>13175.320149936071</c:v>
                </c:pt>
                <c:pt idx="11">
                  <c:v>15252.953784100009</c:v>
                </c:pt>
              </c:numCache>
            </c:numRef>
          </c:val>
          <c:extLst>
            <c:ext xmlns:c16="http://schemas.microsoft.com/office/drawing/2014/chart" uri="{C3380CC4-5D6E-409C-BE32-E72D297353CC}">
              <c16:uniqueId val="{00000002-A28B-4EBE-B673-7357A4C07836}"/>
            </c:ext>
          </c:extLst>
        </c:ser>
        <c:ser>
          <c:idx val="1"/>
          <c:order val="3"/>
          <c:tx>
            <c:strRef>
              <c:f>fyrom_lw!$D$3</c:f>
              <c:strCache>
                <c:ptCount val="1"/>
                <c:pt idx="0">
                  <c:v>2016
Actual</c:v>
                </c:pt>
              </c:strCache>
            </c:strRef>
          </c:tx>
          <c:spPr>
            <a:solidFill>
              <a:srgbClr val="993366"/>
            </a:solidFill>
            <a:ln w="38100">
              <a:solidFill>
                <a:srgbClr val="993300"/>
              </a:solidFill>
              <a:prstDash val="solid"/>
            </a:ln>
          </c:spPr>
          <c:invertIfNegative val="0"/>
          <c:cat>
            <c:strRef>
              <c:f>fyrom_lw!$C$5:$C$16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fyrom_lw!$D$5:$D$16</c:f>
              <c:numCache>
                <c:formatCode>#,##0</c:formatCode>
                <c:ptCount val="12"/>
                <c:pt idx="0">
                  <c:v>11631.634199999999</c:v>
                </c:pt>
                <c:pt idx="1">
                  <c:v>10118.677</c:v>
                </c:pt>
                <c:pt idx="2">
                  <c:v>12065.843999999999</c:v>
                </c:pt>
                <c:pt idx="3">
                  <c:v>14650.693499999999</c:v>
                </c:pt>
                <c:pt idx="4">
                  <c:v>22632.329300000001</c:v>
                </c:pt>
                <c:pt idx="5">
                  <c:v>27984.329599999997</c:v>
                </c:pt>
                <c:pt idx="6">
                  <c:v>35025.198899999996</c:v>
                </c:pt>
                <c:pt idx="7">
                  <c:v>35168.794099999999</c:v>
                </c:pt>
                <c:pt idx="8">
                  <c:v>31184.268699999997</c:v>
                </c:pt>
                <c:pt idx="9">
                  <c:v>23773.094100000002</c:v>
                </c:pt>
                <c:pt idx="10">
                  <c:v>0</c:v>
                </c:pt>
                <c:pt idx="11">
                  <c:v>0</c:v>
                </c:pt>
              </c:numCache>
            </c:numRef>
          </c:val>
          <c:extLst>
            <c:ext xmlns:c16="http://schemas.microsoft.com/office/drawing/2014/chart" uri="{C3380CC4-5D6E-409C-BE32-E72D297353CC}">
              <c16:uniqueId val="{00000003-A28B-4EBE-B673-7357A4C07836}"/>
            </c:ext>
          </c:extLst>
        </c:ser>
        <c:dLbls>
          <c:showLegendKey val="0"/>
          <c:showVal val="0"/>
          <c:showCatName val="0"/>
          <c:showSerName val="0"/>
          <c:showPercent val="0"/>
          <c:showBubbleSize val="0"/>
        </c:dLbls>
        <c:gapWidth val="300"/>
        <c:overlap val="30"/>
        <c:axId val="141236936"/>
        <c:axId val="1"/>
      </c:barChart>
      <c:catAx>
        <c:axId val="141236936"/>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At val="0"/>
        <c:auto val="0"/>
        <c:lblAlgn val="ctr"/>
        <c:lblOffset val="100"/>
        <c:tickLblSkip val="1"/>
        <c:tickMarkSkip val="1"/>
        <c:noMultiLvlLbl val="0"/>
      </c:catAx>
      <c:valAx>
        <c:axId val="1"/>
        <c:scaling>
          <c:orientation val="minMax"/>
          <c:min val="5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1236936"/>
        <c:crosses val="autoZero"/>
        <c:crossBetween val="between"/>
        <c:majorUnit val="5000"/>
        <c:minorUnit val="500"/>
        <c:dispUnits>
          <c:builtInUnit val="thousands"/>
        </c:dispUnits>
      </c:valAx>
      <c:spPr>
        <a:noFill/>
        <a:ln w="25400">
          <a:noFill/>
        </a:ln>
      </c:spPr>
    </c:plotArea>
    <c:legend>
      <c:legendPos val="r"/>
      <c:layout>
        <c:manualLayout>
          <c:xMode val="edge"/>
          <c:yMode val="edge"/>
          <c:wMode val="edge"/>
          <c:hMode val="edge"/>
          <c:x val="0.37810407446247546"/>
          <c:y val="0.90064885517819993"/>
          <c:w val="0.68397326744992082"/>
          <c:h val="0.98056246208964704"/>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MOLDOVA CHARGING ZONE (LU)</a:t>
            </a:r>
          </a:p>
        </c:rich>
      </c:tx>
      <c:layout>
        <c:manualLayout>
          <c:xMode val="edge"/>
          <c:yMode val="edge"/>
          <c:x val="0.27272737000740138"/>
          <c:y val="3.0107651230421251E-2"/>
        </c:manualLayout>
      </c:layout>
      <c:overlay val="0"/>
      <c:spPr>
        <a:noFill/>
        <a:ln w="25400">
          <a:noFill/>
        </a:ln>
      </c:spPr>
    </c:title>
    <c:autoTitleDeleted val="0"/>
    <c:plotArea>
      <c:layout>
        <c:manualLayout>
          <c:layoutTarget val="inner"/>
          <c:xMode val="edge"/>
          <c:yMode val="edge"/>
          <c:x val="8.4526290925474895E-2"/>
          <c:y val="0.13757552526031577"/>
          <c:w val="0.90161376987173214"/>
          <c:h val="0.58641567642209602"/>
        </c:manualLayout>
      </c:layout>
      <c:barChart>
        <c:barDir val="col"/>
        <c:grouping val="clustered"/>
        <c:varyColors val="0"/>
        <c:ser>
          <c:idx val="2"/>
          <c:order val="0"/>
          <c:tx>
            <c:strRef>
              <c:f>moldova_lu!$G$3</c:f>
              <c:strCache>
                <c:ptCount val="1"/>
                <c:pt idx="0">
                  <c:v>2014
Actual</c:v>
                </c:pt>
              </c:strCache>
            </c:strRef>
          </c:tx>
          <c:spPr>
            <a:solidFill>
              <a:srgbClr val="3366FF"/>
            </a:solidFill>
            <a:ln w="12700">
              <a:solidFill>
                <a:srgbClr val="3366FF"/>
              </a:solidFill>
              <a:prstDash val="solid"/>
            </a:ln>
          </c:spPr>
          <c:invertIfNegative val="0"/>
          <c:cat>
            <c:strRef>
              <c:f>moldova_lu!$C$5:$C$16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moldova_lu!$G$5:$G$16</c:f>
              <c:numCache>
                <c:formatCode>#,##0"  ";[Red]\-#,##0"  "</c:formatCode>
                <c:ptCount val="12"/>
                <c:pt idx="0">
                  <c:v>18034.796300000002</c:v>
                </c:pt>
                <c:pt idx="1">
                  <c:v>15418.9452</c:v>
                </c:pt>
                <c:pt idx="2">
                  <c:v>16826.667300000001</c:v>
                </c:pt>
                <c:pt idx="3">
                  <c:v>8510.5020000000004</c:v>
                </c:pt>
                <c:pt idx="4">
                  <c:v>11310.415300000001</c:v>
                </c:pt>
                <c:pt idx="5">
                  <c:v>14469.7081</c:v>
                </c:pt>
                <c:pt idx="6">
                  <c:v>12394.450700000001</c:v>
                </c:pt>
                <c:pt idx="7">
                  <c:v>10210.528999999999</c:v>
                </c:pt>
                <c:pt idx="8">
                  <c:v>8506.1031000000003</c:v>
                </c:pt>
                <c:pt idx="9">
                  <c:v>6043.527</c:v>
                </c:pt>
                <c:pt idx="10">
                  <c:v>4765.5178999999998</c:v>
                </c:pt>
                <c:pt idx="11">
                  <c:v>4576.0171</c:v>
                </c:pt>
              </c:numCache>
            </c:numRef>
          </c:val>
          <c:extLst>
            <c:ext xmlns:c16="http://schemas.microsoft.com/office/drawing/2014/chart" uri="{C3380CC4-5D6E-409C-BE32-E72D297353CC}">
              <c16:uniqueId val="{00000000-7277-43C9-86DB-D996FF0C0F89}"/>
            </c:ext>
          </c:extLst>
        </c:ser>
        <c:ser>
          <c:idx val="0"/>
          <c:order val="1"/>
          <c:tx>
            <c:strRef>
              <c:f>moldova_lu!$F$3</c:f>
              <c:strCache>
                <c:ptCount val="1"/>
                <c:pt idx="0">
                  <c:v>2015
Actual</c:v>
                </c:pt>
              </c:strCache>
            </c:strRef>
          </c:tx>
          <c:spPr>
            <a:solidFill>
              <a:srgbClr val="666699"/>
            </a:solidFill>
            <a:ln w="12700">
              <a:solidFill>
                <a:srgbClr val="666699"/>
              </a:solidFill>
              <a:prstDash val="solid"/>
            </a:ln>
          </c:spPr>
          <c:invertIfNegative val="0"/>
          <c:val>
            <c:numRef>
              <c:f>moldova_lu!$F$5:$F$16</c:f>
              <c:numCache>
                <c:formatCode>#,##0"  ";[Red]\-#,##0"  "</c:formatCode>
                <c:ptCount val="12"/>
                <c:pt idx="0">
                  <c:v>4185.7918</c:v>
                </c:pt>
                <c:pt idx="1">
                  <c:v>3621.4940000000001</c:v>
                </c:pt>
                <c:pt idx="2">
                  <c:v>4654.4231</c:v>
                </c:pt>
                <c:pt idx="3">
                  <c:v>5258.8782999999994</c:v>
                </c:pt>
                <c:pt idx="4">
                  <c:v>6724.8521999999994</c:v>
                </c:pt>
                <c:pt idx="5">
                  <c:v>8199.2702000000008</c:v>
                </c:pt>
                <c:pt idx="6">
                  <c:v>8573.8927999999996</c:v>
                </c:pt>
                <c:pt idx="7">
                  <c:v>8496.8306999999986</c:v>
                </c:pt>
                <c:pt idx="8">
                  <c:v>8013.8910999999998</c:v>
                </c:pt>
                <c:pt idx="9">
                  <c:v>7127.4784</c:v>
                </c:pt>
                <c:pt idx="10">
                  <c:v>5074.7676000000001</c:v>
                </c:pt>
                <c:pt idx="11">
                  <c:v>3884.7419</c:v>
                </c:pt>
              </c:numCache>
            </c:numRef>
          </c:val>
          <c:extLst>
            <c:ext xmlns:c16="http://schemas.microsoft.com/office/drawing/2014/chart" uri="{C3380CC4-5D6E-409C-BE32-E72D297353CC}">
              <c16:uniqueId val="{00000001-7277-43C9-86DB-D996FF0C0F89}"/>
            </c:ext>
          </c:extLst>
        </c:ser>
        <c:ser>
          <c:idx val="5"/>
          <c:order val="2"/>
          <c:tx>
            <c:strRef>
              <c:f>moldova_lu!$E$3</c:f>
              <c:strCache>
                <c:ptCount val="1"/>
                <c:pt idx="0">
                  <c:v>2016 Unit
Rate Basis</c:v>
                </c:pt>
              </c:strCache>
            </c:strRef>
          </c:tx>
          <c:spPr>
            <a:solidFill>
              <a:srgbClr val="FF8080"/>
            </a:solidFill>
            <a:ln w="25400">
              <a:solidFill>
                <a:srgbClr val="DD0806"/>
              </a:solidFill>
              <a:prstDash val="lgDash"/>
            </a:ln>
          </c:spPr>
          <c:invertIfNegative val="0"/>
          <c:cat>
            <c:strRef>
              <c:f>moldova_lu!$C$5:$C$16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moldova_lu!$E$5:$E$16</c:f>
              <c:numCache>
                <c:formatCode>#,##0"  ";[Red]\-#,##0"  "</c:formatCode>
                <c:ptCount val="12"/>
                <c:pt idx="0">
                  <c:v>4366.3244536433576</c:v>
                </c:pt>
                <c:pt idx="1">
                  <c:v>3777.6885632301864</c:v>
                </c:pt>
                <c:pt idx="2">
                  <c:v>4855.1677604061715</c:v>
                </c:pt>
                <c:pt idx="3">
                  <c:v>5485.693034236534</c:v>
                </c:pt>
                <c:pt idx="4">
                  <c:v>7014.8941970781552</c:v>
                </c:pt>
                <c:pt idx="5">
                  <c:v>8552.9036528499255</c:v>
                </c:pt>
                <c:pt idx="6">
                  <c:v>8943.6836766598644</c:v>
                </c:pt>
                <c:pt idx="7">
                  <c:v>8863.297898351655</c:v>
                </c:pt>
                <c:pt idx="8">
                  <c:v>8359.5291764785961</c:v>
                </c:pt>
                <c:pt idx="9">
                  <c:v>7434.8856124986496</c:v>
                </c:pt>
                <c:pt idx="10">
                  <c:v>5293.6416637915454</c:v>
                </c:pt>
                <c:pt idx="11">
                  <c:v>4052.2903107753609</c:v>
                </c:pt>
              </c:numCache>
            </c:numRef>
          </c:val>
          <c:extLst>
            <c:ext xmlns:c16="http://schemas.microsoft.com/office/drawing/2014/chart" uri="{C3380CC4-5D6E-409C-BE32-E72D297353CC}">
              <c16:uniqueId val="{00000002-7277-43C9-86DB-D996FF0C0F89}"/>
            </c:ext>
          </c:extLst>
        </c:ser>
        <c:ser>
          <c:idx val="1"/>
          <c:order val="3"/>
          <c:tx>
            <c:strRef>
              <c:f>moldova_lu!$D$3</c:f>
              <c:strCache>
                <c:ptCount val="1"/>
                <c:pt idx="0">
                  <c:v>2016
Actual</c:v>
                </c:pt>
              </c:strCache>
            </c:strRef>
          </c:tx>
          <c:spPr>
            <a:solidFill>
              <a:srgbClr val="993366"/>
            </a:solidFill>
            <a:ln w="38100">
              <a:solidFill>
                <a:srgbClr val="993300"/>
              </a:solidFill>
              <a:prstDash val="solid"/>
            </a:ln>
          </c:spPr>
          <c:invertIfNegative val="0"/>
          <c:cat>
            <c:strRef>
              <c:f>moldova_lu!$C$5:$C$16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moldova_lu!$D$5:$D$16</c:f>
              <c:numCache>
                <c:formatCode>#,##0</c:formatCode>
                <c:ptCount val="12"/>
                <c:pt idx="0">
                  <c:v>3995.1624999999999</c:v>
                </c:pt>
                <c:pt idx="1">
                  <c:v>3310.9092000000001</c:v>
                </c:pt>
                <c:pt idx="2">
                  <c:v>3969.2273</c:v>
                </c:pt>
                <c:pt idx="3">
                  <c:v>3908.9796999999999</c:v>
                </c:pt>
                <c:pt idx="4">
                  <c:v>4660.8872999999994</c:v>
                </c:pt>
                <c:pt idx="5">
                  <c:v>6228.6208999999999</c:v>
                </c:pt>
                <c:pt idx="6">
                  <c:v>7224.7864</c:v>
                </c:pt>
                <c:pt idx="7">
                  <c:v>7098.9389000000001</c:v>
                </c:pt>
                <c:pt idx="8">
                  <c:v>6058.0596999999998</c:v>
                </c:pt>
                <c:pt idx="9">
                  <c:v>5363.5504000000001</c:v>
                </c:pt>
                <c:pt idx="10">
                  <c:v>0</c:v>
                </c:pt>
                <c:pt idx="11">
                  <c:v>0</c:v>
                </c:pt>
              </c:numCache>
            </c:numRef>
          </c:val>
          <c:extLst>
            <c:ext xmlns:c16="http://schemas.microsoft.com/office/drawing/2014/chart" uri="{C3380CC4-5D6E-409C-BE32-E72D297353CC}">
              <c16:uniqueId val="{00000003-7277-43C9-86DB-D996FF0C0F89}"/>
            </c:ext>
          </c:extLst>
        </c:ser>
        <c:dLbls>
          <c:showLegendKey val="0"/>
          <c:showVal val="0"/>
          <c:showCatName val="0"/>
          <c:showSerName val="0"/>
          <c:showPercent val="0"/>
          <c:showBubbleSize val="0"/>
        </c:dLbls>
        <c:gapWidth val="300"/>
        <c:overlap val="30"/>
        <c:axId val="142381616"/>
        <c:axId val="1"/>
      </c:barChart>
      <c:catAx>
        <c:axId val="142381616"/>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At val="0"/>
        <c:auto val="0"/>
        <c:lblAlgn val="ctr"/>
        <c:lblOffset val="100"/>
        <c:tickLblSkip val="1"/>
        <c:tickMarkSkip val="1"/>
        <c:noMultiLvlLbl val="0"/>
      </c:catAx>
      <c:valAx>
        <c:axId val="1"/>
        <c:scaling>
          <c:orientation val="minMax"/>
          <c:max val="28000"/>
          <c:min val="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2381616"/>
        <c:crosses val="autoZero"/>
        <c:crossBetween val="between"/>
        <c:majorUnit val="2000"/>
        <c:minorUnit val="500"/>
        <c:dispUnits>
          <c:builtInUnit val="thousands"/>
        </c:dispUnits>
      </c:valAx>
      <c:spPr>
        <a:noFill/>
        <a:ln w="25400">
          <a:noFill/>
        </a:ln>
      </c:spPr>
    </c:plotArea>
    <c:legend>
      <c:legendPos val="r"/>
      <c:layout>
        <c:manualLayout>
          <c:xMode val="edge"/>
          <c:yMode val="edge"/>
          <c:wMode val="edge"/>
          <c:hMode val="edge"/>
          <c:x val="0.35787113247310676"/>
          <c:y val="0.90496850960584563"/>
          <c:w val="0.67610454695428079"/>
          <c:h val="0.98488211651729274"/>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FINLAND CHARGING ZONE (EF)</a:t>
            </a:r>
          </a:p>
        </c:rich>
      </c:tx>
      <c:layout>
        <c:manualLayout>
          <c:xMode val="edge"/>
          <c:yMode val="edge"/>
          <c:x val="0.28282872758154387"/>
          <c:y val="3.0172137573712374E-2"/>
        </c:manualLayout>
      </c:layout>
      <c:overlay val="0"/>
      <c:spPr>
        <a:noFill/>
        <a:ln w="25400">
          <a:noFill/>
        </a:ln>
      </c:spPr>
    </c:title>
    <c:autoTitleDeleted val="0"/>
    <c:plotArea>
      <c:layout>
        <c:manualLayout>
          <c:layoutTarget val="inner"/>
          <c:xMode val="edge"/>
          <c:yMode val="edge"/>
          <c:x val="8.3483035824059901E-2"/>
          <c:y val="0.13959500215424389"/>
          <c:w val="0.90305305418284121"/>
          <c:h val="0.58423093494183542"/>
        </c:manualLayout>
      </c:layout>
      <c:barChart>
        <c:barDir val="col"/>
        <c:grouping val="clustered"/>
        <c:varyColors val="0"/>
        <c:ser>
          <c:idx val="2"/>
          <c:order val="0"/>
          <c:tx>
            <c:strRef>
              <c:f>finland_ef!$G$3</c:f>
              <c:strCache>
                <c:ptCount val="1"/>
                <c:pt idx="0">
                  <c:v>2014
Actual</c:v>
                </c:pt>
              </c:strCache>
            </c:strRef>
          </c:tx>
          <c:spPr>
            <a:solidFill>
              <a:srgbClr val="3366FF"/>
            </a:solidFill>
            <a:ln w="12700">
              <a:solidFill>
                <a:srgbClr val="3366FF"/>
              </a:solidFill>
              <a:prstDash val="solid"/>
            </a:ln>
          </c:spPr>
          <c:invertIfNegative val="0"/>
          <c:cat>
            <c:strRef>
              <c:f>finland_ef!$C$5:$C$16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finland_ef!$G$5:$G$16</c:f>
              <c:numCache>
                <c:formatCode>#,##0"  ";[Red]\-#,##0"  "</c:formatCode>
                <c:ptCount val="12"/>
                <c:pt idx="0">
                  <c:v>63388.3289</c:v>
                </c:pt>
                <c:pt idx="1">
                  <c:v>58659.4202</c:v>
                </c:pt>
                <c:pt idx="2">
                  <c:v>68893.018299999996</c:v>
                </c:pt>
                <c:pt idx="3">
                  <c:v>66247.931799999991</c:v>
                </c:pt>
                <c:pt idx="4">
                  <c:v>67417.333200000008</c:v>
                </c:pt>
                <c:pt idx="5">
                  <c:v>65196.712500000001</c:v>
                </c:pt>
                <c:pt idx="6">
                  <c:v>60354.514300000003</c:v>
                </c:pt>
                <c:pt idx="7">
                  <c:v>68617.064799999993</c:v>
                </c:pt>
                <c:pt idx="8">
                  <c:v>68070.411099999998</c:v>
                </c:pt>
                <c:pt idx="9">
                  <c:v>71796.412800000006</c:v>
                </c:pt>
                <c:pt idx="10">
                  <c:v>69489.663400000005</c:v>
                </c:pt>
                <c:pt idx="11">
                  <c:v>67633.614200000011</c:v>
                </c:pt>
              </c:numCache>
            </c:numRef>
          </c:val>
          <c:extLst>
            <c:ext xmlns:c16="http://schemas.microsoft.com/office/drawing/2014/chart" uri="{C3380CC4-5D6E-409C-BE32-E72D297353CC}">
              <c16:uniqueId val="{00000000-DC99-4D2E-927A-F8B417FFA7D8}"/>
            </c:ext>
          </c:extLst>
        </c:ser>
        <c:ser>
          <c:idx val="0"/>
          <c:order val="1"/>
          <c:tx>
            <c:strRef>
              <c:f>finland_ef!$F$3</c:f>
              <c:strCache>
                <c:ptCount val="1"/>
                <c:pt idx="0">
                  <c:v>2015
Actual</c:v>
                </c:pt>
              </c:strCache>
            </c:strRef>
          </c:tx>
          <c:spPr>
            <a:solidFill>
              <a:srgbClr val="666699"/>
            </a:solidFill>
            <a:ln w="12700">
              <a:solidFill>
                <a:srgbClr val="666699"/>
              </a:solidFill>
              <a:prstDash val="solid"/>
            </a:ln>
          </c:spPr>
          <c:invertIfNegative val="0"/>
          <c:val>
            <c:numRef>
              <c:f>finland_ef!$F$5:$F$16</c:f>
              <c:numCache>
                <c:formatCode>#,##0"  ";[Red]\-#,##0"  "</c:formatCode>
                <c:ptCount val="12"/>
                <c:pt idx="0">
                  <c:v>63169.268000000004</c:v>
                </c:pt>
                <c:pt idx="1">
                  <c:v>57450.808300000004</c:v>
                </c:pt>
                <c:pt idx="2">
                  <c:v>67415.834799999997</c:v>
                </c:pt>
                <c:pt idx="3">
                  <c:v>63480.858999999997</c:v>
                </c:pt>
                <c:pt idx="4">
                  <c:v>68771.618600000002</c:v>
                </c:pt>
                <c:pt idx="5">
                  <c:v>65718.1302</c:v>
                </c:pt>
                <c:pt idx="6">
                  <c:v>60119.716399999998</c:v>
                </c:pt>
                <c:pt idx="7">
                  <c:v>62481.168100000003</c:v>
                </c:pt>
                <c:pt idx="8">
                  <c:v>68162.939500000008</c:v>
                </c:pt>
                <c:pt idx="9">
                  <c:v>64349.259599999998</c:v>
                </c:pt>
                <c:pt idx="10">
                  <c:v>59890.360399999998</c:v>
                </c:pt>
                <c:pt idx="11">
                  <c:v>59372.612099999998</c:v>
                </c:pt>
              </c:numCache>
            </c:numRef>
          </c:val>
          <c:extLst>
            <c:ext xmlns:c16="http://schemas.microsoft.com/office/drawing/2014/chart" uri="{C3380CC4-5D6E-409C-BE32-E72D297353CC}">
              <c16:uniqueId val="{00000001-DC99-4D2E-927A-F8B417FFA7D8}"/>
            </c:ext>
          </c:extLst>
        </c:ser>
        <c:ser>
          <c:idx val="5"/>
          <c:order val="2"/>
          <c:tx>
            <c:strRef>
              <c:f>finland_ef!$E$3</c:f>
              <c:strCache>
                <c:ptCount val="1"/>
                <c:pt idx="0">
                  <c:v>2016 Unit
Rate Basis</c:v>
                </c:pt>
              </c:strCache>
            </c:strRef>
          </c:tx>
          <c:spPr>
            <a:solidFill>
              <a:srgbClr val="FF8080"/>
            </a:solidFill>
            <a:ln w="25400">
              <a:solidFill>
                <a:srgbClr val="DD0806"/>
              </a:solidFill>
              <a:prstDash val="lgDash"/>
            </a:ln>
          </c:spPr>
          <c:invertIfNegative val="0"/>
          <c:cat>
            <c:strRef>
              <c:f>finland_ef!$C$5:$C$16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finland_ef!$E$5:$E$16</c:f>
              <c:numCache>
                <c:formatCode>#,##0"  ";[Red]\-#,##0"  "</c:formatCode>
                <c:ptCount val="12"/>
                <c:pt idx="0">
                  <c:v>67457.418544868677</c:v>
                </c:pt>
                <c:pt idx="1">
                  <c:v>61350.769827412209</c:v>
                </c:pt>
                <c:pt idx="2">
                  <c:v>71992.257131352584</c:v>
                </c:pt>
                <c:pt idx="3">
                  <c:v>67790.161430251072</c:v>
                </c:pt>
                <c:pt idx="4">
                  <c:v>73440.076271079728</c:v>
                </c:pt>
                <c:pt idx="5">
                  <c:v>70179.306413485334</c:v>
                </c:pt>
                <c:pt idx="6">
                  <c:v>64200.852731008454</c:v>
                </c:pt>
                <c:pt idx="7">
                  <c:v>66722.608020311352</c:v>
                </c:pt>
                <c:pt idx="8">
                  <c:v>72790.0779078216</c:v>
                </c:pt>
                <c:pt idx="9">
                  <c:v>68717.512096065577</c:v>
                </c:pt>
                <c:pt idx="10">
                  <c:v>63955.927244650484</c:v>
                </c:pt>
                <c:pt idx="11">
                  <c:v>63403.03238169285</c:v>
                </c:pt>
              </c:numCache>
            </c:numRef>
          </c:val>
          <c:extLst>
            <c:ext xmlns:c16="http://schemas.microsoft.com/office/drawing/2014/chart" uri="{C3380CC4-5D6E-409C-BE32-E72D297353CC}">
              <c16:uniqueId val="{00000002-DC99-4D2E-927A-F8B417FFA7D8}"/>
            </c:ext>
          </c:extLst>
        </c:ser>
        <c:ser>
          <c:idx val="1"/>
          <c:order val="3"/>
          <c:tx>
            <c:strRef>
              <c:f>finland_ef!$D$3</c:f>
              <c:strCache>
                <c:ptCount val="1"/>
                <c:pt idx="0">
                  <c:v>2016
Actual</c:v>
                </c:pt>
              </c:strCache>
            </c:strRef>
          </c:tx>
          <c:spPr>
            <a:solidFill>
              <a:srgbClr val="993366"/>
            </a:solidFill>
            <a:ln w="38100">
              <a:solidFill>
                <a:srgbClr val="993300"/>
              </a:solidFill>
              <a:prstDash val="solid"/>
            </a:ln>
          </c:spPr>
          <c:invertIfNegative val="0"/>
          <c:cat>
            <c:strRef>
              <c:f>finland_ef!$C$5:$C$16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finland_ef!$D$5:$D$16</c:f>
              <c:numCache>
                <c:formatCode>#,##0</c:formatCode>
                <c:ptCount val="12"/>
                <c:pt idx="0">
                  <c:v>58625.866800000003</c:v>
                </c:pt>
                <c:pt idx="1">
                  <c:v>60380.986599999997</c:v>
                </c:pt>
                <c:pt idx="2">
                  <c:v>65369.893099999994</c:v>
                </c:pt>
                <c:pt idx="3">
                  <c:v>61944.589899999999</c:v>
                </c:pt>
                <c:pt idx="4">
                  <c:v>63872.157499999994</c:v>
                </c:pt>
                <c:pt idx="5">
                  <c:v>58643.1682</c:v>
                </c:pt>
                <c:pt idx="6">
                  <c:v>61768.681299999997</c:v>
                </c:pt>
                <c:pt idx="7">
                  <c:v>66574.163499999995</c:v>
                </c:pt>
                <c:pt idx="8">
                  <c:v>66013.990900000004</c:v>
                </c:pt>
                <c:pt idx="9">
                  <c:v>66533.398300000001</c:v>
                </c:pt>
                <c:pt idx="10">
                  <c:v>0</c:v>
                </c:pt>
                <c:pt idx="11">
                  <c:v>0</c:v>
                </c:pt>
              </c:numCache>
            </c:numRef>
          </c:val>
          <c:extLst>
            <c:ext xmlns:c16="http://schemas.microsoft.com/office/drawing/2014/chart" uri="{C3380CC4-5D6E-409C-BE32-E72D297353CC}">
              <c16:uniqueId val="{00000003-DC99-4D2E-927A-F8B417FFA7D8}"/>
            </c:ext>
          </c:extLst>
        </c:ser>
        <c:dLbls>
          <c:showLegendKey val="0"/>
          <c:showVal val="0"/>
          <c:showCatName val="0"/>
          <c:showSerName val="0"/>
          <c:showPercent val="0"/>
          <c:showBubbleSize val="0"/>
        </c:dLbls>
        <c:gapWidth val="300"/>
        <c:overlap val="30"/>
        <c:axId val="141239232"/>
        <c:axId val="1"/>
      </c:barChart>
      <c:catAx>
        <c:axId val="141239232"/>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85000"/>
          <c:min val="45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1239232"/>
        <c:crosses val="autoZero"/>
        <c:crossBetween val="between"/>
        <c:majorUnit val="5000"/>
        <c:minorUnit val="1000"/>
        <c:dispUnits>
          <c:builtInUnit val="thousands"/>
        </c:dispUnits>
      </c:valAx>
      <c:spPr>
        <a:noFill/>
        <a:ln w="25400">
          <a:noFill/>
        </a:ln>
      </c:spPr>
    </c:plotArea>
    <c:legend>
      <c:legendPos val="r"/>
      <c:layout>
        <c:manualLayout>
          <c:xMode val="edge"/>
          <c:yMode val="edge"/>
          <c:wMode val="edge"/>
          <c:hMode val="edge"/>
          <c:x val="0.36978579481397972"/>
          <c:y val="0.90476372271647854"/>
          <c:w val="0.6843291995490417"/>
          <c:h val="0.98485053004738032"/>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horizontalDpi="-3" verticalDpi="300"/>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ALBANIA CHARGING ZONE (LA)</a:t>
            </a:r>
          </a:p>
        </c:rich>
      </c:tx>
      <c:layout>
        <c:manualLayout>
          <c:xMode val="edge"/>
          <c:yMode val="edge"/>
          <c:x val="0.28663795845329659"/>
          <c:y val="3.1390134529147982E-2"/>
        </c:manualLayout>
      </c:layout>
      <c:overlay val="0"/>
      <c:spPr>
        <a:noFill/>
        <a:ln w="25400">
          <a:noFill/>
        </a:ln>
      </c:spPr>
    </c:title>
    <c:autoTitleDeleted val="0"/>
    <c:plotArea>
      <c:layout>
        <c:manualLayout>
          <c:layoutTarget val="inner"/>
          <c:xMode val="edge"/>
          <c:yMode val="edge"/>
          <c:x val="8.1878948480882688E-2"/>
          <c:y val="0.1398476019722098"/>
          <c:w val="0.90583973529902839"/>
          <c:h val="0.5737337516808606"/>
        </c:manualLayout>
      </c:layout>
      <c:barChart>
        <c:barDir val="col"/>
        <c:grouping val="clustered"/>
        <c:varyColors val="0"/>
        <c:ser>
          <c:idx val="0"/>
          <c:order val="0"/>
          <c:tx>
            <c:strRef>
              <c:f>albania_la!$G$3</c:f>
              <c:strCache>
                <c:ptCount val="1"/>
                <c:pt idx="0">
                  <c:v>2014
Actual</c:v>
                </c:pt>
              </c:strCache>
            </c:strRef>
          </c:tx>
          <c:spPr>
            <a:solidFill>
              <a:srgbClr val="3366FF"/>
            </a:solidFill>
            <a:ln w="12700">
              <a:solidFill>
                <a:srgbClr val="3366FF"/>
              </a:solidFill>
              <a:prstDash val="solid"/>
            </a:ln>
          </c:spPr>
          <c:invertIfNegative val="0"/>
          <c:cat>
            <c:strRef>
              <c:f>albania_la!$C$5:$C$16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albania_la!$G$5:$G$16</c:f>
              <c:numCache>
                <c:formatCode>#,##0"  ";[Red]\-#,##0"  "</c:formatCode>
                <c:ptCount val="12"/>
                <c:pt idx="0">
                  <c:v>26420.519499999999</c:v>
                </c:pt>
                <c:pt idx="1">
                  <c:v>22921.839899999999</c:v>
                </c:pt>
                <c:pt idx="2">
                  <c:v>27230.041299999997</c:v>
                </c:pt>
                <c:pt idx="3">
                  <c:v>32757.516900000002</c:v>
                </c:pt>
                <c:pt idx="4">
                  <c:v>42727.846300000005</c:v>
                </c:pt>
                <c:pt idx="5">
                  <c:v>48264.784400000004</c:v>
                </c:pt>
                <c:pt idx="6">
                  <c:v>55180.029199999997</c:v>
                </c:pt>
                <c:pt idx="7">
                  <c:v>60596.857600000003</c:v>
                </c:pt>
                <c:pt idx="8">
                  <c:v>50627.391099999993</c:v>
                </c:pt>
                <c:pt idx="9">
                  <c:v>42714.889799999997</c:v>
                </c:pt>
                <c:pt idx="10">
                  <c:v>29969.303600000003</c:v>
                </c:pt>
                <c:pt idx="11">
                  <c:v>29388.2412</c:v>
                </c:pt>
              </c:numCache>
            </c:numRef>
          </c:val>
          <c:extLst>
            <c:ext xmlns:c16="http://schemas.microsoft.com/office/drawing/2014/chart" uri="{C3380CC4-5D6E-409C-BE32-E72D297353CC}">
              <c16:uniqueId val="{00000000-7177-4FD4-8227-9E461D4DBA59}"/>
            </c:ext>
          </c:extLst>
        </c:ser>
        <c:ser>
          <c:idx val="1"/>
          <c:order val="1"/>
          <c:tx>
            <c:strRef>
              <c:f>albania_la!$F$3</c:f>
              <c:strCache>
                <c:ptCount val="1"/>
                <c:pt idx="0">
                  <c:v>2015
Actual</c:v>
                </c:pt>
              </c:strCache>
            </c:strRef>
          </c:tx>
          <c:spPr>
            <a:solidFill>
              <a:srgbClr val="666699"/>
            </a:solidFill>
            <a:ln w="12700">
              <a:solidFill>
                <a:srgbClr val="666699"/>
              </a:solidFill>
              <a:prstDash val="solid"/>
            </a:ln>
          </c:spPr>
          <c:invertIfNegative val="0"/>
          <c:val>
            <c:numRef>
              <c:f>albania_la!$F$5:$F$16</c:f>
              <c:numCache>
                <c:formatCode>#,##0"  ";[Red]\-#,##0"  "</c:formatCode>
                <c:ptCount val="12"/>
                <c:pt idx="0">
                  <c:v>28194.462299999999</c:v>
                </c:pt>
                <c:pt idx="1">
                  <c:v>25879.731500000002</c:v>
                </c:pt>
                <c:pt idx="2">
                  <c:v>30050.168100000003</c:v>
                </c:pt>
                <c:pt idx="3">
                  <c:v>37318.977899999998</c:v>
                </c:pt>
                <c:pt idx="4">
                  <c:v>44872.5245</c:v>
                </c:pt>
                <c:pt idx="5">
                  <c:v>47799.541499999999</c:v>
                </c:pt>
                <c:pt idx="6">
                  <c:v>59104.099200000004</c:v>
                </c:pt>
                <c:pt idx="7">
                  <c:v>60488.643199999999</c:v>
                </c:pt>
                <c:pt idx="8">
                  <c:v>50111.486400000002</c:v>
                </c:pt>
                <c:pt idx="9">
                  <c:v>42012.098900000005</c:v>
                </c:pt>
                <c:pt idx="10">
                  <c:v>28952.791800000003</c:v>
                </c:pt>
                <c:pt idx="11">
                  <c:v>29641.4195</c:v>
                </c:pt>
              </c:numCache>
            </c:numRef>
          </c:val>
          <c:extLst>
            <c:ext xmlns:c16="http://schemas.microsoft.com/office/drawing/2014/chart" uri="{C3380CC4-5D6E-409C-BE32-E72D297353CC}">
              <c16:uniqueId val="{00000001-7177-4FD4-8227-9E461D4DBA59}"/>
            </c:ext>
          </c:extLst>
        </c:ser>
        <c:ser>
          <c:idx val="2"/>
          <c:order val="2"/>
          <c:tx>
            <c:strRef>
              <c:f>albania_la!$E$3</c:f>
              <c:strCache>
                <c:ptCount val="1"/>
                <c:pt idx="0">
                  <c:v>2016 Unit
Rate Basis *</c:v>
                </c:pt>
              </c:strCache>
            </c:strRef>
          </c:tx>
          <c:spPr>
            <a:solidFill>
              <a:srgbClr val="FF8080"/>
            </a:solidFill>
            <a:ln w="25400">
              <a:solidFill>
                <a:srgbClr val="DD0806"/>
              </a:solidFill>
              <a:prstDash val="lgDash"/>
            </a:ln>
          </c:spPr>
          <c:invertIfNegative val="0"/>
          <c:val>
            <c:numRef>
              <c:f>albania_la!$E$5:$E$16</c:f>
              <c:numCache>
                <c:formatCode>#,##0"  ";[Red]\-#,##0"  "</c:formatCode>
                <c:ptCount val="12"/>
                <c:pt idx="0">
                  <c:v>26132.608520640901</c:v>
                </c:pt>
                <c:pt idx="1">
                  <c:v>23987.153388940453</c:v>
                </c:pt>
                <c:pt idx="2">
                  <c:v>27852.607032578577</c:v>
                </c:pt>
                <c:pt idx="3">
                  <c:v>34589.850640675264</c:v>
                </c:pt>
                <c:pt idx="4">
                  <c:v>41591.008319792207</c:v>
                </c:pt>
                <c:pt idx="5">
                  <c:v>44303.973319102042</c:v>
                </c:pt>
                <c:pt idx="6">
                  <c:v>54781.831620840145</c:v>
                </c:pt>
                <c:pt idx="7">
                  <c:v>56065.12427407872</c:v>
                </c:pt>
                <c:pt idx="8">
                  <c:v>46446.846282953265</c:v>
                </c:pt>
                <c:pt idx="9">
                  <c:v>38939.76490852065</c:v>
                </c:pt>
                <c:pt idx="10">
                  <c:v>26835.481579268213</c:v>
                </c:pt>
                <c:pt idx="11">
                  <c:v>27473.750112609574</c:v>
                </c:pt>
              </c:numCache>
            </c:numRef>
          </c:val>
          <c:extLst>
            <c:ext xmlns:c16="http://schemas.microsoft.com/office/drawing/2014/chart" uri="{C3380CC4-5D6E-409C-BE32-E72D297353CC}">
              <c16:uniqueId val="{00000002-7177-4FD4-8227-9E461D4DBA59}"/>
            </c:ext>
          </c:extLst>
        </c:ser>
        <c:ser>
          <c:idx val="3"/>
          <c:order val="3"/>
          <c:tx>
            <c:strRef>
              <c:f>albania_la!$D$3</c:f>
              <c:strCache>
                <c:ptCount val="1"/>
                <c:pt idx="0">
                  <c:v>2016
Actual</c:v>
                </c:pt>
              </c:strCache>
            </c:strRef>
          </c:tx>
          <c:spPr>
            <a:solidFill>
              <a:srgbClr val="993366"/>
            </a:solidFill>
            <a:ln w="38100">
              <a:solidFill>
                <a:srgbClr val="993300"/>
              </a:solidFill>
              <a:prstDash val="solid"/>
            </a:ln>
          </c:spPr>
          <c:invertIfNegative val="0"/>
          <c:val>
            <c:numRef>
              <c:f>albania_la!$D$5:$D$16</c:f>
              <c:numCache>
                <c:formatCode>#,##0</c:formatCode>
                <c:ptCount val="12"/>
                <c:pt idx="0">
                  <c:v>25844.762999999999</c:v>
                </c:pt>
                <c:pt idx="1">
                  <c:v>23940.481400000001</c:v>
                </c:pt>
                <c:pt idx="2">
                  <c:v>25865.022300000001</c:v>
                </c:pt>
                <c:pt idx="3">
                  <c:v>30196.1325</c:v>
                </c:pt>
                <c:pt idx="4">
                  <c:v>41497.3122</c:v>
                </c:pt>
                <c:pt idx="5">
                  <c:v>47401.957399999999</c:v>
                </c:pt>
                <c:pt idx="6">
                  <c:v>57830.530199999994</c:v>
                </c:pt>
                <c:pt idx="7">
                  <c:v>56096.132000000005</c:v>
                </c:pt>
                <c:pt idx="8">
                  <c:v>46889.957699999999</c:v>
                </c:pt>
                <c:pt idx="9">
                  <c:v>37803.54</c:v>
                </c:pt>
                <c:pt idx="10">
                  <c:v>0</c:v>
                </c:pt>
                <c:pt idx="11">
                  <c:v>0</c:v>
                </c:pt>
              </c:numCache>
            </c:numRef>
          </c:val>
          <c:extLst>
            <c:ext xmlns:c16="http://schemas.microsoft.com/office/drawing/2014/chart" uri="{C3380CC4-5D6E-409C-BE32-E72D297353CC}">
              <c16:uniqueId val="{00000003-7177-4FD4-8227-9E461D4DBA59}"/>
            </c:ext>
          </c:extLst>
        </c:ser>
        <c:dLbls>
          <c:showLegendKey val="0"/>
          <c:showVal val="0"/>
          <c:showCatName val="0"/>
          <c:showSerName val="0"/>
          <c:showPercent val="0"/>
          <c:showBubbleSize val="0"/>
        </c:dLbls>
        <c:gapWidth val="300"/>
        <c:overlap val="30"/>
        <c:axId val="140080064"/>
        <c:axId val="1"/>
      </c:barChart>
      <c:catAx>
        <c:axId val="140080064"/>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At val="0"/>
        <c:auto val="0"/>
        <c:lblAlgn val="ctr"/>
        <c:lblOffset val="100"/>
        <c:tickLblSkip val="1"/>
        <c:tickMarkSkip val="1"/>
        <c:noMultiLvlLbl val="0"/>
      </c:catAx>
      <c:valAx>
        <c:axId val="1"/>
        <c:scaling>
          <c:orientation val="minMax"/>
          <c:min val="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0080064"/>
        <c:crosses val="autoZero"/>
        <c:crossBetween val="between"/>
        <c:majorUnit val="5000"/>
        <c:minorUnit val="1000"/>
        <c:dispUnits>
          <c:builtInUnit val="thousands"/>
        </c:dispUnits>
      </c:valAx>
      <c:spPr>
        <a:noFill/>
        <a:ln w="25400">
          <a:noFill/>
        </a:ln>
      </c:spPr>
    </c:plotArea>
    <c:legend>
      <c:legendPos val="r"/>
      <c:layout>
        <c:manualLayout>
          <c:xMode val="edge"/>
          <c:yMode val="edge"/>
          <c:wMode val="edge"/>
          <c:hMode val="edge"/>
          <c:x val="0.36670201261723212"/>
          <c:y val="0.89686098654708524"/>
          <c:w val="0.66912572703965223"/>
          <c:h val="0.97982062780269064"/>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BOSNIA HERZEGOVINA CHARGING ZONE (LQ)</a:t>
            </a:r>
          </a:p>
        </c:rich>
      </c:tx>
      <c:layout>
        <c:manualLayout>
          <c:xMode val="edge"/>
          <c:yMode val="edge"/>
          <c:x val="0.25052172802723982"/>
          <c:y val="3.111111111111111E-2"/>
        </c:manualLayout>
      </c:layout>
      <c:overlay val="0"/>
      <c:spPr>
        <a:noFill/>
        <a:ln w="25400">
          <a:noFill/>
        </a:ln>
      </c:spPr>
    </c:title>
    <c:autoTitleDeleted val="0"/>
    <c:plotArea>
      <c:layout>
        <c:manualLayout>
          <c:layoutTarget val="inner"/>
          <c:xMode val="edge"/>
          <c:yMode val="edge"/>
          <c:x val="8.5159713299435905E-2"/>
          <c:y val="0.14915434912741171"/>
          <c:w val="0.90252602868559528"/>
          <c:h val="0.57574536261957066"/>
        </c:manualLayout>
      </c:layout>
      <c:barChart>
        <c:barDir val="col"/>
        <c:grouping val="clustered"/>
        <c:varyColors val="0"/>
        <c:ser>
          <c:idx val="0"/>
          <c:order val="0"/>
          <c:tx>
            <c:strRef>
              <c:f>bosnia_herzegovina_lq!$G$3</c:f>
              <c:strCache>
                <c:ptCount val="1"/>
                <c:pt idx="0">
                  <c:v>2014
Actual</c:v>
                </c:pt>
              </c:strCache>
            </c:strRef>
          </c:tx>
          <c:spPr>
            <a:solidFill>
              <a:srgbClr val="3366FF"/>
            </a:solidFill>
            <a:ln w="12700">
              <a:solidFill>
                <a:srgbClr val="3366FF"/>
              </a:solidFill>
              <a:prstDash val="solid"/>
            </a:ln>
          </c:spPr>
          <c:invertIfNegative val="0"/>
          <c:cat>
            <c:strRef>
              <c:f>bosnia_herzegovina_lq!$C$5:$C$16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bosnia_herzegovina_lq!$G$5:$G$16</c:f>
              <c:numCache>
                <c:formatCode>#,##0"  ";[Red]\-#,##0"  "</c:formatCode>
                <c:ptCount val="12"/>
                <c:pt idx="0">
                  <c:v>38964.1518</c:v>
                </c:pt>
                <c:pt idx="1">
                  <c:v>34594.244700000003</c:v>
                </c:pt>
                <c:pt idx="2">
                  <c:v>40954.808800000006</c:v>
                </c:pt>
                <c:pt idx="3">
                  <c:v>54512.0236</c:v>
                </c:pt>
                <c:pt idx="4">
                  <c:v>73070.362899999993</c:v>
                </c:pt>
                <c:pt idx="5">
                  <c:v>80706.307799999995</c:v>
                </c:pt>
                <c:pt idx="6">
                  <c:v>90078.376300000004</c:v>
                </c:pt>
                <c:pt idx="7">
                  <c:v>92706.682499999995</c:v>
                </c:pt>
                <c:pt idx="8">
                  <c:v>80761.622400000007</c:v>
                </c:pt>
                <c:pt idx="9">
                  <c:v>83949.626600000003</c:v>
                </c:pt>
                <c:pt idx="10">
                  <c:v>57761.988699999994</c:v>
                </c:pt>
                <c:pt idx="11">
                  <c:v>54809.525600000001</c:v>
                </c:pt>
              </c:numCache>
            </c:numRef>
          </c:val>
          <c:extLst>
            <c:ext xmlns:c16="http://schemas.microsoft.com/office/drawing/2014/chart" uri="{C3380CC4-5D6E-409C-BE32-E72D297353CC}">
              <c16:uniqueId val="{00000000-9314-489C-9ED2-07D328066DA7}"/>
            </c:ext>
          </c:extLst>
        </c:ser>
        <c:ser>
          <c:idx val="1"/>
          <c:order val="1"/>
          <c:tx>
            <c:strRef>
              <c:f>bosnia_herzegovina_lq!$F$3</c:f>
              <c:strCache>
                <c:ptCount val="1"/>
                <c:pt idx="0">
                  <c:v>2015
Actual</c:v>
                </c:pt>
              </c:strCache>
            </c:strRef>
          </c:tx>
          <c:spPr>
            <a:solidFill>
              <a:srgbClr val="666699"/>
            </a:solidFill>
            <a:ln w="12700">
              <a:solidFill>
                <a:srgbClr val="666699"/>
              </a:solidFill>
              <a:prstDash val="solid"/>
            </a:ln>
          </c:spPr>
          <c:invertIfNegative val="0"/>
          <c:val>
            <c:numRef>
              <c:f>bosnia_herzegovina_lq!$F$5:$F$16</c:f>
              <c:numCache>
                <c:formatCode>#,##0"  ";[Red]\-#,##0"  "</c:formatCode>
                <c:ptCount val="12"/>
                <c:pt idx="0">
                  <c:v>51735.742600000005</c:v>
                </c:pt>
                <c:pt idx="1">
                  <c:v>45042.491099999999</c:v>
                </c:pt>
                <c:pt idx="2">
                  <c:v>53269.074099999998</c:v>
                </c:pt>
                <c:pt idx="3">
                  <c:v>64240.711300000003</c:v>
                </c:pt>
                <c:pt idx="4">
                  <c:v>82851.367299999998</c:v>
                </c:pt>
                <c:pt idx="5">
                  <c:v>85723.317200000005</c:v>
                </c:pt>
                <c:pt idx="6">
                  <c:v>98997.729700000011</c:v>
                </c:pt>
                <c:pt idx="7">
                  <c:v>103345.86750000001</c:v>
                </c:pt>
                <c:pt idx="8">
                  <c:v>89684.599499999997</c:v>
                </c:pt>
                <c:pt idx="9">
                  <c:v>80604.346900000004</c:v>
                </c:pt>
                <c:pt idx="10">
                  <c:v>56446.648800000003</c:v>
                </c:pt>
                <c:pt idx="11">
                  <c:v>58233.560299999997</c:v>
                </c:pt>
              </c:numCache>
            </c:numRef>
          </c:val>
          <c:extLst>
            <c:ext xmlns:c16="http://schemas.microsoft.com/office/drawing/2014/chart" uri="{C3380CC4-5D6E-409C-BE32-E72D297353CC}">
              <c16:uniqueId val="{00000001-9314-489C-9ED2-07D328066DA7}"/>
            </c:ext>
          </c:extLst>
        </c:ser>
        <c:ser>
          <c:idx val="2"/>
          <c:order val="2"/>
          <c:tx>
            <c:strRef>
              <c:f>bosnia_herzegovina_lq!$E$3</c:f>
              <c:strCache>
                <c:ptCount val="1"/>
                <c:pt idx="0">
                  <c:v>2016 Unit
Rate Basis</c:v>
                </c:pt>
              </c:strCache>
            </c:strRef>
          </c:tx>
          <c:spPr>
            <a:solidFill>
              <a:srgbClr val="FF8080"/>
            </a:solidFill>
            <a:ln w="25400">
              <a:solidFill>
                <a:srgbClr val="DD0806"/>
              </a:solidFill>
              <a:prstDash val="lgDash"/>
            </a:ln>
          </c:spPr>
          <c:invertIfNegative val="0"/>
          <c:val>
            <c:numRef>
              <c:f>bosnia_herzegovina_lq!$E$5:$E$16</c:f>
              <c:numCache>
                <c:formatCode>#,##0"  ";[Red]\-#,##0"  "</c:formatCode>
                <c:ptCount val="12"/>
                <c:pt idx="0">
                  <c:v>54575.375587982096</c:v>
                </c:pt>
                <c:pt idx="1">
                  <c:v>47514.74987431302</c:v>
                </c:pt>
                <c:pt idx="2">
                  <c:v>56192.867447727498</c:v>
                </c:pt>
                <c:pt idx="3">
                  <c:v>67766.707715849538</c:v>
                </c:pt>
                <c:pt idx="4">
                  <c:v>87398.851570275088</c:v>
                </c:pt>
                <c:pt idx="5">
                  <c:v>90428.434921850829</c:v>
                </c:pt>
                <c:pt idx="6">
                  <c:v>104431.44350913462</c:v>
                </c:pt>
                <c:pt idx="7">
                  <c:v>109018.23866501014</c:v>
                </c:pt>
                <c:pt idx="8">
                  <c:v>94607.14114056711</c:v>
                </c:pt>
                <c:pt idx="9">
                  <c:v>85028.498384625491</c:v>
                </c:pt>
                <c:pt idx="10">
                  <c:v>59544.850506174407</c:v>
                </c:pt>
                <c:pt idx="11">
                  <c:v>61429.840676490123</c:v>
                </c:pt>
              </c:numCache>
            </c:numRef>
          </c:val>
          <c:extLst>
            <c:ext xmlns:c16="http://schemas.microsoft.com/office/drawing/2014/chart" uri="{C3380CC4-5D6E-409C-BE32-E72D297353CC}">
              <c16:uniqueId val="{00000002-9314-489C-9ED2-07D328066DA7}"/>
            </c:ext>
          </c:extLst>
        </c:ser>
        <c:ser>
          <c:idx val="3"/>
          <c:order val="3"/>
          <c:tx>
            <c:strRef>
              <c:f>bosnia_herzegovina_lq!$D$3</c:f>
              <c:strCache>
                <c:ptCount val="1"/>
                <c:pt idx="0">
                  <c:v>2016
Actual</c:v>
                </c:pt>
              </c:strCache>
            </c:strRef>
          </c:tx>
          <c:spPr>
            <a:solidFill>
              <a:srgbClr val="993366"/>
            </a:solidFill>
            <a:ln w="38100">
              <a:solidFill>
                <a:srgbClr val="993300"/>
              </a:solidFill>
              <a:prstDash val="solid"/>
            </a:ln>
          </c:spPr>
          <c:invertIfNegative val="0"/>
          <c:val>
            <c:numRef>
              <c:f>bosnia_herzegovina_lq!$D$5:$D$16</c:f>
              <c:numCache>
                <c:formatCode>#,##0</c:formatCode>
                <c:ptCount val="12"/>
                <c:pt idx="0">
                  <c:v>52842.648099999999</c:v>
                </c:pt>
                <c:pt idx="1">
                  <c:v>48196.067000000003</c:v>
                </c:pt>
                <c:pt idx="2">
                  <c:v>54271.1106</c:v>
                </c:pt>
                <c:pt idx="3">
                  <c:v>62286.268100000001</c:v>
                </c:pt>
                <c:pt idx="4">
                  <c:v>80014.520399999994</c:v>
                </c:pt>
                <c:pt idx="5">
                  <c:v>86508.202399999995</c:v>
                </c:pt>
                <c:pt idx="6">
                  <c:v>97661.848400000003</c:v>
                </c:pt>
                <c:pt idx="7">
                  <c:v>98999.059800000003</c:v>
                </c:pt>
                <c:pt idx="8">
                  <c:v>91341.061700000006</c:v>
                </c:pt>
                <c:pt idx="9">
                  <c:v>83639.541600000011</c:v>
                </c:pt>
                <c:pt idx="10">
                  <c:v>0</c:v>
                </c:pt>
                <c:pt idx="11">
                  <c:v>0</c:v>
                </c:pt>
              </c:numCache>
            </c:numRef>
          </c:val>
          <c:extLst>
            <c:ext xmlns:c16="http://schemas.microsoft.com/office/drawing/2014/chart" uri="{C3380CC4-5D6E-409C-BE32-E72D297353CC}">
              <c16:uniqueId val="{00000003-9314-489C-9ED2-07D328066DA7}"/>
            </c:ext>
          </c:extLst>
        </c:ser>
        <c:dLbls>
          <c:showLegendKey val="0"/>
          <c:showVal val="0"/>
          <c:showCatName val="0"/>
          <c:showSerName val="0"/>
          <c:showPercent val="0"/>
          <c:showBubbleSize val="0"/>
        </c:dLbls>
        <c:gapWidth val="300"/>
        <c:overlap val="30"/>
        <c:axId val="140731976"/>
        <c:axId val="1"/>
      </c:barChart>
      <c:catAx>
        <c:axId val="140731976"/>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 val="autoZero"/>
        <c:auto val="0"/>
        <c:lblAlgn val="ctr"/>
        <c:lblOffset val="100"/>
        <c:tickLblSkip val="1"/>
        <c:tickMarkSkip val="1"/>
        <c:noMultiLvlLbl val="0"/>
      </c:catAx>
      <c:valAx>
        <c:axId val="1"/>
        <c:scaling>
          <c:orientation val="minMax"/>
          <c:max val="120000"/>
          <c:min val="1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0731976"/>
        <c:crosses val="autoZero"/>
        <c:crossBetween val="between"/>
        <c:majorUnit val="10000"/>
        <c:minorUnit val="1000"/>
        <c:dispUnits>
          <c:builtInUnit val="thousands"/>
        </c:dispUnits>
      </c:valAx>
      <c:spPr>
        <a:noFill/>
        <a:ln w="25400">
          <a:noFill/>
        </a:ln>
      </c:spPr>
    </c:plotArea>
    <c:legend>
      <c:legendPos val="r"/>
      <c:layout>
        <c:manualLayout>
          <c:xMode val="edge"/>
          <c:yMode val="edge"/>
          <c:wMode val="edge"/>
          <c:hMode val="edge"/>
          <c:x val="0.37405428105270622"/>
          <c:y val="0.90222408865558468"/>
          <c:w val="0.66702736752500524"/>
          <c:h val="0.98444654418197719"/>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ARMENIA CHARGING ZONE (UD)</a:t>
            </a:r>
          </a:p>
        </c:rich>
      </c:tx>
      <c:layout>
        <c:manualLayout>
          <c:xMode val="edge"/>
          <c:yMode val="edge"/>
          <c:x val="0.28829795852685436"/>
          <c:y val="3.1390134529147982E-2"/>
        </c:manualLayout>
      </c:layout>
      <c:overlay val="0"/>
      <c:spPr>
        <a:noFill/>
        <a:ln w="25400">
          <a:noFill/>
        </a:ln>
      </c:spPr>
    </c:title>
    <c:autoTitleDeleted val="0"/>
    <c:plotArea>
      <c:layout>
        <c:manualLayout>
          <c:layoutTarget val="inner"/>
          <c:xMode val="edge"/>
          <c:yMode val="edge"/>
          <c:x val="7.032408388053378E-2"/>
          <c:y val="0.1398476019722098"/>
          <c:w val="0.91675492480406706"/>
          <c:h val="0.5737337516808606"/>
        </c:manualLayout>
      </c:layout>
      <c:barChart>
        <c:barDir val="col"/>
        <c:grouping val="clustered"/>
        <c:varyColors val="0"/>
        <c:ser>
          <c:idx val="0"/>
          <c:order val="0"/>
          <c:tx>
            <c:strRef>
              <c:f>armenia_ud!$G$3</c:f>
              <c:strCache>
                <c:ptCount val="1"/>
                <c:pt idx="0">
                  <c:v>2014
Actual</c:v>
                </c:pt>
              </c:strCache>
            </c:strRef>
          </c:tx>
          <c:spPr>
            <a:solidFill>
              <a:srgbClr val="3366FF"/>
            </a:solidFill>
            <a:ln w="12700">
              <a:solidFill>
                <a:srgbClr val="3366FF"/>
              </a:solidFill>
              <a:prstDash val="solid"/>
            </a:ln>
          </c:spPr>
          <c:invertIfNegative val="0"/>
          <c:cat>
            <c:strRef>
              <c:f>armenia_ud!$C$5:$C$16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armenia_ud!$G$5:$G$16</c:f>
              <c:numCache>
                <c:formatCode>#,##0</c:formatCode>
                <c:ptCount val="12"/>
                <c:pt idx="0">
                  <c:v>14097.859700000001</c:v>
                </c:pt>
                <c:pt idx="1">
                  <c:v>12126.347299999999</c:v>
                </c:pt>
                <c:pt idx="2">
                  <c:v>13693.184300000001</c:v>
                </c:pt>
                <c:pt idx="3">
                  <c:v>11793.313399999999</c:v>
                </c:pt>
                <c:pt idx="4">
                  <c:v>11049.9452</c:v>
                </c:pt>
                <c:pt idx="5">
                  <c:v>11472.4732</c:v>
                </c:pt>
                <c:pt idx="6">
                  <c:v>11387.536100000001</c:v>
                </c:pt>
                <c:pt idx="7">
                  <c:v>11429.2212</c:v>
                </c:pt>
                <c:pt idx="8">
                  <c:v>10635.0996</c:v>
                </c:pt>
                <c:pt idx="9">
                  <c:v>11503.460200000001</c:v>
                </c:pt>
                <c:pt idx="10">
                  <c:v>11311.1468</c:v>
                </c:pt>
                <c:pt idx="11">
                  <c:v>11978.030700000001</c:v>
                </c:pt>
              </c:numCache>
            </c:numRef>
          </c:val>
          <c:extLst>
            <c:ext xmlns:c16="http://schemas.microsoft.com/office/drawing/2014/chart" uri="{C3380CC4-5D6E-409C-BE32-E72D297353CC}">
              <c16:uniqueId val="{00000000-8851-4EDE-946D-A2212BDD1AFA}"/>
            </c:ext>
          </c:extLst>
        </c:ser>
        <c:ser>
          <c:idx val="1"/>
          <c:order val="1"/>
          <c:tx>
            <c:strRef>
              <c:f>armenia_ud!$F$3</c:f>
              <c:strCache>
                <c:ptCount val="1"/>
                <c:pt idx="0">
                  <c:v>2015
Actual</c:v>
                </c:pt>
              </c:strCache>
            </c:strRef>
          </c:tx>
          <c:spPr>
            <a:solidFill>
              <a:srgbClr val="666699"/>
            </a:solidFill>
            <a:ln w="12700">
              <a:solidFill>
                <a:srgbClr val="666699"/>
              </a:solidFill>
              <a:prstDash val="solid"/>
            </a:ln>
          </c:spPr>
          <c:invertIfNegative val="0"/>
          <c:cat>
            <c:strRef>
              <c:f>armenia_ud!$C$5:$C$16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armenia_ud!$F$5:$F$16</c:f>
              <c:numCache>
                <c:formatCode>#,##0"  ";[Red]\-#,##0"  "</c:formatCode>
                <c:ptCount val="12"/>
                <c:pt idx="0">
                  <c:v>10719.672500000001</c:v>
                </c:pt>
                <c:pt idx="1">
                  <c:v>9806.833700000001</c:v>
                </c:pt>
                <c:pt idx="2">
                  <c:v>11114.208499999999</c:v>
                </c:pt>
                <c:pt idx="3">
                  <c:v>9692.5694000000003</c:v>
                </c:pt>
                <c:pt idx="4">
                  <c:v>8953.0658000000003</c:v>
                </c:pt>
                <c:pt idx="5">
                  <c:v>9926.9117000000006</c:v>
                </c:pt>
                <c:pt idx="6">
                  <c:v>12032.965700000001</c:v>
                </c:pt>
                <c:pt idx="7">
                  <c:v>12896.9984</c:v>
                </c:pt>
                <c:pt idx="8">
                  <c:v>10532.227699999999</c:v>
                </c:pt>
                <c:pt idx="9">
                  <c:v>9986.698699999999</c:v>
                </c:pt>
                <c:pt idx="10">
                  <c:v>9687.5631000000012</c:v>
                </c:pt>
                <c:pt idx="11">
                  <c:v>10321.025100000001</c:v>
                </c:pt>
              </c:numCache>
            </c:numRef>
          </c:val>
          <c:extLst>
            <c:ext xmlns:c16="http://schemas.microsoft.com/office/drawing/2014/chart" uri="{C3380CC4-5D6E-409C-BE32-E72D297353CC}">
              <c16:uniqueId val="{00000001-8851-4EDE-946D-A2212BDD1AFA}"/>
            </c:ext>
          </c:extLst>
        </c:ser>
        <c:ser>
          <c:idx val="2"/>
          <c:order val="2"/>
          <c:tx>
            <c:strRef>
              <c:f>armenia_ud!$E$3</c:f>
              <c:strCache>
                <c:ptCount val="1"/>
                <c:pt idx="0">
                  <c:v>2016 Unit
Rate Basis</c:v>
                </c:pt>
              </c:strCache>
            </c:strRef>
          </c:tx>
          <c:spPr>
            <a:solidFill>
              <a:srgbClr val="FF8080"/>
            </a:solidFill>
            <a:ln w="25400">
              <a:solidFill>
                <a:srgbClr val="DD0806"/>
              </a:solidFill>
              <a:prstDash val="lgDash"/>
            </a:ln>
          </c:spPr>
          <c:invertIfNegative val="0"/>
          <c:cat>
            <c:strRef>
              <c:f>armenia_ud!$C$5:$C$16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armenia_ud!$E$5:$E$16</c:f>
              <c:numCache>
                <c:formatCode>#,##0"  ";[Red]\-#,##0"  "</c:formatCode>
                <c:ptCount val="12"/>
                <c:pt idx="0">
                  <c:v>11515.455260670571</c:v>
                </c:pt>
                <c:pt idx="1">
                  <c:v>10534.851201954767</c:v>
                </c:pt>
                <c:pt idx="2">
                  <c:v>11939.279930381694</c:v>
                </c:pt>
                <c:pt idx="3">
                  <c:v>10412.104407727438</c:v>
                </c:pt>
                <c:pt idx="4">
                  <c:v>9617.7032148827093</c:v>
                </c:pt>
                <c:pt idx="5">
                  <c:v>10663.84328047123</c:v>
                </c:pt>
                <c:pt idx="6">
                  <c:v>12926.241745868032</c:v>
                </c:pt>
                <c:pt idx="7">
                  <c:v>13854.416547906658</c:v>
                </c:pt>
                <c:pt idx="8">
                  <c:v>11314.095358281264</c:v>
                </c:pt>
                <c:pt idx="9">
                  <c:v>10728.06861232439</c:v>
                </c:pt>
                <c:pt idx="10">
                  <c:v>10406.726461370263</c:v>
                </c:pt>
                <c:pt idx="11">
                  <c:v>11087.213978160993</c:v>
                </c:pt>
              </c:numCache>
            </c:numRef>
          </c:val>
          <c:extLst>
            <c:ext xmlns:c16="http://schemas.microsoft.com/office/drawing/2014/chart" uri="{C3380CC4-5D6E-409C-BE32-E72D297353CC}">
              <c16:uniqueId val="{00000002-8851-4EDE-946D-A2212BDD1AFA}"/>
            </c:ext>
          </c:extLst>
        </c:ser>
        <c:ser>
          <c:idx val="3"/>
          <c:order val="3"/>
          <c:tx>
            <c:strRef>
              <c:f>armenia_ud!$D$3</c:f>
              <c:strCache>
                <c:ptCount val="1"/>
                <c:pt idx="0">
                  <c:v>2016
Actual</c:v>
                </c:pt>
              </c:strCache>
            </c:strRef>
          </c:tx>
          <c:spPr>
            <a:solidFill>
              <a:srgbClr val="993366"/>
            </a:solidFill>
            <a:ln w="38100">
              <a:solidFill>
                <a:srgbClr val="993300"/>
              </a:solidFill>
              <a:prstDash val="solid"/>
            </a:ln>
          </c:spPr>
          <c:invertIfNegative val="0"/>
          <c:cat>
            <c:strRef>
              <c:f>armenia_ud!$C$5:$C$16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armenia_ud!$D$5:$D$16</c:f>
              <c:numCache>
                <c:formatCode>#,##0</c:formatCode>
                <c:ptCount val="12"/>
                <c:pt idx="0">
                  <c:v>8306.6864000000005</c:v>
                </c:pt>
                <c:pt idx="1">
                  <c:v>7752.8139000000001</c:v>
                </c:pt>
                <c:pt idx="2">
                  <c:v>9118.8153000000002</c:v>
                </c:pt>
                <c:pt idx="3">
                  <c:v>4173.7564999999995</c:v>
                </c:pt>
                <c:pt idx="4">
                  <c:v>5033.4596000000001</c:v>
                </c:pt>
                <c:pt idx="5">
                  <c:v>6981.4447</c:v>
                </c:pt>
                <c:pt idx="6">
                  <c:v>9571.7823000000008</c:v>
                </c:pt>
                <c:pt idx="7">
                  <c:v>12909.008699999998</c:v>
                </c:pt>
                <c:pt idx="8">
                  <c:v>12921.2178</c:v>
                </c:pt>
                <c:pt idx="9">
                  <c:v>11766.697700000001</c:v>
                </c:pt>
                <c:pt idx="10">
                  <c:v>0</c:v>
                </c:pt>
                <c:pt idx="11">
                  <c:v>0</c:v>
                </c:pt>
              </c:numCache>
            </c:numRef>
          </c:val>
          <c:extLst>
            <c:ext xmlns:c16="http://schemas.microsoft.com/office/drawing/2014/chart" uri="{C3380CC4-5D6E-409C-BE32-E72D297353CC}">
              <c16:uniqueId val="{00000003-8851-4EDE-946D-A2212BDD1AFA}"/>
            </c:ext>
          </c:extLst>
        </c:ser>
        <c:dLbls>
          <c:showLegendKey val="0"/>
          <c:showVal val="0"/>
          <c:showCatName val="0"/>
          <c:showSerName val="0"/>
          <c:showPercent val="0"/>
          <c:showBubbleSize val="0"/>
        </c:dLbls>
        <c:gapWidth val="300"/>
        <c:overlap val="30"/>
        <c:axId val="140358576"/>
        <c:axId val="1"/>
      </c:barChart>
      <c:catAx>
        <c:axId val="140358576"/>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At val="0"/>
        <c:auto val="0"/>
        <c:lblAlgn val="ctr"/>
        <c:lblOffset val="100"/>
        <c:tickLblSkip val="1"/>
        <c:tickMarkSkip val="1"/>
        <c:noMultiLvlLbl val="0"/>
      </c:catAx>
      <c:valAx>
        <c:axId val="1"/>
        <c:scaling>
          <c:orientation val="minMax"/>
          <c:max val="16000"/>
          <c:min val="2000"/>
        </c:scaling>
        <c:delete val="0"/>
        <c:axPos val="l"/>
        <c:majorGridlines>
          <c:spPr>
            <a:ln w="3175">
              <a:solidFill>
                <a:srgbClr val="000000"/>
              </a:solidFill>
              <a:prstDash val="sysDash"/>
            </a:ln>
          </c:spPr>
        </c:majorGridlines>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0358576"/>
        <c:crosses val="autoZero"/>
        <c:crossBetween val="between"/>
        <c:majorUnit val="2000"/>
        <c:minorUnit val="1000"/>
        <c:dispUnits>
          <c:builtInUnit val="thousands"/>
        </c:dispUnits>
      </c:valAx>
      <c:spPr>
        <a:noFill/>
        <a:ln w="25400">
          <a:noFill/>
        </a:ln>
      </c:spPr>
    </c:plotArea>
    <c:legend>
      <c:legendPos val="r"/>
      <c:layout>
        <c:manualLayout>
          <c:xMode val="edge"/>
          <c:yMode val="edge"/>
          <c:wMode val="edge"/>
          <c:hMode val="edge"/>
          <c:x val="0.34249493654730789"/>
          <c:y val="0.89686098654708524"/>
          <c:w val="0.64270646401757914"/>
          <c:h val="0.97982062780269064"/>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SERBIA-MONTENEGRO-KFOR CHARGING ZONE (LY)</a:t>
            </a:r>
          </a:p>
        </c:rich>
      </c:tx>
      <c:layout>
        <c:manualLayout>
          <c:xMode val="edge"/>
          <c:yMode val="edge"/>
          <c:x val="0.24893635170603676"/>
          <c:y val="3.1390134529147982E-2"/>
        </c:manualLayout>
      </c:layout>
      <c:overlay val="0"/>
      <c:spPr>
        <a:noFill/>
        <a:ln w="25400">
          <a:noFill/>
        </a:ln>
      </c:spPr>
    </c:title>
    <c:autoTitleDeleted val="0"/>
    <c:plotArea>
      <c:layout>
        <c:manualLayout>
          <c:layoutTarget val="inner"/>
          <c:xMode val="edge"/>
          <c:yMode val="edge"/>
          <c:x val="7.8281257416794536E-2"/>
          <c:y val="0.1398476019722098"/>
          <c:w val="0.90874329262104969"/>
          <c:h val="0.5737337516808606"/>
        </c:manualLayout>
      </c:layout>
      <c:barChart>
        <c:barDir val="col"/>
        <c:grouping val="clustered"/>
        <c:varyColors val="0"/>
        <c:ser>
          <c:idx val="0"/>
          <c:order val="0"/>
          <c:tx>
            <c:strRef>
              <c:f>serbia_montenegro_kfor!$G$3</c:f>
              <c:strCache>
                <c:ptCount val="1"/>
                <c:pt idx="0">
                  <c:v>2014
Actual</c:v>
                </c:pt>
              </c:strCache>
            </c:strRef>
          </c:tx>
          <c:spPr>
            <a:solidFill>
              <a:srgbClr val="3366FF"/>
            </a:solidFill>
            <a:ln w="12700">
              <a:solidFill>
                <a:srgbClr val="3366FF"/>
              </a:solidFill>
              <a:prstDash val="solid"/>
            </a:ln>
          </c:spPr>
          <c:invertIfNegative val="0"/>
          <c:cat>
            <c:strRef>
              <c:f>serbia_montenegro_kfor!$C$5:$C$16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serbia_montenegro_kfor!$G$5:$G$16</c:f>
              <c:numCache>
                <c:formatCode>#,##0</c:formatCode>
                <c:ptCount val="12"/>
                <c:pt idx="0">
                  <c:v>85911.651899999997</c:v>
                </c:pt>
                <c:pt idx="1">
                  <c:v>79392.852599999998</c:v>
                </c:pt>
                <c:pt idx="2">
                  <c:v>95269.689499999993</c:v>
                </c:pt>
                <c:pt idx="3">
                  <c:v>118786.1845</c:v>
                </c:pt>
                <c:pt idx="4">
                  <c:v>161799.8443</c:v>
                </c:pt>
                <c:pt idx="5">
                  <c:v>188208.42140000002</c:v>
                </c:pt>
                <c:pt idx="6">
                  <c:v>216451.03340000001</c:v>
                </c:pt>
                <c:pt idx="7">
                  <c:v>230322.7708</c:v>
                </c:pt>
                <c:pt idx="8">
                  <c:v>199676.8002</c:v>
                </c:pt>
                <c:pt idx="9">
                  <c:v>165903.8602</c:v>
                </c:pt>
                <c:pt idx="10">
                  <c:v>107397.45079999999</c:v>
                </c:pt>
                <c:pt idx="11">
                  <c:v>102585.88099999999</c:v>
                </c:pt>
              </c:numCache>
            </c:numRef>
          </c:val>
          <c:extLst>
            <c:ext xmlns:c16="http://schemas.microsoft.com/office/drawing/2014/chart" uri="{C3380CC4-5D6E-409C-BE32-E72D297353CC}">
              <c16:uniqueId val="{00000000-6B68-4B50-826D-28FEC29D568C}"/>
            </c:ext>
          </c:extLst>
        </c:ser>
        <c:ser>
          <c:idx val="1"/>
          <c:order val="1"/>
          <c:tx>
            <c:strRef>
              <c:f>serbia_montenegro_kfor!$F$3</c:f>
              <c:strCache>
                <c:ptCount val="1"/>
                <c:pt idx="0">
                  <c:v>2015
Actual</c:v>
                </c:pt>
              </c:strCache>
            </c:strRef>
          </c:tx>
          <c:spPr>
            <a:solidFill>
              <a:srgbClr val="666699"/>
            </a:solidFill>
            <a:ln w="12700">
              <a:solidFill>
                <a:srgbClr val="666699"/>
              </a:solidFill>
              <a:prstDash val="solid"/>
            </a:ln>
          </c:spPr>
          <c:invertIfNegative val="0"/>
          <c:cat>
            <c:strRef>
              <c:f>serbia_montenegro_kfor!$C$5:$C$16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serbia_montenegro_kfor!$F$5:$F$16</c:f>
              <c:numCache>
                <c:formatCode>#,##0"  ";[Red]\-#,##0"  "</c:formatCode>
                <c:ptCount val="12"/>
                <c:pt idx="0">
                  <c:v>102829.49010000001</c:v>
                </c:pt>
                <c:pt idx="1">
                  <c:v>93132.006599999993</c:v>
                </c:pt>
                <c:pt idx="2">
                  <c:v>111922.6624</c:v>
                </c:pt>
                <c:pt idx="3">
                  <c:v>135696.4915</c:v>
                </c:pt>
                <c:pt idx="4">
                  <c:v>182675.15839999999</c:v>
                </c:pt>
                <c:pt idx="5">
                  <c:v>215135.22829999999</c:v>
                </c:pt>
                <c:pt idx="6">
                  <c:v>248999.00459999999</c:v>
                </c:pt>
                <c:pt idx="7">
                  <c:v>253749.22460000002</c:v>
                </c:pt>
                <c:pt idx="8">
                  <c:v>216861.5797</c:v>
                </c:pt>
                <c:pt idx="9">
                  <c:v>182331.1557</c:v>
                </c:pt>
                <c:pt idx="10">
                  <c:v>117452.6924</c:v>
                </c:pt>
                <c:pt idx="11">
                  <c:v>114079.19410000001</c:v>
                </c:pt>
              </c:numCache>
            </c:numRef>
          </c:val>
          <c:extLst>
            <c:ext xmlns:c16="http://schemas.microsoft.com/office/drawing/2014/chart" uri="{C3380CC4-5D6E-409C-BE32-E72D297353CC}">
              <c16:uniqueId val="{00000001-6B68-4B50-826D-28FEC29D568C}"/>
            </c:ext>
          </c:extLst>
        </c:ser>
        <c:ser>
          <c:idx val="2"/>
          <c:order val="2"/>
          <c:tx>
            <c:strRef>
              <c:f>serbia_montenegro_kfor!$E$3</c:f>
              <c:strCache>
                <c:ptCount val="1"/>
                <c:pt idx="0">
                  <c:v>2016 Unit
Rate Basis</c:v>
                </c:pt>
              </c:strCache>
            </c:strRef>
          </c:tx>
          <c:spPr>
            <a:solidFill>
              <a:srgbClr val="FF8080"/>
            </a:solidFill>
            <a:ln w="25400">
              <a:solidFill>
                <a:srgbClr val="DD0806"/>
              </a:solidFill>
              <a:prstDash val="lgDash"/>
            </a:ln>
          </c:spPr>
          <c:invertIfNegative val="0"/>
          <c:cat>
            <c:strRef>
              <c:f>serbia_montenegro_kfor!$C$5:$C$16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serbia_montenegro_kfor!$E$5:$E$16</c:f>
              <c:numCache>
                <c:formatCode>#,##0"  ";[Red]\-#,##0"  "</c:formatCode>
                <c:ptCount val="12"/>
                <c:pt idx="0">
                  <c:v>105072.6350252273</c:v>
                </c:pt>
                <c:pt idx="1">
                  <c:v>95163.608505035838</c:v>
                </c:pt>
                <c:pt idx="2">
                  <c:v>114364.16776909535</c:v>
                </c:pt>
                <c:pt idx="3">
                  <c:v>138656.60436240322</c:v>
                </c:pt>
                <c:pt idx="4">
                  <c:v>186660.07414869775</c:v>
                </c:pt>
                <c:pt idx="5">
                  <c:v>219828.23509337666</c:v>
                </c:pt>
                <c:pt idx="6">
                  <c:v>254430.72319562818</c:v>
                </c:pt>
                <c:pt idx="7">
                  <c:v>259284.56553078082</c:v>
                </c:pt>
                <c:pt idx="8">
                  <c:v>221592.24549935153</c:v>
                </c:pt>
                <c:pt idx="9">
                  <c:v>186308.56729876937</c:v>
                </c:pt>
                <c:pt idx="10">
                  <c:v>120014.83104967265</c:v>
                </c:pt>
                <c:pt idx="11">
                  <c:v>116567.74252196125</c:v>
                </c:pt>
              </c:numCache>
            </c:numRef>
          </c:val>
          <c:extLst>
            <c:ext xmlns:c16="http://schemas.microsoft.com/office/drawing/2014/chart" uri="{C3380CC4-5D6E-409C-BE32-E72D297353CC}">
              <c16:uniqueId val="{00000002-6B68-4B50-826D-28FEC29D568C}"/>
            </c:ext>
          </c:extLst>
        </c:ser>
        <c:ser>
          <c:idx val="3"/>
          <c:order val="3"/>
          <c:tx>
            <c:strRef>
              <c:f>serbia_montenegro_kfor!$D$3</c:f>
              <c:strCache>
                <c:ptCount val="1"/>
                <c:pt idx="0">
                  <c:v>2016
Actual</c:v>
                </c:pt>
              </c:strCache>
            </c:strRef>
          </c:tx>
          <c:spPr>
            <a:solidFill>
              <a:srgbClr val="993366"/>
            </a:solidFill>
            <a:ln w="38100">
              <a:solidFill>
                <a:srgbClr val="993300"/>
              </a:solidFill>
              <a:prstDash val="solid"/>
            </a:ln>
          </c:spPr>
          <c:invertIfNegative val="0"/>
          <c:cat>
            <c:strRef>
              <c:f>serbia_montenegro_kfor!$C$5:$C$16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serbia_montenegro_kfor!$D$5:$D$16</c:f>
              <c:numCache>
                <c:formatCode>#,##0</c:formatCode>
                <c:ptCount val="12"/>
                <c:pt idx="0">
                  <c:v>114866.5594</c:v>
                </c:pt>
                <c:pt idx="1">
                  <c:v>107242.64939999999</c:v>
                </c:pt>
                <c:pt idx="2">
                  <c:v>125019.45080000001</c:v>
                </c:pt>
                <c:pt idx="3">
                  <c:v>143844.0735</c:v>
                </c:pt>
                <c:pt idx="4">
                  <c:v>195936.02540000001</c:v>
                </c:pt>
                <c:pt idx="5">
                  <c:v>223854.315</c:v>
                </c:pt>
                <c:pt idx="6">
                  <c:v>262208.38660000003</c:v>
                </c:pt>
                <c:pt idx="7">
                  <c:v>263222.33590000001</c:v>
                </c:pt>
                <c:pt idx="8">
                  <c:v>239173.6519</c:v>
                </c:pt>
                <c:pt idx="9">
                  <c:v>206787.3475</c:v>
                </c:pt>
                <c:pt idx="10">
                  <c:v>0</c:v>
                </c:pt>
                <c:pt idx="11">
                  <c:v>0</c:v>
                </c:pt>
              </c:numCache>
            </c:numRef>
          </c:val>
          <c:extLst>
            <c:ext xmlns:c16="http://schemas.microsoft.com/office/drawing/2014/chart" uri="{C3380CC4-5D6E-409C-BE32-E72D297353CC}">
              <c16:uniqueId val="{00000003-6B68-4B50-826D-28FEC29D568C}"/>
            </c:ext>
          </c:extLst>
        </c:ser>
        <c:dLbls>
          <c:showLegendKey val="0"/>
          <c:showVal val="0"/>
          <c:showCatName val="0"/>
          <c:showSerName val="0"/>
          <c:showPercent val="0"/>
          <c:showBubbleSize val="0"/>
        </c:dLbls>
        <c:gapWidth val="300"/>
        <c:overlap val="30"/>
        <c:axId val="121933088"/>
        <c:axId val="1"/>
      </c:barChart>
      <c:catAx>
        <c:axId val="121933088"/>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At val="0"/>
        <c:auto val="0"/>
        <c:lblAlgn val="ctr"/>
        <c:lblOffset val="100"/>
        <c:tickLblSkip val="1"/>
        <c:tickMarkSkip val="1"/>
        <c:noMultiLvlLbl val="0"/>
      </c:catAx>
      <c:valAx>
        <c:axId val="1"/>
        <c:scaling>
          <c:orientation val="minMax"/>
          <c:max val="280000"/>
          <c:min val="80000"/>
        </c:scaling>
        <c:delete val="0"/>
        <c:axPos val="l"/>
        <c:majorGridlines>
          <c:spPr>
            <a:ln w="3175">
              <a:solidFill>
                <a:srgbClr val="000000"/>
              </a:solidFill>
              <a:prstDash val="sysDash"/>
            </a:ln>
          </c:spPr>
        </c:majorGridlines>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21933088"/>
        <c:crosses val="autoZero"/>
        <c:crossBetween val="between"/>
        <c:majorUnit val="20000"/>
        <c:minorUnit val="10000"/>
        <c:dispUnits>
          <c:builtInUnit val="thousands"/>
        </c:dispUnits>
      </c:valAx>
      <c:spPr>
        <a:noFill/>
        <a:ln w="25400">
          <a:noFill/>
        </a:ln>
      </c:spPr>
    </c:plotArea>
    <c:legend>
      <c:legendPos val="r"/>
      <c:layout>
        <c:manualLayout>
          <c:xMode val="edge"/>
          <c:yMode val="edge"/>
          <c:wMode val="edge"/>
          <c:hMode val="edge"/>
          <c:x val="0.35937532808398953"/>
          <c:y val="0.89686098654708524"/>
          <c:w val="0.65833398950131239"/>
          <c:h val="0.97982062780269064"/>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POLAND CHARGING ZONE (EP)</a:t>
            </a:r>
          </a:p>
        </c:rich>
      </c:tx>
      <c:layout>
        <c:manualLayout>
          <c:xMode val="edge"/>
          <c:yMode val="edge"/>
          <c:x val="0.29578980752405948"/>
          <c:y val="3.0701884365110819E-2"/>
        </c:manualLayout>
      </c:layout>
      <c:overlay val="0"/>
      <c:spPr>
        <a:noFill/>
        <a:ln w="25400">
          <a:noFill/>
        </a:ln>
      </c:spPr>
    </c:title>
    <c:autoTitleDeleted val="0"/>
    <c:plotArea>
      <c:layout>
        <c:manualLayout>
          <c:layoutTarget val="inner"/>
          <c:xMode val="edge"/>
          <c:yMode val="edge"/>
          <c:x val="8.9244369606398657E-2"/>
          <c:y val="0.14379688826534132"/>
          <c:w val="0.89917912018522428"/>
          <c:h val="0.57518755306136526"/>
        </c:manualLayout>
      </c:layout>
      <c:barChart>
        <c:barDir val="col"/>
        <c:grouping val="clustered"/>
        <c:varyColors val="0"/>
        <c:ser>
          <c:idx val="0"/>
          <c:order val="0"/>
          <c:tx>
            <c:strRef>
              <c:f>poland_ep!$G$3</c:f>
              <c:strCache>
                <c:ptCount val="1"/>
                <c:pt idx="0">
                  <c:v>2014
Actual</c:v>
                </c:pt>
              </c:strCache>
            </c:strRef>
          </c:tx>
          <c:spPr>
            <a:solidFill>
              <a:srgbClr val="3366FF"/>
            </a:solidFill>
            <a:ln w="12700">
              <a:noFill/>
              <a:prstDash val="solid"/>
            </a:ln>
          </c:spPr>
          <c:invertIfNegative val="0"/>
          <c:cat>
            <c:strRef>
              <c:f>poland_ep!$C$5:$C$16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poland_ep!$G$5:$G$16</c:f>
              <c:numCache>
                <c:formatCode>#,##0"  ";[Red]\-#,##0"  "</c:formatCode>
                <c:ptCount val="12"/>
                <c:pt idx="0">
                  <c:v>287298.2548</c:v>
                </c:pt>
                <c:pt idx="1">
                  <c:v>262560.53990000003</c:v>
                </c:pt>
                <c:pt idx="2">
                  <c:v>309804.04859999998</c:v>
                </c:pt>
                <c:pt idx="3">
                  <c:v>317288.45179999998</c:v>
                </c:pt>
                <c:pt idx="4">
                  <c:v>356625.05050000001</c:v>
                </c:pt>
                <c:pt idx="5">
                  <c:v>379987.6372</c:v>
                </c:pt>
                <c:pt idx="6">
                  <c:v>410812.07980000001</c:v>
                </c:pt>
                <c:pt idx="7">
                  <c:v>389877.29800000001</c:v>
                </c:pt>
                <c:pt idx="8">
                  <c:v>353231.07689999999</c:v>
                </c:pt>
                <c:pt idx="9">
                  <c:v>323641.12359999999</c:v>
                </c:pt>
                <c:pt idx="10">
                  <c:v>272593.22820000001</c:v>
                </c:pt>
                <c:pt idx="11">
                  <c:v>266968.92290000001</c:v>
                </c:pt>
              </c:numCache>
            </c:numRef>
          </c:val>
          <c:extLst>
            <c:ext xmlns:c16="http://schemas.microsoft.com/office/drawing/2014/chart" uri="{C3380CC4-5D6E-409C-BE32-E72D297353CC}">
              <c16:uniqueId val="{00000000-9610-4804-9AAD-B1F069988FCD}"/>
            </c:ext>
          </c:extLst>
        </c:ser>
        <c:ser>
          <c:idx val="1"/>
          <c:order val="1"/>
          <c:tx>
            <c:strRef>
              <c:f>poland_ep!$F$3</c:f>
              <c:strCache>
                <c:ptCount val="1"/>
                <c:pt idx="0">
                  <c:v>2015
Actual</c:v>
                </c:pt>
              </c:strCache>
            </c:strRef>
          </c:tx>
          <c:spPr>
            <a:solidFill>
              <a:srgbClr val="666699"/>
            </a:solidFill>
            <a:ln w="12700">
              <a:solidFill>
                <a:srgbClr val="666699"/>
              </a:solidFill>
              <a:prstDash val="solid"/>
            </a:ln>
          </c:spPr>
          <c:invertIfNegative val="0"/>
          <c:cat>
            <c:strRef>
              <c:f>poland_ep!$C$5:$C$16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poland_ep!$F$5:$F$16</c:f>
              <c:numCache>
                <c:formatCode>#,##0"  ";[Red]\-#,##0"  "</c:formatCode>
                <c:ptCount val="12"/>
                <c:pt idx="0">
                  <c:v>274471.80959999998</c:v>
                </c:pt>
                <c:pt idx="1">
                  <c:v>244608.63919999998</c:v>
                </c:pt>
                <c:pt idx="2">
                  <c:v>288615.12040000001</c:v>
                </c:pt>
                <c:pt idx="3">
                  <c:v>311368.29959999997</c:v>
                </c:pt>
                <c:pt idx="4">
                  <c:v>343296.09749999997</c:v>
                </c:pt>
                <c:pt idx="5">
                  <c:v>364890.0773</c:v>
                </c:pt>
                <c:pt idx="6">
                  <c:v>398588.5638</c:v>
                </c:pt>
                <c:pt idx="7">
                  <c:v>386906.12349999999</c:v>
                </c:pt>
                <c:pt idx="8">
                  <c:v>355835.37520000001</c:v>
                </c:pt>
                <c:pt idx="9">
                  <c:v>340520.22399999999</c:v>
                </c:pt>
                <c:pt idx="10">
                  <c:v>282188.62729999999</c:v>
                </c:pt>
                <c:pt idx="11">
                  <c:v>288723.91119999997</c:v>
                </c:pt>
              </c:numCache>
            </c:numRef>
          </c:val>
          <c:extLst>
            <c:ext xmlns:c16="http://schemas.microsoft.com/office/drawing/2014/chart" uri="{C3380CC4-5D6E-409C-BE32-E72D297353CC}">
              <c16:uniqueId val="{00000001-9610-4804-9AAD-B1F069988FCD}"/>
            </c:ext>
          </c:extLst>
        </c:ser>
        <c:ser>
          <c:idx val="2"/>
          <c:order val="2"/>
          <c:tx>
            <c:strRef>
              <c:f>poland_ep!$E$3</c:f>
              <c:strCache>
                <c:ptCount val="1"/>
                <c:pt idx="0">
                  <c:v>2016 Unit
Rate Basis</c:v>
                </c:pt>
              </c:strCache>
            </c:strRef>
          </c:tx>
          <c:spPr>
            <a:solidFill>
              <a:srgbClr val="FF8080"/>
            </a:solidFill>
            <a:ln w="25400">
              <a:solidFill>
                <a:srgbClr val="DD0806"/>
              </a:solidFill>
              <a:prstDash val="lgDash"/>
            </a:ln>
          </c:spPr>
          <c:invertIfNegative val="0"/>
          <c:cat>
            <c:strRef>
              <c:f>poland_ep!$C$5:$C$16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poland_ep!$E$5:$E$16</c:f>
              <c:numCache>
                <c:formatCode>#,##0"  ";[Red]\-#,##0"  "</c:formatCode>
                <c:ptCount val="12"/>
                <c:pt idx="0">
                  <c:v>321442.20781216613</c:v>
                </c:pt>
                <c:pt idx="1">
                  <c:v>286468.54898856452</c:v>
                </c:pt>
                <c:pt idx="2">
                  <c:v>338005.86531838193</c:v>
                </c:pt>
                <c:pt idx="3">
                  <c:v>364652.79917819292</c:v>
                </c:pt>
                <c:pt idx="4">
                  <c:v>402044.40548746486</c:v>
                </c:pt>
                <c:pt idx="5">
                  <c:v>427333.76599585026</c:v>
                </c:pt>
                <c:pt idx="6">
                  <c:v>466799.0790867451</c:v>
                </c:pt>
                <c:pt idx="7">
                  <c:v>453117.42118483345</c:v>
                </c:pt>
                <c:pt idx="8">
                  <c:v>416729.53149050288</c:v>
                </c:pt>
                <c:pt idx="9">
                  <c:v>398793.49637680739</c:v>
                </c:pt>
                <c:pt idx="10">
                  <c:v>330479.60557766695</c:v>
                </c:pt>
                <c:pt idx="11">
                  <c:v>338133.27350282384</c:v>
                </c:pt>
              </c:numCache>
            </c:numRef>
          </c:val>
          <c:extLst>
            <c:ext xmlns:c16="http://schemas.microsoft.com/office/drawing/2014/chart" uri="{C3380CC4-5D6E-409C-BE32-E72D297353CC}">
              <c16:uniqueId val="{00000002-9610-4804-9AAD-B1F069988FCD}"/>
            </c:ext>
          </c:extLst>
        </c:ser>
        <c:ser>
          <c:idx val="3"/>
          <c:order val="3"/>
          <c:tx>
            <c:strRef>
              <c:f>poland_ep!$D$3</c:f>
              <c:strCache>
                <c:ptCount val="1"/>
                <c:pt idx="0">
                  <c:v>2016
Actual</c:v>
                </c:pt>
              </c:strCache>
            </c:strRef>
          </c:tx>
          <c:spPr>
            <a:solidFill>
              <a:srgbClr val="993366"/>
            </a:solidFill>
            <a:ln w="38100">
              <a:solidFill>
                <a:srgbClr val="993300"/>
              </a:solidFill>
              <a:prstDash val="solid"/>
            </a:ln>
          </c:spPr>
          <c:invertIfNegative val="0"/>
          <c:cat>
            <c:strRef>
              <c:f>poland_ep!$C$5:$C$16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poland_ep!$D$5:$D$16</c:f>
              <c:numCache>
                <c:formatCode>#,##0</c:formatCode>
                <c:ptCount val="12"/>
                <c:pt idx="0">
                  <c:v>295549.51510000002</c:v>
                </c:pt>
                <c:pt idx="1">
                  <c:v>264839.0122</c:v>
                </c:pt>
                <c:pt idx="2">
                  <c:v>304607.75070000003</c:v>
                </c:pt>
                <c:pt idx="3">
                  <c:v>323218.25829999999</c:v>
                </c:pt>
                <c:pt idx="4">
                  <c:v>366252.40710000001</c:v>
                </c:pt>
                <c:pt idx="5">
                  <c:v>399628.0037</c:v>
                </c:pt>
                <c:pt idx="6">
                  <c:v>436416.98990000004</c:v>
                </c:pt>
                <c:pt idx="7">
                  <c:v>411761.76499999996</c:v>
                </c:pt>
                <c:pt idx="8">
                  <c:v>396374.27160000004</c:v>
                </c:pt>
                <c:pt idx="9">
                  <c:v>366070.61479999998</c:v>
                </c:pt>
                <c:pt idx="10">
                  <c:v>0</c:v>
                </c:pt>
                <c:pt idx="11">
                  <c:v>0</c:v>
                </c:pt>
              </c:numCache>
            </c:numRef>
          </c:val>
          <c:extLst>
            <c:ext xmlns:c16="http://schemas.microsoft.com/office/drawing/2014/chart" uri="{C3380CC4-5D6E-409C-BE32-E72D297353CC}">
              <c16:uniqueId val="{00000003-9610-4804-9AAD-B1F069988FCD}"/>
            </c:ext>
          </c:extLst>
        </c:ser>
        <c:dLbls>
          <c:showLegendKey val="0"/>
          <c:showVal val="0"/>
          <c:showCatName val="0"/>
          <c:showSerName val="0"/>
          <c:showPercent val="0"/>
          <c:showBubbleSize val="0"/>
        </c:dLbls>
        <c:gapWidth val="300"/>
        <c:overlap val="30"/>
        <c:axId val="142737224"/>
        <c:axId val="1"/>
      </c:barChart>
      <c:catAx>
        <c:axId val="142737224"/>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At val="0"/>
        <c:auto val="0"/>
        <c:lblAlgn val="ctr"/>
        <c:lblOffset val="100"/>
        <c:tickLblSkip val="1"/>
        <c:tickMarkSkip val="1"/>
        <c:noMultiLvlLbl val="0"/>
      </c:catAx>
      <c:valAx>
        <c:axId val="1"/>
        <c:scaling>
          <c:orientation val="minMax"/>
          <c:min val="20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2737224"/>
        <c:crosses val="autoZero"/>
        <c:crossBetween val="between"/>
        <c:majorUnit val="20000"/>
        <c:minorUnit val="10000"/>
        <c:dispUnits>
          <c:builtInUnit val="thousands"/>
        </c:dispUnits>
      </c:valAx>
      <c:spPr>
        <a:noFill/>
        <a:ln w="25400">
          <a:noFill/>
        </a:ln>
      </c:spPr>
    </c:plotArea>
    <c:legend>
      <c:legendPos val="r"/>
      <c:layout>
        <c:manualLayout>
          <c:xMode val="edge"/>
          <c:yMode val="edge"/>
          <c:wMode val="edge"/>
          <c:hMode val="edge"/>
          <c:x val="0.37187532808398954"/>
          <c:y val="0.87527444189826376"/>
          <c:w val="0.66666732283464569"/>
          <c:h val="0.95623724277353728"/>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LITHUANIA CHARGING ZONE (EY)</a:t>
            </a:r>
          </a:p>
        </c:rich>
      </c:tx>
      <c:layout>
        <c:manualLayout>
          <c:xMode val="edge"/>
          <c:yMode val="edge"/>
          <c:x val="0.29861143489994263"/>
          <c:y val="3.0368763557483729E-2"/>
        </c:manualLayout>
      </c:layout>
      <c:overlay val="0"/>
      <c:spPr>
        <a:noFill/>
        <a:ln w="25400">
          <a:noFill/>
        </a:ln>
      </c:spPr>
    </c:title>
    <c:autoTitleDeleted val="0"/>
    <c:plotArea>
      <c:layout>
        <c:manualLayout>
          <c:layoutTarget val="inner"/>
          <c:xMode val="edge"/>
          <c:yMode val="edge"/>
          <c:x val="7.5381941693292445E-2"/>
          <c:y val="0.18386816999132699"/>
          <c:w val="0.91331173567346946"/>
          <c:h val="0.58456201214223769"/>
        </c:manualLayout>
      </c:layout>
      <c:barChart>
        <c:barDir val="col"/>
        <c:grouping val="clustered"/>
        <c:varyColors val="0"/>
        <c:ser>
          <c:idx val="2"/>
          <c:order val="0"/>
          <c:tx>
            <c:strRef>
              <c:f>lithuania_ey!$G$3</c:f>
              <c:strCache>
                <c:ptCount val="1"/>
                <c:pt idx="0">
                  <c:v>2014
Actual</c:v>
                </c:pt>
              </c:strCache>
            </c:strRef>
          </c:tx>
          <c:spPr>
            <a:solidFill>
              <a:srgbClr val="3366FF"/>
            </a:solidFill>
            <a:ln w="12700">
              <a:noFill/>
              <a:prstDash val="solid"/>
            </a:ln>
          </c:spPr>
          <c:invertIfNegative val="0"/>
          <c:cat>
            <c:strRef>
              <c:f>lithuania_ey!$C$5:$C$16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lithuania_ey!$G$5:$G$16</c:f>
              <c:numCache>
                <c:formatCode>#,##0"  ";[Red]\-#,##0"  "</c:formatCode>
                <c:ptCount val="12"/>
                <c:pt idx="0">
                  <c:v>33217.339899999999</c:v>
                </c:pt>
                <c:pt idx="1">
                  <c:v>28761.032200000001</c:v>
                </c:pt>
                <c:pt idx="2">
                  <c:v>34494.741299999994</c:v>
                </c:pt>
                <c:pt idx="3">
                  <c:v>37688.966999999997</c:v>
                </c:pt>
                <c:pt idx="4">
                  <c:v>42785.967199999999</c:v>
                </c:pt>
                <c:pt idx="5">
                  <c:v>45466.722200000004</c:v>
                </c:pt>
                <c:pt idx="6">
                  <c:v>49691.602800000001</c:v>
                </c:pt>
                <c:pt idx="7">
                  <c:v>50536.907800000001</c:v>
                </c:pt>
                <c:pt idx="8">
                  <c:v>46779.020400000001</c:v>
                </c:pt>
                <c:pt idx="9">
                  <c:v>43714.721900000004</c:v>
                </c:pt>
                <c:pt idx="10">
                  <c:v>37385.467700000001</c:v>
                </c:pt>
                <c:pt idx="11">
                  <c:v>36695.008600000001</c:v>
                </c:pt>
              </c:numCache>
            </c:numRef>
          </c:val>
          <c:extLst>
            <c:ext xmlns:c16="http://schemas.microsoft.com/office/drawing/2014/chart" uri="{C3380CC4-5D6E-409C-BE32-E72D297353CC}">
              <c16:uniqueId val="{00000000-141E-4E9C-B585-5369ADD63905}"/>
            </c:ext>
          </c:extLst>
        </c:ser>
        <c:ser>
          <c:idx val="0"/>
          <c:order val="1"/>
          <c:tx>
            <c:strRef>
              <c:f>lithuania_ey!$F$3</c:f>
              <c:strCache>
                <c:ptCount val="1"/>
                <c:pt idx="0">
                  <c:v>2015
Actual</c:v>
                </c:pt>
              </c:strCache>
            </c:strRef>
          </c:tx>
          <c:spPr>
            <a:solidFill>
              <a:srgbClr val="9999FF"/>
            </a:solidFill>
            <a:ln w="12700">
              <a:noFill/>
              <a:prstDash val="solid"/>
            </a:ln>
          </c:spPr>
          <c:invertIfNegative val="0"/>
          <c:cat>
            <c:strRef>
              <c:f>lithuania_ey!$C$5:$C$16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lithuania_ey!$F$5:$F$16</c:f>
              <c:numCache>
                <c:formatCode>#,##0"  ";[Red]\-#,##0"  "</c:formatCode>
                <c:ptCount val="12"/>
                <c:pt idx="0">
                  <c:v>35622.578300000001</c:v>
                </c:pt>
                <c:pt idx="1">
                  <c:v>30275.267599999999</c:v>
                </c:pt>
                <c:pt idx="2">
                  <c:v>37147.233899999999</c:v>
                </c:pt>
                <c:pt idx="3">
                  <c:v>39771.640399999997</c:v>
                </c:pt>
                <c:pt idx="4">
                  <c:v>44217.906900000002</c:v>
                </c:pt>
                <c:pt idx="5">
                  <c:v>46876.660599999996</c:v>
                </c:pt>
                <c:pt idx="6">
                  <c:v>49593.5766</c:v>
                </c:pt>
                <c:pt idx="7">
                  <c:v>48358.993799999997</c:v>
                </c:pt>
                <c:pt idx="8">
                  <c:v>44660.490299999998</c:v>
                </c:pt>
                <c:pt idx="9">
                  <c:v>42744.096299999997</c:v>
                </c:pt>
                <c:pt idx="10">
                  <c:v>37119.049599999998</c:v>
                </c:pt>
                <c:pt idx="11">
                  <c:v>35895.198499999999</c:v>
                </c:pt>
              </c:numCache>
            </c:numRef>
          </c:val>
          <c:extLst>
            <c:ext xmlns:c16="http://schemas.microsoft.com/office/drawing/2014/chart" uri="{C3380CC4-5D6E-409C-BE32-E72D297353CC}">
              <c16:uniqueId val="{00000001-141E-4E9C-B585-5369ADD63905}"/>
            </c:ext>
          </c:extLst>
        </c:ser>
        <c:ser>
          <c:idx val="5"/>
          <c:order val="2"/>
          <c:tx>
            <c:strRef>
              <c:f>lithuania_ey!$E$3</c:f>
              <c:strCache>
                <c:ptCount val="1"/>
                <c:pt idx="0">
                  <c:v>2016 Unit
Rate Basis</c:v>
                </c:pt>
              </c:strCache>
            </c:strRef>
          </c:tx>
          <c:spPr>
            <a:solidFill>
              <a:srgbClr val="FF8080"/>
            </a:solidFill>
            <a:ln w="25400">
              <a:solidFill>
                <a:srgbClr val="DD0806"/>
              </a:solidFill>
              <a:prstDash val="lgDash"/>
            </a:ln>
          </c:spPr>
          <c:invertIfNegative val="0"/>
          <c:cat>
            <c:strRef>
              <c:f>lithuania_ey!$C$5:$C$16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lithuania_ey!$E$5:$E$16</c:f>
              <c:numCache>
                <c:formatCode>#,##0"  ";[Red]\-#,##0"  "</c:formatCode>
                <c:ptCount val="12"/>
                <c:pt idx="0">
                  <c:v>36803.404245046215</c:v>
                </c:pt>
                <c:pt idx="1">
                  <c:v>31278.839581068449</c:v>
                </c:pt>
                <c:pt idx="2">
                  <c:v>38378.599502074343</c:v>
                </c:pt>
                <c:pt idx="3">
                  <c:v>41090.000471128486</c:v>
                </c:pt>
                <c:pt idx="4">
                  <c:v>45683.652901410518</c:v>
                </c:pt>
                <c:pt idx="5">
                  <c:v>48430.53961985762</c:v>
                </c:pt>
                <c:pt idx="6">
                  <c:v>51237.516616461886</c:v>
                </c:pt>
                <c:pt idx="7">
                  <c:v>49962.009563611042</c:v>
                </c:pt>
                <c:pt idx="8">
                  <c:v>46140.907164287572</c:v>
                </c:pt>
                <c:pt idx="9">
                  <c:v>44160.988066888014</c:v>
                </c:pt>
                <c:pt idx="10">
                  <c:v>38349.480941999107</c:v>
                </c:pt>
                <c:pt idx="11">
                  <c:v>37085.061326166731</c:v>
                </c:pt>
              </c:numCache>
            </c:numRef>
          </c:val>
          <c:extLst>
            <c:ext xmlns:c16="http://schemas.microsoft.com/office/drawing/2014/chart" uri="{C3380CC4-5D6E-409C-BE32-E72D297353CC}">
              <c16:uniqueId val="{00000002-141E-4E9C-B585-5369ADD63905}"/>
            </c:ext>
          </c:extLst>
        </c:ser>
        <c:ser>
          <c:idx val="1"/>
          <c:order val="3"/>
          <c:tx>
            <c:strRef>
              <c:f>lithuania_ey!$D$3</c:f>
              <c:strCache>
                <c:ptCount val="1"/>
                <c:pt idx="0">
                  <c:v>2016
Actual</c:v>
                </c:pt>
              </c:strCache>
            </c:strRef>
          </c:tx>
          <c:spPr>
            <a:solidFill>
              <a:srgbClr val="993366"/>
            </a:solidFill>
            <a:ln w="38100">
              <a:solidFill>
                <a:srgbClr val="993300"/>
              </a:solidFill>
              <a:prstDash val="solid"/>
            </a:ln>
          </c:spPr>
          <c:invertIfNegative val="0"/>
          <c:cat>
            <c:strRef>
              <c:f>lithuania_ey!$C$5:$C$16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lithuania_ey!$D$5:$D$16</c:f>
              <c:numCache>
                <c:formatCode>#,##0</c:formatCode>
                <c:ptCount val="12"/>
                <c:pt idx="0">
                  <c:v>37155.891200000005</c:v>
                </c:pt>
                <c:pt idx="1">
                  <c:v>33040.494000000006</c:v>
                </c:pt>
                <c:pt idx="2">
                  <c:v>37380.794099999999</c:v>
                </c:pt>
                <c:pt idx="3">
                  <c:v>40379.8171</c:v>
                </c:pt>
                <c:pt idx="4">
                  <c:v>45799.571499999998</c:v>
                </c:pt>
                <c:pt idx="5">
                  <c:v>48565.289499999999</c:v>
                </c:pt>
                <c:pt idx="6">
                  <c:v>50462.490599999997</c:v>
                </c:pt>
                <c:pt idx="7">
                  <c:v>48984.427000000003</c:v>
                </c:pt>
                <c:pt idx="8">
                  <c:v>46874.581699999995</c:v>
                </c:pt>
                <c:pt idx="9">
                  <c:v>43631.885399999999</c:v>
                </c:pt>
                <c:pt idx="10">
                  <c:v>0</c:v>
                </c:pt>
                <c:pt idx="11">
                  <c:v>0</c:v>
                </c:pt>
              </c:numCache>
            </c:numRef>
          </c:val>
          <c:extLst>
            <c:ext xmlns:c16="http://schemas.microsoft.com/office/drawing/2014/chart" uri="{C3380CC4-5D6E-409C-BE32-E72D297353CC}">
              <c16:uniqueId val="{00000003-141E-4E9C-B585-5369ADD63905}"/>
            </c:ext>
          </c:extLst>
        </c:ser>
        <c:dLbls>
          <c:showLegendKey val="0"/>
          <c:showVal val="0"/>
          <c:showCatName val="0"/>
          <c:showSerName val="0"/>
          <c:showPercent val="0"/>
          <c:showBubbleSize val="0"/>
        </c:dLbls>
        <c:gapWidth val="300"/>
        <c:overlap val="30"/>
        <c:axId val="142382928"/>
        <c:axId val="1"/>
      </c:barChart>
      <c:catAx>
        <c:axId val="142382928"/>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At val="0"/>
        <c:auto val="0"/>
        <c:lblAlgn val="ctr"/>
        <c:lblOffset val="100"/>
        <c:tickLblSkip val="1"/>
        <c:tickMarkSkip val="1"/>
        <c:noMultiLvlLbl val="0"/>
      </c:catAx>
      <c:valAx>
        <c:axId val="1"/>
        <c:scaling>
          <c:orientation val="minMax"/>
          <c:min val="1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2382928"/>
        <c:crosses val="autoZero"/>
        <c:crossBetween val="between"/>
        <c:majorUnit val="10000"/>
        <c:minorUnit val="5000"/>
        <c:dispUnits>
          <c:builtInUnit val="thousands"/>
        </c:dispUnits>
      </c:valAx>
      <c:spPr>
        <a:noFill/>
        <a:ln w="25400">
          <a:noFill/>
        </a:ln>
      </c:spPr>
    </c:plotArea>
    <c:legend>
      <c:legendPos val="r"/>
      <c:layout>
        <c:manualLayout>
          <c:xMode val="edge"/>
          <c:yMode val="edge"/>
          <c:wMode val="edge"/>
          <c:hMode val="edge"/>
          <c:x val="0.37462267367636448"/>
          <c:y val="0.86550976138828628"/>
          <c:w val="0.65357565953802599"/>
          <c:h val="0.94577006507592187"/>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44" r="0.75000000000000044" t="1" header="0.5" footer="0.5"/>
    <c:pageSetup paperSize="9" orientation="landscape"/>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Latvia  CHARGING ZONE (EV)</a:t>
            </a:r>
          </a:p>
        </c:rich>
      </c:tx>
      <c:layout>
        <c:manualLayout>
          <c:xMode val="edge"/>
          <c:yMode val="edge"/>
          <c:x val="0.2986114992410917"/>
          <c:y val="3.0368763557483729E-2"/>
        </c:manualLayout>
      </c:layout>
      <c:overlay val="0"/>
      <c:spPr>
        <a:noFill/>
        <a:ln w="25400">
          <a:noFill/>
        </a:ln>
      </c:spPr>
    </c:title>
    <c:autoTitleDeleted val="0"/>
    <c:plotArea>
      <c:layout>
        <c:manualLayout>
          <c:layoutTarget val="inner"/>
          <c:xMode val="edge"/>
          <c:yMode val="edge"/>
          <c:x val="7.5381967982479009E-2"/>
          <c:y val="0.17530651134361633"/>
          <c:w val="0.91331173567346968"/>
          <c:h val="0.58456201214223735"/>
        </c:manualLayout>
      </c:layout>
      <c:barChart>
        <c:barDir val="col"/>
        <c:grouping val="clustered"/>
        <c:varyColors val="0"/>
        <c:ser>
          <c:idx val="2"/>
          <c:order val="0"/>
          <c:tx>
            <c:strRef>
              <c:f>latvia_ev!$G$3</c:f>
              <c:strCache>
                <c:ptCount val="1"/>
                <c:pt idx="0">
                  <c:v>2014
Actual</c:v>
                </c:pt>
              </c:strCache>
            </c:strRef>
          </c:tx>
          <c:spPr>
            <a:solidFill>
              <a:srgbClr val="3366FF"/>
            </a:solidFill>
            <a:ln w="12700">
              <a:noFill/>
              <a:prstDash val="solid"/>
            </a:ln>
          </c:spPr>
          <c:invertIfNegative val="0"/>
          <c:cat>
            <c:strRef>
              <c:f>latvia_ev!$C$5:$C$16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latvia_ev!$G$5:$G$16</c:f>
              <c:numCache>
                <c:formatCode>#,##0"  ";[Red]\-#,##0"  "</c:formatCode>
                <c:ptCount val="12"/>
                <c:pt idx="0">
                  <c:v>59857.8586</c:v>
                </c:pt>
                <c:pt idx="1">
                  <c:v>51220.806300000004</c:v>
                </c:pt>
                <c:pt idx="2">
                  <c:v>58263.775800000003</c:v>
                </c:pt>
                <c:pt idx="3">
                  <c:v>59918.341799999995</c:v>
                </c:pt>
                <c:pt idx="4">
                  <c:v>67326.633899999986</c:v>
                </c:pt>
                <c:pt idx="5">
                  <c:v>69425.7788</c:v>
                </c:pt>
                <c:pt idx="6">
                  <c:v>73037.814100000003</c:v>
                </c:pt>
                <c:pt idx="7">
                  <c:v>74444.517299999992</c:v>
                </c:pt>
                <c:pt idx="8">
                  <c:v>68389.307400000005</c:v>
                </c:pt>
                <c:pt idx="9">
                  <c:v>68073.954400000002</c:v>
                </c:pt>
                <c:pt idx="10">
                  <c:v>58513.244900000005</c:v>
                </c:pt>
                <c:pt idx="11">
                  <c:v>58388.690999999999</c:v>
                </c:pt>
              </c:numCache>
            </c:numRef>
          </c:val>
          <c:extLst>
            <c:ext xmlns:c16="http://schemas.microsoft.com/office/drawing/2014/chart" uri="{C3380CC4-5D6E-409C-BE32-E72D297353CC}">
              <c16:uniqueId val="{00000000-00AA-461E-8AD9-BB4CDEDEFB6D}"/>
            </c:ext>
          </c:extLst>
        </c:ser>
        <c:ser>
          <c:idx val="0"/>
          <c:order val="1"/>
          <c:tx>
            <c:strRef>
              <c:f>latvia_ev!$F$3</c:f>
              <c:strCache>
                <c:ptCount val="1"/>
                <c:pt idx="0">
                  <c:v>2015
Actual</c:v>
                </c:pt>
              </c:strCache>
            </c:strRef>
          </c:tx>
          <c:spPr>
            <a:solidFill>
              <a:srgbClr val="9999FF"/>
            </a:solidFill>
            <a:ln w="12700">
              <a:noFill/>
              <a:prstDash val="solid"/>
            </a:ln>
          </c:spPr>
          <c:invertIfNegative val="0"/>
          <c:cat>
            <c:strRef>
              <c:f>latvia_ev!$C$5:$C$16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latvia_ev!$F$5:$F$16</c:f>
              <c:numCache>
                <c:formatCode>#,##0"  ";[Red]\-#,##0"  "</c:formatCode>
                <c:ptCount val="12"/>
                <c:pt idx="0">
                  <c:v>60765.787000000004</c:v>
                </c:pt>
                <c:pt idx="1">
                  <c:v>55211.5409</c:v>
                </c:pt>
                <c:pt idx="2">
                  <c:v>62974.880999999994</c:v>
                </c:pt>
                <c:pt idx="3">
                  <c:v>67542.493700000006</c:v>
                </c:pt>
                <c:pt idx="4">
                  <c:v>72489.008199999997</c:v>
                </c:pt>
                <c:pt idx="5">
                  <c:v>73421.680500000002</c:v>
                </c:pt>
                <c:pt idx="6">
                  <c:v>75246.415699999998</c:v>
                </c:pt>
                <c:pt idx="7">
                  <c:v>75020.466099999991</c:v>
                </c:pt>
                <c:pt idx="8">
                  <c:v>73600.224800000011</c:v>
                </c:pt>
                <c:pt idx="9">
                  <c:v>68951.675000000003</c:v>
                </c:pt>
                <c:pt idx="10">
                  <c:v>56819.138400000003</c:v>
                </c:pt>
                <c:pt idx="11">
                  <c:v>59793.017800000001</c:v>
                </c:pt>
              </c:numCache>
            </c:numRef>
          </c:val>
          <c:extLst>
            <c:ext xmlns:c16="http://schemas.microsoft.com/office/drawing/2014/chart" uri="{C3380CC4-5D6E-409C-BE32-E72D297353CC}">
              <c16:uniqueId val="{00000001-00AA-461E-8AD9-BB4CDEDEFB6D}"/>
            </c:ext>
          </c:extLst>
        </c:ser>
        <c:ser>
          <c:idx val="5"/>
          <c:order val="2"/>
          <c:tx>
            <c:strRef>
              <c:f>latvia_ev!$E$3</c:f>
              <c:strCache>
                <c:ptCount val="1"/>
                <c:pt idx="0">
                  <c:v>2016 Unit
Rate Basis</c:v>
                </c:pt>
              </c:strCache>
            </c:strRef>
          </c:tx>
          <c:spPr>
            <a:solidFill>
              <a:srgbClr val="FF8080"/>
            </a:solidFill>
            <a:ln w="25400">
              <a:solidFill>
                <a:srgbClr val="DD0806"/>
              </a:solidFill>
              <a:prstDash val="lgDash"/>
            </a:ln>
          </c:spPr>
          <c:invertIfNegative val="0"/>
          <c:cat>
            <c:strRef>
              <c:f>latvia_ev!$C$5:$C$16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latvia_ev!$E$5:$E$16</c:f>
              <c:numCache>
                <c:formatCode>#,##0"  ";[Red]\-#,##0"  "</c:formatCode>
                <c:ptCount val="12"/>
                <c:pt idx="0">
                  <c:v>62445.422676471739</c:v>
                </c:pt>
                <c:pt idx="1">
                  <c:v>56737.650877784348</c:v>
                </c:pt>
                <c:pt idx="2">
                  <c:v>64715.578554845488</c:v>
                </c:pt>
                <c:pt idx="3">
                  <c:v>69409.445280770073</c:v>
                </c:pt>
                <c:pt idx="4">
                  <c:v>74492.687084711419</c:v>
                </c:pt>
                <c:pt idx="5">
                  <c:v>75451.139511109475</c:v>
                </c:pt>
                <c:pt idx="6">
                  <c:v>77326.312473760903</c:v>
                </c:pt>
                <c:pt idx="7">
                  <c:v>77094.117369045489</c:v>
                </c:pt>
                <c:pt idx="8">
                  <c:v>75634.618979251245</c:v>
                </c:pt>
                <c:pt idx="9">
                  <c:v>70857.577959546703</c:v>
                </c:pt>
                <c:pt idx="10">
                  <c:v>58389.684206689308</c:v>
                </c:pt>
                <c:pt idx="11">
                  <c:v>61445.765026013709</c:v>
                </c:pt>
              </c:numCache>
            </c:numRef>
          </c:val>
          <c:extLst>
            <c:ext xmlns:c16="http://schemas.microsoft.com/office/drawing/2014/chart" uri="{C3380CC4-5D6E-409C-BE32-E72D297353CC}">
              <c16:uniqueId val="{00000002-00AA-461E-8AD9-BB4CDEDEFB6D}"/>
            </c:ext>
          </c:extLst>
        </c:ser>
        <c:ser>
          <c:idx val="1"/>
          <c:order val="3"/>
          <c:tx>
            <c:strRef>
              <c:f>latvia_ev!$D$3</c:f>
              <c:strCache>
                <c:ptCount val="1"/>
                <c:pt idx="0">
                  <c:v>2016
Actual</c:v>
                </c:pt>
              </c:strCache>
            </c:strRef>
          </c:tx>
          <c:spPr>
            <a:solidFill>
              <a:srgbClr val="993366"/>
            </a:solidFill>
            <a:ln w="38100">
              <a:solidFill>
                <a:srgbClr val="993300"/>
              </a:solidFill>
              <a:prstDash val="solid"/>
            </a:ln>
          </c:spPr>
          <c:invertIfNegative val="0"/>
          <c:cat>
            <c:strRef>
              <c:f>latvia_ev!$C$5:$C$16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latvia_ev!$D$5:$D$16</c:f>
              <c:numCache>
                <c:formatCode>#,##0</c:formatCode>
                <c:ptCount val="12"/>
                <c:pt idx="0">
                  <c:v>57246.578200000004</c:v>
                </c:pt>
                <c:pt idx="1">
                  <c:v>52451.3344</c:v>
                </c:pt>
                <c:pt idx="2">
                  <c:v>59203.612399999998</c:v>
                </c:pt>
                <c:pt idx="3">
                  <c:v>65625.666700000002</c:v>
                </c:pt>
                <c:pt idx="4">
                  <c:v>69708.551299999992</c:v>
                </c:pt>
                <c:pt idx="5">
                  <c:v>71787.584400000007</c:v>
                </c:pt>
                <c:pt idx="6">
                  <c:v>75143.133600000001</c:v>
                </c:pt>
                <c:pt idx="7">
                  <c:v>75797.987200000003</c:v>
                </c:pt>
                <c:pt idx="8">
                  <c:v>70833.9277</c:v>
                </c:pt>
                <c:pt idx="9">
                  <c:v>69598.527300000002</c:v>
                </c:pt>
                <c:pt idx="10">
                  <c:v>0</c:v>
                </c:pt>
                <c:pt idx="11">
                  <c:v>0</c:v>
                </c:pt>
              </c:numCache>
            </c:numRef>
          </c:val>
          <c:extLst>
            <c:ext xmlns:c16="http://schemas.microsoft.com/office/drawing/2014/chart" uri="{C3380CC4-5D6E-409C-BE32-E72D297353CC}">
              <c16:uniqueId val="{00000003-00AA-461E-8AD9-BB4CDEDEFB6D}"/>
            </c:ext>
          </c:extLst>
        </c:ser>
        <c:dLbls>
          <c:showLegendKey val="0"/>
          <c:showVal val="0"/>
          <c:showCatName val="0"/>
          <c:showSerName val="0"/>
          <c:showPercent val="0"/>
          <c:showBubbleSize val="0"/>
        </c:dLbls>
        <c:gapWidth val="300"/>
        <c:overlap val="30"/>
        <c:axId val="121528136"/>
        <c:axId val="1"/>
      </c:barChart>
      <c:catAx>
        <c:axId val="121528136"/>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At val="0"/>
        <c:auto val="0"/>
        <c:lblAlgn val="ctr"/>
        <c:lblOffset val="100"/>
        <c:tickLblSkip val="1"/>
        <c:tickMarkSkip val="1"/>
        <c:noMultiLvlLbl val="0"/>
      </c:catAx>
      <c:valAx>
        <c:axId val="1"/>
        <c:scaling>
          <c:orientation val="minMax"/>
          <c:max val="80000"/>
          <c:min val="1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21528136"/>
        <c:crosses val="autoZero"/>
        <c:crossBetween val="between"/>
        <c:majorUnit val="10000"/>
        <c:minorUnit val="5000"/>
        <c:dispUnits>
          <c:builtInUnit val="thousands"/>
        </c:dispUnits>
      </c:valAx>
      <c:spPr>
        <a:noFill/>
        <a:ln w="25400">
          <a:noFill/>
        </a:ln>
      </c:spPr>
    </c:plotArea>
    <c:legend>
      <c:legendPos val="r"/>
      <c:layout>
        <c:manualLayout>
          <c:xMode val="edge"/>
          <c:yMode val="edge"/>
          <c:wMode val="edge"/>
          <c:hMode val="edge"/>
          <c:x val="0.37265157617302014"/>
          <c:y val="0.86550976138828628"/>
          <c:w val="0.65240116384199365"/>
          <c:h val="0.94577006507592187"/>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078" r="0.75000000000000078" t="1" header="0.5" footer="0.5"/>
    <c:pageSetup paperSize="9" orientation="landscape"/>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Tahoma"/>
                <a:ea typeface="Tahoma"/>
                <a:cs typeface="Tahoma"/>
              </a:defRPr>
            </a:pPr>
            <a:r>
              <a:rPr lang="en-US"/>
              <a:t>TOTAL SERVICE UNITS ('000) - Georgia  CHARGING ZONE (UG)</a:t>
            </a:r>
          </a:p>
        </c:rich>
      </c:tx>
      <c:layout>
        <c:manualLayout>
          <c:xMode val="edge"/>
          <c:yMode val="edge"/>
          <c:x val="0.29615132294747698"/>
          <c:y val="3.0368763557483729E-2"/>
        </c:manualLayout>
      </c:layout>
      <c:overlay val="0"/>
      <c:spPr>
        <a:noFill/>
        <a:ln w="25400">
          <a:noFill/>
        </a:ln>
      </c:spPr>
    </c:title>
    <c:autoTitleDeleted val="0"/>
    <c:plotArea>
      <c:layout>
        <c:manualLayout>
          <c:layoutTarget val="inner"/>
          <c:xMode val="edge"/>
          <c:yMode val="edge"/>
          <c:x val="8.6452044047999541E-2"/>
          <c:y val="0.14984686320150575"/>
          <c:w val="0.91331173567346968"/>
          <c:h val="0.58456201214223613"/>
        </c:manualLayout>
      </c:layout>
      <c:barChart>
        <c:barDir val="col"/>
        <c:grouping val="clustered"/>
        <c:varyColors val="0"/>
        <c:ser>
          <c:idx val="2"/>
          <c:order val="0"/>
          <c:tx>
            <c:strRef>
              <c:f>georgia_ug!$G$3</c:f>
              <c:strCache>
                <c:ptCount val="1"/>
                <c:pt idx="0">
                  <c:v>2014
Actual</c:v>
                </c:pt>
              </c:strCache>
            </c:strRef>
          </c:tx>
          <c:spPr>
            <a:solidFill>
              <a:srgbClr val="3366FF"/>
            </a:solidFill>
            <a:ln w="12700">
              <a:solidFill>
                <a:srgbClr val="000000"/>
              </a:solidFill>
              <a:prstDash val="solid"/>
            </a:ln>
          </c:spPr>
          <c:invertIfNegative val="0"/>
          <c:cat>
            <c:strRef>
              <c:f>georgia_ug!$C$5:$C$16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georgia_ug!$G$5:$G$16</c:f>
              <c:numCache>
                <c:formatCode>#,##0"  ";[Red]\-#,##0"  "</c:formatCode>
                <c:ptCount val="12"/>
                <c:pt idx="0">
                  <c:v>65133.464899999999</c:v>
                </c:pt>
                <c:pt idx="1">
                  <c:v>56326.898699999998</c:v>
                </c:pt>
                <c:pt idx="2">
                  <c:v>65223.454700000002</c:v>
                </c:pt>
                <c:pt idx="3">
                  <c:v>50126.268499999998</c:v>
                </c:pt>
                <c:pt idx="4">
                  <c:v>47907.734700000001</c:v>
                </c:pt>
                <c:pt idx="5">
                  <c:v>48481.227699999996</c:v>
                </c:pt>
                <c:pt idx="6">
                  <c:v>60633.583399999996</c:v>
                </c:pt>
                <c:pt idx="7">
                  <c:v>73397.531600000002</c:v>
                </c:pt>
                <c:pt idx="8">
                  <c:v>70245.835500000001</c:v>
                </c:pt>
                <c:pt idx="9">
                  <c:v>73594.598800000007</c:v>
                </c:pt>
                <c:pt idx="10">
                  <c:v>72701.91750000001</c:v>
                </c:pt>
                <c:pt idx="11">
                  <c:v>67763.04389999999</c:v>
                </c:pt>
              </c:numCache>
            </c:numRef>
          </c:val>
          <c:extLst>
            <c:ext xmlns:c16="http://schemas.microsoft.com/office/drawing/2014/chart" uri="{C3380CC4-5D6E-409C-BE32-E72D297353CC}">
              <c16:uniqueId val="{00000000-7E23-494D-9447-F861F5EFF888}"/>
            </c:ext>
          </c:extLst>
        </c:ser>
        <c:ser>
          <c:idx val="0"/>
          <c:order val="1"/>
          <c:tx>
            <c:strRef>
              <c:f>georgia_ug!$F$3</c:f>
              <c:strCache>
                <c:ptCount val="1"/>
                <c:pt idx="0">
                  <c:v>2015
Actual</c:v>
                </c:pt>
              </c:strCache>
            </c:strRef>
          </c:tx>
          <c:spPr>
            <a:solidFill>
              <a:srgbClr val="9999FF"/>
            </a:solidFill>
            <a:ln w="12700">
              <a:solidFill>
                <a:srgbClr val="000000"/>
              </a:solidFill>
              <a:prstDash val="solid"/>
            </a:ln>
          </c:spPr>
          <c:invertIfNegative val="0"/>
          <c:cat>
            <c:strRef>
              <c:f>georgia_ug!$C$5:$C$16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georgia_ug!$F$5:$F$16</c:f>
              <c:numCache>
                <c:formatCode>#,##0"  ";[Red]\-#,##0"  "</c:formatCode>
                <c:ptCount val="12"/>
                <c:pt idx="0">
                  <c:v>65982.879700000005</c:v>
                </c:pt>
                <c:pt idx="1">
                  <c:v>61087.321199999998</c:v>
                </c:pt>
                <c:pt idx="2">
                  <c:v>69421.336200000005</c:v>
                </c:pt>
                <c:pt idx="3">
                  <c:v>68712.484400000001</c:v>
                </c:pt>
                <c:pt idx="4">
                  <c:v>66909.226200000005</c:v>
                </c:pt>
                <c:pt idx="5">
                  <c:v>65577.248999999996</c:v>
                </c:pt>
                <c:pt idx="6">
                  <c:v>72577.996499999994</c:v>
                </c:pt>
                <c:pt idx="7">
                  <c:v>71209.643699999986</c:v>
                </c:pt>
                <c:pt idx="8">
                  <c:v>64446.883300000001</c:v>
                </c:pt>
                <c:pt idx="9">
                  <c:v>67188.311999999991</c:v>
                </c:pt>
                <c:pt idx="10">
                  <c:v>65188.575599999996</c:v>
                </c:pt>
                <c:pt idx="11">
                  <c:v>66892.945099999997</c:v>
                </c:pt>
              </c:numCache>
            </c:numRef>
          </c:val>
          <c:extLst>
            <c:ext xmlns:c16="http://schemas.microsoft.com/office/drawing/2014/chart" uri="{C3380CC4-5D6E-409C-BE32-E72D297353CC}">
              <c16:uniqueId val="{00000001-7E23-494D-9447-F861F5EFF888}"/>
            </c:ext>
          </c:extLst>
        </c:ser>
        <c:ser>
          <c:idx val="5"/>
          <c:order val="2"/>
          <c:tx>
            <c:strRef>
              <c:f>georgia_ug!$E$3</c:f>
              <c:strCache>
                <c:ptCount val="1"/>
                <c:pt idx="0">
                  <c:v>2016 Unit
Rate Basis</c:v>
                </c:pt>
              </c:strCache>
            </c:strRef>
          </c:tx>
          <c:spPr>
            <a:solidFill>
              <a:srgbClr val="FF8080"/>
            </a:solidFill>
            <a:ln w="25400">
              <a:solidFill>
                <a:srgbClr val="DD0806"/>
              </a:solidFill>
              <a:prstDash val="lgDash"/>
            </a:ln>
          </c:spPr>
          <c:invertIfNegative val="0"/>
          <c:cat>
            <c:strRef>
              <c:f>georgia_ug!$C$5:$C$16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georgia_ug!$E$5:$E$16</c:f>
              <c:numCache>
                <c:formatCode>#,##0"  ";[Red]\-#,##0"  "</c:formatCode>
                <c:ptCount val="12"/>
                <c:pt idx="0">
                  <c:v>68876.863704421863</c:v>
                </c:pt>
                <c:pt idx="1">
                  <c:v>63766.587870832795</c:v>
                </c:pt>
                <c:pt idx="2">
                  <c:v>72466.129598557774</c:v>
                </c:pt>
                <c:pt idx="3">
                  <c:v>71726.187828249836</c:v>
                </c:pt>
                <c:pt idx="4">
                  <c:v>69843.839409539025</c:v>
                </c:pt>
                <c:pt idx="5">
                  <c:v>68453.442196217671</c:v>
                </c:pt>
                <c:pt idx="6">
                  <c:v>75761.23981855411</c:v>
                </c:pt>
                <c:pt idx="7">
                  <c:v>74332.87158525367</c:v>
                </c:pt>
                <c:pt idx="8">
                  <c:v>67273.499086595359</c:v>
                </c:pt>
                <c:pt idx="9">
                  <c:v>70135.165806565594</c:v>
                </c:pt>
                <c:pt idx="10">
                  <c:v>68047.721728741104</c:v>
                </c:pt>
                <c:pt idx="11">
                  <c:v>69826.844226686182</c:v>
                </c:pt>
              </c:numCache>
            </c:numRef>
          </c:val>
          <c:extLst>
            <c:ext xmlns:c16="http://schemas.microsoft.com/office/drawing/2014/chart" uri="{C3380CC4-5D6E-409C-BE32-E72D297353CC}">
              <c16:uniqueId val="{00000002-7E23-494D-9447-F861F5EFF888}"/>
            </c:ext>
          </c:extLst>
        </c:ser>
        <c:ser>
          <c:idx val="1"/>
          <c:order val="3"/>
          <c:tx>
            <c:strRef>
              <c:f>georgia_ug!$D$3</c:f>
              <c:strCache>
                <c:ptCount val="1"/>
                <c:pt idx="0">
                  <c:v>2016
Actual</c:v>
                </c:pt>
              </c:strCache>
            </c:strRef>
          </c:tx>
          <c:spPr>
            <a:solidFill>
              <a:srgbClr val="993366"/>
            </a:solidFill>
            <a:ln w="38100">
              <a:solidFill>
                <a:srgbClr val="993300"/>
              </a:solidFill>
              <a:prstDash val="solid"/>
            </a:ln>
          </c:spPr>
          <c:invertIfNegative val="0"/>
          <c:cat>
            <c:strRef>
              <c:f>georgia_ug!$C$5:$C$16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georgia_ug!$D$5:$D$16</c:f>
              <c:numCache>
                <c:formatCode>#,##0</c:formatCode>
                <c:ptCount val="12"/>
                <c:pt idx="0">
                  <c:v>62061.501700000001</c:v>
                </c:pt>
                <c:pt idx="1">
                  <c:v>58923.069199999998</c:v>
                </c:pt>
                <c:pt idx="2">
                  <c:v>63970.3436</c:v>
                </c:pt>
                <c:pt idx="3">
                  <c:v>61233.255799999999</c:v>
                </c:pt>
                <c:pt idx="4">
                  <c:v>63749.850700000003</c:v>
                </c:pt>
                <c:pt idx="5">
                  <c:v>65415.493300000002</c:v>
                </c:pt>
                <c:pt idx="6">
                  <c:v>68259.465899999996</c:v>
                </c:pt>
                <c:pt idx="7">
                  <c:v>75435.455799999996</c:v>
                </c:pt>
                <c:pt idx="8">
                  <c:v>69964.049700000003</c:v>
                </c:pt>
                <c:pt idx="9">
                  <c:v>69491.713300000003</c:v>
                </c:pt>
                <c:pt idx="10">
                  <c:v>0</c:v>
                </c:pt>
                <c:pt idx="11">
                  <c:v>0</c:v>
                </c:pt>
              </c:numCache>
            </c:numRef>
          </c:val>
          <c:extLst>
            <c:ext xmlns:c16="http://schemas.microsoft.com/office/drawing/2014/chart" uri="{C3380CC4-5D6E-409C-BE32-E72D297353CC}">
              <c16:uniqueId val="{00000003-7E23-494D-9447-F861F5EFF888}"/>
            </c:ext>
          </c:extLst>
        </c:ser>
        <c:dLbls>
          <c:showLegendKey val="0"/>
          <c:showVal val="0"/>
          <c:showCatName val="0"/>
          <c:showSerName val="0"/>
          <c:showPercent val="0"/>
          <c:showBubbleSize val="0"/>
        </c:dLbls>
        <c:gapWidth val="300"/>
        <c:overlap val="30"/>
        <c:axId val="141694816"/>
        <c:axId val="1"/>
      </c:barChart>
      <c:catAx>
        <c:axId val="141694816"/>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ahoma"/>
                <a:ea typeface="Tahoma"/>
                <a:cs typeface="Tahoma"/>
              </a:defRPr>
            </a:pPr>
            <a:endParaRPr lang="en-US"/>
          </a:p>
        </c:txPr>
        <c:crossAx val="1"/>
        <c:crossesAt val="0"/>
        <c:auto val="0"/>
        <c:lblAlgn val="ctr"/>
        <c:lblOffset val="100"/>
        <c:tickLblSkip val="1"/>
        <c:tickMarkSkip val="1"/>
        <c:noMultiLvlLbl val="0"/>
      </c:catAx>
      <c:valAx>
        <c:axId val="1"/>
        <c:scaling>
          <c:orientation val="minMax"/>
          <c:max val="80000"/>
          <c:min val="10000"/>
        </c:scaling>
        <c:delete val="0"/>
        <c:axPos val="l"/>
        <c:majorGridlines>
          <c:spPr>
            <a:ln w="3175">
              <a:solidFill>
                <a:srgbClr val="000000"/>
              </a:solidFill>
              <a:prstDash val="sysDash"/>
            </a:ln>
          </c:spPr>
        </c:majorGridlines>
        <c:numFmt formatCode="#,##0&quot;  &quot;;[Red]\-#,##0&quot;  &quot;"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ahoma"/>
                <a:ea typeface="Tahoma"/>
                <a:cs typeface="Tahoma"/>
              </a:defRPr>
            </a:pPr>
            <a:endParaRPr lang="en-US"/>
          </a:p>
        </c:txPr>
        <c:crossAx val="141694816"/>
        <c:crosses val="autoZero"/>
        <c:crossBetween val="between"/>
        <c:majorUnit val="10000"/>
        <c:minorUnit val="5000"/>
        <c:dispUnits>
          <c:builtInUnit val="thousands"/>
        </c:dispUnits>
      </c:valAx>
      <c:spPr>
        <a:noFill/>
        <a:ln w="25400">
          <a:noFill/>
        </a:ln>
      </c:spPr>
    </c:plotArea>
    <c:legend>
      <c:legendPos val="r"/>
      <c:layout>
        <c:manualLayout>
          <c:xMode val="edge"/>
          <c:yMode val="edge"/>
          <c:wMode val="edge"/>
          <c:hMode val="edge"/>
          <c:x val="0.37768679631525076"/>
          <c:y val="0.8633405639913232"/>
          <c:w val="0.65711361310133065"/>
          <c:h val="0.94360086767895879"/>
        </c:manualLayout>
      </c:layout>
      <c:overlay val="0"/>
      <c:spPr>
        <a:solidFill>
          <a:srgbClr val="FFFFFF"/>
        </a:solidFill>
        <a:ln w="25400">
          <a:noFill/>
        </a:ln>
      </c:spPr>
      <c:txPr>
        <a:bodyPr/>
        <a:lstStyle/>
        <a:p>
          <a:pPr>
            <a:defRPr sz="475" b="0" i="0" u="none" strike="noStrike" baseline="0">
              <a:solidFill>
                <a:srgbClr val="000000"/>
              </a:solidFill>
              <a:latin typeface="Tahoma"/>
              <a:ea typeface="Tahoma"/>
              <a:cs typeface="Tahoma"/>
            </a:defRPr>
          </a:pPr>
          <a:endParaRPr lang="en-US"/>
        </a:p>
      </c:txPr>
    </c:legend>
    <c:plotVisOnly val="0"/>
    <c:dispBlanksAs val="gap"/>
    <c:showDLblsOverMax val="0"/>
  </c:chart>
  <c:spPr>
    <a:gradFill rotWithShape="0">
      <a:gsLst>
        <a:gs pos="0">
          <a:srgbClr val="99CCFF"/>
        </a:gs>
        <a:gs pos="100000">
          <a:srgbClr val="FFFFFF"/>
        </a:gs>
      </a:gsLst>
      <a:path path="rect">
        <a:fillToRect l="50000" t="50000" r="50000" b="50000"/>
      </a:path>
    </a:gradFill>
    <a:ln w="3175">
      <a:solidFill>
        <a:srgbClr val="000000"/>
      </a:solidFill>
      <a:prstDash val="solid"/>
    </a:ln>
    <a:effectLst>
      <a:outerShdw dist="35921" dir="2700000" algn="br">
        <a:srgbClr val="000000"/>
      </a:outerShdw>
    </a:effectLst>
  </c:spPr>
  <c:txPr>
    <a:bodyPr/>
    <a:lstStyle/>
    <a:p>
      <a:pPr>
        <a:defRPr sz="1000" b="0" i="0" u="none" strike="noStrike" baseline="0">
          <a:solidFill>
            <a:srgbClr val="000000"/>
          </a:solidFill>
          <a:latin typeface="Tahoma"/>
          <a:ea typeface="Tahoma"/>
          <a:cs typeface="Tahoma"/>
        </a:defRPr>
      </a:pPr>
      <a:endParaRPr lang="en-US"/>
    </a:p>
  </c:txPr>
  <c:printSettings>
    <c:headerFooter alignWithMargins="0"/>
    <c:pageMargins b="1" l="0.75000000000000144" r="0.75000000000000144" t="1" header="0.5" footer="0.5"/>
    <c:pageSetup paperSize="9" orientation="landscape"/>
  </c:printSettings>
  <c:userShapes r:id="rId1"/>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52.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54.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56.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58.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60.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62.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64.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66.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68.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70.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72.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74.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76.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78.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80.xml.rels><?xml version="1.0" encoding="UTF-8" standalone="yes"?>
<Relationships xmlns="http://schemas.openxmlformats.org/package/2006/relationships"><Relationship Id="rId1" Type="http://schemas.openxmlformats.org/officeDocument/2006/relationships/chart" Target="../charts/chart40.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10</xdr:col>
      <xdr:colOff>364002</xdr:colOff>
      <xdr:row>85</xdr:row>
      <xdr:rowOff>41280</xdr:rowOff>
    </xdr:to>
    <xdr:sp macro="" textlink="">
      <xdr:nvSpPr>
        <xdr:cNvPr id="2" name="TextBox 1">
          <a:extLst>
            <a:ext uri="{FF2B5EF4-FFF2-40B4-BE49-F238E27FC236}">
              <a16:creationId xmlns:a16="http://schemas.microsoft.com/office/drawing/2014/main" id="{5E9E0D1D-D262-4D0F-B0BE-F9DC7A4916B6}"/>
            </a:ext>
          </a:extLst>
        </xdr:cNvPr>
        <xdr:cNvSpPr txBox="1"/>
      </xdr:nvSpPr>
      <xdr:spPr>
        <a:xfrm>
          <a:off x="0" y="161925"/>
          <a:ext cx="5698002" cy="13642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GB" sz="1100" b="1">
              <a:solidFill>
                <a:schemeClr val="dk1"/>
              </a:solidFill>
              <a:latin typeface="+mn-lt"/>
              <a:ea typeface="+mn-ea"/>
              <a:cs typeface="+mn-cs"/>
            </a:rPr>
            <a:t>EXPLANATORY NOTE ON THE </a:t>
          </a:r>
          <a:endParaRPr lang="en-GB" sz="1100">
            <a:solidFill>
              <a:schemeClr val="dk1"/>
            </a:solidFill>
            <a:latin typeface="+mn-lt"/>
            <a:ea typeface="+mn-ea"/>
            <a:cs typeface="+mn-cs"/>
          </a:endParaRPr>
        </a:p>
        <a:p>
          <a:pPr algn="ctr"/>
          <a:r>
            <a:rPr lang="en-GB" sz="1100" b="1">
              <a:solidFill>
                <a:schemeClr val="dk1"/>
              </a:solidFill>
              <a:latin typeface="+mn-lt"/>
              <a:ea typeface="+mn-ea"/>
              <a:cs typeface="+mn-cs"/>
            </a:rPr>
            <a:t>"MONTHLY FOLLOW-UP OF SERVICE UNITS - 2016"</a:t>
          </a:r>
          <a:endParaRPr lang="en-GB" sz="1100">
            <a:solidFill>
              <a:schemeClr val="dk1"/>
            </a:solidFill>
            <a:latin typeface="+mn-lt"/>
            <a:ea typeface="+mn-ea"/>
            <a:cs typeface="+mn-cs"/>
          </a:endParaRPr>
        </a:p>
        <a:p>
          <a:r>
            <a:rPr lang="en-GB" sz="1100">
              <a:solidFill>
                <a:schemeClr val="dk1"/>
              </a:solidFill>
              <a:latin typeface="+mn-lt"/>
              <a:ea typeface="+mn-ea"/>
              <a:cs typeface="+mn-cs"/>
            </a:rPr>
            <a:t> </a:t>
          </a:r>
        </a:p>
        <a:p>
          <a:r>
            <a:rPr lang="en-GB" sz="1100">
              <a:solidFill>
                <a:schemeClr val="dk1"/>
              </a:solidFill>
              <a:latin typeface="+mn-lt"/>
              <a:ea typeface="+mn-ea"/>
              <a:cs typeface="+mn-cs"/>
            </a:rPr>
            <a:t> </a:t>
          </a:r>
          <a:r>
            <a:rPr lang="en-GB" sz="1100" b="1" u="sng">
              <a:solidFill>
                <a:schemeClr val="dk1"/>
              </a:solidFill>
              <a:latin typeface="+mn-lt"/>
              <a:ea typeface="+mn-ea"/>
              <a:cs typeface="+mn-cs"/>
            </a:rPr>
            <a:t>Introduction:</a:t>
          </a:r>
          <a:endParaRPr lang="en-GB" sz="1100">
            <a:solidFill>
              <a:schemeClr val="dk1"/>
            </a:solidFill>
            <a:latin typeface="+mn-lt"/>
            <a:ea typeface="+mn-ea"/>
            <a:cs typeface="+mn-cs"/>
          </a:endParaRPr>
        </a:p>
        <a:p>
          <a:r>
            <a:rPr lang="en-GB" sz="1100">
              <a:solidFill>
                <a:schemeClr val="dk1"/>
              </a:solidFill>
              <a:latin typeface="+mn-lt"/>
              <a:ea typeface="+mn-ea"/>
              <a:cs typeface="+mn-cs"/>
            </a:rPr>
            <a:t> </a:t>
          </a:r>
        </a:p>
        <a:p>
          <a:r>
            <a:rPr lang="en-GB" sz="1100">
              <a:solidFill>
                <a:schemeClr val="dk1"/>
              </a:solidFill>
              <a:latin typeface="+mn-lt"/>
              <a:ea typeface="+mn-ea"/>
              <a:cs typeface="+mn-cs"/>
            </a:rPr>
            <a:t>Data are provided for each of the EUROCONTROL charging zone, for the CRCO Total 2015 and for ESRA02 (the EUROCONTROL 2002 Statistical Reference Area consisting of the 30 first charging zones). The tables and charts show </a:t>
          </a:r>
          <a:r>
            <a:rPr lang="en-GB" sz="1100" u="sng">
              <a:solidFill>
                <a:schemeClr val="dk1"/>
              </a:solidFill>
              <a:latin typeface="+mn-lt"/>
              <a:ea typeface="+mn-ea"/>
              <a:cs typeface="+mn-cs"/>
            </a:rPr>
            <a:t>total</a:t>
          </a:r>
          <a:r>
            <a:rPr lang="en-GB" sz="1100">
              <a:solidFill>
                <a:schemeClr val="dk1"/>
              </a:solidFill>
              <a:latin typeface="+mn-lt"/>
              <a:ea typeface="+mn-ea"/>
              <a:cs typeface="+mn-cs"/>
            </a:rPr>
            <a:t> service units i.e. the sum of chargeable and exempted service units. </a:t>
          </a:r>
        </a:p>
        <a:p>
          <a:r>
            <a:rPr lang="en-GB" sz="1100">
              <a:solidFill>
                <a:schemeClr val="dk1"/>
              </a:solidFill>
              <a:latin typeface="+mn-lt"/>
              <a:ea typeface="+mn-ea"/>
              <a:cs typeface="+mn-cs"/>
            </a:rPr>
            <a:t> </a:t>
          </a:r>
        </a:p>
        <a:p>
          <a:r>
            <a:rPr lang="en-GB" sz="1100">
              <a:solidFill>
                <a:schemeClr val="dk1"/>
              </a:solidFill>
              <a:latin typeface="+mn-lt"/>
              <a:ea typeface="+mn-ea"/>
              <a:cs typeface="+mn-cs"/>
            </a:rPr>
            <a:t> </a:t>
          </a:r>
          <a:r>
            <a:rPr lang="en-GB" sz="1100" b="1" u="sng" strike="noStrike">
              <a:solidFill>
                <a:schemeClr val="dk1"/>
              </a:solidFill>
              <a:latin typeface="+mn-lt"/>
              <a:ea typeface="+mn-ea"/>
              <a:cs typeface="+mn-cs"/>
            </a:rPr>
            <a:t>Table (upper left): Monthly data</a:t>
          </a:r>
          <a:endParaRPr lang="en-GB" sz="1100" u="none" strike="noStrike">
            <a:solidFill>
              <a:schemeClr val="dk1"/>
            </a:solidFill>
            <a:latin typeface="+mn-lt"/>
            <a:ea typeface="+mn-ea"/>
            <a:cs typeface="+mn-cs"/>
          </a:endParaRPr>
        </a:p>
        <a:p>
          <a:r>
            <a:rPr lang="en-GB" sz="1100" u="none" strike="noStrike">
              <a:solidFill>
                <a:schemeClr val="dk1"/>
              </a:solidFill>
              <a:latin typeface="+mn-lt"/>
              <a:ea typeface="+mn-ea"/>
              <a:cs typeface="+mn-cs"/>
            </a:rPr>
            <a:t> </a:t>
          </a:r>
          <a:endParaRPr lang="en-GB" sz="1100">
            <a:solidFill>
              <a:schemeClr val="dk1"/>
            </a:solidFill>
            <a:latin typeface="+mn-lt"/>
            <a:ea typeface="+mn-ea"/>
            <a:cs typeface="+mn-cs"/>
          </a:endParaRPr>
        </a:p>
        <a:p>
          <a:pPr lvl="0"/>
          <a:r>
            <a:rPr lang="en-GB" sz="1100">
              <a:solidFill>
                <a:schemeClr val="dk1"/>
              </a:solidFill>
              <a:latin typeface="+mn-lt"/>
              <a:ea typeface="+mn-ea"/>
              <a:cs typeface="+mn-cs"/>
            </a:rPr>
            <a:t>Column (1):</a:t>
          </a:r>
          <a:r>
            <a:rPr lang="en-GB" sz="1100" baseline="0">
              <a:solidFill>
                <a:schemeClr val="dk1"/>
              </a:solidFill>
              <a:latin typeface="+mn-lt"/>
              <a:ea typeface="+mn-ea"/>
              <a:cs typeface="+mn-cs"/>
            </a:rPr>
            <a:t> </a:t>
          </a:r>
          <a:r>
            <a:rPr lang="en-GB" sz="1100">
              <a:solidFill>
                <a:schemeClr val="dk1"/>
              </a:solidFill>
              <a:latin typeface="+mn-lt"/>
              <a:ea typeface="+mn-ea"/>
              <a:cs typeface="+mn-cs"/>
            </a:rPr>
            <a:t>In bold the actual number of service units recorded after each monthly billing in 2016. Service unit figures relate to the flights performed during the previous calendar month.</a:t>
          </a:r>
        </a:p>
        <a:p>
          <a:pPr lvl="0"/>
          <a:r>
            <a:rPr lang="en-GB" sz="1100">
              <a:solidFill>
                <a:schemeClr val="dk1"/>
              </a:solidFill>
              <a:latin typeface="+mn-lt"/>
              <a:ea typeface="+mn-ea"/>
              <a:cs typeface="+mn-cs"/>
            </a:rPr>
            <a:t>Column (2):</a:t>
          </a:r>
          <a:r>
            <a:rPr lang="en-GB" sz="1100" baseline="0">
              <a:solidFill>
                <a:schemeClr val="dk1"/>
              </a:solidFill>
              <a:latin typeface="+mn-lt"/>
              <a:ea typeface="+mn-ea"/>
              <a:cs typeface="+mn-cs"/>
            </a:rPr>
            <a:t> </a:t>
          </a:r>
          <a:r>
            <a:rPr lang="en-GB" sz="1100">
              <a:solidFill>
                <a:schemeClr val="dk1"/>
              </a:solidFill>
              <a:latin typeface="+mn-lt"/>
              <a:ea typeface="+mn-ea"/>
              <a:cs typeface="+mn-cs"/>
            </a:rPr>
            <a:t>The estimated monthly distribution of the service units' forecast used in the calculation of the 2016 unit rate. </a:t>
          </a:r>
        </a:p>
        <a:p>
          <a:pPr lvl="0"/>
          <a:r>
            <a:rPr lang="en-GB" sz="1100">
              <a:solidFill>
                <a:schemeClr val="dk1"/>
              </a:solidFill>
              <a:latin typeface="+mn-lt"/>
              <a:ea typeface="+mn-ea"/>
              <a:cs typeface="+mn-cs"/>
            </a:rPr>
            <a:t>Column (3):</a:t>
          </a:r>
          <a:r>
            <a:rPr lang="en-GB" sz="1100" baseline="0">
              <a:solidFill>
                <a:schemeClr val="dk1"/>
              </a:solidFill>
              <a:latin typeface="+mn-lt"/>
              <a:ea typeface="+mn-ea"/>
              <a:cs typeface="+mn-cs"/>
            </a:rPr>
            <a:t> </a:t>
          </a:r>
          <a:r>
            <a:rPr lang="en-GB" sz="1100">
              <a:solidFill>
                <a:schemeClr val="dk1"/>
              </a:solidFill>
              <a:latin typeface="+mn-lt"/>
              <a:ea typeface="+mn-ea"/>
              <a:cs typeface="+mn-cs"/>
            </a:rPr>
            <a:t>The actual number of service units recorded for the 12 months of 2015 for the Participating States (situation at 31 January 2016).</a:t>
          </a:r>
        </a:p>
        <a:p>
          <a:pPr lvl="0"/>
          <a:r>
            <a:rPr lang="en-GB" sz="1100">
              <a:solidFill>
                <a:schemeClr val="dk1"/>
              </a:solidFill>
              <a:latin typeface="+mn-lt"/>
              <a:ea typeface="+mn-ea"/>
              <a:cs typeface="+mn-cs"/>
            </a:rPr>
            <a:t>Column (4):</a:t>
          </a:r>
          <a:r>
            <a:rPr lang="en-GB" sz="1100" baseline="0">
              <a:solidFill>
                <a:schemeClr val="dk1"/>
              </a:solidFill>
              <a:latin typeface="+mn-lt"/>
              <a:ea typeface="+mn-ea"/>
              <a:cs typeface="+mn-cs"/>
            </a:rPr>
            <a:t> </a:t>
          </a:r>
          <a:r>
            <a:rPr lang="en-GB" sz="1100">
              <a:solidFill>
                <a:schemeClr val="dk1"/>
              </a:solidFill>
              <a:latin typeface="+mn-lt"/>
              <a:ea typeface="+mn-ea"/>
              <a:cs typeface="+mn-cs"/>
            </a:rPr>
            <a:t>The actual number of service units recorded for the 12 months of 2014 for the Participating States (situation at 21 January 2016).</a:t>
          </a:r>
        </a:p>
        <a:p>
          <a:pPr lvl="0"/>
          <a:r>
            <a:rPr lang="en-GB" sz="1100">
              <a:solidFill>
                <a:schemeClr val="dk1"/>
              </a:solidFill>
              <a:latin typeface="+mn-lt"/>
              <a:ea typeface="+mn-ea"/>
              <a:cs typeface="+mn-cs"/>
            </a:rPr>
            <a:t>Column (1)/(2):</a:t>
          </a:r>
          <a:r>
            <a:rPr lang="en-GB" sz="1100" baseline="0">
              <a:solidFill>
                <a:schemeClr val="dk1"/>
              </a:solidFill>
              <a:latin typeface="+mn-lt"/>
              <a:ea typeface="+mn-ea"/>
              <a:cs typeface="+mn-cs"/>
            </a:rPr>
            <a:t> </a:t>
          </a:r>
          <a:r>
            <a:rPr lang="en-GB" sz="1100">
              <a:solidFill>
                <a:schemeClr val="dk1"/>
              </a:solidFill>
              <a:latin typeface="+mn-lt"/>
              <a:ea typeface="+mn-ea"/>
              <a:cs typeface="+mn-cs"/>
            </a:rPr>
            <a:t>The difference (in %) between the actual number of service units recorded in 2016 and the monthly distribution of the 2016 unit rate forecast.</a:t>
          </a:r>
        </a:p>
        <a:p>
          <a:pPr lvl="0"/>
          <a:r>
            <a:rPr lang="en-GB" sz="1100">
              <a:solidFill>
                <a:schemeClr val="dk1"/>
              </a:solidFill>
              <a:latin typeface="+mn-lt"/>
              <a:ea typeface="+mn-ea"/>
              <a:cs typeface="+mn-cs"/>
            </a:rPr>
            <a:t>Column (1)/(3):</a:t>
          </a:r>
          <a:r>
            <a:rPr lang="en-GB" sz="1100" baseline="0">
              <a:solidFill>
                <a:schemeClr val="dk1"/>
              </a:solidFill>
              <a:latin typeface="+mn-lt"/>
              <a:ea typeface="+mn-ea"/>
              <a:cs typeface="+mn-cs"/>
            </a:rPr>
            <a:t> </a:t>
          </a:r>
          <a:r>
            <a:rPr lang="en-GB" sz="1100">
              <a:solidFill>
                <a:schemeClr val="dk1"/>
              </a:solidFill>
              <a:latin typeface="+mn-lt"/>
              <a:ea typeface="+mn-ea"/>
              <a:cs typeface="+mn-cs"/>
            </a:rPr>
            <a:t>The difference (in %) between the actual number of service units recorded in 2016 and the actual figures recorded for 2015.</a:t>
          </a:r>
        </a:p>
        <a:p>
          <a:pPr lvl="0"/>
          <a:r>
            <a:rPr lang="en-GB" sz="1100">
              <a:solidFill>
                <a:schemeClr val="dk1"/>
              </a:solidFill>
              <a:latin typeface="+mn-lt"/>
              <a:ea typeface="+mn-ea"/>
              <a:cs typeface="+mn-cs"/>
            </a:rPr>
            <a:t>Column (3)/(4):</a:t>
          </a:r>
          <a:r>
            <a:rPr lang="en-GB" sz="1100" baseline="0">
              <a:solidFill>
                <a:schemeClr val="dk1"/>
              </a:solidFill>
              <a:latin typeface="+mn-lt"/>
              <a:ea typeface="+mn-ea"/>
              <a:cs typeface="+mn-cs"/>
            </a:rPr>
            <a:t> </a:t>
          </a:r>
          <a:r>
            <a:rPr lang="en-GB" sz="1100">
              <a:solidFill>
                <a:schemeClr val="dk1"/>
              </a:solidFill>
              <a:latin typeface="+mn-lt"/>
              <a:ea typeface="+mn-ea"/>
              <a:cs typeface="+mn-cs"/>
            </a:rPr>
            <a:t>The difference (in %) between the actual number of service units recorded in 2015 and the actual figures recorded for 2014.</a:t>
          </a:r>
        </a:p>
        <a:p>
          <a:r>
            <a:rPr lang="en-GB" sz="1100">
              <a:solidFill>
                <a:schemeClr val="dk1"/>
              </a:solidFill>
              <a:latin typeface="+mn-lt"/>
              <a:ea typeface="+mn-ea"/>
              <a:cs typeface="+mn-cs"/>
            </a:rPr>
            <a:t> </a:t>
          </a:r>
        </a:p>
        <a:p>
          <a:r>
            <a:rPr lang="en-GB" sz="1100">
              <a:solidFill>
                <a:schemeClr val="dk1"/>
              </a:solidFill>
              <a:latin typeface="+mn-lt"/>
              <a:ea typeface="+mn-ea"/>
              <a:cs typeface="+mn-cs"/>
            </a:rPr>
            <a:t> </a:t>
          </a:r>
          <a:r>
            <a:rPr lang="en-GB" sz="1100" b="1" u="sng" strike="noStrike">
              <a:solidFill>
                <a:schemeClr val="dk1"/>
              </a:solidFill>
              <a:latin typeface="+mn-lt"/>
              <a:ea typeface="+mn-ea"/>
              <a:cs typeface="+mn-cs"/>
            </a:rPr>
            <a:t>Table (upper right): Annual data for current year (2016)</a:t>
          </a:r>
          <a:endParaRPr lang="en-GB" sz="1100" u="none" strike="noStrike">
            <a:solidFill>
              <a:schemeClr val="dk1"/>
            </a:solidFill>
            <a:latin typeface="+mn-lt"/>
            <a:ea typeface="+mn-ea"/>
            <a:cs typeface="+mn-cs"/>
          </a:endParaRPr>
        </a:p>
        <a:p>
          <a:r>
            <a:rPr lang="en-GB" sz="1100">
              <a:solidFill>
                <a:schemeClr val="dk1"/>
              </a:solidFill>
              <a:latin typeface="+mn-lt"/>
              <a:ea typeface="+mn-ea"/>
              <a:cs typeface="+mn-cs"/>
            </a:rPr>
            <a:t> </a:t>
          </a:r>
        </a:p>
        <a:p>
          <a:pPr lvl="0"/>
          <a:r>
            <a:rPr lang="en-GB" sz="1100">
              <a:solidFill>
                <a:schemeClr val="dk1"/>
              </a:solidFill>
              <a:latin typeface="+mn-lt"/>
              <a:ea typeface="+mn-ea"/>
              <a:cs typeface="+mn-cs"/>
            </a:rPr>
            <a:t>First row:	In bold, </a:t>
          </a:r>
          <a:r>
            <a:rPr lang="en-GB" sz="1100" b="1">
              <a:solidFill>
                <a:schemeClr val="dk1"/>
              </a:solidFill>
              <a:latin typeface="+mn-lt"/>
              <a:ea typeface="+mn-ea"/>
              <a:cs typeface="+mn-cs"/>
            </a:rPr>
            <a:t>the latest </a:t>
          </a:r>
          <a:r>
            <a:rPr lang="en-GB" sz="1100">
              <a:solidFill>
                <a:schemeClr val="dk1"/>
              </a:solidFill>
              <a:latin typeface="+mn-lt"/>
              <a:ea typeface="+mn-ea"/>
              <a:cs typeface="+mn-cs"/>
            </a:rPr>
            <a:t>EUROCONTROL/STATFOR Service Unit forecast at the date of issue.</a:t>
          </a:r>
        </a:p>
        <a:p>
          <a:pPr lvl="0"/>
          <a:r>
            <a:rPr lang="en-GB" sz="1100">
              <a:solidFill>
                <a:schemeClr val="dk1"/>
              </a:solidFill>
              <a:latin typeface="+mn-lt"/>
              <a:ea typeface="+mn-ea"/>
              <a:cs typeface="+mn-cs"/>
            </a:rPr>
            <a:t>Second row:	Initial 2016 EUROCONTROL/STATFOR forecast published in September 2015. </a:t>
          </a:r>
        </a:p>
        <a:p>
          <a:pPr lvl="0"/>
          <a:r>
            <a:rPr lang="en-GB" sz="1100">
              <a:solidFill>
                <a:schemeClr val="dk1"/>
              </a:solidFill>
              <a:latin typeface="+mn-lt"/>
              <a:ea typeface="+mn-ea"/>
              <a:cs typeface="+mn-cs"/>
            </a:rPr>
            <a:t>Third row:	</a:t>
          </a:r>
          <a:r>
            <a:rPr lang="en-GB" sz="1100" baseline="30000">
              <a:solidFill>
                <a:schemeClr val="dk1"/>
              </a:solidFill>
              <a:latin typeface="+mn-lt"/>
              <a:ea typeface="+mn-ea"/>
              <a:cs typeface="+mn-cs"/>
            </a:rPr>
            <a:t>1st</a:t>
          </a:r>
          <a:r>
            <a:rPr lang="en-GB" sz="1100">
              <a:solidFill>
                <a:schemeClr val="dk1"/>
              </a:solidFill>
              <a:latin typeface="+mn-lt"/>
              <a:ea typeface="+mn-ea"/>
              <a:cs typeface="+mn-cs"/>
            </a:rPr>
            <a:t> Revision of the 2016 service units' forecast – SUF1 published in March 2016. </a:t>
          </a:r>
        </a:p>
        <a:p>
          <a:pPr lvl="0"/>
          <a:r>
            <a:rPr lang="en-GB" sz="1100">
              <a:solidFill>
                <a:schemeClr val="dk1"/>
              </a:solidFill>
              <a:latin typeface="+mn-lt"/>
              <a:ea typeface="+mn-ea"/>
              <a:cs typeface="+mn-cs"/>
            </a:rPr>
            <a:t>Fourth row:	</a:t>
          </a:r>
          <a:r>
            <a:rPr lang="en-GB" sz="1100" baseline="30000">
              <a:solidFill>
                <a:schemeClr val="dk1"/>
              </a:solidFill>
              <a:latin typeface="+mn-lt"/>
              <a:ea typeface="+mn-ea"/>
              <a:cs typeface="+mn-cs"/>
            </a:rPr>
            <a:t>2nd</a:t>
          </a:r>
          <a:r>
            <a:rPr lang="en-GB" sz="1100">
              <a:solidFill>
                <a:schemeClr val="dk1"/>
              </a:solidFill>
              <a:latin typeface="+mn-lt"/>
              <a:ea typeface="+mn-ea"/>
              <a:cs typeface="+mn-cs"/>
            </a:rPr>
            <a:t> Revision of the 2016 service units' forecast - SUF2 published in May 2016. </a:t>
          </a:r>
        </a:p>
        <a:p>
          <a:pPr lvl="0"/>
          <a:r>
            <a:rPr lang="en-GB" sz="1100">
              <a:solidFill>
                <a:schemeClr val="dk1"/>
              </a:solidFill>
              <a:latin typeface="+mn-lt"/>
              <a:ea typeface="+mn-ea"/>
              <a:cs typeface="+mn-cs"/>
            </a:rPr>
            <a:t>Fifth row:	</a:t>
          </a:r>
          <a:r>
            <a:rPr lang="en-GB" sz="1100" baseline="30000">
              <a:solidFill>
                <a:schemeClr val="dk1"/>
              </a:solidFill>
              <a:latin typeface="+mn-lt"/>
              <a:ea typeface="+mn-ea"/>
              <a:cs typeface="+mn-cs"/>
            </a:rPr>
            <a:t>3rd</a:t>
          </a:r>
          <a:r>
            <a:rPr lang="en-GB" sz="1100">
              <a:solidFill>
                <a:schemeClr val="dk1"/>
              </a:solidFill>
              <a:latin typeface="+mn-lt"/>
              <a:ea typeface="+mn-ea"/>
              <a:cs typeface="+mn-cs"/>
            </a:rPr>
            <a:t> Revision of the 2016 service units' forecast SUF3 published in October 2016. </a:t>
          </a:r>
        </a:p>
        <a:p>
          <a:r>
            <a:rPr lang="en-GB" sz="1100">
              <a:solidFill>
                <a:schemeClr val="dk1"/>
              </a:solidFill>
              <a:latin typeface="+mn-lt"/>
              <a:ea typeface="+mn-ea"/>
              <a:cs typeface="+mn-cs"/>
            </a:rPr>
            <a:t> </a:t>
          </a:r>
        </a:p>
        <a:p>
          <a:r>
            <a:rPr lang="en-GB" sz="1100">
              <a:solidFill>
                <a:schemeClr val="dk1"/>
              </a:solidFill>
              <a:latin typeface="+mn-lt"/>
              <a:ea typeface="+mn-ea"/>
              <a:cs typeface="+mn-cs"/>
            </a:rPr>
            <a:t> </a:t>
          </a:r>
        </a:p>
        <a:p>
          <a:r>
            <a:rPr lang="en-GB" sz="1100">
              <a:solidFill>
                <a:schemeClr val="dk1"/>
              </a:solidFill>
              <a:latin typeface="+mn-lt"/>
              <a:ea typeface="+mn-ea"/>
              <a:cs typeface="+mn-cs"/>
            </a:rPr>
            <a:t>The figures below are self-explanatory:</a:t>
          </a:r>
        </a:p>
        <a:p>
          <a:pPr lvl="0"/>
          <a:r>
            <a:rPr lang="en-GB" sz="1100">
              <a:solidFill>
                <a:schemeClr val="dk1"/>
              </a:solidFill>
              <a:latin typeface="+mn-lt"/>
              <a:ea typeface="+mn-ea"/>
              <a:cs typeface="+mn-cs"/>
            </a:rPr>
            <a:t>2016 Unit Rate basis: service unit forecast used to calculate the 2016 Unit Rate and how it compares to the </a:t>
          </a:r>
          <a:r>
            <a:rPr lang="en-GB" sz="1100" b="1">
              <a:solidFill>
                <a:schemeClr val="dk1"/>
              </a:solidFill>
              <a:latin typeface="+mn-lt"/>
              <a:ea typeface="+mn-ea"/>
              <a:cs typeface="+mn-cs"/>
            </a:rPr>
            <a:t>latest </a:t>
          </a:r>
          <a:r>
            <a:rPr lang="en-GB" sz="1100">
              <a:solidFill>
                <a:schemeClr val="dk1"/>
              </a:solidFill>
              <a:latin typeface="+mn-lt"/>
              <a:ea typeface="+mn-ea"/>
              <a:cs typeface="+mn-cs"/>
            </a:rPr>
            <a:t>EUROCONTROL/STATFOR forecast.</a:t>
          </a:r>
        </a:p>
        <a:p>
          <a:pPr lvl="0"/>
          <a:r>
            <a:rPr lang="en-GB" sz="1100">
              <a:solidFill>
                <a:schemeClr val="dk1"/>
              </a:solidFill>
              <a:latin typeface="+mn-lt"/>
              <a:ea typeface="+mn-ea"/>
              <a:cs typeface="+mn-cs"/>
            </a:rPr>
            <a:t>2015 Actual: actual number of service units for 2015 as shown in column (3) in the upper part and as published in the CRCO System Report for 2015 and how it compares to</a:t>
          </a:r>
          <a:r>
            <a:rPr lang="en-GB" sz="1100" b="1">
              <a:solidFill>
                <a:schemeClr val="dk1"/>
              </a:solidFill>
              <a:latin typeface="+mn-lt"/>
              <a:ea typeface="+mn-ea"/>
              <a:cs typeface="+mn-cs"/>
            </a:rPr>
            <a:t> the latest</a:t>
          </a:r>
          <a:r>
            <a:rPr lang="en-GB" sz="1100">
              <a:solidFill>
                <a:schemeClr val="dk1"/>
              </a:solidFill>
              <a:latin typeface="+mn-lt"/>
              <a:ea typeface="+mn-ea"/>
              <a:cs typeface="+mn-cs"/>
            </a:rPr>
            <a:t> EUROCONTROL/STATFOR forecast at the date of issue.</a:t>
          </a:r>
        </a:p>
        <a:p>
          <a:pPr lvl="0"/>
          <a:r>
            <a:rPr lang="en-GB" sz="1100">
              <a:solidFill>
                <a:schemeClr val="dk1"/>
              </a:solidFill>
              <a:latin typeface="+mn-lt"/>
              <a:ea typeface="+mn-ea"/>
              <a:cs typeface="+mn-cs"/>
            </a:rPr>
            <a:t>2016 Unit Rate basis/2015 Actual compares the 2016 service unit forecast used for the calculation of the 2016 unit rate with the 2015 Actual Service Units. </a:t>
          </a:r>
        </a:p>
        <a:p>
          <a:r>
            <a:rPr lang="en-GB" sz="1100">
              <a:solidFill>
                <a:schemeClr val="dk1"/>
              </a:solidFill>
              <a:latin typeface="+mn-lt"/>
              <a:ea typeface="+mn-ea"/>
              <a:cs typeface="+mn-cs"/>
            </a:rPr>
            <a:t> </a:t>
          </a:r>
        </a:p>
        <a:p>
          <a:r>
            <a:rPr lang="en-GB" sz="1100">
              <a:solidFill>
                <a:schemeClr val="dk1"/>
              </a:solidFill>
              <a:latin typeface="+mn-lt"/>
              <a:ea typeface="+mn-ea"/>
              <a:cs typeface="+mn-cs"/>
            </a:rPr>
            <a:t> </a:t>
          </a:r>
        </a:p>
        <a:p>
          <a:r>
            <a:rPr lang="en-GB" sz="1100" b="1">
              <a:solidFill>
                <a:schemeClr val="dk1"/>
              </a:solidFill>
              <a:latin typeface="+mn-lt"/>
              <a:ea typeface="+mn-ea"/>
              <a:cs typeface="+mn-cs"/>
            </a:rPr>
            <a:t>3.</a:t>
          </a:r>
          <a:r>
            <a:rPr lang="en-GB" sz="1100" b="1" baseline="0">
              <a:solidFill>
                <a:schemeClr val="dk1"/>
              </a:solidFill>
              <a:latin typeface="+mn-lt"/>
              <a:ea typeface="+mn-ea"/>
              <a:cs typeface="+mn-cs"/>
            </a:rPr>
            <a:t> </a:t>
          </a:r>
          <a:r>
            <a:rPr lang="en-GB" sz="1100" b="1" u="sng">
              <a:solidFill>
                <a:schemeClr val="dk1"/>
              </a:solidFill>
              <a:latin typeface="+mn-lt"/>
              <a:ea typeface="+mn-ea"/>
              <a:cs typeface="+mn-cs"/>
            </a:rPr>
            <a:t>Graph</a:t>
          </a:r>
          <a:endParaRPr lang="en-GB" sz="1100">
            <a:solidFill>
              <a:schemeClr val="dk1"/>
            </a:solidFill>
            <a:latin typeface="+mn-lt"/>
            <a:ea typeface="+mn-ea"/>
            <a:cs typeface="+mn-cs"/>
          </a:endParaRPr>
        </a:p>
        <a:p>
          <a:r>
            <a:rPr lang="en-GB" sz="1100">
              <a:solidFill>
                <a:schemeClr val="dk1"/>
              </a:solidFill>
              <a:latin typeface="+mn-lt"/>
              <a:ea typeface="+mn-ea"/>
              <a:cs typeface="+mn-cs"/>
            </a:rPr>
            <a:t> </a:t>
          </a:r>
        </a:p>
        <a:p>
          <a:r>
            <a:rPr lang="en-GB" sz="1100">
              <a:solidFill>
                <a:schemeClr val="dk1"/>
              </a:solidFill>
              <a:latin typeface="+mn-lt"/>
              <a:ea typeface="+mn-ea"/>
              <a:cs typeface="+mn-cs"/>
            </a:rPr>
            <a:t>The graph presents the monthly number of service units corresponding to column (1) to (4). The service units' forecast used in the calculation of the 2015 unit rate appears in red dashes and the 2016 actual numbers recorded (in bold in the table) appear in plain.</a:t>
          </a:r>
        </a:p>
        <a:p>
          <a:r>
            <a:rPr lang="en-GB" sz="1100">
              <a:solidFill>
                <a:schemeClr val="dk1"/>
              </a:solidFill>
              <a:latin typeface="+mn-lt"/>
              <a:ea typeface="+mn-ea"/>
              <a:cs typeface="+mn-cs"/>
            </a:rPr>
            <a:t> </a:t>
          </a:r>
        </a:p>
        <a:p>
          <a:r>
            <a:rPr lang="en-GB" sz="1100">
              <a:solidFill>
                <a:schemeClr val="dk1"/>
              </a:solidFill>
              <a:latin typeface="+mn-lt"/>
              <a:ea typeface="+mn-ea"/>
              <a:cs typeface="+mn-cs"/>
            </a:rPr>
            <a:t> </a:t>
          </a:r>
        </a:p>
        <a:p>
          <a:r>
            <a:rPr lang="en-GB" sz="1100">
              <a:solidFill>
                <a:schemeClr val="dk1"/>
              </a:solidFill>
              <a:latin typeface="+mn-lt"/>
              <a:ea typeface="+mn-ea"/>
              <a:cs typeface="+mn-cs"/>
            </a:rPr>
            <a:t> </a:t>
          </a:r>
        </a:p>
        <a:p>
          <a:r>
            <a:rPr lang="en-GB" sz="1100" b="1">
              <a:solidFill>
                <a:schemeClr val="dk1"/>
              </a:solidFill>
              <a:latin typeface="+mn-lt"/>
              <a:ea typeface="+mn-ea"/>
              <a:cs typeface="+mn-cs"/>
            </a:rPr>
            <a:t>3.</a:t>
          </a:r>
          <a:r>
            <a:rPr lang="en-GB" sz="1100" b="1" baseline="0">
              <a:solidFill>
                <a:schemeClr val="dk1"/>
              </a:solidFill>
              <a:latin typeface="+mn-lt"/>
              <a:ea typeface="+mn-ea"/>
              <a:cs typeface="+mn-cs"/>
            </a:rPr>
            <a:t> </a:t>
          </a:r>
          <a:r>
            <a:rPr lang="en-GB" sz="1100" b="1" u="sng">
              <a:solidFill>
                <a:schemeClr val="dk1"/>
              </a:solidFill>
              <a:latin typeface="+mn-lt"/>
              <a:ea typeface="+mn-ea"/>
              <a:cs typeface="+mn-cs"/>
            </a:rPr>
            <a:t>Additional Information</a:t>
          </a:r>
          <a:endParaRPr lang="en-GB" sz="1100">
            <a:solidFill>
              <a:schemeClr val="dk1"/>
            </a:solidFill>
            <a:latin typeface="+mn-lt"/>
            <a:ea typeface="+mn-ea"/>
            <a:cs typeface="+mn-cs"/>
          </a:endParaRPr>
        </a:p>
        <a:p>
          <a:r>
            <a:rPr lang="en-GB" sz="1100">
              <a:solidFill>
                <a:schemeClr val="dk1"/>
              </a:solidFill>
              <a:latin typeface="+mn-lt"/>
              <a:ea typeface="+mn-ea"/>
              <a:cs typeface="+mn-cs"/>
            </a:rPr>
            <a:t> </a:t>
          </a:r>
        </a:p>
        <a:p>
          <a:r>
            <a:rPr lang="en-US" sz="1100">
              <a:solidFill>
                <a:schemeClr val="dk1"/>
              </a:solidFill>
              <a:latin typeface="+mn-lt"/>
              <a:ea typeface="+mn-ea"/>
              <a:cs typeface="+mn-cs"/>
            </a:rPr>
            <a:t>After each monthly billing, CRCO updates the monthly service unit figures recorded for the previous flight months of the current year as shown in column (1) in order to take account of additional flights billed and credited. The corresponding service unit figures in the Monthly Monitoring of service units match the service unit figures as published on the DashBoard.</a:t>
          </a:r>
        </a:p>
        <a:p>
          <a:r>
            <a:rPr lang="en-US" sz="1100">
              <a:solidFill>
                <a:schemeClr val="dk1"/>
              </a:solidFill>
              <a:latin typeface="+mn-lt"/>
              <a:ea typeface="+mn-ea"/>
              <a:cs typeface="+mn-cs"/>
            </a:rPr>
            <a:t> </a:t>
          </a:r>
        </a:p>
        <a:p>
          <a:r>
            <a:rPr lang="en-US" sz="1100">
              <a:solidFill>
                <a:schemeClr val="dk1"/>
              </a:solidFill>
              <a:latin typeface="+mn-lt"/>
              <a:ea typeface="+mn-ea"/>
              <a:cs typeface="+mn-cs"/>
            </a:rPr>
            <a:t>The measure is effective as of July 2016. In January 2017, as was the case in previous years, the resulting total for 2016 as shown in the Monthly Monitoring of service units – 2016 will be published in the 2016 Report on the operation of the route charges system.</a:t>
          </a:r>
        </a:p>
        <a:p>
          <a:r>
            <a:rPr lang="en-US" sz="1100">
              <a:solidFill>
                <a:schemeClr val="dk1"/>
              </a:solidFill>
              <a:latin typeface="+mn-lt"/>
              <a:ea typeface="+mn-ea"/>
              <a:cs typeface="+mn-cs"/>
            </a:rPr>
            <a:t> </a:t>
          </a:r>
        </a:p>
        <a:p>
          <a:endParaRPr lang="en-GB" sz="1100">
            <a:solidFill>
              <a:schemeClr val="dk1"/>
            </a:solidFill>
            <a:latin typeface="+mn-lt"/>
            <a:ea typeface="+mn-ea"/>
            <a:cs typeface="+mn-cs"/>
          </a:endParaRP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17</xdr:row>
      <xdr:rowOff>104775</xdr:rowOff>
    </xdr:from>
    <xdr:to>
      <xdr:col>13</xdr:col>
      <xdr:colOff>0</xdr:colOff>
      <xdr:row>48</xdr:row>
      <xdr:rowOff>114300</xdr:rowOff>
    </xdr:to>
    <xdr:graphicFrame macro="">
      <xdr:nvGraphicFramePr>
        <xdr:cNvPr id="1027" name="Chart 1">
          <a:extLst>
            <a:ext uri="{FF2B5EF4-FFF2-40B4-BE49-F238E27FC236}">
              <a16:creationId xmlns:a16="http://schemas.microsoft.com/office/drawing/2014/main" id="{3EA30737-EDF1-49C1-82A6-92462D580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0.11208</cdr:x>
      <cdr:y>0.04253</cdr:y>
    </cdr:from>
    <cdr:to>
      <cdr:x>0.30626</cdr:x>
      <cdr:y>0.06899</cdr:y>
    </cdr:to>
    <cdr:sp macro="" textlink="">
      <cdr:nvSpPr>
        <cdr:cNvPr id="2049" name="Text 2"/>
        <cdr:cNvSpPr txBox="1">
          <a:spLocks xmlns:a="http://schemas.openxmlformats.org/drawingml/2006/main" noChangeArrowheads="1"/>
        </cdr:cNvSpPr>
      </cdr:nvSpPr>
      <cdr:spPr bwMode="auto">
        <a:xfrm xmlns:a="http://schemas.openxmlformats.org/drawingml/2006/main">
          <a:off x="802823" y="297259"/>
          <a:ext cx="1686353" cy="200454"/>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133350</xdr:colOff>
      <xdr:row>18</xdr:row>
      <xdr:rowOff>28575</xdr:rowOff>
    </xdr:from>
    <xdr:to>
      <xdr:col>12</xdr:col>
      <xdr:colOff>809625</xdr:colOff>
      <xdr:row>48</xdr:row>
      <xdr:rowOff>114300</xdr:rowOff>
    </xdr:to>
    <xdr:graphicFrame macro="">
      <xdr:nvGraphicFramePr>
        <xdr:cNvPr id="3074" name="Chart 1">
          <a:extLst>
            <a:ext uri="{FF2B5EF4-FFF2-40B4-BE49-F238E27FC236}">
              <a16:creationId xmlns:a16="http://schemas.microsoft.com/office/drawing/2014/main" id="{AF86EC30-066E-4AAC-8B61-BBEFF809E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0.12226</cdr:x>
      <cdr:y>0.04928</cdr:y>
    </cdr:from>
    <cdr:to>
      <cdr:x>0.22224</cdr:x>
      <cdr:y>0.08015</cdr:y>
    </cdr:to>
    <cdr:sp macro="" textlink="">
      <cdr:nvSpPr>
        <cdr:cNvPr id="4097" name="Text 2"/>
        <cdr:cNvSpPr txBox="1">
          <a:spLocks xmlns:a="http://schemas.openxmlformats.org/drawingml/2006/main" noChangeArrowheads="1"/>
        </cdr:cNvSpPr>
      </cdr:nvSpPr>
      <cdr:spPr bwMode="auto">
        <a:xfrm xmlns:a="http://schemas.openxmlformats.org/drawingml/2006/main">
          <a:off x="961007" y="307018"/>
          <a:ext cx="857164" cy="200001"/>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6.xml><?xml version="1.0" encoding="utf-8"?>
<xdr:wsDr xmlns:xdr="http://schemas.openxmlformats.org/drawingml/2006/spreadsheetDrawing" xmlns:a="http://schemas.openxmlformats.org/drawingml/2006/main">
  <xdr:twoCellAnchor>
    <xdr:from>
      <xdr:col>1</xdr:col>
      <xdr:colOff>0</xdr:colOff>
      <xdr:row>18</xdr:row>
      <xdr:rowOff>28575</xdr:rowOff>
    </xdr:from>
    <xdr:to>
      <xdr:col>12</xdr:col>
      <xdr:colOff>742950</xdr:colOff>
      <xdr:row>49</xdr:row>
      <xdr:rowOff>0</xdr:rowOff>
    </xdr:to>
    <xdr:graphicFrame macro="">
      <xdr:nvGraphicFramePr>
        <xdr:cNvPr id="4098" name="Chart 1">
          <a:extLst>
            <a:ext uri="{FF2B5EF4-FFF2-40B4-BE49-F238E27FC236}">
              <a16:creationId xmlns:a16="http://schemas.microsoft.com/office/drawing/2014/main" id="{9AE5AFB0-5B15-482B-BEF6-1B487E7B6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0.14297</cdr:x>
      <cdr:y>0.04652</cdr:y>
    </cdr:from>
    <cdr:to>
      <cdr:x>0.24687</cdr:x>
      <cdr:y>0.07543</cdr:y>
    </cdr:to>
    <cdr:sp macro="" textlink="">
      <cdr:nvSpPr>
        <cdr:cNvPr id="6145" name="Text 2"/>
        <cdr:cNvSpPr txBox="1">
          <a:spLocks xmlns:a="http://schemas.openxmlformats.org/drawingml/2006/main" noChangeArrowheads="1"/>
        </cdr:cNvSpPr>
      </cdr:nvSpPr>
      <cdr:spPr bwMode="auto">
        <a:xfrm xmlns:a="http://schemas.openxmlformats.org/drawingml/2006/main">
          <a:off x="1015163" y="294030"/>
          <a:ext cx="923916" cy="199797"/>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8.xml><?xml version="1.0" encoding="utf-8"?>
<xdr:wsDr xmlns:xdr="http://schemas.openxmlformats.org/drawingml/2006/spreadsheetDrawing" xmlns:a="http://schemas.openxmlformats.org/drawingml/2006/main">
  <xdr:twoCellAnchor>
    <xdr:from>
      <xdr:col>1</xdr:col>
      <xdr:colOff>9525</xdr:colOff>
      <xdr:row>17</xdr:row>
      <xdr:rowOff>114300</xdr:rowOff>
    </xdr:from>
    <xdr:to>
      <xdr:col>12</xdr:col>
      <xdr:colOff>752475</xdr:colOff>
      <xdr:row>48</xdr:row>
      <xdr:rowOff>76200</xdr:rowOff>
    </xdr:to>
    <xdr:graphicFrame macro="">
      <xdr:nvGraphicFramePr>
        <xdr:cNvPr id="5122" name="Chart 1">
          <a:extLst>
            <a:ext uri="{FF2B5EF4-FFF2-40B4-BE49-F238E27FC236}">
              <a16:creationId xmlns:a16="http://schemas.microsoft.com/office/drawing/2014/main" id="{B8029A82-8F40-4B1A-A32A-97AAB6513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0.11561</cdr:x>
      <cdr:y>0.03681</cdr:y>
    </cdr:from>
    <cdr:to>
      <cdr:x>0.23206</cdr:x>
      <cdr:y>0.07014</cdr:y>
    </cdr:to>
    <cdr:sp macro="" textlink="">
      <cdr:nvSpPr>
        <cdr:cNvPr id="8193" name="Text 2"/>
        <cdr:cNvSpPr txBox="1">
          <a:spLocks xmlns:a="http://schemas.openxmlformats.org/drawingml/2006/main" noChangeArrowheads="1"/>
        </cdr:cNvSpPr>
      </cdr:nvSpPr>
      <cdr:spPr bwMode="auto">
        <a:xfrm xmlns:a="http://schemas.openxmlformats.org/drawingml/2006/main">
          <a:off x="908238" y="251439"/>
          <a:ext cx="1038861" cy="248103"/>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10.xml><?xml version="1.0" encoding="utf-8"?>
<xdr:wsDr xmlns:xdr="http://schemas.openxmlformats.org/drawingml/2006/spreadsheetDrawing" xmlns:a="http://schemas.openxmlformats.org/drawingml/2006/main">
  <xdr:twoCellAnchor>
    <xdr:from>
      <xdr:col>1</xdr:col>
      <xdr:colOff>0</xdr:colOff>
      <xdr:row>18</xdr:row>
      <xdr:rowOff>28575</xdr:rowOff>
    </xdr:from>
    <xdr:to>
      <xdr:col>13</xdr:col>
      <xdr:colOff>0</xdr:colOff>
      <xdr:row>48</xdr:row>
      <xdr:rowOff>104775</xdr:rowOff>
    </xdr:to>
    <xdr:graphicFrame macro="">
      <xdr:nvGraphicFramePr>
        <xdr:cNvPr id="6146" name="Chart 1">
          <a:extLst>
            <a:ext uri="{FF2B5EF4-FFF2-40B4-BE49-F238E27FC236}">
              <a16:creationId xmlns:a16="http://schemas.microsoft.com/office/drawing/2014/main" id="{D71DD1DC-CA68-4F78-B21A-25B8ED892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0.15484</cdr:x>
      <cdr:y>0.05147</cdr:y>
    </cdr:from>
    <cdr:to>
      <cdr:x>0.25108</cdr:x>
      <cdr:y>0.08335</cdr:y>
    </cdr:to>
    <cdr:sp macro="" textlink="">
      <cdr:nvSpPr>
        <cdr:cNvPr id="10241" name="Text 2"/>
        <cdr:cNvSpPr txBox="1">
          <a:spLocks xmlns:a="http://schemas.openxmlformats.org/drawingml/2006/main" noChangeArrowheads="1"/>
        </cdr:cNvSpPr>
      </cdr:nvSpPr>
      <cdr:spPr bwMode="auto">
        <a:xfrm xmlns:a="http://schemas.openxmlformats.org/drawingml/2006/main">
          <a:off x="1249964" y="303736"/>
          <a:ext cx="857164" cy="200197"/>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9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12.xml><?xml version="1.0" encoding="utf-8"?>
<xdr:wsDr xmlns:xdr="http://schemas.openxmlformats.org/drawingml/2006/spreadsheetDrawing" xmlns:a="http://schemas.openxmlformats.org/drawingml/2006/main">
  <xdr:twoCellAnchor>
    <xdr:from>
      <xdr:col>1</xdr:col>
      <xdr:colOff>19050</xdr:colOff>
      <xdr:row>17</xdr:row>
      <xdr:rowOff>161925</xdr:rowOff>
    </xdr:from>
    <xdr:to>
      <xdr:col>12</xdr:col>
      <xdr:colOff>609600</xdr:colOff>
      <xdr:row>48</xdr:row>
      <xdr:rowOff>38100</xdr:rowOff>
    </xdr:to>
    <xdr:graphicFrame macro="">
      <xdr:nvGraphicFramePr>
        <xdr:cNvPr id="7170" name="Chart 1">
          <a:extLst>
            <a:ext uri="{FF2B5EF4-FFF2-40B4-BE49-F238E27FC236}">
              <a16:creationId xmlns:a16="http://schemas.microsoft.com/office/drawing/2014/main" id="{307E6C92-1B69-4A36-89E2-D9567ACC5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0.15274</cdr:x>
      <cdr:y>0.05016</cdr:y>
    </cdr:from>
    <cdr:to>
      <cdr:x>0.25279</cdr:x>
      <cdr:y>0.08346</cdr:y>
    </cdr:to>
    <cdr:sp macro="" textlink="">
      <cdr:nvSpPr>
        <cdr:cNvPr id="12289" name="Text 2"/>
        <cdr:cNvSpPr txBox="1">
          <a:spLocks xmlns:a="http://schemas.openxmlformats.org/drawingml/2006/main" noChangeArrowheads="1"/>
        </cdr:cNvSpPr>
      </cdr:nvSpPr>
      <cdr:spPr bwMode="auto">
        <a:xfrm xmlns:a="http://schemas.openxmlformats.org/drawingml/2006/main">
          <a:off x="1140836" y="296640"/>
          <a:ext cx="856907" cy="200275"/>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8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14.xml><?xml version="1.0" encoding="utf-8"?>
<xdr:wsDr xmlns:xdr="http://schemas.openxmlformats.org/drawingml/2006/spreadsheetDrawing" xmlns:a="http://schemas.openxmlformats.org/drawingml/2006/main">
  <xdr:twoCellAnchor>
    <xdr:from>
      <xdr:col>1</xdr:col>
      <xdr:colOff>0</xdr:colOff>
      <xdr:row>18</xdr:row>
      <xdr:rowOff>28575</xdr:rowOff>
    </xdr:from>
    <xdr:to>
      <xdr:col>13</xdr:col>
      <xdr:colOff>0</xdr:colOff>
      <xdr:row>48</xdr:row>
      <xdr:rowOff>76200</xdr:rowOff>
    </xdr:to>
    <xdr:graphicFrame macro="">
      <xdr:nvGraphicFramePr>
        <xdr:cNvPr id="8194" name="Chart 1">
          <a:extLst>
            <a:ext uri="{FF2B5EF4-FFF2-40B4-BE49-F238E27FC236}">
              <a16:creationId xmlns:a16="http://schemas.microsoft.com/office/drawing/2014/main" id="{95972BF2-9FC2-4F1E-8C03-C6666F75C6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0.13283</cdr:x>
      <cdr:y>0.04762</cdr:y>
    </cdr:from>
    <cdr:to>
      <cdr:x>0.22813</cdr:x>
      <cdr:y>0.07753</cdr:y>
    </cdr:to>
    <cdr:sp macro="" textlink="">
      <cdr:nvSpPr>
        <cdr:cNvPr id="14337" name="Text 2"/>
        <cdr:cNvSpPr txBox="1">
          <a:spLocks xmlns:a="http://schemas.openxmlformats.org/drawingml/2006/main" noChangeArrowheads="1"/>
        </cdr:cNvSpPr>
      </cdr:nvSpPr>
      <cdr:spPr bwMode="auto">
        <a:xfrm xmlns:a="http://schemas.openxmlformats.org/drawingml/2006/main">
          <a:off x="1032385" y="305325"/>
          <a:ext cx="837676" cy="199753"/>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9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16.xml><?xml version="1.0" encoding="utf-8"?>
<xdr:wsDr xmlns:xdr="http://schemas.openxmlformats.org/drawingml/2006/spreadsheetDrawing" xmlns:a="http://schemas.openxmlformats.org/drawingml/2006/main">
  <xdr:twoCellAnchor>
    <xdr:from>
      <xdr:col>1</xdr:col>
      <xdr:colOff>19050</xdr:colOff>
      <xdr:row>18</xdr:row>
      <xdr:rowOff>28575</xdr:rowOff>
    </xdr:from>
    <xdr:to>
      <xdr:col>13</xdr:col>
      <xdr:colOff>9525</xdr:colOff>
      <xdr:row>49</xdr:row>
      <xdr:rowOff>28575</xdr:rowOff>
    </xdr:to>
    <xdr:graphicFrame macro="">
      <xdr:nvGraphicFramePr>
        <xdr:cNvPr id="9218" name="Chart 1">
          <a:extLst>
            <a:ext uri="{FF2B5EF4-FFF2-40B4-BE49-F238E27FC236}">
              <a16:creationId xmlns:a16="http://schemas.microsoft.com/office/drawing/2014/main" id="{24B79D62-5F4B-466B-9A13-D9BCB39AE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0.07477</cdr:x>
      <cdr:y>0.04258</cdr:y>
    </cdr:from>
    <cdr:to>
      <cdr:x>0.1818</cdr:x>
      <cdr:y>0.07075</cdr:y>
    </cdr:to>
    <cdr:sp macro="" textlink="">
      <cdr:nvSpPr>
        <cdr:cNvPr id="16385" name="Text 2"/>
        <cdr:cNvSpPr txBox="1">
          <a:spLocks xmlns:a="http://schemas.openxmlformats.org/drawingml/2006/main" noChangeArrowheads="1"/>
        </cdr:cNvSpPr>
      </cdr:nvSpPr>
      <cdr:spPr bwMode="auto">
        <a:xfrm xmlns:a="http://schemas.openxmlformats.org/drawingml/2006/main">
          <a:off x="658033" y="288601"/>
          <a:ext cx="866232" cy="199797"/>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18.xml><?xml version="1.0" encoding="utf-8"?>
<xdr:wsDr xmlns:xdr="http://schemas.openxmlformats.org/drawingml/2006/spreadsheetDrawing" xmlns:a="http://schemas.openxmlformats.org/drawingml/2006/main">
  <xdr:twoCellAnchor>
    <xdr:from>
      <xdr:col>1</xdr:col>
      <xdr:colOff>0</xdr:colOff>
      <xdr:row>18</xdr:row>
      <xdr:rowOff>28575</xdr:rowOff>
    </xdr:from>
    <xdr:to>
      <xdr:col>12</xdr:col>
      <xdr:colOff>581025</xdr:colOff>
      <xdr:row>49</xdr:row>
      <xdr:rowOff>0</xdr:rowOff>
    </xdr:to>
    <xdr:graphicFrame macro="">
      <xdr:nvGraphicFramePr>
        <xdr:cNvPr id="10242" name="Chart 1">
          <a:extLst>
            <a:ext uri="{FF2B5EF4-FFF2-40B4-BE49-F238E27FC236}">
              <a16:creationId xmlns:a16="http://schemas.microsoft.com/office/drawing/2014/main" id="{8F35D882-D065-434E-8FA7-BF12EEC57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c:userShapes xmlns:c="http://schemas.openxmlformats.org/drawingml/2006/chart">
  <cdr:relSizeAnchor xmlns:cdr="http://schemas.openxmlformats.org/drawingml/2006/chartDrawing">
    <cdr:from>
      <cdr:x>0.13021</cdr:x>
      <cdr:y>0.04746</cdr:y>
    </cdr:from>
    <cdr:to>
      <cdr:x>0.22891</cdr:x>
      <cdr:y>0.07615</cdr:y>
    </cdr:to>
    <cdr:sp macro="" textlink="">
      <cdr:nvSpPr>
        <cdr:cNvPr id="18433" name="Text 2"/>
        <cdr:cNvSpPr txBox="1">
          <a:spLocks xmlns:a="http://schemas.openxmlformats.org/drawingml/2006/main" noChangeArrowheads="1"/>
        </cdr:cNvSpPr>
      </cdr:nvSpPr>
      <cdr:spPr bwMode="auto">
        <a:xfrm xmlns:a="http://schemas.openxmlformats.org/drawingml/2006/main">
          <a:off x="1032851" y="301631"/>
          <a:ext cx="847178" cy="199797"/>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20.xml><?xml version="1.0" encoding="utf-8"?>
<xdr:wsDr xmlns:xdr="http://schemas.openxmlformats.org/drawingml/2006/spreadsheetDrawing" xmlns:a="http://schemas.openxmlformats.org/drawingml/2006/main">
  <xdr:twoCellAnchor>
    <xdr:from>
      <xdr:col>1</xdr:col>
      <xdr:colOff>0</xdr:colOff>
      <xdr:row>18</xdr:row>
      <xdr:rowOff>28575</xdr:rowOff>
    </xdr:from>
    <xdr:to>
      <xdr:col>13</xdr:col>
      <xdr:colOff>9525</xdr:colOff>
      <xdr:row>48</xdr:row>
      <xdr:rowOff>76200</xdr:rowOff>
    </xdr:to>
    <xdr:graphicFrame macro="">
      <xdr:nvGraphicFramePr>
        <xdr:cNvPr id="11266" name="Chart 1">
          <a:extLst>
            <a:ext uri="{FF2B5EF4-FFF2-40B4-BE49-F238E27FC236}">
              <a16:creationId xmlns:a16="http://schemas.microsoft.com/office/drawing/2014/main" id="{A2F72ED5-A010-4468-8DB1-D2C3327DE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c:userShapes xmlns:c="http://schemas.openxmlformats.org/drawingml/2006/chart">
  <cdr:relSizeAnchor xmlns:cdr="http://schemas.openxmlformats.org/drawingml/2006/chartDrawing">
    <cdr:from>
      <cdr:x>0.14153</cdr:x>
      <cdr:y>0.05055</cdr:y>
    </cdr:from>
    <cdr:to>
      <cdr:x>0.24019</cdr:x>
      <cdr:y>0.08551</cdr:y>
    </cdr:to>
    <cdr:sp macro="" textlink="">
      <cdr:nvSpPr>
        <cdr:cNvPr id="20481" name="Text 2"/>
        <cdr:cNvSpPr txBox="1">
          <a:spLocks xmlns:a="http://schemas.openxmlformats.org/drawingml/2006/main" noChangeArrowheads="1"/>
        </cdr:cNvSpPr>
      </cdr:nvSpPr>
      <cdr:spPr bwMode="auto">
        <a:xfrm xmlns:a="http://schemas.openxmlformats.org/drawingml/2006/main">
          <a:off x="1059869" y="300474"/>
          <a:ext cx="857921" cy="200382"/>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10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22.xml><?xml version="1.0" encoding="utf-8"?>
<xdr:wsDr xmlns:xdr="http://schemas.openxmlformats.org/drawingml/2006/spreadsheetDrawing" xmlns:a="http://schemas.openxmlformats.org/drawingml/2006/main">
  <xdr:twoCellAnchor>
    <xdr:from>
      <xdr:col>1</xdr:col>
      <xdr:colOff>0</xdr:colOff>
      <xdr:row>18</xdr:row>
      <xdr:rowOff>28575</xdr:rowOff>
    </xdr:from>
    <xdr:to>
      <xdr:col>13</xdr:col>
      <xdr:colOff>9525</xdr:colOff>
      <xdr:row>48</xdr:row>
      <xdr:rowOff>66675</xdr:rowOff>
    </xdr:to>
    <xdr:graphicFrame macro="">
      <xdr:nvGraphicFramePr>
        <xdr:cNvPr id="12290" name="Chart 1">
          <a:extLst>
            <a:ext uri="{FF2B5EF4-FFF2-40B4-BE49-F238E27FC236}">
              <a16:creationId xmlns:a16="http://schemas.microsoft.com/office/drawing/2014/main" id="{1293640D-FBBA-4D62-AE0E-09FF1129B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c:userShapes xmlns:c="http://schemas.openxmlformats.org/drawingml/2006/chart">
  <cdr:relSizeAnchor xmlns:cdr="http://schemas.openxmlformats.org/drawingml/2006/chartDrawing">
    <cdr:from>
      <cdr:x>0.13024</cdr:x>
      <cdr:y>0.04763</cdr:y>
    </cdr:from>
    <cdr:to>
      <cdr:x>0.23009</cdr:x>
      <cdr:y>0.07781</cdr:y>
    </cdr:to>
    <cdr:sp macro="" textlink="">
      <cdr:nvSpPr>
        <cdr:cNvPr id="22529" name="Text 2"/>
        <cdr:cNvSpPr txBox="1">
          <a:spLocks xmlns:a="http://schemas.openxmlformats.org/drawingml/2006/main" noChangeArrowheads="1"/>
        </cdr:cNvSpPr>
      </cdr:nvSpPr>
      <cdr:spPr bwMode="auto">
        <a:xfrm xmlns:a="http://schemas.openxmlformats.org/drawingml/2006/main">
          <a:off x="1059869" y="291897"/>
          <a:ext cx="866437" cy="200558"/>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10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24.xml><?xml version="1.0" encoding="utf-8"?>
<xdr:wsDr xmlns:xdr="http://schemas.openxmlformats.org/drawingml/2006/spreadsheetDrawing" xmlns:a="http://schemas.openxmlformats.org/drawingml/2006/main">
  <xdr:twoCellAnchor>
    <xdr:from>
      <xdr:col>0</xdr:col>
      <xdr:colOff>180975</xdr:colOff>
      <xdr:row>17</xdr:row>
      <xdr:rowOff>76200</xdr:rowOff>
    </xdr:from>
    <xdr:to>
      <xdr:col>12</xdr:col>
      <xdr:colOff>666750</xdr:colOff>
      <xdr:row>47</xdr:row>
      <xdr:rowOff>114300</xdr:rowOff>
    </xdr:to>
    <xdr:graphicFrame macro="">
      <xdr:nvGraphicFramePr>
        <xdr:cNvPr id="13314" name="Chart 1">
          <a:extLst>
            <a:ext uri="{FF2B5EF4-FFF2-40B4-BE49-F238E27FC236}">
              <a16:creationId xmlns:a16="http://schemas.microsoft.com/office/drawing/2014/main" id="{17B15C87-4781-4DAF-BC07-DD485008F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c:userShapes xmlns:c="http://schemas.openxmlformats.org/drawingml/2006/chart">
  <cdr:relSizeAnchor xmlns:cdr="http://schemas.openxmlformats.org/drawingml/2006/chartDrawing">
    <cdr:from>
      <cdr:x>0.14673</cdr:x>
      <cdr:y>0.05017</cdr:y>
    </cdr:from>
    <cdr:to>
      <cdr:x>0.24439</cdr:x>
      <cdr:y>0.08103</cdr:y>
    </cdr:to>
    <cdr:sp macro="" textlink="">
      <cdr:nvSpPr>
        <cdr:cNvPr id="24577" name="Text 2"/>
        <cdr:cNvSpPr txBox="1">
          <a:spLocks xmlns:a="http://schemas.openxmlformats.org/drawingml/2006/main" noChangeArrowheads="1"/>
        </cdr:cNvSpPr>
      </cdr:nvSpPr>
      <cdr:spPr bwMode="auto">
        <a:xfrm xmlns:a="http://schemas.openxmlformats.org/drawingml/2006/main">
          <a:off x="1160272" y="302503"/>
          <a:ext cx="866242" cy="199663"/>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10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26.xml><?xml version="1.0" encoding="utf-8"?>
<xdr:wsDr xmlns:xdr="http://schemas.openxmlformats.org/drawingml/2006/spreadsheetDrawing" xmlns:a="http://schemas.openxmlformats.org/drawingml/2006/main">
  <xdr:twoCellAnchor>
    <xdr:from>
      <xdr:col>1</xdr:col>
      <xdr:colOff>0</xdr:colOff>
      <xdr:row>18</xdr:row>
      <xdr:rowOff>28575</xdr:rowOff>
    </xdr:from>
    <xdr:to>
      <xdr:col>13</xdr:col>
      <xdr:colOff>9525</xdr:colOff>
      <xdr:row>48</xdr:row>
      <xdr:rowOff>66675</xdr:rowOff>
    </xdr:to>
    <xdr:graphicFrame macro="">
      <xdr:nvGraphicFramePr>
        <xdr:cNvPr id="14338" name="Chart 1">
          <a:extLst>
            <a:ext uri="{FF2B5EF4-FFF2-40B4-BE49-F238E27FC236}">
              <a16:creationId xmlns:a16="http://schemas.microsoft.com/office/drawing/2014/main" id="{FCC6CA05-FABC-4ECF-BD76-4E47D8CED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c:userShapes xmlns:c="http://schemas.openxmlformats.org/drawingml/2006/chart">
  <cdr:relSizeAnchor xmlns:cdr="http://schemas.openxmlformats.org/drawingml/2006/chartDrawing">
    <cdr:from>
      <cdr:x>0.14232</cdr:x>
      <cdr:y>0.04718</cdr:y>
    </cdr:from>
    <cdr:to>
      <cdr:x>0.24048</cdr:x>
      <cdr:y>0.0783</cdr:y>
    </cdr:to>
    <cdr:sp macro="" textlink="">
      <cdr:nvSpPr>
        <cdr:cNvPr id="26625" name="Text 2"/>
        <cdr:cNvSpPr txBox="1">
          <a:spLocks xmlns:a="http://schemas.openxmlformats.org/drawingml/2006/main" noChangeArrowheads="1"/>
        </cdr:cNvSpPr>
      </cdr:nvSpPr>
      <cdr:spPr bwMode="auto">
        <a:xfrm xmlns:a="http://schemas.openxmlformats.org/drawingml/2006/main">
          <a:off x="1060998" y="302003"/>
          <a:ext cx="856750" cy="200111"/>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9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28.xml><?xml version="1.0" encoding="utf-8"?>
<xdr:wsDr xmlns:xdr="http://schemas.openxmlformats.org/drawingml/2006/spreadsheetDrawing" xmlns:a="http://schemas.openxmlformats.org/drawingml/2006/main">
  <xdr:twoCellAnchor>
    <xdr:from>
      <xdr:col>1</xdr:col>
      <xdr:colOff>0</xdr:colOff>
      <xdr:row>18</xdr:row>
      <xdr:rowOff>28575</xdr:rowOff>
    </xdr:from>
    <xdr:to>
      <xdr:col>13</xdr:col>
      <xdr:colOff>9525</xdr:colOff>
      <xdr:row>48</xdr:row>
      <xdr:rowOff>38100</xdr:rowOff>
    </xdr:to>
    <xdr:graphicFrame macro="">
      <xdr:nvGraphicFramePr>
        <xdr:cNvPr id="15362" name="Chart 1">
          <a:extLst>
            <a:ext uri="{FF2B5EF4-FFF2-40B4-BE49-F238E27FC236}">
              <a16:creationId xmlns:a16="http://schemas.microsoft.com/office/drawing/2014/main" id="{55C88523-5B4A-407A-841F-7104FD4E0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c:userShapes xmlns:c="http://schemas.openxmlformats.org/drawingml/2006/chart">
  <cdr:relSizeAnchor xmlns:cdr="http://schemas.openxmlformats.org/drawingml/2006/chartDrawing">
    <cdr:from>
      <cdr:x>0.14144</cdr:x>
      <cdr:y>0.04701</cdr:y>
    </cdr:from>
    <cdr:to>
      <cdr:x>0.23644</cdr:x>
      <cdr:y>0.07515</cdr:y>
    </cdr:to>
    <cdr:sp macro="" textlink="">
      <cdr:nvSpPr>
        <cdr:cNvPr id="28673" name="Text 2"/>
        <cdr:cNvSpPr txBox="1">
          <a:spLocks xmlns:a="http://schemas.openxmlformats.org/drawingml/2006/main" noChangeArrowheads="1"/>
        </cdr:cNvSpPr>
      </cdr:nvSpPr>
      <cdr:spPr bwMode="auto">
        <a:xfrm xmlns:a="http://schemas.openxmlformats.org/drawingml/2006/main">
          <a:off x="1060736" y="302998"/>
          <a:ext cx="856583" cy="200275"/>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30.xml><?xml version="1.0" encoding="utf-8"?>
<xdr:wsDr xmlns:xdr="http://schemas.openxmlformats.org/drawingml/2006/spreadsheetDrawing" xmlns:a="http://schemas.openxmlformats.org/drawingml/2006/main">
  <xdr:twoCellAnchor>
    <xdr:from>
      <xdr:col>1</xdr:col>
      <xdr:colOff>0</xdr:colOff>
      <xdr:row>18</xdr:row>
      <xdr:rowOff>28575</xdr:rowOff>
    </xdr:from>
    <xdr:to>
      <xdr:col>13</xdr:col>
      <xdr:colOff>0</xdr:colOff>
      <xdr:row>49</xdr:row>
      <xdr:rowOff>28575</xdr:rowOff>
    </xdr:to>
    <xdr:graphicFrame macro="">
      <xdr:nvGraphicFramePr>
        <xdr:cNvPr id="16386" name="Chart 1">
          <a:extLst>
            <a:ext uri="{FF2B5EF4-FFF2-40B4-BE49-F238E27FC236}">
              <a16:creationId xmlns:a16="http://schemas.microsoft.com/office/drawing/2014/main" id="{7C8269BC-2A1D-42A4-9F33-055FC4C93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c:userShapes xmlns:c="http://schemas.openxmlformats.org/drawingml/2006/chart">
  <cdr:relSizeAnchor xmlns:cdr="http://schemas.openxmlformats.org/drawingml/2006/chartDrawing">
    <cdr:from>
      <cdr:x>0.12865</cdr:x>
      <cdr:y>0.04699</cdr:y>
    </cdr:from>
    <cdr:to>
      <cdr:x>0.22638</cdr:x>
      <cdr:y>0.07444</cdr:y>
    </cdr:to>
    <cdr:sp macro="" textlink="">
      <cdr:nvSpPr>
        <cdr:cNvPr id="30721" name="Text 2"/>
        <cdr:cNvSpPr txBox="1">
          <a:spLocks xmlns:a="http://schemas.openxmlformats.org/drawingml/2006/main" noChangeArrowheads="1"/>
        </cdr:cNvSpPr>
      </cdr:nvSpPr>
      <cdr:spPr bwMode="auto">
        <a:xfrm xmlns:a="http://schemas.openxmlformats.org/drawingml/2006/main">
          <a:off x="1038828" y="308146"/>
          <a:ext cx="848416" cy="199797"/>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32.xml><?xml version="1.0" encoding="utf-8"?>
<xdr:wsDr xmlns:xdr="http://schemas.openxmlformats.org/drawingml/2006/spreadsheetDrawing" xmlns:a="http://schemas.openxmlformats.org/drawingml/2006/main">
  <xdr:twoCellAnchor>
    <xdr:from>
      <xdr:col>1</xdr:col>
      <xdr:colOff>0</xdr:colOff>
      <xdr:row>18</xdr:row>
      <xdr:rowOff>28575</xdr:rowOff>
    </xdr:from>
    <xdr:to>
      <xdr:col>12</xdr:col>
      <xdr:colOff>742950</xdr:colOff>
      <xdr:row>48</xdr:row>
      <xdr:rowOff>114300</xdr:rowOff>
    </xdr:to>
    <xdr:graphicFrame macro="">
      <xdr:nvGraphicFramePr>
        <xdr:cNvPr id="17410" name="Chart 1">
          <a:extLst>
            <a:ext uri="{FF2B5EF4-FFF2-40B4-BE49-F238E27FC236}">
              <a16:creationId xmlns:a16="http://schemas.microsoft.com/office/drawing/2014/main" id="{85EBD5A3-8284-4E52-97EC-2EBE263DF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c:userShapes xmlns:c="http://schemas.openxmlformats.org/drawingml/2006/chart">
  <cdr:relSizeAnchor xmlns:cdr="http://schemas.openxmlformats.org/drawingml/2006/chartDrawing">
    <cdr:from>
      <cdr:x>0.13553</cdr:x>
      <cdr:y>0.04949</cdr:y>
    </cdr:from>
    <cdr:to>
      <cdr:x>0.22989</cdr:x>
      <cdr:y>0.0791</cdr:y>
    </cdr:to>
    <cdr:sp macro="" textlink="">
      <cdr:nvSpPr>
        <cdr:cNvPr id="32769" name="Text 2"/>
        <cdr:cNvSpPr txBox="1">
          <a:spLocks xmlns:a="http://schemas.openxmlformats.org/drawingml/2006/main" noChangeArrowheads="1"/>
        </cdr:cNvSpPr>
      </cdr:nvSpPr>
      <cdr:spPr bwMode="auto">
        <a:xfrm xmlns:a="http://schemas.openxmlformats.org/drawingml/2006/main">
          <a:off x="1036638" y="302165"/>
          <a:ext cx="848677" cy="200441"/>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11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34.xml><?xml version="1.0" encoding="utf-8"?>
<xdr:wsDr xmlns:xdr="http://schemas.openxmlformats.org/drawingml/2006/spreadsheetDrawing" xmlns:a="http://schemas.openxmlformats.org/drawingml/2006/main">
  <xdr:twoCellAnchor>
    <xdr:from>
      <xdr:col>1</xdr:col>
      <xdr:colOff>19050</xdr:colOff>
      <xdr:row>18</xdr:row>
      <xdr:rowOff>28575</xdr:rowOff>
    </xdr:from>
    <xdr:to>
      <xdr:col>12</xdr:col>
      <xdr:colOff>742950</xdr:colOff>
      <xdr:row>49</xdr:row>
      <xdr:rowOff>0</xdr:rowOff>
    </xdr:to>
    <xdr:graphicFrame macro="">
      <xdr:nvGraphicFramePr>
        <xdr:cNvPr id="18434" name="Chart 1">
          <a:extLst>
            <a:ext uri="{FF2B5EF4-FFF2-40B4-BE49-F238E27FC236}">
              <a16:creationId xmlns:a16="http://schemas.microsoft.com/office/drawing/2014/main" id="{E2DE5584-77C3-4617-820C-8648A8A00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c:userShapes xmlns:c="http://schemas.openxmlformats.org/drawingml/2006/chart">
  <cdr:relSizeAnchor xmlns:cdr="http://schemas.openxmlformats.org/drawingml/2006/chartDrawing">
    <cdr:from>
      <cdr:x>0.11762</cdr:x>
      <cdr:y>0.04381</cdr:y>
    </cdr:from>
    <cdr:to>
      <cdr:x>0.21473</cdr:x>
      <cdr:y>0.07104</cdr:y>
    </cdr:to>
    <cdr:sp macro="" textlink="">
      <cdr:nvSpPr>
        <cdr:cNvPr id="34817" name="Text 2"/>
        <cdr:cNvSpPr txBox="1">
          <a:spLocks xmlns:a="http://schemas.openxmlformats.org/drawingml/2006/main" noChangeArrowheads="1"/>
        </cdr:cNvSpPr>
      </cdr:nvSpPr>
      <cdr:spPr bwMode="auto">
        <a:xfrm xmlns:a="http://schemas.openxmlformats.org/drawingml/2006/main">
          <a:off x="911379" y="295116"/>
          <a:ext cx="856297" cy="199797"/>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36.xml><?xml version="1.0" encoding="utf-8"?>
<xdr:wsDr xmlns:xdr="http://schemas.openxmlformats.org/drawingml/2006/spreadsheetDrawing" xmlns:a="http://schemas.openxmlformats.org/drawingml/2006/main">
  <xdr:twoCellAnchor>
    <xdr:from>
      <xdr:col>1</xdr:col>
      <xdr:colOff>38100</xdr:colOff>
      <xdr:row>18</xdr:row>
      <xdr:rowOff>142875</xdr:rowOff>
    </xdr:from>
    <xdr:to>
      <xdr:col>13</xdr:col>
      <xdr:colOff>38100</xdr:colOff>
      <xdr:row>49</xdr:row>
      <xdr:rowOff>28575</xdr:rowOff>
    </xdr:to>
    <xdr:graphicFrame macro="">
      <xdr:nvGraphicFramePr>
        <xdr:cNvPr id="19458" name="Chart 1">
          <a:extLst>
            <a:ext uri="{FF2B5EF4-FFF2-40B4-BE49-F238E27FC236}">
              <a16:creationId xmlns:a16="http://schemas.microsoft.com/office/drawing/2014/main" id="{43076003-6A04-472E-B57F-B7770AD01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c:userShapes xmlns:c="http://schemas.openxmlformats.org/drawingml/2006/chart">
  <cdr:relSizeAnchor xmlns:cdr="http://schemas.openxmlformats.org/drawingml/2006/chartDrawing">
    <cdr:from>
      <cdr:x>0.14203</cdr:x>
      <cdr:y>0.04581</cdr:y>
    </cdr:from>
    <cdr:to>
      <cdr:x>0.23472</cdr:x>
      <cdr:y>0.07348</cdr:y>
    </cdr:to>
    <cdr:sp macro="" textlink="">
      <cdr:nvSpPr>
        <cdr:cNvPr id="36865" name="Text 2"/>
        <cdr:cNvSpPr txBox="1">
          <a:spLocks xmlns:a="http://schemas.openxmlformats.org/drawingml/2006/main" noChangeArrowheads="1"/>
        </cdr:cNvSpPr>
      </cdr:nvSpPr>
      <cdr:spPr bwMode="auto">
        <a:xfrm xmlns:a="http://schemas.openxmlformats.org/drawingml/2006/main">
          <a:off x="1147154" y="301631"/>
          <a:ext cx="847475" cy="199797"/>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38.xml><?xml version="1.0" encoding="utf-8"?>
<xdr:wsDr xmlns:xdr="http://schemas.openxmlformats.org/drawingml/2006/spreadsheetDrawing" xmlns:a="http://schemas.openxmlformats.org/drawingml/2006/main">
  <xdr:twoCellAnchor>
    <xdr:from>
      <xdr:col>1</xdr:col>
      <xdr:colOff>0</xdr:colOff>
      <xdr:row>18</xdr:row>
      <xdr:rowOff>28575</xdr:rowOff>
    </xdr:from>
    <xdr:to>
      <xdr:col>13</xdr:col>
      <xdr:colOff>38100</xdr:colOff>
      <xdr:row>48</xdr:row>
      <xdr:rowOff>114300</xdr:rowOff>
    </xdr:to>
    <xdr:graphicFrame macro="">
      <xdr:nvGraphicFramePr>
        <xdr:cNvPr id="20482" name="Chart 1">
          <a:extLst>
            <a:ext uri="{FF2B5EF4-FFF2-40B4-BE49-F238E27FC236}">
              <a16:creationId xmlns:a16="http://schemas.microsoft.com/office/drawing/2014/main" id="{A82DD812-79A9-41E8-BEC4-7CD9344E0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c:userShapes xmlns:c="http://schemas.openxmlformats.org/drawingml/2006/chart">
  <cdr:relSizeAnchor xmlns:cdr="http://schemas.openxmlformats.org/drawingml/2006/chartDrawing">
    <cdr:from>
      <cdr:x>0.14424</cdr:x>
      <cdr:y>0.04929</cdr:y>
    </cdr:from>
    <cdr:to>
      <cdr:x>0.24292</cdr:x>
      <cdr:y>0.08186</cdr:y>
    </cdr:to>
    <cdr:sp macro="" textlink="">
      <cdr:nvSpPr>
        <cdr:cNvPr id="38913" name="Text 2"/>
        <cdr:cNvSpPr txBox="1">
          <a:spLocks xmlns:a="http://schemas.openxmlformats.org/drawingml/2006/main" noChangeArrowheads="1"/>
        </cdr:cNvSpPr>
      </cdr:nvSpPr>
      <cdr:spPr bwMode="auto">
        <a:xfrm xmlns:a="http://schemas.openxmlformats.org/drawingml/2006/main">
          <a:off x="1124258" y="288115"/>
          <a:ext cx="866037" cy="199561"/>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9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40.xml><?xml version="1.0" encoding="utf-8"?>
<xdr:wsDr xmlns:xdr="http://schemas.openxmlformats.org/drawingml/2006/spreadsheetDrawing" xmlns:a="http://schemas.openxmlformats.org/drawingml/2006/main">
  <xdr:twoCellAnchor>
    <xdr:from>
      <xdr:col>1</xdr:col>
      <xdr:colOff>0</xdr:colOff>
      <xdr:row>18</xdr:row>
      <xdr:rowOff>28575</xdr:rowOff>
    </xdr:from>
    <xdr:to>
      <xdr:col>13</xdr:col>
      <xdr:colOff>19050</xdr:colOff>
      <xdr:row>49</xdr:row>
      <xdr:rowOff>0</xdr:rowOff>
    </xdr:to>
    <xdr:graphicFrame macro="">
      <xdr:nvGraphicFramePr>
        <xdr:cNvPr id="21506" name="Chart 1">
          <a:extLst>
            <a:ext uri="{FF2B5EF4-FFF2-40B4-BE49-F238E27FC236}">
              <a16:creationId xmlns:a16="http://schemas.microsoft.com/office/drawing/2014/main" id="{9DCBD2BD-F4A9-4C8D-9D3A-86B8D6549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1.xml><?xml version="1.0" encoding="utf-8"?>
<c:userShapes xmlns:c="http://schemas.openxmlformats.org/drawingml/2006/chart">
  <cdr:relSizeAnchor xmlns:cdr="http://schemas.openxmlformats.org/drawingml/2006/chartDrawing">
    <cdr:from>
      <cdr:x>0.13297</cdr:x>
      <cdr:y>0.05262</cdr:y>
    </cdr:from>
    <cdr:to>
      <cdr:x>0.23575</cdr:x>
      <cdr:y>0.08621</cdr:y>
    </cdr:to>
    <cdr:sp macro="" textlink="">
      <cdr:nvSpPr>
        <cdr:cNvPr id="40961" name="Text 2"/>
        <cdr:cNvSpPr txBox="1">
          <a:spLocks xmlns:a="http://schemas.openxmlformats.org/drawingml/2006/main" noChangeArrowheads="1"/>
        </cdr:cNvSpPr>
      </cdr:nvSpPr>
      <cdr:spPr bwMode="auto">
        <a:xfrm xmlns:a="http://schemas.openxmlformats.org/drawingml/2006/main">
          <a:off x="1098188" y="333121"/>
          <a:ext cx="915400" cy="237801"/>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42.xml><?xml version="1.0" encoding="utf-8"?>
<xdr:wsDr xmlns:xdr="http://schemas.openxmlformats.org/drawingml/2006/spreadsheetDrawing" xmlns:a="http://schemas.openxmlformats.org/drawingml/2006/main">
  <xdr:twoCellAnchor>
    <xdr:from>
      <xdr:col>1</xdr:col>
      <xdr:colOff>0</xdr:colOff>
      <xdr:row>18</xdr:row>
      <xdr:rowOff>28575</xdr:rowOff>
    </xdr:from>
    <xdr:to>
      <xdr:col>13</xdr:col>
      <xdr:colOff>0</xdr:colOff>
      <xdr:row>49</xdr:row>
      <xdr:rowOff>0</xdr:rowOff>
    </xdr:to>
    <xdr:graphicFrame macro="">
      <xdr:nvGraphicFramePr>
        <xdr:cNvPr id="22530" name="Chart 1">
          <a:extLst>
            <a:ext uri="{FF2B5EF4-FFF2-40B4-BE49-F238E27FC236}">
              <a16:creationId xmlns:a16="http://schemas.microsoft.com/office/drawing/2014/main" id="{4AEF3A1A-35E9-4A77-9B50-B16B15A19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3.xml><?xml version="1.0" encoding="utf-8"?>
<c:userShapes xmlns:c="http://schemas.openxmlformats.org/drawingml/2006/chart">
  <cdr:relSizeAnchor xmlns:cdr="http://schemas.openxmlformats.org/drawingml/2006/chartDrawing">
    <cdr:from>
      <cdr:x>0.13465</cdr:x>
      <cdr:y>0.05262</cdr:y>
    </cdr:from>
    <cdr:to>
      <cdr:x>0.23821</cdr:x>
      <cdr:y>0.08622</cdr:y>
    </cdr:to>
    <cdr:sp macro="" textlink="">
      <cdr:nvSpPr>
        <cdr:cNvPr id="43009" name="Text 2"/>
        <cdr:cNvSpPr txBox="1">
          <a:spLocks xmlns:a="http://schemas.openxmlformats.org/drawingml/2006/main" noChangeArrowheads="1"/>
        </cdr:cNvSpPr>
      </cdr:nvSpPr>
      <cdr:spPr bwMode="auto">
        <a:xfrm xmlns:a="http://schemas.openxmlformats.org/drawingml/2006/main">
          <a:off x="1076478" y="332035"/>
          <a:ext cx="905263" cy="237801"/>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44.xml><?xml version="1.0" encoding="utf-8"?>
<xdr:wsDr xmlns:xdr="http://schemas.openxmlformats.org/drawingml/2006/spreadsheetDrawing" xmlns:a="http://schemas.openxmlformats.org/drawingml/2006/main">
  <xdr:twoCellAnchor>
    <xdr:from>
      <xdr:col>1</xdr:col>
      <xdr:colOff>0</xdr:colOff>
      <xdr:row>18</xdr:row>
      <xdr:rowOff>28575</xdr:rowOff>
    </xdr:from>
    <xdr:to>
      <xdr:col>12</xdr:col>
      <xdr:colOff>733425</xdr:colOff>
      <xdr:row>49</xdr:row>
      <xdr:rowOff>0</xdr:rowOff>
    </xdr:to>
    <xdr:graphicFrame macro="">
      <xdr:nvGraphicFramePr>
        <xdr:cNvPr id="23554" name="Chart 1">
          <a:extLst>
            <a:ext uri="{FF2B5EF4-FFF2-40B4-BE49-F238E27FC236}">
              <a16:creationId xmlns:a16="http://schemas.microsoft.com/office/drawing/2014/main" id="{DB23875C-7F05-4857-ADDB-E49586CEB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5.xml><?xml version="1.0" encoding="utf-8"?>
<c:userShapes xmlns:c="http://schemas.openxmlformats.org/drawingml/2006/chart">
  <cdr:relSizeAnchor xmlns:cdr="http://schemas.openxmlformats.org/drawingml/2006/chartDrawing">
    <cdr:from>
      <cdr:x>0.13238</cdr:x>
      <cdr:y>0.04824</cdr:y>
    </cdr:from>
    <cdr:to>
      <cdr:x>0.2266</cdr:x>
      <cdr:y>0.0823</cdr:y>
    </cdr:to>
    <cdr:sp macro="" textlink="">
      <cdr:nvSpPr>
        <cdr:cNvPr id="45057" name="Text 2"/>
        <cdr:cNvSpPr txBox="1">
          <a:spLocks xmlns:a="http://schemas.openxmlformats.org/drawingml/2006/main" noChangeArrowheads="1"/>
        </cdr:cNvSpPr>
      </cdr:nvSpPr>
      <cdr:spPr bwMode="auto">
        <a:xfrm xmlns:a="http://schemas.openxmlformats.org/drawingml/2006/main">
          <a:off x="1045210" y="325520"/>
          <a:ext cx="857250" cy="237801"/>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11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46.xml><?xml version="1.0" encoding="utf-8"?>
<xdr:wsDr xmlns:xdr="http://schemas.openxmlformats.org/drawingml/2006/spreadsheetDrawing" xmlns:a="http://schemas.openxmlformats.org/drawingml/2006/main">
  <xdr:twoCellAnchor>
    <xdr:from>
      <xdr:col>1</xdr:col>
      <xdr:colOff>0</xdr:colOff>
      <xdr:row>18</xdr:row>
      <xdr:rowOff>28575</xdr:rowOff>
    </xdr:from>
    <xdr:to>
      <xdr:col>12</xdr:col>
      <xdr:colOff>695325</xdr:colOff>
      <xdr:row>49</xdr:row>
      <xdr:rowOff>0</xdr:rowOff>
    </xdr:to>
    <xdr:graphicFrame macro="">
      <xdr:nvGraphicFramePr>
        <xdr:cNvPr id="24578" name="Chart 1">
          <a:extLst>
            <a:ext uri="{FF2B5EF4-FFF2-40B4-BE49-F238E27FC236}">
              <a16:creationId xmlns:a16="http://schemas.microsoft.com/office/drawing/2014/main" id="{CD0A269F-AB18-434F-8802-D7EE9A21C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7.xml><?xml version="1.0" encoding="utf-8"?>
<c:userShapes xmlns:c="http://schemas.openxmlformats.org/drawingml/2006/chart">
  <cdr:relSizeAnchor xmlns:cdr="http://schemas.openxmlformats.org/drawingml/2006/chartDrawing">
    <cdr:from>
      <cdr:x>0.12569</cdr:x>
      <cdr:y>0.04746</cdr:y>
    </cdr:from>
    <cdr:to>
      <cdr:x>0.22345</cdr:x>
      <cdr:y>0.07615</cdr:y>
    </cdr:to>
    <cdr:sp macro="" textlink="">
      <cdr:nvSpPr>
        <cdr:cNvPr id="47105" name="Text 2"/>
        <cdr:cNvSpPr txBox="1">
          <a:spLocks xmlns:a="http://schemas.openxmlformats.org/drawingml/2006/main" noChangeArrowheads="1"/>
        </cdr:cNvSpPr>
      </cdr:nvSpPr>
      <cdr:spPr bwMode="auto">
        <a:xfrm xmlns:a="http://schemas.openxmlformats.org/drawingml/2006/main">
          <a:off x="979952" y="301631"/>
          <a:ext cx="856528" cy="199797"/>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48.xml><?xml version="1.0" encoding="utf-8"?>
<xdr:wsDr xmlns:xdr="http://schemas.openxmlformats.org/drawingml/2006/spreadsheetDrawing" xmlns:a="http://schemas.openxmlformats.org/drawingml/2006/main">
  <xdr:twoCellAnchor>
    <xdr:from>
      <xdr:col>0</xdr:col>
      <xdr:colOff>171450</xdr:colOff>
      <xdr:row>18</xdr:row>
      <xdr:rowOff>38100</xdr:rowOff>
    </xdr:from>
    <xdr:to>
      <xdr:col>12</xdr:col>
      <xdr:colOff>733425</xdr:colOff>
      <xdr:row>48</xdr:row>
      <xdr:rowOff>114300</xdr:rowOff>
    </xdr:to>
    <xdr:graphicFrame macro="">
      <xdr:nvGraphicFramePr>
        <xdr:cNvPr id="25602" name="Chart 1">
          <a:extLst>
            <a:ext uri="{FF2B5EF4-FFF2-40B4-BE49-F238E27FC236}">
              <a16:creationId xmlns:a16="http://schemas.microsoft.com/office/drawing/2014/main" id="{27216A07-A9C1-45CE-BAD3-5CE7D2D01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9.xml><?xml version="1.0" encoding="utf-8"?>
<c:userShapes xmlns:c="http://schemas.openxmlformats.org/drawingml/2006/chart">
  <cdr:relSizeAnchor xmlns:cdr="http://schemas.openxmlformats.org/drawingml/2006/chartDrawing">
    <cdr:from>
      <cdr:x>0.13064</cdr:x>
      <cdr:y>0.05299</cdr:y>
    </cdr:from>
    <cdr:to>
      <cdr:x>0.22865</cdr:x>
      <cdr:y>0.09073</cdr:y>
    </cdr:to>
    <cdr:sp macro="" textlink="">
      <cdr:nvSpPr>
        <cdr:cNvPr id="49153" name="Text 2"/>
        <cdr:cNvSpPr txBox="1">
          <a:spLocks xmlns:a="http://schemas.openxmlformats.org/drawingml/2006/main" noChangeArrowheads="1"/>
        </cdr:cNvSpPr>
      </cdr:nvSpPr>
      <cdr:spPr bwMode="auto">
        <a:xfrm xmlns:a="http://schemas.openxmlformats.org/drawingml/2006/main">
          <a:off x="1047420" y="330025"/>
          <a:ext cx="857007" cy="238416"/>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8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50.xml><?xml version="1.0" encoding="utf-8"?>
<xdr:wsDr xmlns:xdr="http://schemas.openxmlformats.org/drawingml/2006/spreadsheetDrawing" xmlns:a="http://schemas.openxmlformats.org/drawingml/2006/main">
  <xdr:twoCellAnchor>
    <xdr:from>
      <xdr:col>1</xdr:col>
      <xdr:colOff>0</xdr:colOff>
      <xdr:row>18</xdr:row>
      <xdr:rowOff>28575</xdr:rowOff>
    </xdr:from>
    <xdr:to>
      <xdr:col>13</xdr:col>
      <xdr:colOff>0</xdr:colOff>
      <xdr:row>48</xdr:row>
      <xdr:rowOff>114300</xdr:rowOff>
    </xdr:to>
    <xdr:graphicFrame macro="">
      <xdr:nvGraphicFramePr>
        <xdr:cNvPr id="26626" name="Chart 1">
          <a:extLst>
            <a:ext uri="{FF2B5EF4-FFF2-40B4-BE49-F238E27FC236}">
              <a16:creationId xmlns:a16="http://schemas.microsoft.com/office/drawing/2014/main" id="{2984F51E-57A1-40C8-A808-284C2A92B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1.xml><?xml version="1.0" encoding="utf-8"?>
<c:userShapes xmlns:c="http://schemas.openxmlformats.org/drawingml/2006/chart">
  <cdr:relSizeAnchor xmlns:cdr="http://schemas.openxmlformats.org/drawingml/2006/chartDrawing">
    <cdr:from>
      <cdr:x>0.13261</cdr:x>
      <cdr:y>0.048</cdr:y>
    </cdr:from>
    <cdr:to>
      <cdr:x>0.22889</cdr:x>
      <cdr:y>0.08082</cdr:y>
    </cdr:to>
    <cdr:sp macro="" textlink="">
      <cdr:nvSpPr>
        <cdr:cNvPr id="51201" name="Text 2"/>
        <cdr:cNvSpPr txBox="1">
          <a:spLocks xmlns:a="http://schemas.openxmlformats.org/drawingml/2006/main" noChangeArrowheads="1"/>
        </cdr:cNvSpPr>
      </cdr:nvSpPr>
      <cdr:spPr bwMode="auto">
        <a:xfrm xmlns:a="http://schemas.openxmlformats.org/drawingml/2006/main">
          <a:off x="1047420" y="316250"/>
          <a:ext cx="857007" cy="238363"/>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11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52.xml><?xml version="1.0" encoding="utf-8"?>
<xdr:wsDr xmlns:xdr="http://schemas.openxmlformats.org/drawingml/2006/spreadsheetDrawing" xmlns:a="http://schemas.openxmlformats.org/drawingml/2006/main">
  <xdr:twoCellAnchor>
    <xdr:from>
      <xdr:col>1</xdr:col>
      <xdr:colOff>47625</xdr:colOff>
      <xdr:row>17</xdr:row>
      <xdr:rowOff>114300</xdr:rowOff>
    </xdr:from>
    <xdr:to>
      <xdr:col>13</xdr:col>
      <xdr:colOff>9525</xdr:colOff>
      <xdr:row>48</xdr:row>
      <xdr:rowOff>104775</xdr:rowOff>
    </xdr:to>
    <xdr:graphicFrame macro="">
      <xdr:nvGraphicFramePr>
        <xdr:cNvPr id="27650" name="Chart 1">
          <a:extLst>
            <a:ext uri="{FF2B5EF4-FFF2-40B4-BE49-F238E27FC236}">
              <a16:creationId xmlns:a16="http://schemas.microsoft.com/office/drawing/2014/main" id="{4231F191-C293-4BC8-8C61-D5DA99D95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3.xml><?xml version="1.0" encoding="utf-8"?>
<c:userShapes xmlns:c="http://schemas.openxmlformats.org/drawingml/2006/chart">
  <cdr:relSizeAnchor xmlns:cdr="http://schemas.openxmlformats.org/drawingml/2006/chartDrawing">
    <cdr:from>
      <cdr:x>0.13023</cdr:x>
      <cdr:y>0.05142</cdr:y>
    </cdr:from>
    <cdr:to>
      <cdr:x>0.22584</cdr:x>
      <cdr:y>0.08405</cdr:y>
    </cdr:to>
    <cdr:sp macro="" textlink="">
      <cdr:nvSpPr>
        <cdr:cNvPr id="53249" name="Text 2"/>
        <cdr:cNvSpPr txBox="1">
          <a:spLocks xmlns:a="http://schemas.openxmlformats.org/drawingml/2006/main" noChangeArrowheads="1"/>
        </cdr:cNvSpPr>
      </cdr:nvSpPr>
      <cdr:spPr bwMode="auto">
        <a:xfrm xmlns:a="http://schemas.openxmlformats.org/drawingml/2006/main">
          <a:off x="1045139" y="331418"/>
          <a:ext cx="857483" cy="238364"/>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11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54.xml><?xml version="1.0" encoding="utf-8"?>
<xdr:wsDr xmlns:xdr="http://schemas.openxmlformats.org/drawingml/2006/spreadsheetDrawing" xmlns:a="http://schemas.openxmlformats.org/drawingml/2006/main">
  <xdr:twoCellAnchor>
    <xdr:from>
      <xdr:col>1</xdr:col>
      <xdr:colOff>0</xdr:colOff>
      <xdr:row>18</xdr:row>
      <xdr:rowOff>104775</xdr:rowOff>
    </xdr:from>
    <xdr:to>
      <xdr:col>12</xdr:col>
      <xdr:colOff>742950</xdr:colOff>
      <xdr:row>49</xdr:row>
      <xdr:rowOff>0</xdr:rowOff>
    </xdr:to>
    <xdr:graphicFrame macro="">
      <xdr:nvGraphicFramePr>
        <xdr:cNvPr id="28674" name="Chart 1">
          <a:extLst>
            <a:ext uri="{FF2B5EF4-FFF2-40B4-BE49-F238E27FC236}">
              <a16:creationId xmlns:a16="http://schemas.microsoft.com/office/drawing/2014/main" id="{2786E9F1-DF25-4F7C-81A1-1EDE21425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5.xml><?xml version="1.0" encoding="utf-8"?>
<c:userShapes xmlns:c="http://schemas.openxmlformats.org/drawingml/2006/chart">
  <cdr:relSizeAnchor xmlns:cdr="http://schemas.openxmlformats.org/drawingml/2006/chartDrawing">
    <cdr:from>
      <cdr:x>0.12671</cdr:x>
      <cdr:y>0.05074</cdr:y>
    </cdr:from>
    <cdr:to>
      <cdr:x>0.22213</cdr:x>
      <cdr:y>0.08577</cdr:y>
    </cdr:to>
    <cdr:sp macro="" textlink="">
      <cdr:nvSpPr>
        <cdr:cNvPr id="55297" name="Text 2"/>
        <cdr:cNvSpPr txBox="1">
          <a:spLocks xmlns:a="http://schemas.openxmlformats.org/drawingml/2006/main" noChangeArrowheads="1"/>
        </cdr:cNvSpPr>
      </cdr:nvSpPr>
      <cdr:spPr bwMode="auto">
        <a:xfrm xmlns:a="http://schemas.openxmlformats.org/drawingml/2006/main">
          <a:off x="910422" y="332035"/>
          <a:ext cx="857483" cy="237801"/>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9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56.xml><?xml version="1.0" encoding="utf-8"?>
<xdr:wsDr xmlns:xdr="http://schemas.openxmlformats.org/drawingml/2006/spreadsheetDrawing" xmlns:a="http://schemas.openxmlformats.org/drawingml/2006/main">
  <xdr:twoCellAnchor>
    <xdr:from>
      <xdr:col>1</xdr:col>
      <xdr:colOff>0</xdr:colOff>
      <xdr:row>18</xdr:row>
      <xdr:rowOff>28575</xdr:rowOff>
    </xdr:from>
    <xdr:to>
      <xdr:col>12</xdr:col>
      <xdr:colOff>742950</xdr:colOff>
      <xdr:row>49</xdr:row>
      <xdr:rowOff>0</xdr:rowOff>
    </xdr:to>
    <xdr:graphicFrame macro="">
      <xdr:nvGraphicFramePr>
        <xdr:cNvPr id="29698" name="Chart 1">
          <a:extLst>
            <a:ext uri="{FF2B5EF4-FFF2-40B4-BE49-F238E27FC236}">
              <a16:creationId xmlns:a16="http://schemas.microsoft.com/office/drawing/2014/main" id="{A315F98F-46DF-43B4-ACF9-21D11C649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7.xml><?xml version="1.0" encoding="utf-8"?>
<c:userShapes xmlns:c="http://schemas.openxmlformats.org/drawingml/2006/chart">
  <cdr:relSizeAnchor xmlns:cdr="http://schemas.openxmlformats.org/drawingml/2006/chartDrawing">
    <cdr:from>
      <cdr:x>0.14518</cdr:x>
      <cdr:y>0.05307</cdr:y>
    </cdr:from>
    <cdr:to>
      <cdr:x>0.2407</cdr:x>
      <cdr:y>0.08791</cdr:y>
    </cdr:to>
    <cdr:sp macro="" textlink="">
      <cdr:nvSpPr>
        <cdr:cNvPr id="57345" name="Text 2"/>
        <cdr:cNvSpPr txBox="1">
          <a:spLocks xmlns:a="http://schemas.openxmlformats.org/drawingml/2006/main" noChangeArrowheads="1"/>
        </cdr:cNvSpPr>
      </cdr:nvSpPr>
      <cdr:spPr bwMode="auto">
        <a:xfrm xmlns:a="http://schemas.openxmlformats.org/drawingml/2006/main">
          <a:off x="1139508" y="342894"/>
          <a:ext cx="857250" cy="237801"/>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10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58.xml><?xml version="1.0" encoding="utf-8"?>
<xdr:wsDr xmlns:xdr="http://schemas.openxmlformats.org/drawingml/2006/spreadsheetDrawing" xmlns:a="http://schemas.openxmlformats.org/drawingml/2006/main">
  <xdr:twoCellAnchor>
    <xdr:from>
      <xdr:col>1</xdr:col>
      <xdr:colOff>0</xdr:colOff>
      <xdr:row>18</xdr:row>
      <xdr:rowOff>28575</xdr:rowOff>
    </xdr:from>
    <xdr:to>
      <xdr:col>12</xdr:col>
      <xdr:colOff>742950</xdr:colOff>
      <xdr:row>49</xdr:row>
      <xdr:rowOff>0</xdr:rowOff>
    </xdr:to>
    <xdr:graphicFrame macro="">
      <xdr:nvGraphicFramePr>
        <xdr:cNvPr id="30722" name="Chart 1">
          <a:extLst>
            <a:ext uri="{FF2B5EF4-FFF2-40B4-BE49-F238E27FC236}">
              <a16:creationId xmlns:a16="http://schemas.microsoft.com/office/drawing/2014/main" id="{5EE55BAF-8C19-46D4-9E42-4EB2795C6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9.xml><?xml version="1.0" encoding="utf-8"?>
<c:userShapes xmlns:c="http://schemas.openxmlformats.org/drawingml/2006/chart">
  <cdr:relSizeAnchor xmlns:cdr="http://schemas.openxmlformats.org/drawingml/2006/chartDrawing">
    <cdr:from>
      <cdr:x>0.13279</cdr:x>
      <cdr:y>0.05262</cdr:y>
    </cdr:from>
    <cdr:to>
      <cdr:x>0.23259</cdr:x>
      <cdr:y>0.08622</cdr:y>
    </cdr:to>
    <cdr:sp macro="" textlink="">
      <cdr:nvSpPr>
        <cdr:cNvPr id="59393" name="Text 2"/>
        <cdr:cNvSpPr txBox="1">
          <a:spLocks xmlns:a="http://schemas.openxmlformats.org/drawingml/2006/main" noChangeArrowheads="1"/>
        </cdr:cNvSpPr>
      </cdr:nvSpPr>
      <cdr:spPr bwMode="auto">
        <a:xfrm xmlns:a="http://schemas.openxmlformats.org/drawingml/2006/main">
          <a:off x="1077614" y="332035"/>
          <a:ext cx="856755" cy="237801"/>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11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60.xml><?xml version="1.0" encoding="utf-8"?>
<xdr:wsDr xmlns:xdr="http://schemas.openxmlformats.org/drawingml/2006/spreadsheetDrawing" xmlns:a="http://schemas.openxmlformats.org/drawingml/2006/main">
  <xdr:twoCellAnchor>
    <xdr:from>
      <xdr:col>1</xdr:col>
      <xdr:colOff>0</xdr:colOff>
      <xdr:row>18</xdr:row>
      <xdr:rowOff>28575</xdr:rowOff>
    </xdr:from>
    <xdr:to>
      <xdr:col>13</xdr:col>
      <xdr:colOff>0</xdr:colOff>
      <xdr:row>49</xdr:row>
      <xdr:rowOff>0</xdr:rowOff>
    </xdr:to>
    <xdr:graphicFrame macro="">
      <xdr:nvGraphicFramePr>
        <xdr:cNvPr id="31746" name="Chart 1">
          <a:extLst>
            <a:ext uri="{FF2B5EF4-FFF2-40B4-BE49-F238E27FC236}">
              <a16:creationId xmlns:a16="http://schemas.microsoft.com/office/drawing/2014/main" id="{9706AEF5-0611-40AB-8311-EAEDEC221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1.xml><?xml version="1.0" encoding="utf-8"?>
<c:userShapes xmlns:c="http://schemas.openxmlformats.org/drawingml/2006/chart">
  <cdr:relSizeAnchor xmlns:cdr="http://schemas.openxmlformats.org/drawingml/2006/chartDrawing">
    <cdr:from>
      <cdr:x>0.12611</cdr:x>
      <cdr:y>0.05163</cdr:y>
    </cdr:from>
    <cdr:to>
      <cdr:x>0.22272</cdr:x>
      <cdr:y>0.08571</cdr:y>
    </cdr:to>
    <cdr:sp macro="" textlink="">
      <cdr:nvSpPr>
        <cdr:cNvPr id="61441" name="Text 2"/>
        <cdr:cNvSpPr txBox="1">
          <a:spLocks xmlns:a="http://schemas.openxmlformats.org/drawingml/2006/main" noChangeArrowheads="1"/>
        </cdr:cNvSpPr>
      </cdr:nvSpPr>
      <cdr:spPr bwMode="auto">
        <a:xfrm xmlns:a="http://schemas.openxmlformats.org/drawingml/2006/main">
          <a:off x="944150" y="338550"/>
          <a:ext cx="856754" cy="237801"/>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10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62.xml><?xml version="1.0" encoding="utf-8"?>
<xdr:wsDr xmlns:xdr="http://schemas.openxmlformats.org/drawingml/2006/spreadsheetDrawing" xmlns:a="http://schemas.openxmlformats.org/drawingml/2006/main">
  <xdr:twoCellAnchor>
    <xdr:from>
      <xdr:col>1</xdr:col>
      <xdr:colOff>0</xdr:colOff>
      <xdr:row>18</xdr:row>
      <xdr:rowOff>28575</xdr:rowOff>
    </xdr:from>
    <xdr:to>
      <xdr:col>12</xdr:col>
      <xdr:colOff>742950</xdr:colOff>
      <xdr:row>49</xdr:row>
      <xdr:rowOff>0</xdr:rowOff>
    </xdr:to>
    <xdr:graphicFrame macro="">
      <xdr:nvGraphicFramePr>
        <xdr:cNvPr id="32770" name="Chart 1">
          <a:extLst>
            <a:ext uri="{FF2B5EF4-FFF2-40B4-BE49-F238E27FC236}">
              <a16:creationId xmlns:a16="http://schemas.microsoft.com/office/drawing/2014/main" id="{F9D3B708-7E8E-4F65-B905-B165F06C6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3.xml><?xml version="1.0" encoding="utf-8"?>
<c:userShapes xmlns:c="http://schemas.openxmlformats.org/drawingml/2006/chart">
  <cdr:relSizeAnchor xmlns:cdr="http://schemas.openxmlformats.org/drawingml/2006/chartDrawing">
    <cdr:from>
      <cdr:x>0.11986</cdr:x>
      <cdr:y>0.04746</cdr:y>
    </cdr:from>
    <cdr:to>
      <cdr:x>0.21997</cdr:x>
      <cdr:y>0.07615</cdr:y>
    </cdr:to>
    <cdr:sp macro="" textlink="">
      <cdr:nvSpPr>
        <cdr:cNvPr id="63489" name="Text 2"/>
        <cdr:cNvSpPr txBox="1">
          <a:spLocks xmlns:a="http://schemas.openxmlformats.org/drawingml/2006/main" noChangeArrowheads="1"/>
        </cdr:cNvSpPr>
      </cdr:nvSpPr>
      <cdr:spPr bwMode="auto">
        <a:xfrm xmlns:a="http://schemas.openxmlformats.org/drawingml/2006/main">
          <a:off x="932279" y="301631"/>
          <a:ext cx="856591" cy="199797"/>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64.xml><?xml version="1.0" encoding="utf-8"?>
<xdr:wsDr xmlns:xdr="http://schemas.openxmlformats.org/drawingml/2006/spreadsheetDrawing" xmlns:a="http://schemas.openxmlformats.org/drawingml/2006/main">
  <xdr:twoCellAnchor>
    <xdr:from>
      <xdr:col>1</xdr:col>
      <xdr:colOff>142875</xdr:colOff>
      <xdr:row>17</xdr:row>
      <xdr:rowOff>114300</xdr:rowOff>
    </xdr:from>
    <xdr:to>
      <xdr:col>13</xdr:col>
      <xdr:colOff>104775</xdr:colOff>
      <xdr:row>48</xdr:row>
      <xdr:rowOff>76200</xdr:rowOff>
    </xdr:to>
    <xdr:graphicFrame macro="">
      <xdr:nvGraphicFramePr>
        <xdr:cNvPr id="33794" name="Chart 1">
          <a:extLst>
            <a:ext uri="{FF2B5EF4-FFF2-40B4-BE49-F238E27FC236}">
              <a16:creationId xmlns:a16="http://schemas.microsoft.com/office/drawing/2014/main" id="{233892E6-3090-4DEB-BDE8-206E3F7B0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5.xml><?xml version="1.0" encoding="utf-8"?>
<c:userShapes xmlns:c="http://schemas.openxmlformats.org/drawingml/2006/chart">
  <cdr:relSizeAnchor xmlns:cdr="http://schemas.openxmlformats.org/drawingml/2006/chartDrawing">
    <cdr:from>
      <cdr:x>0.12258</cdr:x>
      <cdr:y>0.05097</cdr:y>
    </cdr:from>
    <cdr:to>
      <cdr:x>0.22129</cdr:x>
      <cdr:y>0.0845</cdr:y>
    </cdr:to>
    <cdr:sp macro="" textlink="">
      <cdr:nvSpPr>
        <cdr:cNvPr id="65537" name="Text 2"/>
        <cdr:cNvSpPr txBox="1">
          <a:spLocks xmlns:a="http://schemas.openxmlformats.org/drawingml/2006/main" noChangeArrowheads="1"/>
        </cdr:cNvSpPr>
      </cdr:nvSpPr>
      <cdr:spPr bwMode="auto">
        <a:xfrm xmlns:a="http://schemas.openxmlformats.org/drawingml/2006/main">
          <a:off x="935011" y="331418"/>
          <a:ext cx="856907" cy="238364"/>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11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66.xml><?xml version="1.0" encoding="utf-8"?>
<xdr:wsDr xmlns:xdr="http://schemas.openxmlformats.org/drawingml/2006/spreadsheetDrawing" xmlns:a="http://schemas.openxmlformats.org/drawingml/2006/main">
  <xdr:twoCellAnchor>
    <xdr:from>
      <xdr:col>1</xdr:col>
      <xdr:colOff>0</xdr:colOff>
      <xdr:row>19</xdr:row>
      <xdr:rowOff>0</xdr:rowOff>
    </xdr:from>
    <xdr:to>
      <xdr:col>12</xdr:col>
      <xdr:colOff>742950</xdr:colOff>
      <xdr:row>48</xdr:row>
      <xdr:rowOff>104775</xdr:rowOff>
    </xdr:to>
    <xdr:graphicFrame macro="">
      <xdr:nvGraphicFramePr>
        <xdr:cNvPr id="34818" name="Chart 1">
          <a:extLst>
            <a:ext uri="{FF2B5EF4-FFF2-40B4-BE49-F238E27FC236}">
              <a16:creationId xmlns:a16="http://schemas.microsoft.com/office/drawing/2014/main" id="{4D79A26C-4515-442B-B356-3B6764153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7.xml><?xml version="1.0" encoding="utf-8"?>
<c:userShapes xmlns:c="http://schemas.openxmlformats.org/drawingml/2006/chart">
  <cdr:relSizeAnchor xmlns:cdr="http://schemas.openxmlformats.org/drawingml/2006/chartDrawing">
    <cdr:from>
      <cdr:x>0.12153</cdr:x>
      <cdr:y>0.04986</cdr:y>
    </cdr:from>
    <cdr:to>
      <cdr:x>0.2177</cdr:x>
      <cdr:y>0.081</cdr:y>
    </cdr:to>
    <cdr:sp macro="" textlink="">
      <cdr:nvSpPr>
        <cdr:cNvPr id="67585" name="Text 2"/>
        <cdr:cNvSpPr txBox="1">
          <a:spLocks xmlns:a="http://schemas.openxmlformats.org/drawingml/2006/main" noChangeArrowheads="1"/>
        </cdr:cNvSpPr>
      </cdr:nvSpPr>
      <cdr:spPr bwMode="auto">
        <a:xfrm xmlns:a="http://schemas.openxmlformats.org/drawingml/2006/main">
          <a:off x="948031" y="331764"/>
          <a:ext cx="857841" cy="238299"/>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68.xml><?xml version="1.0" encoding="utf-8"?>
<xdr:wsDr xmlns:xdr="http://schemas.openxmlformats.org/drawingml/2006/spreadsheetDrawing" xmlns:a="http://schemas.openxmlformats.org/drawingml/2006/main">
  <xdr:twoCellAnchor>
    <xdr:from>
      <xdr:col>1</xdr:col>
      <xdr:colOff>0</xdr:colOff>
      <xdr:row>18</xdr:row>
      <xdr:rowOff>0</xdr:rowOff>
    </xdr:from>
    <xdr:to>
      <xdr:col>12</xdr:col>
      <xdr:colOff>733425</xdr:colOff>
      <xdr:row>48</xdr:row>
      <xdr:rowOff>0</xdr:rowOff>
    </xdr:to>
    <xdr:graphicFrame macro="">
      <xdr:nvGraphicFramePr>
        <xdr:cNvPr id="35842" name="Chart 1">
          <a:extLst>
            <a:ext uri="{FF2B5EF4-FFF2-40B4-BE49-F238E27FC236}">
              <a16:creationId xmlns:a16="http://schemas.microsoft.com/office/drawing/2014/main" id="{905F1502-4D5C-48D6-9307-9DAB0D4DB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9.xml><?xml version="1.0" encoding="utf-8"?>
<c:userShapes xmlns:c="http://schemas.openxmlformats.org/drawingml/2006/chart">
  <cdr:relSizeAnchor xmlns:cdr="http://schemas.openxmlformats.org/drawingml/2006/chartDrawing">
    <cdr:from>
      <cdr:x>0.12204</cdr:x>
      <cdr:y>0.05174</cdr:y>
    </cdr:from>
    <cdr:to>
      <cdr:x>0.21552</cdr:x>
      <cdr:y>0.08581</cdr:y>
    </cdr:to>
    <cdr:sp macro="" textlink="">
      <cdr:nvSpPr>
        <cdr:cNvPr id="69633" name="Text 2"/>
        <cdr:cNvSpPr txBox="1">
          <a:spLocks xmlns:a="http://schemas.openxmlformats.org/drawingml/2006/main" noChangeArrowheads="1"/>
        </cdr:cNvSpPr>
      </cdr:nvSpPr>
      <cdr:spPr bwMode="auto">
        <a:xfrm xmlns:a="http://schemas.openxmlformats.org/drawingml/2006/main">
          <a:off x="956982" y="340636"/>
          <a:ext cx="856467" cy="238380"/>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7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70.xml><?xml version="1.0" encoding="utf-8"?>
<xdr:wsDr xmlns:xdr="http://schemas.openxmlformats.org/drawingml/2006/spreadsheetDrawing" xmlns:a="http://schemas.openxmlformats.org/drawingml/2006/main">
  <xdr:twoCellAnchor>
    <xdr:from>
      <xdr:col>0</xdr:col>
      <xdr:colOff>0</xdr:colOff>
      <xdr:row>18</xdr:row>
      <xdr:rowOff>66675</xdr:rowOff>
    </xdr:from>
    <xdr:to>
      <xdr:col>12</xdr:col>
      <xdr:colOff>752475</xdr:colOff>
      <xdr:row>48</xdr:row>
      <xdr:rowOff>28575</xdr:rowOff>
    </xdr:to>
    <xdr:graphicFrame macro="">
      <xdr:nvGraphicFramePr>
        <xdr:cNvPr id="36866" name="Chart 1">
          <a:extLst>
            <a:ext uri="{FF2B5EF4-FFF2-40B4-BE49-F238E27FC236}">
              <a16:creationId xmlns:a16="http://schemas.microsoft.com/office/drawing/2014/main" id="{FEDCE806-4BF9-4326-8B4F-B3819A308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1.xml><?xml version="1.0" encoding="utf-8"?>
<c:userShapes xmlns:c="http://schemas.openxmlformats.org/drawingml/2006/chart">
  <cdr:relSizeAnchor xmlns:cdr="http://schemas.openxmlformats.org/drawingml/2006/chartDrawing">
    <cdr:from>
      <cdr:x>0.10142</cdr:x>
      <cdr:y>0.04911</cdr:y>
    </cdr:from>
    <cdr:to>
      <cdr:x>0.19116</cdr:x>
      <cdr:y>0.081</cdr:y>
    </cdr:to>
    <cdr:sp macro="" textlink="">
      <cdr:nvSpPr>
        <cdr:cNvPr id="93185" name="Text 2"/>
        <cdr:cNvSpPr txBox="1">
          <a:spLocks xmlns:a="http://schemas.openxmlformats.org/drawingml/2006/main" noChangeArrowheads="1"/>
        </cdr:cNvSpPr>
      </cdr:nvSpPr>
      <cdr:spPr bwMode="auto">
        <a:xfrm xmlns:a="http://schemas.openxmlformats.org/drawingml/2006/main">
          <a:off x="877720" y="329682"/>
          <a:ext cx="857957" cy="238299"/>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72.xml><?xml version="1.0" encoding="utf-8"?>
<xdr:wsDr xmlns:xdr="http://schemas.openxmlformats.org/drawingml/2006/spreadsheetDrawing" xmlns:a="http://schemas.openxmlformats.org/drawingml/2006/main">
  <xdr:twoCellAnchor>
    <xdr:from>
      <xdr:col>0</xdr:col>
      <xdr:colOff>0</xdr:colOff>
      <xdr:row>18</xdr:row>
      <xdr:rowOff>66675</xdr:rowOff>
    </xdr:from>
    <xdr:to>
      <xdr:col>12</xdr:col>
      <xdr:colOff>752475</xdr:colOff>
      <xdr:row>48</xdr:row>
      <xdr:rowOff>28575</xdr:rowOff>
    </xdr:to>
    <xdr:graphicFrame macro="">
      <xdr:nvGraphicFramePr>
        <xdr:cNvPr id="37890" name="Chart 1">
          <a:extLst>
            <a:ext uri="{FF2B5EF4-FFF2-40B4-BE49-F238E27FC236}">
              <a16:creationId xmlns:a16="http://schemas.microsoft.com/office/drawing/2014/main" id="{95000942-27D8-4086-9376-5486CED39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3.xml><?xml version="1.0" encoding="utf-8"?>
<c:userShapes xmlns:c="http://schemas.openxmlformats.org/drawingml/2006/chart">
  <cdr:relSizeAnchor xmlns:cdr="http://schemas.openxmlformats.org/drawingml/2006/chartDrawing">
    <cdr:from>
      <cdr:x>0.11668</cdr:x>
      <cdr:y>0.04911</cdr:y>
    </cdr:from>
    <cdr:to>
      <cdr:x>0.21199</cdr:x>
      <cdr:y>0.081</cdr:y>
    </cdr:to>
    <cdr:sp macro="" textlink="">
      <cdr:nvSpPr>
        <cdr:cNvPr id="71681" name="Text 2"/>
        <cdr:cNvSpPr txBox="1">
          <a:spLocks xmlns:a="http://schemas.openxmlformats.org/drawingml/2006/main" noChangeArrowheads="1"/>
        </cdr:cNvSpPr>
      </cdr:nvSpPr>
      <cdr:spPr bwMode="auto">
        <a:xfrm xmlns:a="http://schemas.openxmlformats.org/drawingml/2006/main">
          <a:off x="942011" y="329682"/>
          <a:ext cx="857958" cy="238299"/>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74.xml><?xml version="1.0" encoding="utf-8"?>
<xdr:wsDr xmlns:xdr="http://schemas.openxmlformats.org/drawingml/2006/spreadsheetDrawing" xmlns:a="http://schemas.openxmlformats.org/drawingml/2006/main">
  <xdr:twoCellAnchor>
    <xdr:from>
      <xdr:col>0</xdr:col>
      <xdr:colOff>114300</xdr:colOff>
      <xdr:row>18</xdr:row>
      <xdr:rowOff>76200</xdr:rowOff>
    </xdr:from>
    <xdr:to>
      <xdr:col>12</xdr:col>
      <xdr:colOff>876300</xdr:colOff>
      <xdr:row>49</xdr:row>
      <xdr:rowOff>0</xdr:rowOff>
    </xdr:to>
    <xdr:graphicFrame macro="">
      <xdr:nvGraphicFramePr>
        <xdr:cNvPr id="38914" name="Chart 2">
          <a:extLst>
            <a:ext uri="{FF2B5EF4-FFF2-40B4-BE49-F238E27FC236}">
              <a16:creationId xmlns:a16="http://schemas.microsoft.com/office/drawing/2014/main" id="{2F49B305-76D4-4980-9F71-2606D4BAB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5.xml><?xml version="1.0" encoding="utf-8"?>
<c:userShapes xmlns:c="http://schemas.openxmlformats.org/drawingml/2006/chart">
  <cdr:relSizeAnchor xmlns:cdr="http://schemas.openxmlformats.org/drawingml/2006/chartDrawing">
    <cdr:from>
      <cdr:x>0.12793</cdr:x>
      <cdr:y>0.05433</cdr:y>
    </cdr:from>
    <cdr:to>
      <cdr:x>0.2223</cdr:x>
      <cdr:y>0.09105</cdr:y>
    </cdr:to>
    <cdr:sp macro="" textlink="">
      <cdr:nvSpPr>
        <cdr:cNvPr id="73729" name="Text 2"/>
        <cdr:cNvSpPr txBox="1">
          <a:spLocks xmlns:a="http://schemas.openxmlformats.org/drawingml/2006/main" noChangeArrowheads="1"/>
        </cdr:cNvSpPr>
      </cdr:nvSpPr>
      <cdr:spPr bwMode="auto">
        <a:xfrm xmlns:a="http://schemas.openxmlformats.org/drawingml/2006/main">
          <a:off x="1027770" y="341386"/>
          <a:ext cx="858209" cy="238430"/>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10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76.xml><?xml version="1.0" encoding="utf-8"?>
<xdr:wsDr xmlns:xdr="http://schemas.openxmlformats.org/drawingml/2006/spreadsheetDrawing" xmlns:a="http://schemas.openxmlformats.org/drawingml/2006/main">
  <xdr:twoCellAnchor>
    <xdr:from>
      <xdr:col>1</xdr:col>
      <xdr:colOff>0</xdr:colOff>
      <xdr:row>18</xdr:row>
      <xdr:rowOff>0</xdr:rowOff>
    </xdr:from>
    <xdr:to>
      <xdr:col>13</xdr:col>
      <xdr:colOff>0</xdr:colOff>
      <xdr:row>48</xdr:row>
      <xdr:rowOff>104775</xdr:rowOff>
    </xdr:to>
    <xdr:graphicFrame macro="">
      <xdr:nvGraphicFramePr>
        <xdr:cNvPr id="39938" name="Chart 1">
          <a:extLst>
            <a:ext uri="{FF2B5EF4-FFF2-40B4-BE49-F238E27FC236}">
              <a16:creationId xmlns:a16="http://schemas.microsoft.com/office/drawing/2014/main" id="{0390596B-1C86-4EF6-94C6-4838C4E13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7.xml><?xml version="1.0" encoding="utf-8"?>
<c:userShapes xmlns:c="http://schemas.openxmlformats.org/drawingml/2006/chart">
  <cdr:relSizeAnchor xmlns:cdr="http://schemas.openxmlformats.org/drawingml/2006/chartDrawing">
    <cdr:from>
      <cdr:x>0.10551</cdr:x>
      <cdr:y>0.05005</cdr:y>
    </cdr:from>
    <cdr:to>
      <cdr:x>0.19227</cdr:x>
      <cdr:y>0.08289</cdr:y>
    </cdr:to>
    <cdr:sp macro="" textlink="">
      <cdr:nvSpPr>
        <cdr:cNvPr id="75777" name="Text 2"/>
        <cdr:cNvSpPr txBox="1">
          <a:spLocks xmlns:a="http://schemas.openxmlformats.org/drawingml/2006/main" noChangeArrowheads="1"/>
        </cdr:cNvSpPr>
      </cdr:nvSpPr>
      <cdr:spPr bwMode="auto">
        <a:xfrm xmlns:a="http://schemas.openxmlformats.org/drawingml/2006/main">
          <a:off x="900056" y="342484"/>
          <a:ext cx="856393" cy="237868"/>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11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78.xml><?xml version="1.0" encoding="utf-8"?>
<xdr:wsDr xmlns:xdr="http://schemas.openxmlformats.org/drawingml/2006/spreadsheetDrawing" xmlns:a="http://schemas.openxmlformats.org/drawingml/2006/main">
  <xdr:twoCellAnchor>
    <xdr:from>
      <xdr:col>1</xdr:col>
      <xdr:colOff>38100</xdr:colOff>
      <xdr:row>17</xdr:row>
      <xdr:rowOff>114300</xdr:rowOff>
    </xdr:from>
    <xdr:to>
      <xdr:col>13</xdr:col>
      <xdr:colOff>38100</xdr:colOff>
      <xdr:row>48</xdr:row>
      <xdr:rowOff>76200</xdr:rowOff>
    </xdr:to>
    <xdr:graphicFrame macro="">
      <xdr:nvGraphicFramePr>
        <xdr:cNvPr id="40962" name="Chart 1">
          <a:extLst>
            <a:ext uri="{FF2B5EF4-FFF2-40B4-BE49-F238E27FC236}">
              <a16:creationId xmlns:a16="http://schemas.microsoft.com/office/drawing/2014/main" id="{61187142-CE5E-42AD-B24B-EACA3F6F1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9.xml><?xml version="1.0" encoding="utf-8"?>
<c:userShapes xmlns:c="http://schemas.openxmlformats.org/drawingml/2006/chart">
  <cdr:relSizeAnchor xmlns:cdr="http://schemas.openxmlformats.org/drawingml/2006/chartDrawing">
    <cdr:from>
      <cdr:x>0.10264</cdr:x>
      <cdr:y>0.04954</cdr:y>
    </cdr:from>
    <cdr:to>
      <cdr:x>0.18851</cdr:x>
      <cdr:y>0.08144</cdr:y>
    </cdr:to>
    <cdr:sp macro="" textlink="">
      <cdr:nvSpPr>
        <cdr:cNvPr id="75777" name="Text 2"/>
        <cdr:cNvSpPr txBox="1">
          <a:spLocks xmlns:a="http://schemas.openxmlformats.org/drawingml/2006/main" noChangeArrowheads="1"/>
        </cdr:cNvSpPr>
      </cdr:nvSpPr>
      <cdr:spPr bwMode="auto">
        <a:xfrm xmlns:a="http://schemas.openxmlformats.org/drawingml/2006/main">
          <a:off x="900056" y="342484"/>
          <a:ext cx="856393" cy="237868"/>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10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drawings/drawing80.xml><?xml version="1.0" encoding="utf-8"?>
<xdr:wsDr xmlns:xdr="http://schemas.openxmlformats.org/drawingml/2006/spreadsheetDrawing" xmlns:a="http://schemas.openxmlformats.org/drawingml/2006/main">
  <xdr:twoCellAnchor>
    <xdr:from>
      <xdr:col>1</xdr:col>
      <xdr:colOff>19050</xdr:colOff>
      <xdr:row>18</xdr:row>
      <xdr:rowOff>66675</xdr:rowOff>
    </xdr:from>
    <xdr:to>
      <xdr:col>13</xdr:col>
      <xdr:colOff>19050</xdr:colOff>
      <xdr:row>49</xdr:row>
      <xdr:rowOff>28575</xdr:rowOff>
    </xdr:to>
    <xdr:graphicFrame macro="">
      <xdr:nvGraphicFramePr>
        <xdr:cNvPr id="41986" name="Chart 1">
          <a:extLst>
            <a:ext uri="{FF2B5EF4-FFF2-40B4-BE49-F238E27FC236}">
              <a16:creationId xmlns:a16="http://schemas.microsoft.com/office/drawing/2014/main" id="{6481D07F-BDA3-4523-BBE5-C56AF2F320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1.xml><?xml version="1.0" encoding="utf-8"?>
<c:userShapes xmlns:c="http://schemas.openxmlformats.org/drawingml/2006/chart">
  <cdr:relSizeAnchor xmlns:cdr="http://schemas.openxmlformats.org/drawingml/2006/chartDrawing">
    <cdr:from>
      <cdr:x>0.10177</cdr:x>
      <cdr:y>0.04884</cdr:y>
    </cdr:from>
    <cdr:to>
      <cdr:x>0.18852</cdr:x>
      <cdr:y>0.07948</cdr:y>
    </cdr:to>
    <cdr:sp macro="" textlink="">
      <cdr:nvSpPr>
        <cdr:cNvPr id="75777" name="Text 2"/>
        <cdr:cNvSpPr txBox="1">
          <a:spLocks xmlns:a="http://schemas.openxmlformats.org/drawingml/2006/main" noChangeArrowheads="1"/>
        </cdr:cNvSpPr>
      </cdr:nvSpPr>
      <cdr:spPr bwMode="auto">
        <a:xfrm xmlns:a="http://schemas.openxmlformats.org/drawingml/2006/main">
          <a:off x="900056" y="342484"/>
          <a:ext cx="856393" cy="237868"/>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700"/>
            </a:lnSpc>
            <a:defRPr sz="1000"/>
          </a:pPr>
          <a:r>
            <a:rPr lang="en-GB" sz="1000" b="0" i="0" u="none" strike="noStrike" baseline="0">
              <a:solidFill>
                <a:srgbClr val="000000"/>
              </a:solidFill>
              <a:latin typeface="Tahoma"/>
              <a:ea typeface="Tahoma"/>
              <a:cs typeface="Tahoma"/>
            </a:rPr>
            <a:t>Source: CRCO</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F:\04.%20Multilateral\Multilateral%20Cost-bases%20and%20unit%20rates\97EC-2013fin\En%20route%20charges%20overview%20-%2021.11.20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xcelCrawl/Files_out/10-2016%20Monthly_Monitoring_of_Service_Unit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4.%20Multilateral/Multilateral%20Cost-bases%20and%20unit%20rates/90EC-2011pro/Publication/En%20route%20charges%20overview-June-20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une 2012"/>
      <sheetName val="November 2012"/>
      <sheetName val="Differences"/>
      <sheetName val="2012 X rates September 2012"/>
      <sheetName val="2011 X rates September 2011"/>
      <sheetName val="charges 2012-2013 November 2012"/>
      <sheetName val="Table 4 Alphebatical Order"/>
      <sheetName val="SUF Comparison"/>
      <sheetName val="SUF 2012"/>
      <sheetName val="November Figures 97cer"/>
      <sheetName val="Inflation"/>
      <sheetName val="T5 Conso All New Format"/>
      <sheetName val="Data Monitoring"/>
      <sheetName val="T5 Conso All"/>
      <sheetName val="Sheet1"/>
      <sheetName val="Summary Table for DC and FC"/>
      <sheetName val="Work sheet--1000"/>
      <sheetName val="Table 5 without carryovers"/>
      <sheetName val="Recap DG"/>
      <sheetName val="2012 Unit 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umentation"/>
      <sheetName val="History Total SU"/>
      <sheetName val="Calculations"/>
      <sheetName val="SUF 2016"/>
      <sheetName val="STATES FORECAST 2016"/>
      <sheetName val="October data"/>
      <sheetName val="SUs October"/>
      <sheetName val="Year to date data"/>
      <sheetName val="SUs follow up after 10 month"/>
      <sheetName val="Data MONTH Actual &amp; Basis"/>
      <sheetName val="Chart Month Actual vs Basis "/>
      <sheetName val="Data Year Actual &amp; Basis"/>
      <sheetName val="Chart Year Actual vs Basis"/>
      <sheetName val="crco_total"/>
      <sheetName val="esra_02"/>
      <sheetName val="belgium_luxembourg_eb"/>
      <sheetName val="germany_ed"/>
      <sheetName val="france_lf"/>
      <sheetName val="united_kingdom_eg"/>
      <sheetName val="netherlands_eh"/>
      <sheetName val="ireland_ei"/>
      <sheetName val="switzerland_ls"/>
      <sheetName val="portugal_lisbon_lp"/>
      <sheetName val="austria_lo"/>
      <sheetName val="spain_continental_le"/>
      <sheetName val="spain_canaries_gc"/>
      <sheetName val="portugal_santa_maria_az"/>
      <sheetName val="greece_lg"/>
      <sheetName val="turkey_lt"/>
      <sheetName val="malta_lm"/>
      <sheetName val="italy_li"/>
      <sheetName val="cyprus_lc"/>
      <sheetName val="hungary_lh"/>
      <sheetName val="norway_en"/>
      <sheetName val="denmark_ek"/>
      <sheetName val="slovenia_lj"/>
      <sheetName val="romania_lr"/>
      <sheetName val="czech_republic_lk"/>
      <sheetName val="sweden_es"/>
      <sheetName val="slovak_republic_lz"/>
      <sheetName val="croatia_ld"/>
      <sheetName val="bulgaria_lb"/>
      <sheetName val="fyrom_lw"/>
      <sheetName val="moldova_lu"/>
      <sheetName val="finland_ef"/>
      <sheetName val="albania_la"/>
      <sheetName val="bosnia_herzegovina_lq"/>
      <sheetName val="armenia_ud"/>
      <sheetName val="serbia_montenegro_kfor"/>
      <sheetName val="poland_ep"/>
      <sheetName val="lithuania_ey"/>
      <sheetName val="latvia_ev"/>
      <sheetName val="georgia_ug"/>
      <sheetName val="Explanatory note"/>
    </sheetNames>
    <sheetDataSet>
      <sheetData sheetId="0"/>
      <sheetData sheetId="1"/>
      <sheetData sheetId="2"/>
      <sheetData sheetId="3"/>
      <sheetData sheetId="4"/>
      <sheetData sheetId="5"/>
      <sheetData sheetId="6" refreshError="1"/>
      <sheetData sheetId="7"/>
      <sheetData sheetId="8" refreshError="1"/>
      <sheetData sheetId="9"/>
      <sheetData sheetId="10" refreshError="1"/>
      <sheetData sheetId="11"/>
      <sheetData sheetId="12" refreshError="1"/>
      <sheetData sheetId="13">
        <row r="3">
          <cell r="D3" t="str">
            <v>2016
Actual</v>
          </cell>
        </row>
      </sheetData>
      <sheetData sheetId="14">
        <row r="3">
          <cell r="D3" t="str">
            <v>2016
Actual</v>
          </cell>
        </row>
      </sheetData>
      <sheetData sheetId="15">
        <row r="3">
          <cell r="D3" t="str">
            <v>2016
Actual</v>
          </cell>
        </row>
      </sheetData>
      <sheetData sheetId="16">
        <row r="3">
          <cell r="D3" t="str">
            <v>2016
Actual</v>
          </cell>
        </row>
      </sheetData>
      <sheetData sheetId="17">
        <row r="3">
          <cell r="D3" t="str">
            <v>2016
Actual</v>
          </cell>
        </row>
      </sheetData>
      <sheetData sheetId="18">
        <row r="3">
          <cell r="D3" t="str">
            <v>2016
Actual</v>
          </cell>
        </row>
      </sheetData>
      <sheetData sheetId="19">
        <row r="3">
          <cell r="D3" t="str">
            <v>2016
Actual</v>
          </cell>
        </row>
      </sheetData>
      <sheetData sheetId="20">
        <row r="3">
          <cell r="D3" t="str">
            <v>2016
Actual</v>
          </cell>
        </row>
      </sheetData>
      <sheetData sheetId="21">
        <row r="3">
          <cell r="D3" t="str">
            <v>2016
Actual</v>
          </cell>
        </row>
      </sheetData>
      <sheetData sheetId="22">
        <row r="3">
          <cell r="D3" t="str">
            <v>2016
Actual</v>
          </cell>
        </row>
      </sheetData>
      <sheetData sheetId="23">
        <row r="3">
          <cell r="D3" t="str">
            <v>2016
Actual</v>
          </cell>
        </row>
      </sheetData>
      <sheetData sheetId="24">
        <row r="3">
          <cell r="D3" t="str">
            <v>2016
Actual</v>
          </cell>
        </row>
      </sheetData>
      <sheetData sheetId="25">
        <row r="3">
          <cell r="D3" t="str">
            <v>2016
Actual</v>
          </cell>
        </row>
      </sheetData>
      <sheetData sheetId="26">
        <row r="3">
          <cell r="D3" t="str">
            <v>2016
Actual</v>
          </cell>
        </row>
      </sheetData>
      <sheetData sheetId="27">
        <row r="3">
          <cell r="D3" t="str">
            <v>2016
Actual</v>
          </cell>
        </row>
      </sheetData>
      <sheetData sheetId="28">
        <row r="3">
          <cell r="D3" t="str">
            <v>2016
Actual</v>
          </cell>
        </row>
      </sheetData>
      <sheetData sheetId="29">
        <row r="3">
          <cell r="D3" t="str">
            <v>2016
Actual</v>
          </cell>
        </row>
      </sheetData>
      <sheetData sheetId="30">
        <row r="3">
          <cell r="D3" t="str">
            <v>2016
Actual</v>
          </cell>
        </row>
      </sheetData>
      <sheetData sheetId="31">
        <row r="3">
          <cell r="D3" t="str">
            <v>2016
Actual</v>
          </cell>
        </row>
      </sheetData>
      <sheetData sheetId="32">
        <row r="3">
          <cell r="D3" t="str">
            <v>2016
Actual</v>
          </cell>
        </row>
      </sheetData>
      <sheetData sheetId="33">
        <row r="3">
          <cell r="D3" t="str">
            <v>2016
Actual</v>
          </cell>
        </row>
      </sheetData>
      <sheetData sheetId="34">
        <row r="3">
          <cell r="D3" t="str">
            <v>2016
Actual</v>
          </cell>
        </row>
      </sheetData>
      <sheetData sheetId="35">
        <row r="3">
          <cell r="D3" t="str">
            <v>2016
Actual</v>
          </cell>
        </row>
      </sheetData>
      <sheetData sheetId="36">
        <row r="3">
          <cell r="D3" t="str">
            <v>2016
Actual</v>
          </cell>
        </row>
      </sheetData>
      <sheetData sheetId="37">
        <row r="3">
          <cell r="D3" t="str">
            <v>2016
Actual</v>
          </cell>
        </row>
      </sheetData>
      <sheetData sheetId="38">
        <row r="3">
          <cell r="D3" t="str">
            <v>2016
Actual</v>
          </cell>
        </row>
      </sheetData>
      <sheetData sheetId="39">
        <row r="3">
          <cell r="D3" t="str">
            <v>2016
Actual</v>
          </cell>
        </row>
      </sheetData>
      <sheetData sheetId="40">
        <row r="3">
          <cell r="D3" t="str">
            <v>2016
Actual</v>
          </cell>
        </row>
      </sheetData>
      <sheetData sheetId="41">
        <row r="3">
          <cell r="D3" t="str">
            <v>2016
Actual</v>
          </cell>
        </row>
      </sheetData>
      <sheetData sheetId="42">
        <row r="3">
          <cell r="D3" t="str">
            <v>2016
Actual</v>
          </cell>
        </row>
      </sheetData>
      <sheetData sheetId="43">
        <row r="3">
          <cell r="D3" t="str">
            <v>2016
Actual</v>
          </cell>
        </row>
      </sheetData>
      <sheetData sheetId="44">
        <row r="3">
          <cell r="D3" t="str">
            <v>2016
Actual</v>
          </cell>
        </row>
      </sheetData>
      <sheetData sheetId="45">
        <row r="3">
          <cell r="D3" t="str">
            <v>2016
Actual</v>
          </cell>
        </row>
      </sheetData>
      <sheetData sheetId="46">
        <row r="3">
          <cell r="D3" t="str">
            <v>2016
Actual</v>
          </cell>
        </row>
      </sheetData>
      <sheetData sheetId="47">
        <row r="3">
          <cell r="D3" t="str">
            <v>2016
Actual</v>
          </cell>
        </row>
      </sheetData>
      <sheetData sheetId="48">
        <row r="3">
          <cell r="D3" t="str">
            <v>2016
Actual</v>
          </cell>
        </row>
      </sheetData>
      <sheetData sheetId="49">
        <row r="3">
          <cell r="D3" t="str">
            <v>2016
Actual</v>
          </cell>
        </row>
      </sheetData>
      <sheetData sheetId="50">
        <row r="3">
          <cell r="D3" t="str">
            <v>2016
Actual</v>
          </cell>
        </row>
      </sheetData>
      <sheetData sheetId="51">
        <row r="3">
          <cell r="D3" t="str">
            <v>2016
Actual</v>
          </cell>
        </row>
      </sheetData>
      <sheetData sheetId="52">
        <row r="3">
          <cell r="D3" t="str">
            <v>2016
Actual</v>
          </cell>
        </row>
      </sheetData>
      <sheetData sheetId="5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une 2010"/>
      <sheetName val="November 2009"/>
      <sheetName val="Differences"/>
      <sheetName val="2010 X rates June 2010"/>
      <sheetName val="2009 X rates November 09"/>
      <sheetName val="SUF 2010"/>
      <sheetName val="Costs 2010-2011 June 2010"/>
      <sheetName val="Recap DG"/>
      <sheetName val="June figures 90cer"/>
      <sheetName val="Inflation"/>
      <sheetName val="T5 Conso All"/>
      <sheetName val="T6 Conso  2006 States"/>
      <sheetName val="Data Monito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
  <sheetViews>
    <sheetView workbookViewId="0">
      <selection sqref="A1:IV65536"/>
    </sheetView>
  </sheetViews>
  <sheetFormatPr defaultRowHeight="12.75"/>
  <cols>
    <col min="1" max="16384" width="9.140625" style="537"/>
  </cols>
  <sheetData/>
  <printOptions horizontalCentered="1" verticalCentered="1"/>
  <pageMargins left="0.39370078740157483" right="0.39370078740157483" top="0" bottom="0.15748031496062992" header="0.19685039370078741" footer="0.19685039370078741"/>
  <pageSetup paperSize="9" scale="54" pageOrder="overThenDown" orientation="landscape" r:id="rId1"/>
  <headerFooter alignWithMargins="0">
    <oddHeader>&amp;C&amp;"Tahoma,Bold"Monthly follow-up of total service units - 2016</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tabColor rgb="FF92D050"/>
    <pageSetUpPr fitToPage="1"/>
  </sheetPr>
  <dimension ref="A1:P19"/>
  <sheetViews>
    <sheetView tabSelected="1" zoomScaleNormal="100" workbookViewId="0">
      <selection activeCell="R11" sqref="R11"/>
    </sheetView>
  </sheetViews>
  <sheetFormatPr defaultRowHeight="11.25"/>
  <cols>
    <col min="1" max="1" width="2" style="7" customWidth="1"/>
    <col min="2" max="2" width="2.85546875" style="7" bestFit="1" customWidth="1"/>
    <col min="3" max="3" width="9.7109375" style="7" bestFit="1" customWidth="1"/>
    <col min="4" max="4" width="12.85546875" style="7" customWidth="1"/>
    <col min="5" max="5" width="13.7109375" style="7" customWidth="1"/>
    <col min="6" max="6" width="11" style="7" customWidth="1"/>
    <col min="7" max="7" width="11.42578125" style="7" customWidth="1"/>
    <col min="8" max="10" width="9.7109375" style="7" customWidth="1"/>
    <col min="11" max="11" width="1.42578125" style="7" customWidth="1"/>
    <col min="12" max="12" width="33.5703125" style="7" customWidth="1"/>
    <col min="13" max="13" width="12.5703125" style="7" bestFit="1" customWidth="1"/>
    <col min="14" max="14" width="9.140625" style="7"/>
    <col min="15" max="15" width="8.42578125" style="7" bestFit="1" customWidth="1"/>
    <col min="16" max="16" width="9.42578125" style="7" bestFit="1" customWidth="1"/>
    <col min="17" max="17" width="9.5703125" style="7" bestFit="1" customWidth="1"/>
    <col min="18" max="23" width="9.140625" style="7"/>
    <col min="24" max="24" width="13.42578125" style="7" bestFit="1" customWidth="1"/>
    <col min="25" max="16384" width="9.140625" style="7"/>
  </cols>
  <sheetData>
    <row r="1" spans="1:14" s="1" customFormat="1" ht="13.5" thickBot="1">
      <c r="B1" s="2" t="s">
        <v>0</v>
      </c>
      <c r="C1" s="2"/>
      <c r="D1" s="3" t="s">
        <v>1</v>
      </c>
      <c r="L1" s="4" t="s">
        <v>2</v>
      </c>
      <c r="M1" s="5">
        <v>42688</v>
      </c>
    </row>
    <row r="2" spans="1:14" ht="8.25" customHeight="1" thickBot="1">
      <c r="A2" s="6"/>
      <c r="C2" s="6"/>
      <c r="L2" s="8"/>
      <c r="M2" s="8"/>
    </row>
    <row r="3" spans="1:14" s="9" customFormat="1" ht="33.75" customHeight="1">
      <c r="B3" s="10" t="s">
        <v>3</v>
      </c>
      <c r="C3" s="11"/>
      <c r="D3" s="12" t="s">
        <v>4</v>
      </c>
      <c r="E3" s="12" t="s">
        <v>5</v>
      </c>
      <c r="F3" s="12" t="s">
        <v>6</v>
      </c>
      <c r="G3" s="12" t="s">
        <v>7</v>
      </c>
      <c r="H3" s="13" t="s">
        <v>8</v>
      </c>
      <c r="I3" s="12" t="s">
        <v>9</v>
      </c>
      <c r="J3" s="14" t="s">
        <v>10</v>
      </c>
      <c r="K3" s="15"/>
      <c r="L3" s="16" t="s">
        <v>11</v>
      </c>
      <c r="M3" s="17">
        <v>143388536</v>
      </c>
    </row>
    <row r="4" spans="1:14" s="9" customFormat="1">
      <c r="B4" s="18"/>
      <c r="C4" s="19"/>
      <c r="D4" s="20" t="s">
        <v>12</v>
      </c>
      <c r="E4" s="20" t="s">
        <v>13</v>
      </c>
      <c r="F4" s="20" t="s">
        <v>14</v>
      </c>
      <c r="G4" s="20" t="s">
        <v>15</v>
      </c>
      <c r="H4" s="20" t="s">
        <v>16</v>
      </c>
      <c r="I4" s="21" t="s">
        <v>17</v>
      </c>
      <c r="J4" s="22" t="s">
        <v>18</v>
      </c>
      <c r="K4" s="15"/>
      <c r="L4" s="23" t="s">
        <v>19</v>
      </c>
      <c r="M4" s="24">
        <v>142946759</v>
      </c>
    </row>
    <row r="5" spans="1:14">
      <c r="B5" s="25">
        <v>1</v>
      </c>
      <c r="C5" s="26" t="s">
        <v>20</v>
      </c>
      <c r="D5" s="27">
        <v>9786518.4481999986</v>
      </c>
      <c r="E5" s="28">
        <v>9563066.0990698803</v>
      </c>
      <c r="F5" s="29">
        <v>9521307.2996999957</v>
      </c>
      <c r="G5" s="29">
        <v>8881662.7586000003</v>
      </c>
      <c r="H5" s="30">
        <v>2.3366182646364031E-2</v>
      </c>
      <c r="I5" s="30">
        <v>2.7854488900737273E-2</v>
      </c>
      <c r="J5" s="31">
        <v>7.2018557615310952E-2</v>
      </c>
      <c r="K5" s="32"/>
      <c r="L5" s="23" t="s">
        <v>21</v>
      </c>
      <c r="M5" s="24">
        <v>141945437</v>
      </c>
    </row>
    <row r="6" spans="1:14">
      <c r="B6" s="25">
        <v>2</v>
      </c>
      <c r="C6" s="26" t="s">
        <v>22</v>
      </c>
      <c r="D6" s="27">
        <v>9390917.4628999978</v>
      </c>
      <c r="E6" s="28">
        <v>8762927.0624702033</v>
      </c>
      <c r="F6" s="29">
        <v>8724293.7946999986</v>
      </c>
      <c r="G6" s="29">
        <v>8182483.0998999998</v>
      </c>
      <c r="H6" s="30">
        <v>7.1664455946386596E-2</v>
      </c>
      <c r="I6" s="30">
        <v>7.6410043481682344E-2</v>
      </c>
      <c r="J6" s="31">
        <v>6.6215925921878194E-2</v>
      </c>
      <c r="K6" s="32"/>
      <c r="L6" s="23" t="s">
        <v>23</v>
      </c>
      <c r="M6" s="24">
        <v>142579407</v>
      </c>
    </row>
    <row r="7" spans="1:14">
      <c r="B7" s="25">
        <v>3</v>
      </c>
      <c r="C7" s="26" t="s">
        <v>24</v>
      </c>
      <c r="D7" s="27">
        <v>10629923.633600002</v>
      </c>
      <c r="E7" s="28">
        <v>10238914.016825825</v>
      </c>
      <c r="F7" s="29">
        <v>10193071.390699999</v>
      </c>
      <c r="G7" s="29">
        <v>9543279.4984000027</v>
      </c>
      <c r="H7" s="30">
        <v>3.8188582903579738E-2</v>
      </c>
      <c r="I7" s="30">
        <v>4.2857763490068423E-2</v>
      </c>
      <c r="J7" s="31">
        <v>6.808895122572256E-2</v>
      </c>
      <c r="K7" s="32"/>
      <c r="L7" s="23" t="s">
        <v>25</v>
      </c>
      <c r="M7" s="24">
        <v>143388536</v>
      </c>
    </row>
    <row r="8" spans="1:14" ht="12" thickBot="1">
      <c r="B8" s="25">
        <v>4</v>
      </c>
      <c r="C8" s="26" t="s">
        <v>26</v>
      </c>
      <c r="D8" s="27">
        <v>11334144.103299998</v>
      </c>
      <c r="E8" s="28">
        <v>11125175.843564702</v>
      </c>
      <c r="F8" s="29">
        <v>11072263.654700002</v>
      </c>
      <c r="G8" s="29">
        <v>10532992.873900004</v>
      </c>
      <c r="H8" s="30">
        <v>1.8783366903469823E-2</v>
      </c>
      <c r="I8" s="30">
        <v>2.3651933946572168E-2</v>
      </c>
      <c r="J8" s="31">
        <v>5.1198247948716746E-2</v>
      </c>
      <c r="K8" s="32"/>
      <c r="L8" s="33"/>
      <c r="M8" s="34"/>
    </row>
    <row r="9" spans="1:14">
      <c r="B9" s="25">
        <v>5</v>
      </c>
      <c r="C9" s="26" t="s">
        <v>27</v>
      </c>
      <c r="D9" s="27">
        <v>12644831.7653</v>
      </c>
      <c r="E9" s="28">
        <v>12341539.945712291</v>
      </c>
      <c r="F9" s="29">
        <v>12282096.796899999</v>
      </c>
      <c r="G9" s="29">
        <v>11777120.355000002</v>
      </c>
      <c r="H9" s="30">
        <v>2.4574876467752249E-2</v>
      </c>
      <c r="I9" s="30">
        <v>2.9533635371735256E-2</v>
      </c>
      <c r="J9" s="31">
        <v>4.2877751664107455E-2</v>
      </c>
      <c r="K9" s="32"/>
      <c r="L9" s="35"/>
    </row>
    <row r="10" spans="1:14" ht="12" thickBot="1">
      <c r="B10" s="25">
        <v>6</v>
      </c>
      <c r="C10" s="26" t="s">
        <v>28</v>
      </c>
      <c r="D10" s="27">
        <v>13143927.552100003</v>
      </c>
      <c r="E10" s="28">
        <v>12869963.023510698</v>
      </c>
      <c r="F10" s="29">
        <v>12811993.892999994</v>
      </c>
      <c r="G10" s="29">
        <v>12346042.211600002</v>
      </c>
      <c r="H10" s="30">
        <v>2.1287126317987903E-2</v>
      </c>
      <c r="I10" s="30">
        <v>2.5908040690010514E-2</v>
      </c>
      <c r="J10" s="31">
        <v>3.7740975886361161E-2</v>
      </c>
      <c r="K10" s="32"/>
      <c r="L10" s="35"/>
    </row>
    <row r="11" spans="1:14">
      <c r="B11" s="25">
        <v>7</v>
      </c>
      <c r="C11" s="26" t="s">
        <v>29</v>
      </c>
      <c r="D11" s="27">
        <v>14602481.986399999</v>
      </c>
      <c r="E11" s="28">
        <v>14014359.077789471</v>
      </c>
      <c r="F11" s="29">
        <v>13957913.980099998</v>
      </c>
      <c r="G11" s="29">
        <v>13475355.5699</v>
      </c>
      <c r="H11" s="30">
        <v>4.1965737094792344E-2</v>
      </c>
      <c r="I11" s="30">
        <v>4.6179393799028245E-2</v>
      </c>
      <c r="J11" s="31">
        <v>3.5810439857920429E-2</v>
      </c>
      <c r="K11" s="32"/>
      <c r="L11" s="36" t="s">
        <v>30</v>
      </c>
      <c r="M11" s="37">
        <v>138284352.03661886</v>
      </c>
    </row>
    <row r="12" spans="1:14" ht="12" thickBot="1">
      <c r="B12" s="25">
        <v>8</v>
      </c>
      <c r="C12" s="26" t="s">
        <v>31</v>
      </c>
      <c r="D12" s="27">
        <v>14586073.996599998</v>
      </c>
      <c r="E12" s="28">
        <v>14113026.008278877</v>
      </c>
      <c r="F12" s="29">
        <v>14060384.824800007</v>
      </c>
      <c r="G12" s="29">
        <v>13757591.387100002</v>
      </c>
      <c r="H12" s="30">
        <v>3.351853727497045E-2</v>
      </c>
      <c r="I12" s="30">
        <v>3.7387964721475431E-2</v>
      </c>
      <c r="J12" s="31">
        <v>2.2009189630673553E-2</v>
      </c>
      <c r="K12" s="32"/>
      <c r="L12" s="38" t="s">
        <v>32</v>
      </c>
      <c r="M12" s="39">
        <v>3.6910784830010979E-2</v>
      </c>
    </row>
    <row r="13" spans="1:14" ht="12" thickBot="1">
      <c r="B13" s="25">
        <v>9</v>
      </c>
      <c r="C13" s="26" t="s">
        <v>33</v>
      </c>
      <c r="D13" s="27">
        <v>13593709.032200003</v>
      </c>
      <c r="E13" s="28">
        <v>12987805.57810737</v>
      </c>
      <c r="F13" s="29">
        <v>12934926.384100003</v>
      </c>
      <c r="G13" s="29">
        <v>12543242.130800003</v>
      </c>
      <c r="H13" s="30">
        <v>4.6651718833392586E-2</v>
      </c>
      <c r="I13" s="30">
        <v>5.0930529369675792E-2</v>
      </c>
      <c r="J13" s="31">
        <v>3.1226715486757373E-2</v>
      </c>
      <c r="K13" s="32"/>
      <c r="L13" s="40"/>
      <c r="M13" s="40"/>
    </row>
    <row r="14" spans="1:14">
      <c r="B14" s="25">
        <v>10</v>
      </c>
      <c r="C14" s="26" t="s">
        <v>34</v>
      </c>
      <c r="D14" s="27">
        <v>12848211.1417</v>
      </c>
      <c r="E14" s="28">
        <v>12313449.090183662</v>
      </c>
      <c r="F14" s="29">
        <v>12263442.430200005</v>
      </c>
      <c r="G14" s="29">
        <v>11939694.323199999</v>
      </c>
      <c r="H14" s="30">
        <v>4.3429103218744158E-2</v>
      </c>
      <c r="I14" s="30">
        <v>4.7683895841508672E-2</v>
      </c>
      <c r="J14" s="31">
        <v>2.7115276005930333E-2</v>
      </c>
      <c r="K14" s="32"/>
      <c r="L14" s="36" t="s">
        <v>35</v>
      </c>
      <c r="M14" s="37">
        <v>137688952.0598</v>
      </c>
    </row>
    <row r="15" spans="1:14" ht="12" thickBot="1">
      <c r="B15" s="25">
        <v>11</v>
      </c>
      <c r="C15" s="26" t="s">
        <v>36</v>
      </c>
      <c r="D15" s="27" t="s">
        <v>41</v>
      </c>
      <c r="E15" s="28">
        <v>9948146.9581586197</v>
      </c>
      <c r="F15" s="29">
        <v>9903299.5273000002</v>
      </c>
      <c r="G15" s="29">
        <v>9684457.594800001</v>
      </c>
      <c r="H15" s="30" t="s">
        <v>41</v>
      </c>
      <c r="I15" s="30" t="s">
        <v>41</v>
      </c>
      <c r="J15" s="31">
        <v>2.2597231735260515E-2</v>
      </c>
      <c r="K15" s="32"/>
      <c r="L15" s="38" t="s">
        <v>37</v>
      </c>
      <c r="M15" s="39">
        <v>4.1394635189935913E-2</v>
      </c>
    </row>
    <row r="16" spans="1:14" ht="12" thickBot="1">
      <c r="B16" s="41">
        <v>12</v>
      </c>
      <c r="C16" s="42" t="s">
        <v>38</v>
      </c>
      <c r="D16" s="27" t="s">
        <v>41</v>
      </c>
      <c r="E16" s="28">
        <v>10005979.332947241</v>
      </c>
      <c r="F16" s="29">
        <v>9963958.0836000014</v>
      </c>
      <c r="G16" s="29">
        <v>9466392.8037999999</v>
      </c>
      <c r="H16" s="30" t="s">
        <v>41</v>
      </c>
      <c r="I16" s="30" t="s">
        <v>41</v>
      </c>
      <c r="J16" s="43">
        <v>5.2561233208098912E-2</v>
      </c>
      <c r="K16" s="32"/>
      <c r="L16" s="38" t="s">
        <v>39</v>
      </c>
      <c r="M16" s="39">
        <v>4.3242392937981045E-3</v>
      </c>
      <c r="N16" s="44"/>
    </row>
    <row r="17" spans="1:16" ht="13.5" thickBot="1">
      <c r="B17" s="45" t="s">
        <v>40</v>
      </c>
      <c r="C17" s="46"/>
      <c r="D17" s="47">
        <v>122560739.1223</v>
      </c>
      <c r="E17" s="48">
        <v>138284352.03661886</v>
      </c>
      <c r="F17" s="49">
        <v>137688952.0598</v>
      </c>
      <c r="G17" s="49">
        <v>132130314.60700002</v>
      </c>
      <c r="H17" s="50">
        <v>3.5751756156414238E-2</v>
      </c>
      <c r="I17" s="50">
        <v>4.0222173815836149E-2</v>
      </c>
      <c r="J17" s="51">
        <v>4.2069357583331524E-2</v>
      </c>
      <c r="K17" s="52"/>
      <c r="L17" s="53"/>
      <c r="M17" s="53"/>
      <c r="N17" s="44"/>
      <c r="O17" s="54"/>
      <c r="P17" s="55"/>
    </row>
    <row r="18" spans="1:16" ht="32.85" customHeight="1">
      <c r="A18" s="56"/>
      <c r="C18" s="57"/>
      <c r="D18" s="58"/>
      <c r="E18" s="58"/>
      <c r="F18" s="58"/>
      <c r="G18" s="58"/>
      <c r="H18" s="59"/>
      <c r="I18" s="59"/>
      <c r="J18" s="59"/>
      <c r="K18" s="59"/>
      <c r="N18" s="44"/>
    </row>
    <row r="19" spans="1:16" ht="12" customHeight="1"/>
  </sheetData>
  <printOptions horizontalCentered="1" verticalCentered="1"/>
  <pageMargins left="0.39370078740157483" right="0.39370078740157483" top="0" bottom="0.15748031496062992" header="0.19685039370078741" footer="0.19685039370078741"/>
  <pageSetup paperSize="9" scale="98" pageOrder="overThenDown" orientation="landscape" r:id="rId1"/>
  <headerFooter alignWithMargins="0">
    <oddHeader>&amp;C&amp;"Tahoma,Bold"Monthly follow-up of total service units - 2016</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B1:O19"/>
  <sheetViews>
    <sheetView workbookViewId="0">
      <selection activeCell="F58" sqref="F58"/>
    </sheetView>
  </sheetViews>
  <sheetFormatPr defaultRowHeight="11.25"/>
  <cols>
    <col min="1" max="1" width="1.85546875" style="7" customWidth="1"/>
    <col min="2" max="2" width="2.85546875" style="7" bestFit="1" customWidth="1"/>
    <col min="3" max="3" width="9.7109375" style="7" bestFit="1" customWidth="1"/>
    <col min="4" max="4" width="13.140625" style="7" customWidth="1"/>
    <col min="5" max="5" width="12.85546875" style="7" customWidth="1"/>
    <col min="6" max="6" width="11" style="7" customWidth="1"/>
    <col min="7" max="7" width="11.28515625" style="7" customWidth="1"/>
    <col min="8" max="10" width="9.7109375" style="7" customWidth="1"/>
    <col min="11" max="11" width="1.42578125" style="7" customWidth="1"/>
    <col min="12" max="12" width="33.7109375" style="7" customWidth="1"/>
    <col min="13" max="13" width="12.28515625" style="7" customWidth="1"/>
    <col min="14" max="14" width="9.140625" style="7"/>
    <col min="15" max="15" width="10.140625" style="7" bestFit="1" customWidth="1"/>
    <col min="16" max="16" width="9.42578125" style="7" bestFit="1" customWidth="1"/>
    <col min="17" max="17" width="9.5703125" style="7" bestFit="1" customWidth="1"/>
    <col min="18" max="23" width="9.140625" style="7"/>
    <col min="24" max="24" width="13.42578125" style="7" bestFit="1" customWidth="1"/>
    <col min="25" max="16384" width="9.140625" style="7"/>
  </cols>
  <sheetData>
    <row r="1" spans="2:15" s="1" customFormat="1" ht="13.5" thickBot="1">
      <c r="B1" s="2" t="s">
        <v>0</v>
      </c>
      <c r="C1" s="2"/>
      <c r="D1" s="3" t="s">
        <v>42</v>
      </c>
      <c r="L1" s="4" t="s">
        <v>2</v>
      </c>
      <c r="M1" s="5">
        <v>42688</v>
      </c>
    </row>
    <row r="2" spans="2:15" ht="8.25" customHeight="1" thickBot="1">
      <c r="C2" s="6"/>
      <c r="L2" s="8"/>
      <c r="M2" s="8"/>
    </row>
    <row r="3" spans="2:15" s="9" customFormat="1" ht="22.5">
      <c r="B3" s="10" t="s">
        <v>3</v>
      </c>
      <c r="C3" s="11"/>
      <c r="D3" s="12" t="s">
        <v>4</v>
      </c>
      <c r="E3" s="12" t="s">
        <v>5</v>
      </c>
      <c r="F3" s="12" t="s">
        <v>6</v>
      </c>
      <c r="G3" s="12" t="s">
        <v>7</v>
      </c>
      <c r="H3" s="13" t="s">
        <v>8</v>
      </c>
      <c r="I3" s="12" t="s">
        <v>9</v>
      </c>
      <c r="J3" s="14" t="s">
        <v>10</v>
      </c>
      <c r="K3" s="15"/>
      <c r="L3" s="16" t="s">
        <v>11</v>
      </c>
      <c r="M3" s="17">
        <v>133640276</v>
      </c>
    </row>
    <row r="4" spans="2:15" s="9" customFormat="1">
      <c r="B4" s="18"/>
      <c r="C4" s="19"/>
      <c r="D4" s="20" t="s">
        <v>12</v>
      </c>
      <c r="E4" s="20" t="s">
        <v>13</v>
      </c>
      <c r="F4" s="20" t="s">
        <v>14</v>
      </c>
      <c r="G4" s="20" t="s">
        <v>15</v>
      </c>
      <c r="H4" s="20" t="s">
        <v>16</v>
      </c>
      <c r="I4" s="21" t="s">
        <v>17</v>
      </c>
      <c r="J4" s="22" t="s">
        <v>18</v>
      </c>
      <c r="K4" s="15"/>
      <c r="L4" s="23" t="s">
        <v>19</v>
      </c>
      <c r="M4" s="24">
        <v>132975375</v>
      </c>
    </row>
    <row r="5" spans="2:15">
      <c r="B5" s="25">
        <v>1</v>
      </c>
      <c r="C5" s="26" t="s">
        <v>20</v>
      </c>
      <c r="D5" s="27">
        <v>9132644.3050999977</v>
      </c>
      <c r="E5" s="28">
        <v>8876202.1262372546</v>
      </c>
      <c r="F5" s="29">
        <v>8890984.8775999974</v>
      </c>
      <c r="G5" s="29">
        <v>8270761.6574999997</v>
      </c>
      <c r="H5" s="30">
        <v>2.8890980085359175E-2</v>
      </c>
      <c r="I5" s="30">
        <v>2.7180276519065849E-2</v>
      </c>
      <c r="J5" s="31">
        <v>7.4989855322160626E-2</v>
      </c>
      <c r="K5" s="32"/>
      <c r="L5" s="23" t="s">
        <v>21</v>
      </c>
      <c r="M5" s="24">
        <v>132334985</v>
      </c>
    </row>
    <row r="6" spans="2:15">
      <c r="B6" s="25">
        <v>2</v>
      </c>
      <c r="C6" s="26" t="s">
        <v>22</v>
      </c>
      <c r="D6" s="27">
        <v>8794531.5413999986</v>
      </c>
      <c r="E6" s="28">
        <v>8147475.0721817082</v>
      </c>
      <c r="F6" s="29">
        <v>8159249.9628999988</v>
      </c>
      <c r="G6" s="29">
        <v>7634578.5383000001</v>
      </c>
      <c r="H6" s="30">
        <v>7.9418036076914778E-2</v>
      </c>
      <c r="I6" s="30">
        <v>7.7860291250864577E-2</v>
      </c>
      <c r="J6" s="31">
        <v>6.8723037161502187E-2</v>
      </c>
      <c r="K6" s="32"/>
      <c r="L6" s="23" t="s">
        <v>23</v>
      </c>
      <c r="M6" s="24">
        <v>132940599</v>
      </c>
    </row>
    <row r="7" spans="2:15">
      <c r="B7" s="25">
        <v>3</v>
      </c>
      <c r="C7" s="26" t="s">
        <v>24</v>
      </c>
      <c r="D7" s="27">
        <v>9950486.7338000014</v>
      </c>
      <c r="E7" s="28">
        <v>9514998.9216721822</v>
      </c>
      <c r="F7" s="29">
        <v>9528556.7061000001</v>
      </c>
      <c r="G7" s="29">
        <v>8898345.7541000005</v>
      </c>
      <c r="H7" s="30">
        <v>4.5768561374811556E-2</v>
      </c>
      <c r="I7" s="30">
        <v>4.4280581069522373E-2</v>
      </c>
      <c r="J7" s="31">
        <v>7.0823383291172215E-2</v>
      </c>
      <c r="K7" s="32"/>
      <c r="L7" s="23" t="s">
        <v>25</v>
      </c>
      <c r="M7" s="24">
        <v>133640276</v>
      </c>
    </row>
    <row r="8" spans="2:15" ht="12" thickBot="1">
      <c r="B8" s="25">
        <v>4</v>
      </c>
      <c r="C8" s="26" t="s">
        <v>26</v>
      </c>
      <c r="D8" s="27">
        <v>10603186.874799997</v>
      </c>
      <c r="E8" s="28">
        <v>10326872.143679705</v>
      </c>
      <c r="F8" s="29">
        <v>10337919.986500002</v>
      </c>
      <c r="G8" s="29">
        <v>9850121.8064000029</v>
      </c>
      <c r="H8" s="30">
        <v>2.6756865706854205E-2</v>
      </c>
      <c r="I8" s="30">
        <v>2.5659599672506639E-2</v>
      </c>
      <c r="J8" s="31">
        <v>4.9522045482022214E-2</v>
      </c>
      <c r="K8" s="32"/>
      <c r="L8" s="33"/>
      <c r="M8" s="34"/>
      <c r="N8" s="60"/>
    </row>
    <row r="9" spans="2:15">
      <c r="B9" s="25">
        <v>5</v>
      </c>
      <c r="C9" s="26" t="s">
        <v>27</v>
      </c>
      <c r="D9" s="27">
        <v>11776840.0671</v>
      </c>
      <c r="E9" s="28">
        <v>11424207.723575518</v>
      </c>
      <c r="F9" s="29">
        <v>11435832.442100001</v>
      </c>
      <c r="G9" s="29">
        <v>10973826.970000003</v>
      </c>
      <c r="H9" s="30">
        <v>3.0867115869818607E-2</v>
      </c>
      <c r="I9" s="30">
        <v>2.981922188231878E-2</v>
      </c>
      <c r="J9" s="31">
        <v>4.2100670382631211E-2</v>
      </c>
      <c r="K9" s="32"/>
      <c r="L9" s="35"/>
    </row>
    <row r="10" spans="2:15" ht="12" thickBot="1">
      <c r="B10" s="25">
        <v>6</v>
      </c>
      <c r="C10" s="26" t="s">
        <v>28</v>
      </c>
      <c r="D10" s="27">
        <v>12193785.261700002</v>
      </c>
      <c r="E10" s="28">
        <v>11885069.649572859</v>
      </c>
      <c r="F10" s="29">
        <v>11902643.226899996</v>
      </c>
      <c r="G10" s="29">
        <v>11474028.858900001</v>
      </c>
      <c r="H10" s="30">
        <v>2.5975078079432112E-2</v>
      </c>
      <c r="I10" s="30">
        <v>2.4460284094042661E-2</v>
      </c>
      <c r="J10" s="31">
        <v>3.7355176047647376E-2</v>
      </c>
      <c r="K10" s="32"/>
      <c r="L10" s="35"/>
    </row>
    <row r="11" spans="2:15">
      <c r="B11" s="25">
        <v>7</v>
      </c>
      <c r="C11" s="26" t="s">
        <v>29</v>
      </c>
      <c r="D11" s="27">
        <v>13544927.358899998</v>
      </c>
      <c r="E11" s="28">
        <v>12916664.689722477</v>
      </c>
      <c r="F11" s="29">
        <v>12942773.6283</v>
      </c>
      <c r="G11" s="29">
        <v>12508083.514800001</v>
      </c>
      <c r="H11" s="30">
        <v>4.8639697961457173E-2</v>
      </c>
      <c r="I11" s="30">
        <v>4.6524319121471702E-2</v>
      </c>
      <c r="J11" s="31">
        <v>3.475273514009225E-2</v>
      </c>
      <c r="K11" s="32"/>
      <c r="L11" s="36" t="s">
        <v>30</v>
      </c>
      <c r="M11" s="37">
        <v>128047359.64375861</v>
      </c>
    </row>
    <row r="12" spans="2:15" ht="12" thickBot="1">
      <c r="B12" s="25">
        <v>8</v>
      </c>
      <c r="C12" s="26" t="s">
        <v>31</v>
      </c>
      <c r="D12" s="27">
        <v>13542867.825199999</v>
      </c>
      <c r="E12" s="28">
        <v>13020297.243558355</v>
      </c>
      <c r="F12" s="29">
        <v>13048408.864000006</v>
      </c>
      <c r="G12" s="29">
        <v>12774279.600300001</v>
      </c>
      <c r="H12" s="30">
        <v>4.0135073099055507E-2</v>
      </c>
      <c r="I12" s="30">
        <v>3.7894195863541924E-2</v>
      </c>
      <c r="J12" s="31">
        <v>2.1459469518231522E-2</v>
      </c>
      <c r="K12" s="32"/>
      <c r="L12" s="38" t="s">
        <v>32</v>
      </c>
      <c r="M12" s="39">
        <v>4.3678498110398145E-2</v>
      </c>
    </row>
    <row r="13" spans="2:15" ht="12" thickBot="1">
      <c r="B13" s="25">
        <v>9</v>
      </c>
      <c r="C13" s="26" t="s">
        <v>33</v>
      </c>
      <c r="D13" s="27">
        <v>12619336.312400002</v>
      </c>
      <c r="E13" s="28">
        <v>12008066.69310558</v>
      </c>
      <c r="F13" s="29">
        <v>12029193.517200001</v>
      </c>
      <c r="G13" s="29">
        <v>11662895.977300001</v>
      </c>
      <c r="H13" s="30">
        <v>5.0904915413684471E-2</v>
      </c>
      <c r="I13" s="30">
        <v>4.9059215346081375E-2</v>
      </c>
      <c r="J13" s="31">
        <v>3.1407082821705679E-2</v>
      </c>
      <c r="K13" s="32"/>
      <c r="L13" s="40"/>
      <c r="M13" s="40"/>
    </row>
    <row r="14" spans="2:15">
      <c r="B14" s="25">
        <v>10</v>
      </c>
      <c r="C14" s="26" t="s">
        <v>34</v>
      </c>
      <c r="D14" s="27">
        <v>11959421.2741</v>
      </c>
      <c r="E14" s="28">
        <v>11408496.962769616</v>
      </c>
      <c r="F14" s="29">
        <v>11429103.822700005</v>
      </c>
      <c r="G14" s="29">
        <v>11126598.0877</v>
      </c>
      <c r="H14" s="30">
        <v>4.8290700617992455E-2</v>
      </c>
      <c r="I14" s="30">
        <v>4.6400615448667137E-2</v>
      </c>
      <c r="J14" s="31">
        <v>2.7187621285108987E-2</v>
      </c>
      <c r="K14" s="32"/>
      <c r="L14" s="36" t="s">
        <v>35</v>
      </c>
      <c r="M14" s="37">
        <v>128254489.28660002</v>
      </c>
    </row>
    <row r="15" spans="2:15" ht="12" thickBot="1">
      <c r="B15" s="25">
        <v>11</v>
      </c>
      <c r="C15" s="26" t="s">
        <v>36</v>
      </c>
      <c r="D15" s="27" t="s">
        <v>41</v>
      </c>
      <c r="E15" s="28">
        <v>9236078.5761070382</v>
      </c>
      <c r="F15" s="29">
        <v>9249444.4403000008</v>
      </c>
      <c r="G15" s="29">
        <v>9036823.8465999998</v>
      </c>
      <c r="H15" s="61" t="s">
        <v>41</v>
      </c>
      <c r="I15" s="61" t="s">
        <v>41</v>
      </c>
      <c r="J15" s="31">
        <v>2.352824369593054E-2</v>
      </c>
      <c r="K15" s="32"/>
      <c r="L15" s="38" t="s">
        <v>37</v>
      </c>
      <c r="M15" s="39">
        <v>4.1992968381518336E-2</v>
      </c>
    </row>
    <row r="16" spans="2:15" ht="12" thickBot="1">
      <c r="B16" s="41">
        <v>12</v>
      </c>
      <c r="C16" s="42" t="s">
        <v>38</v>
      </c>
      <c r="D16" s="27" t="s">
        <v>41</v>
      </c>
      <c r="E16" s="28">
        <v>9282929.8415763285</v>
      </c>
      <c r="F16" s="29">
        <v>9300377.8120000008</v>
      </c>
      <c r="G16" s="29">
        <v>8837815.4589000009</v>
      </c>
      <c r="H16" s="61" t="s">
        <v>41</v>
      </c>
      <c r="I16" s="61" t="s">
        <v>41</v>
      </c>
      <c r="J16" s="31">
        <v>5.2338992056479627E-2</v>
      </c>
      <c r="K16" s="32"/>
      <c r="L16" s="38" t="s">
        <v>39</v>
      </c>
      <c r="M16" s="39">
        <v>-1.6149894166944678E-3</v>
      </c>
      <c r="O16" s="54"/>
    </row>
    <row r="17" spans="2:15" ht="13.5" thickBot="1">
      <c r="B17" s="45" t="s">
        <v>40</v>
      </c>
      <c r="C17" s="46"/>
      <c r="D17" s="47">
        <v>114118027.5545</v>
      </c>
      <c r="E17" s="48">
        <v>128047359.64375861</v>
      </c>
      <c r="F17" s="49">
        <v>128254489.28660002</v>
      </c>
      <c r="G17" s="49">
        <v>123048160.07080001</v>
      </c>
      <c r="H17" s="50">
        <v>4.1904002726666612E-2</v>
      </c>
      <c r="I17" s="50">
        <v>4.0229469169439369E-2</v>
      </c>
      <c r="J17" s="62">
        <v>4.2311313007885598E-2</v>
      </c>
      <c r="K17" s="63" t="e">
        <v>#REF!</v>
      </c>
      <c r="L17" s="53"/>
      <c r="M17" s="53"/>
      <c r="O17" s="54"/>
    </row>
    <row r="18" spans="2:15">
      <c r="C18" s="64" t="s">
        <v>43</v>
      </c>
      <c r="D18" s="65"/>
      <c r="E18" s="66"/>
      <c r="F18" s="66"/>
      <c r="G18" s="66"/>
      <c r="H18" s="59"/>
      <c r="I18" s="59"/>
      <c r="J18" s="59"/>
      <c r="K18" s="59"/>
      <c r="O18" s="54"/>
    </row>
    <row r="19" spans="2:15" ht="12" customHeight="1"/>
  </sheetData>
  <printOptions horizontalCentered="1" verticalCentered="1"/>
  <pageMargins left="0.39370078740157483" right="0.39370078740157483" top="0" bottom="0.15748031496062992" header="0.19685039370078741" footer="0.19685039370078741"/>
  <pageSetup paperSize="9" pageOrder="overThenDown" orientation="landscape" r:id="rId1"/>
  <headerFooter alignWithMargins="0">
    <oddHeader>&amp;C&amp;"Tahoma,Bold"Monthly follow-up of total service units - 2016</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N19"/>
  <sheetViews>
    <sheetView workbookViewId="0">
      <selection activeCell="G58" sqref="G58"/>
    </sheetView>
  </sheetViews>
  <sheetFormatPr defaultRowHeight="11.25"/>
  <cols>
    <col min="1" max="2" width="2.85546875" style="40" bestFit="1" customWidth="1"/>
    <col min="3" max="3" width="9.28515625" style="40" customWidth="1"/>
    <col min="4" max="4" width="10.5703125" style="40" customWidth="1"/>
    <col min="5" max="5" width="10.85546875" style="40" customWidth="1"/>
    <col min="6" max="10" width="9.7109375" style="40" customWidth="1"/>
    <col min="11" max="11" width="2.7109375" style="40" customWidth="1"/>
    <col min="12" max="12" width="34.140625" style="40" customWidth="1"/>
    <col min="13" max="13" width="11.28515625" style="40" bestFit="1" customWidth="1"/>
    <col min="14" max="16384" width="9.140625" style="40"/>
  </cols>
  <sheetData>
    <row r="1" spans="1:14" s="67" customFormat="1" ht="13.5" thickBot="1">
      <c r="B1" s="2" t="s">
        <v>0</v>
      </c>
      <c r="C1" s="2"/>
      <c r="D1" s="68" t="s">
        <v>44</v>
      </c>
      <c r="L1" s="69" t="s">
        <v>2</v>
      </c>
      <c r="M1" s="70">
        <v>42688</v>
      </c>
    </row>
    <row r="2" spans="1:14" ht="8.25" customHeight="1" thickBot="1">
      <c r="A2" s="71"/>
      <c r="C2" s="71"/>
      <c r="K2" s="72"/>
      <c r="L2" s="72"/>
      <c r="M2" s="72"/>
    </row>
    <row r="3" spans="1:14" s="76" customFormat="1" ht="33.75" customHeight="1">
      <c r="A3" s="73"/>
      <c r="B3" s="538" t="s">
        <v>3</v>
      </c>
      <c r="C3" s="539"/>
      <c r="D3" s="12" t="s">
        <v>4</v>
      </c>
      <c r="E3" s="12" t="s">
        <v>5</v>
      </c>
      <c r="F3" s="12" t="s">
        <v>6</v>
      </c>
      <c r="G3" s="12" t="s">
        <v>7</v>
      </c>
      <c r="H3" s="13" t="s">
        <v>8</v>
      </c>
      <c r="I3" s="12" t="s">
        <v>9</v>
      </c>
      <c r="J3" s="14" t="s">
        <v>10</v>
      </c>
      <c r="K3" s="74"/>
      <c r="L3" s="16" t="s">
        <v>11</v>
      </c>
      <c r="M3" s="17">
        <v>2505466</v>
      </c>
      <c r="N3" s="75"/>
    </row>
    <row r="4" spans="1:14" s="77" customFormat="1" ht="11.85" customHeight="1">
      <c r="B4" s="78"/>
      <c r="C4" s="79"/>
      <c r="D4" s="80" t="s">
        <v>12</v>
      </c>
      <c r="E4" s="80" t="s">
        <v>13</v>
      </c>
      <c r="F4" s="80" t="s">
        <v>14</v>
      </c>
      <c r="G4" s="80" t="s">
        <v>15</v>
      </c>
      <c r="H4" s="80" t="s">
        <v>16</v>
      </c>
      <c r="I4" s="80" t="s">
        <v>17</v>
      </c>
      <c r="J4" s="81" t="s">
        <v>18</v>
      </c>
      <c r="K4" s="76"/>
      <c r="L4" s="23" t="s">
        <v>19</v>
      </c>
      <c r="M4" s="24">
        <v>2547929</v>
      </c>
      <c r="N4" s="82"/>
    </row>
    <row r="5" spans="1:14">
      <c r="B5" s="83">
        <v>1</v>
      </c>
      <c r="C5" s="84" t="s">
        <v>20</v>
      </c>
      <c r="D5" s="85">
        <v>180863.92630000002</v>
      </c>
      <c r="E5" s="86">
        <v>179184.47300602513</v>
      </c>
      <c r="F5" s="87">
        <v>175199.45699999999</v>
      </c>
      <c r="G5" s="87">
        <v>165409.92010000002</v>
      </c>
      <c r="H5" s="88">
        <v>9.3727612990128772E-3</v>
      </c>
      <c r="I5" s="88">
        <v>3.2331545981903576E-2</v>
      </c>
      <c r="J5" s="89">
        <v>5.9183493312140012E-2</v>
      </c>
      <c r="L5" s="23" t="s">
        <v>21</v>
      </c>
      <c r="M5" s="24">
        <v>2547621</v>
      </c>
      <c r="N5" s="35"/>
    </row>
    <row r="6" spans="1:14">
      <c r="B6" s="83">
        <v>2</v>
      </c>
      <c r="C6" s="84" t="s">
        <v>22</v>
      </c>
      <c r="D6" s="85">
        <v>173505.899</v>
      </c>
      <c r="E6" s="86">
        <v>170583.48231339053</v>
      </c>
      <c r="F6" s="87">
        <v>166789.7501</v>
      </c>
      <c r="G6" s="87">
        <v>152835.10319999998</v>
      </c>
      <c r="H6" s="88">
        <v>1.713188549663025E-2</v>
      </c>
      <c r="I6" s="88">
        <v>4.0267156081073896E-2</v>
      </c>
      <c r="J6" s="89">
        <v>9.1305247340586204E-2</v>
      </c>
      <c r="L6" s="23" t="s">
        <v>23</v>
      </c>
      <c r="M6" s="24">
        <v>2505099</v>
      </c>
      <c r="N6" s="35"/>
    </row>
    <row r="7" spans="1:14">
      <c r="B7" s="83">
        <v>3</v>
      </c>
      <c r="C7" s="84" t="s">
        <v>24</v>
      </c>
      <c r="D7" s="85">
        <v>193857.06639999998</v>
      </c>
      <c r="E7" s="86">
        <v>196634.75196464965</v>
      </c>
      <c r="F7" s="87">
        <v>192261.64629999999</v>
      </c>
      <c r="G7" s="87">
        <v>177515.78219999999</v>
      </c>
      <c r="H7" s="88">
        <v>-1.4126117265116145E-2</v>
      </c>
      <c r="I7" s="88">
        <v>8.298171427860046E-3</v>
      </c>
      <c r="J7" s="89">
        <v>8.306790482091575E-2</v>
      </c>
      <c r="L7" s="23" t="s">
        <v>25</v>
      </c>
      <c r="M7" s="24">
        <v>2505466</v>
      </c>
      <c r="N7" s="35"/>
    </row>
    <row r="8" spans="1:14" ht="12" thickBot="1">
      <c r="B8" s="83">
        <v>4</v>
      </c>
      <c r="C8" s="84" t="s">
        <v>26</v>
      </c>
      <c r="D8" s="85">
        <v>198147.31899999999</v>
      </c>
      <c r="E8" s="86">
        <v>212471.66518960375</v>
      </c>
      <c r="F8" s="87">
        <v>207746.35070000001</v>
      </c>
      <c r="G8" s="87">
        <v>188340.54820000002</v>
      </c>
      <c r="H8" s="88">
        <v>-6.7417677443348145E-2</v>
      </c>
      <c r="I8" s="88">
        <v>-4.6205537029440635E-2</v>
      </c>
      <c r="J8" s="89">
        <v>0.10303571209420537</v>
      </c>
      <c r="L8" s="33"/>
      <c r="M8" s="34"/>
      <c r="N8" s="35"/>
    </row>
    <row r="9" spans="1:14">
      <c r="B9" s="83">
        <v>5</v>
      </c>
      <c r="C9" s="84" t="s">
        <v>27</v>
      </c>
      <c r="D9" s="85">
        <v>225713.58370000002</v>
      </c>
      <c r="E9" s="86">
        <v>228997.16275083556</v>
      </c>
      <c r="F9" s="87">
        <v>223904.32549999998</v>
      </c>
      <c r="G9" s="87">
        <v>214783.72040000002</v>
      </c>
      <c r="H9" s="88">
        <v>-1.4338950803544637E-2</v>
      </c>
      <c r="I9" s="88">
        <v>8.080496863827058E-3</v>
      </c>
      <c r="J9" s="89">
        <v>4.2464135936440162E-2</v>
      </c>
      <c r="L9" s="35"/>
      <c r="M9" s="35"/>
      <c r="N9" s="35"/>
    </row>
    <row r="10" spans="1:14" ht="12" thickBot="1">
      <c r="B10" s="83">
        <v>6</v>
      </c>
      <c r="C10" s="84" t="s">
        <v>28</v>
      </c>
      <c r="D10" s="85">
        <v>227863.20019999999</v>
      </c>
      <c r="E10" s="86">
        <v>233980.05876014743</v>
      </c>
      <c r="F10" s="87">
        <v>228776.4032</v>
      </c>
      <c r="G10" s="87">
        <v>221147.7298</v>
      </c>
      <c r="H10" s="88">
        <v>-2.6142649046933641E-2</v>
      </c>
      <c r="I10" s="88">
        <v>-3.991683526913703E-3</v>
      </c>
      <c r="J10" s="89">
        <v>3.4495825061822583E-2</v>
      </c>
      <c r="L10" s="35"/>
      <c r="M10" s="35"/>
      <c r="N10" s="35"/>
    </row>
    <row r="11" spans="1:14">
      <c r="B11" s="83">
        <v>7</v>
      </c>
      <c r="C11" s="84" t="s">
        <v>29</v>
      </c>
      <c r="D11" s="85">
        <v>242632.32120000001</v>
      </c>
      <c r="E11" s="86">
        <v>237909.68072915779</v>
      </c>
      <c r="F11" s="87">
        <v>232618.63139999998</v>
      </c>
      <c r="G11" s="87">
        <v>232529.9149</v>
      </c>
      <c r="H11" s="88">
        <v>1.9850560331837075E-2</v>
      </c>
      <c r="I11" s="88">
        <v>4.3047668794770511E-2</v>
      </c>
      <c r="J11" s="89">
        <v>3.8152725440987467E-4</v>
      </c>
      <c r="L11" s="36" t="s">
        <v>30</v>
      </c>
      <c r="M11" s="37">
        <v>2510000</v>
      </c>
    </row>
    <row r="12" spans="1:14" ht="12" thickBot="1">
      <c r="B12" s="83">
        <v>8</v>
      </c>
      <c r="C12" s="84" t="s">
        <v>31</v>
      </c>
      <c r="D12" s="85">
        <v>235632.2525</v>
      </c>
      <c r="E12" s="86">
        <v>232026.66938935616</v>
      </c>
      <c r="F12" s="87">
        <v>226866.45670000001</v>
      </c>
      <c r="G12" s="87">
        <v>225413.2236</v>
      </c>
      <c r="H12" s="88">
        <v>1.5539520177283661E-2</v>
      </c>
      <c r="I12" s="88">
        <v>3.863857146405536E-2</v>
      </c>
      <c r="J12" s="89">
        <v>6.44697359272417E-3</v>
      </c>
      <c r="L12" s="38" t="s">
        <v>32</v>
      </c>
      <c r="M12" s="39">
        <v>-1.8063745019920585E-3</v>
      </c>
    </row>
    <row r="13" spans="1:14" ht="12" thickBot="1">
      <c r="B13" s="83">
        <v>9</v>
      </c>
      <c r="C13" s="84" t="s">
        <v>33</v>
      </c>
      <c r="D13" s="85">
        <v>232163.5385</v>
      </c>
      <c r="E13" s="86">
        <v>226269.07335324053</v>
      </c>
      <c r="F13" s="87">
        <v>221236.9081</v>
      </c>
      <c r="G13" s="87">
        <v>219658.3222</v>
      </c>
      <c r="H13" s="88">
        <v>2.6050688498455488E-2</v>
      </c>
      <c r="I13" s="88">
        <v>4.9388822569609969E-2</v>
      </c>
      <c r="J13" s="89">
        <v>7.1865517508720167E-3</v>
      </c>
    </row>
    <row r="14" spans="1:14">
      <c r="B14" s="83">
        <v>10</v>
      </c>
      <c r="C14" s="84" t="s">
        <v>34</v>
      </c>
      <c r="D14" s="85">
        <v>222782.62019999998</v>
      </c>
      <c r="E14" s="86">
        <v>221799.35262858856</v>
      </c>
      <c r="F14" s="87">
        <v>216866.59279999998</v>
      </c>
      <c r="G14" s="87">
        <v>215555.8443</v>
      </c>
      <c r="H14" s="88">
        <v>4.4331399517560932E-3</v>
      </c>
      <c r="I14" s="88">
        <v>2.7279570004845821E-2</v>
      </c>
      <c r="J14" s="89">
        <v>6.0807838648797574E-3</v>
      </c>
      <c r="L14" s="36" t="s">
        <v>35</v>
      </c>
      <c r="M14" s="37">
        <v>2454178.2538000001</v>
      </c>
    </row>
    <row r="15" spans="1:14" ht="12" thickBot="1">
      <c r="B15" s="83">
        <v>11</v>
      </c>
      <c r="C15" s="84" t="s">
        <v>36</v>
      </c>
      <c r="D15" s="85" t="s">
        <v>41</v>
      </c>
      <c r="E15" s="86">
        <v>183101.42510032211</v>
      </c>
      <c r="F15" s="87">
        <v>179029.2971</v>
      </c>
      <c r="G15" s="87">
        <v>179456.8682</v>
      </c>
      <c r="H15" s="88" t="s">
        <v>41</v>
      </c>
      <c r="I15" s="88" t="s">
        <v>41</v>
      </c>
      <c r="J15" s="89">
        <v>-2.3825842069387093E-3</v>
      </c>
      <c r="L15" s="38" t="s">
        <v>37</v>
      </c>
      <c r="M15" s="39">
        <v>2.0898134078316088E-2</v>
      </c>
    </row>
    <row r="16" spans="1:14" ht="12" thickBot="1">
      <c r="B16" s="90">
        <v>12</v>
      </c>
      <c r="C16" s="91" t="s">
        <v>38</v>
      </c>
      <c r="D16" s="85" t="s">
        <v>41</v>
      </c>
      <c r="E16" s="86">
        <v>187042.20481468271</v>
      </c>
      <c r="F16" s="87">
        <v>182882.43489999999</v>
      </c>
      <c r="G16" s="87">
        <v>169391.14899999998</v>
      </c>
      <c r="H16" s="88" t="s">
        <v>41</v>
      </c>
      <c r="I16" s="88" t="s">
        <v>41</v>
      </c>
      <c r="J16" s="92">
        <v>7.964575469052404E-2</v>
      </c>
      <c r="L16" s="38" t="s">
        <v>39</v>
      </c>
      <c r="M16" s="39">
        <v>2.2745595644312555E-2</v>
      </c>
    </row>
    <row r="17" spans="1:11" ht="12" thickBot="1">
      <c r="B17" s="93" t="s">
        <v>40</v>
      </c>
      <c r="C17" s="94"/>
      <c r="D17" s="47">
        <v>2133161.727</v>
      </c>
      <c r="E17" s="95">
        <v>2510000</v>
      </c>
      <c r="F17" s="96">
        <v>2454178.2538000001</v>
      </c>
      <c r="G17" s="96">
        <v>2362038.1261</v>
      </c>
      <c r="H17" s="97">
        <v>-3.1285478682520074E-3</v>
      </c>
      <c r="I17" s="97">
        <v>1.9545887091295233E-2</v>
      </c>
      <c r="J17" s="98">
        <v>3.9008738547389177E-2</v>
      </c>
      <c r="K17" s="99"/>
    </row>
    <row r="18" spans="1:11">
      <c r="A18" s="100"/>
      <c r="D18" s="101"/>
      <c r="E18" s="101"/>
      <c r="F18" s="101"/>
      <c r="G18" s="101"/>
      <c r="H18" s="59"/>
      <c r="I18" s="59"/>
      <c r="J18" s="59"/>
    </row>
    <row r="19" spans="1:11"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7" pageOrder="overThenDown" orientation="landscape" r:id="rId1"/>
  <headerFooter alignWithMargins="0">
    <oddHeader>&amp;C&amp;"Tahoma,Bold"Monthly follow-up of total service units - 2016</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N19"/>
  <sheetViews>
    <sheetView workbookViewId="0">
      <selection activeCell="I57" sqref="I57"/>
    </sheetView>
  </sheetViews>
  <sheetFormatPr defaultRowHeight="11.25"/>
  <cols>
    <col min="1" max="2" width="2.85546875" style="40" bestFit="1" customWidth="1"/>
    <col min="3" max="3" width="9.28515625" style="40" customWidth="1"/>
    <col min="4" max="4" width="12.28515625" style="40" customWidth="1"/>
    <col min="5" max="5" width="12.85546875" style="40" customWidth="1"/>
    <col min="6" max="6" width="10.5703125" style="40" customWidth="1"/>
    <col min="7" max="7" width="11.42578125" style="40" customWidth="1"/>
    <col min="8" max="10" width="9.7109375" style="40" customWidth="1"/>
    <col min="11" max="11" width="2.7109375" style="40" customWidth="1"/>
    <col min="12" max="12" width="33.7109375" style="40" customWidth="1"/>
    <col min="13" max="13" width="11.42578125" style="40" bestFit="1" customWidth="1"/>
    <col min="14" max="16384" width="9.140625" style="40"/>
  </cols>
  <sheetData>
    <row r="1" spans="1:14" s="67" customFormat="1" ht="13.5" thickBot="1">
      <c r="B1" s="2" t="s">
        <v>0</v>
      </c>
      <c r="C1" s="2"/>
      <c r="D1" s="68" t="s">
        <v>45</v>
      </c>
      <c r="L1" s="69" t="s">
        <v>2</v>
      </c>
      <c r="M1" s="70">
        <v>42688</v>
      </c>
    </row>
    <row r="2" spans="1:14" ht="8.25" customHeight="1" thickBot="1">
      <c r="A2" s="71"/>
      <c r="C2" s="71"/>
      <c r="K2" s="72"/>
      <c r="L2" s="72"/>
      <c r="M2" s="72"/>
    </row>
    <row r="3" spans="1:14" s="76" customFormat="1" ht="33.75" customHeight="1">
      <c r="A3" s="73"/>
      <c r="B3" s="538" t="s">
        <v>3</v>
      </c>
      <c r="C3" s="539"/>
      <c r="D3" s="12" t="s">
        <v>4</v>
      </c>
      <c r="E3" s="12" t="s">
        <v>5</v>
      </c>
      <c r="F3" s="12" t="s">
        <v>6</v>
      </c>
      <c r="G3" s="12" t="s">
        <v>7</v>
      </c>
      <c r="H3" s="13" t="s">
        <v>8</v>
      </c>
      <c r="I3" s="12" t="s">
        <v>9</v>
      </c>
      <c r="J3" s="14" t="s">
        <v>10</v>
      </c>
      <c r="K3" s="74"/>
      <c r="L3" s="16" t="s">
        <v>11</v>
      </c>
      <c r="M3" s="17">
        <v>13549103</v>
      </c>
      <c r="N3" s="102"/>
    </row>
    <row r="4" spans="1:14" s="77" customFormat="1" ht="11.85" customHeight="1">
      <c r="B4" s="78"/>
      <c r="C4" s="79"/>
      <c r="D4" s="80" t="s">
        <v>12</v>
      </c>
      <c r="E4" s="80" t="s">
        <v>13</v>
      </c>
      <c r="F4" s="80" t="s">
        <v>14</v>
      </c>
      <c r="G4" s="80" t="s">
        <v>15</v>
      </c>
      <c r="H4" s="80" t="s">
        <v>16</v>
      </c>
      <c r="I4" s="80" t="s">
        <v>17</v>
      </c>
      <c r="J4" s="81" t="s">
        <v>18</v>
      </c>
      <c r="K4" s="76"/>
      <c r="L4" s="23" t="s">
        <v>19</v>
      </c>
      <c r="M4" s="24">
        <v>13217271</v>
      </c>
    </row>
    <row r="5" spans="1:14">
      <c r="B5" s="83">
        <v>1</v>
      </c>
      <c r="C5" s="84" t="s">
        <v>20</v>
      </c>
      <c r="D5" s="85">
        <v>950914.65520000004</v>
      </c>
      <c r="E5" s="86">
        <v>917894.82104440639</v>
      </c>
      <c r="F5" s="87">
        <v>912218.92709999997</v>
      </c>
      <c r="G5" s="87">
        <v>902235.89430000004</v>
      </c>
      <c r="H5" s="30">
        <v>3.5973439874105395E-2</v>
      </c>
      <c r="I5" s="30">
        <v>4.2419343592240644E-2</v>
      </c>
      <c r="J5" s="103">
        <v>1.1064770159410875E-2</v>
      </c>
      <c r="L5" s="23" t="s">
        <v>21</v>
      </c>
      <c r="M5" s="24">
        <v>13431295</v>
      </c>
    </row>
    <row r="6" spans="1:14">
      <c r="B6" s="83">
        <v>2</v>
      </c>
      <c r="C6" s="84" t="s">
        <v>22</v>
      </c>
      <c r="D6" s="85">
        <v>927340.43759999995</v>
      </c>
      <c r="E6" s="86">
        <v>860431.13110075751</v>
      </c>
      <c r="F6" s="87">
        <v>855110.56960000005</v>
      </c>
      <c r="G6" s="87">
        <v>842056.44570000004</v>
      </c>
      <c r="H6" s="30">
        <v>7.7762535641457742E-2</v>
      </c>
      <c r="I6" s="30">
        <v>8.446845421848459E-2</v>
      </c>
      <c r="J6" s="103">
        <v>1.5502670832414411E-2</v>
      </c>
      <c r="L6" s="23" t="s">
        <v>23</v>
      </c>
      <c r="M6" s="24">
        <v>13548160</v>
      </c>
    </row>
    <row r="7" spans="1:14">
      <c r="B7" s="83">
        <v>3</v>
      </c>
      <c r="C7" s="84" t="s">
        <v>24</v>
      </c>
      <c r="D7" s="85">
        <v>1045190.8094</v>
      </c>
      <c r="E7" s="86">
        <v>999566.20638086461</v>
      </c>
      <c r="F7" s="87">
        <v>993385.28930000006</v>
      </c>
      <c r="G7" s="87">
        <v>977166.125</v>
      </c>
      <c r="H7" s="30">
        <v>4.5644403270023171E-2</v>
      </c>
      <c r="I7" s="30">
        <v>5.2150480440983138E-2</v>
      </c>
      <c r="J7" s="103">
        <v>1.6598164718409691E-2</v>
      </c>
      <c r="L7" s="23" t="s">
        <v>25</v>
      </c>
      <c r="M7" s="24">
        <v>13549103</v>
      </c>
    </row>
    <row r="8" spans="1:14" ht="12" thickBot="1">
      <c r="B8" s="83">
        <v>4</v>
      </c>
      <c r="C8" s="84" t="s">
        <v>26</v>
      </c>
      <c r="D8" s="85">
        <v>1094404.7376000001</v>
      </c>
      <c r="E8" s="86">
        <v>1071361.5581814176</v>
      </c>
      <c r="F8" s="87">
        <v>1064736.6873999999</v>
      </c>
      <c r="G8" s="87">
        <v>1042361.4325</v>
      </c>
      <c r="H8" s="30">
        <v>2.1508312709760835E-2</v>
      </c>
      <c r="I8" s="30">
        <v>2.7864213331886933E-2</v>
      </c>
      <c r="J8" s="103">
        <v>2.1465927462737344E-2</v>
      </c>
      <c r="L8" s="33"/>
      <c r="M8" s="34"/>
    </row>
    <row r="9" spans="1:14">
      <c r="B9" s="83">
        <v>5</v>
      </c>
      <c r="C9" s="84" t="s">
        <v>27</v>
      </c>
      <c r="D9" s="85">
        <v>1215371.4650000001</v>
      </c>
      <c r="E9" s="86">
        <v>1174199.03474875</v>
      </c>
      <c r="F9" s="87">
        <v>1166938.2582</v>
      </c>
      <c r="G9" s="87">
        <v>1175804.3338999997</v>
      </c>
      <c r="H9" s="30">
        <v>3.5064268520762276E-2</v>
      </c>
      <c r="I9" s="30">
        <v>4.1504515307183576E-2</v>
      </c>
      <c r="J9" s="103">
        <v>-7.5404346151642931E-3</v>
      </c>
      <c r="L9" s="35"/>
    </row>
    <row r="10" spans="1:14" ht="12" thickBot="1">
      <c r="B10" s="83">
        <v>6</v>
      </c>
      <c r="C10" s="84" t="s">
        <v>28</v>
      </c>
      <c r="D10" s="85">
        <v>1247674.2438000001</v>
      </c>
      <c r="E10" s="86">
        <v>1201846.9796667579</v>
      </c>
      <c r="F10" s="87">
        <v>1194415.2393</v>
      </c>
      <c r="G10" s="87">
        <v>1193389.8273</v>
      </c>
      <c r="H10" s="30">
        <v>3.8130697924580126E-2</v>
      </c>
      <c r="I10" s="30">
        <v>4.4590024262594952E-2</v>
      </c>
      <c r="J10" s="103">
        <v>8.5924312118534907E-4</v>
      </c>
      <c r="L10" s="35"/>
    </row>
    <row r="11" spans="1:14">
      <c r="B11" s="83">
        <v>7</v>
      </c>
      <c r="C11" s="84" t="s">
        <v>29</v>
      </c>
      <c r="D11" s="85">
        <v>1312824.3957999998</v>
      </c>
      <c r="E11" s="86">
        <v>1262852.2718602617</v>
      </c>
      <c r="F11" s="87">
        <v>1255043.2992</v>
      </c>
      <c r="G11" s="87">
        <v>1258652.6051</v>
      </c>
      <c r="H11" s="30">
        <v>3.9570839007262437E-2</v>
      </c>
      <c r="I11" s="30">
        <v>4.6039126010099407E-2</v>
      </c>
      <c r="J11" s="103">
        <v>-2.8675949863967709E-3</v>
      </c>
      <c r="L11" s="36" t="s">
        <v>30</v>
      </c>
      <c r="M11" s="37">
        <v>13057000</v>
      </c>
    </row>
    <row r="12" spans="1:14" ht="12" thickBot="1">
      <c r="B12" s="83">
        <v>8</v>
      </c>
      <c r="C12" s="84" t="s">
        <v>31</v>
      </c>
      <c r="D12" s="85">
        <v>1281851.9911</v>
      </c>
      <c r="E12" s="86">
        <v>1231885.8233451135</v>
      </c>
      <c r="F12" s="87">
        <v>1224268.3348000001</v>
      </c>
      <c r="G12" s="87">
        <v>1227080.9169999999</v>
      </c>
      <c r="H12" s="30">
        <v>4.0560713345337618E-2</v>
      </c>
      <c r="I12" s="30">
        <v>4.7035159419856143E-2</v>
      </c>
      <c r="J12" s="103">
        <v>-2.2920918751438979E-3</v>
      </c>
      <c r="L12" s="38" t="s">
        <v>32</v>
      </c>
      <c r="M12" s="39">
        <v>3.7688825917132629E-2</v>
      </c>
    </row>
    <row r="13" spans="1:14" ht="12" thickBot="1">
      <c r="B13" s="83">
        <v>9</v>
      </c>
      <c r="C13" s="84" t="s">
        <v>33</v>
      </c>
      <c r="D13" s="85">
        <v>1262228.9964000001</v>
      </c>
      <c r="E13" s="86">
        <v>1208387.4415635869</v>
      </c>
      <c r="F13" s="87">
        <v>1200915.2575999999</v>
      </c>
      <c r="G13" s="87">
        <v>1205878.7964000001</v>
      </c>
      <c r="H13" s="30">
        <v>4.4556532933464732E-2</v>
      </c>
      <c r="I13" s="30">
        <v>5.1055841294359361E-2</v>
      </c>
      <c r="J13" s="103">
        <v>-4.1161174861173988E-3</v>
      </c>
    </row>
    <row r="14" spans="1:14">
      <c r="B14" s="83">
        <v>10</v>
      </c>
      <c r="C14" s="84" t="s">
        <v>34</v>
      </c>
      <c r="D14" s="85">
        <v>1224542.1121999999</v>
      </c>
      <c r="E14" s="86">
        <v>1189966.445199925</v>
      </c>
      <c r="F14" s="87">
        <v>1182608.1693</v>
      </c>
      <c r="G14" s="87">
        <v>1174891.5008</v>
      </c>
      <c r="H14" s="30">
        <v>2.9056001654118813E-2</v>
      </c>
      <c r="I14" s="30">
        <v>3.5458864557667669E-2</v>
      </c>
      <c r="J14" s="103">
        <v>6.5679839327679179E-3</v>
      </c>
      <c r="L14" s="36" t="s">
        <v>35</v>
      </c>
      <c r="M14" s="37">
        <v>12976260.741500001</v>
      </c>
    </row>
    <row r="15" spans="1:14" ht="12" thickBot="1">
      <c r="B15" s="83">
        <v>11</v>
      </c>
      <c r="C15" s="84" t="s">
        <v>36</v>
      </c>
      <c r="D15" s="85" t="s">
        <v>41</v>
      </c>
      <c r="E15" s="86">
        <v>973230.41972400702</v>
      </c>
      <c r="F15" s="87">
        <v>967212.3526000001</v>
      </c>
      <c r="G15" s="87">
        <v>967511.97019999998</v>
      </c>
      <c r="H15" s="30" t="s">
        <v>41</v>
      </c>
      <c r="I15" s="30" t="s">
        <v>41</v>
      </c>
      <c r="J15" s="103">
        <v>-3.0967844246720944E-4</v>
      </c>
      <c r="L15" s="38" t="s">
        <v>37</v>
      </c>
      <c r="M15" s="39">
        <v>4.4145402894684826E-2</v>
      </c>
    </row>
    <row r="16" spans="1:14" ht="14.25" customHeight="1" thickBot="1">
      <c r="B16" s="90">
        <v>12</v>
      </c>
      <c r="C16" s="91" t="s">
        <v>38</v>
      </c>
      <c r="D16" s="85" t="s">
        <v>41</v>
      </c>
      <c r="E16" s="86">
        <v>965377.86718415096</v>
      </c>
      <c r="F16" s="87">
        <v>959408.35710000002</v>
      </c>
      <c r="G16" s="87">
        <v>913753.4523</v>
      </c>
      <c r="H16" s="30" t="s">
        <v>41</v>
      </c>
      <c r="I16" s="30" t="s">
        <v>41</v>
      </c>
      <c r="J16" s="104">
        <v>4.9964139325638035E-2</v>
      </c>
      <c r="L16" s="38" t="s">
        <v>39</v>
      </c>
      <c r="M16" s="39">
        <v>6.2220743023282399E-3</v>
      </c>
    </row>
    <row r="17" spans="1:11" ht="12" thickBot="1">
      <c r="B17" s="93" t="s">
        <v>40</v>
      </c>
      <c r="C17" s="94"/>
      <c r="D17" s="47">
        <v>11562343.8441</v>
      </c>
      <c r="E17" s="105">
        <v>13057000</v>
      </c>
      <c r="F17" s="106">
        <v>12976260.741500001</v>
      </c>
      <c r="G17" s="106">
        <v>12880783.300500002</v>
      </c>
      <c r="H17" s="50">
        <v>3.9929527800806497E-2</v>
      </c>
      <c r="I17" s="50">
        <v>4.6400046591968502E-2</v>
      </c>
      <c r="J17" s="51">
        <v>7.4123940114956266E-3</v>
      </c>
      <c r="K17" s="99"/>
    </row>
    <row r="18" spans="1:11">
      <c r="A18" s="100"/>
      <c r="D18" s="101"/>
      <c r="E18" s="101"/>
      <c r="F18" s="101"/>
      <c r="G18" s="101"/>
      <c r="H18" s="59"/>
      <c r="I18" s="59"/>
      <c r="J18" s="59"/>
    </row>
    <row r="19" spans="1:11"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3" pageOrder="overThenDown" orientation="landscape" r:id="rId1"/>
  <headerFooter alignWithMargins="0">
    <oddHeader>&amp;C&amp;"Tahoma,Bold"Monthly follow-up of total service units - 2016</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N19"/>
  <sheetViews>
    <sheetView workbookViewId="0">
      <selection activeCell="J59" sqref="J59"/>
    </sheetView>
  </sheetViews>
  <sheetFormatPr defaultRowHeight="11.25"/>
  <cols>
    <col min="1" max="2" width="2.85546875" style="40" bestFit="1" customWidth="1"/>
    <col min="3" max="3" width="9.28515625" style="40" customWidth="1"/>
    <col min="4" max="4" width="12.5703125" style="40" customWidth="1"/>
    <col min="5" max="5" width="12.140625" style="40" customWidth="1"/>
    <col min="6" max="6" width="10.85546875" style="40" customWidth="1"/>
    <col min="7" max="7" width="11.7109375" style="40" customWidth="1"/>
    <col min="8" max="10" width="9.7109375" style="40" customWidth="1"/>
    <col min="11" max="11" width="2.7109375" style="40" customWidth="1"/>
    <col min="12" max="12" width="33.140625" style="40" customWidth="1"/>
    <col min="13" max="13" width="12.7109375" style="40" customWidth="1"/>
    <col min="14" max="16384" width="9.140625" style="40"/>
  </cols>
  <sheetData>
    <row r="1" spans="1:14" s="67" customFormat="1" ht="13.5" thickBot="1">
      <c r="B1" s="2" t="s">
        <v>0</v>
      </c>
      <c r="C1" s="2"/>
      <c r="D1" s="68" t="s">
        <v>46</v>
      </c>
      <c r="L1" s="69" t="s">
        <v>2</v>
      </c>
      <c r="M1" s="70">
        <v>42688</v>
      </c>
    </row>
    <row r="2" spans="1:14" ht="8.25" customHeight="1" thickBot="1">
      <c r="A2" s="71"/>
      <c r="C2" s="71"/>
      <c r="K2" s="72"/>
      <c r="L2" s="72"/>
      <c r="M2" s="72"/>
    </row>
    <row r="3" spans="1:14" s="76" customFormat="1" ht="33.75" customHeight="1">
      <c r="A3" s="73"/>
      <c r="B3" s="538" t="s">
        <v>3</v>
      </c>
      <c r="C3" s="539"/>
      <c r="D3" s="12" t="s">
        <v>4</v>
      </c>
      <c r="E3" s="12" t="s">
        <v>5</v>
      </c>
      <c r="F3" s="12" t="s">
        <v>6</v>
      </c>
      <c r="G3" s="12" t="s">
        <v>7</v>
      </c>
      <c r="H3" s="13" t="s">
        <v>8</v>
      </c>
      <c r="I3" s="12" t="s">
        <v>9</v>
      </c>
      <c r="J3" s="14" t="s">
        <v>10</v>
      </c>
      <c r="K3" s="74"/>
      <c r="L3" s="16" t="s">
        <v>11</v>
      </c>
      <c r="M3" s="17">
        <v>19879270</v>
      </c>
      <c r="N3" s="102"/>
    </row>
    <row r="4" spans="1:14" s="77" customFormat="1" ht="11.85" customHeight="1">
      <c r="B4" s="78"/>
      <c r="C4" s="79"/>
      <c r="D4" s="80" t="s">
        <v>12</v>
      </c>
      <c r="E4" s="80" t="s">
        <v>13</v>
      </c>
      <c r="F4" s="80" t="s">
        <v>14</v>
      </c>
      <c r="G4" s="80" t="s">
        <v>15</v>
      </c>
      <c r="H4" s="80" t="s">
        <v>16</v>
      </c>
      <c r="I4" s="80" t="s">
        <v>17</v>
      </c>
      <c r="J4" s="81" t="s">
        <v>18</v>
      </c>
      <c r="K4" s="76"/>
      <c r="L4" s="23" t="s">
        <v>19</v>
      </c>
      <c r="M4" s="24">
        <v>19528617</v>
      </c>
    </row>
    <row r="5" spans="1:14">
      <c r="B5" s="83">
        <v>1</v>
      </c>
      <c r="C5" s="84" t="s">
        <v>20</v>
      </c>
      <c r="D5" s="85">
        <v>1255457.7678999999</v>
      </c>
      <c r="E5" s="86">
        <v>1249484.6004726423</v>
      </c>
      <c r="F5" s="87">
        <v>1229336.6942</v>
      </c>
      <c r="G5" s="87">
        <v>1188870.7878</v>
      </c>
      <c r="H5" s="30">
        <v>4.7805050379157166E-3</v>
      </c>
      <c r="I5" s="30">
        <v>2.1248103813413133E-2</v>
      </c>
      <c r="J5" s="103">
        <v>3.4037261925563778E-2</v>
      </c>
      <c r="L5" s="23" t="s">
        <v>21</v>
      </c>
      <c r="M5" s="24">
        <v>19345480</v>
      </c>
    </row>
    <row r="6" spans="1:14">
      <c r="B6" s="83">
        <v>2</v>
      </c>
      <c r="C6" s="84" t="s">
        <v>22</v>
      </c>
      <c r="D6" s="85">
        <v>1247782.8351</v>
      </c>
      <c r="E6" s="86">
        <v>1180908.7281374463</v>
      </c>
      <c r="F6" s="87">
        <v>1161866.6059999999</v>
      </c>
      <c r="G6" s="87">
        <v>1133278.7725</v>
      </c>
      <c r="H6" s="30">
        <v>5.6629361244563636E-2</v>
      </c>
      <c r="I6" s="30">
        <v>7.3946723880624399E-2</v>
      </c>
      <c r="J6" s="103">
        <v>2.5225773387544725E-2</v>
      </c>
      <c r="L6" s="23" t="s">
        <v>23</v>
      </c>
      <c r="M6" s="24">
        <v>19530068</v>
      </c>
    </row>
    <row r="7" spans="1:14">
      <c r="B7" s="83">
        <v>3</v>
      </c>
      <c r="C7" s="84" t="s">
        <v>24</v>
      </c>
      <c r="D7" s="85">
        <v>1399419.1004000001</v>
      </c>
      <c r="E7" s="86">
        <v>1388454.2410669255</v>
      </c>
      <c r="F7" s="87">
        <v>1366065.453</v>
      </c>
      <c r="G7" s="87">
        <v>1315745.0815999999</v>
      </c>
      <c r="H7" s="30">
        <v>7.8971701110213122E-3</v>
      </c>
      <c r="I7" s="30">
        <v>2.4415848689206321E-2</v>
      </c>
      <c r="J7" s="103">
        <v>3.8244772565525054E-2</v>
      </c>
      <c r="L7" s="23" t="s">
        <v>25</v>
      </c>
      <c r="M7" s="24">
        <v>19879270</v>
      </c>
    </row>
    <row r="8" spans="1:14" ht="12" thickBot="1">
      <c r="B8" s="83">
        <v>4</v>
      </c>
      <c r="C8" s="84" t="s">
        <v>26</v>
      </c>
      <c r="D8" s="85">
        <v>1605605.5706</v>
      </c>
      <c r="E8" s="86">
        <v>1563657.6333528818</v>
      </c>
      <c r="F8" s="87">
        <v>1538443.6952</v>
      </c>
      <c r="G8" s="87">
        <v>1545197.8404999999</v>
      </c>
      <c r="H8" s="30">
        <v>2.6826804252009451E-2</v>
      </c>
      <c r="I8" s="30">
        <v>4.3655725334341033E-2</v>
      </c>
      <c r="J8" s="103">
        <v>-4.3710553580728062E-3</v>
      </c>
      <c r="L8" s="33"/>
      <c r="M8" s="34"/>
    </row>
    <row r="9" spans="1:14">
      <c r="B9" s="83">
        <v>5</v>
      </c>
      <c r="C9" s="84" t="s">
        <v>27</v>
      </c>
      <c r="D9" s="85">
        <v>1810366.6935000001</v>
      </c>
      <c r="E9" s="86">
        <v>1782476.1546452953</v>
      </c>
      <c r="F9" s="87">
        <v>1753733.7736</v>
      </c>
      <c r="G9" s="87">
        <v>1710486.027</v>
      </c>
      <c r="H9" s="30">
        <v>1.5647075436055369E-2</v>
      </c>
      <c r="I9" s="30">
        <v>3.2292769149188549E-2</v>
      </c>
      <c r="J9" s="103">
        <v>2.5283893535132496E-2</v>
      </c>
      <c r="L9" s="35"/>
    </row>
    <row r="10" spans="1:14" ht="12" thickBot="1">
      <c r="B10" s="83">
        <v>6</v>
      </c>
      <c r="C10" s="84" t="s">
        <v>28</v>
      </c>
      <c r="D10" s="85">
        <v>1868979.3946</v>
      </c>
      <c r="E10" s="86">
        <v>1839667.8634432997</v>
      </c>
      <c r="F10" s="87">
        <v>1810003.2675999999</v>
      </c>
      <c r="G10" s="87">
        <v>1753696.4251000001</v>
      </c>
      <c r="H10" s="30">
        <v>1.593305603645101E-2</v>
      </c>
      <c r="I10" s="30">
        <v>3.2583436757106066E-2</v>
      </c>
      <c r="J10" s="103">
        <v>3.210751969046699E-2</v>
      </c>
      <c r="L10" s="35"/>
    </row>
    <row r="11" spans="1:14">
      <c r="B11" s="83">
        <v>7</v>
      </c>
      <c r="C11" s="84" t="s">
        <v>29</v>
      </c>
      <c r="D11" s="85">
        <v>2121078.4384999997</v>
      </c>
      <c r="E11" s="86">
        <v>2015822.2090261211</v>
      </c>
      <c r="F11" s="87">
        <v>1983317.129</v>
      </c>
      <c r="G11" s="87">
        <v>1953909.5120999999</v>
      </c>
      <c r="H11" s="30">
        <v>5.2215036128969716E-2</v>
      </c>
      <c r="I11" s="30">
        <v>6.9460051287642433E-2</v>
      </c>
      <c r="J11" s="103">
        <v>1.5050654453487855E-2</v>
      </c>
      <c r="L11" s="36" t="s">
        <v>30</v>
      </c>
      <c r="M11" s="37">
        <v>19177000.000000004</v>
      </c>
    </row>
    <row r="12" spans="1:14" ht="12" thickBot="1">
      <c r="B12" s="83">
        <v>8</v>
      </c>
      <c r="C12" s="84" t="s">
        <v>31</v>
      </c>
      <c r="D12" s="85">
        <v>2103095.9303000001</v>
      </c>
      <c r="E12" s="86">
        <v>2021949.0317816813</v>
      </c>
      <c r="F12" s="87">
        <v>1989345.1569000001</v>
      </c>
      <c r="G12" s="87">
        <v>1973846.9981999998</v>
      </c>
      <c r="H12" s="30">
        <v>4.0133008915073765E-2</v>
      </c>
      <c r="I12" s="30">
        <v>5.7180008710634223E-2</v>
      </c>
      <c r="J12" s="103">
        <v>7.8517528025898731E-3</v>
      </c>
      <c r="L12" s="38" t="s">
        <v>32</v>
      </c>
      <c r="M12" s="39">
        <v>3.6620430724304986E-2</v>
      </c>
    </row>
    <row r="13" spans="1:14" ht="12" thickBot="1">
      <c r="B13" s="83">
        <v>9</v>
      </c>
      <c r="C13" s="84" t="s">
        <v>33</v>
      </c>
      <c r="D13" s="85">
        <v>1930115.0279000001</v>
      </c>
      <c r="E13" s="86">
        <v>1839795.062626783</v>
      </c>
      <c r="F13" s="87">
        <v>1810128.4157</v>
      </c>
      <c r="G13" s="87">
        <v>1741665.9467</v>
      </c>
      <c r="H13" s="30">
        <v>4.9092405511873771E-2</v>
      </c>
      <c r="I13" s="30">
        <v>6.6286243097067654E-2</v>
      </c>
      <c r="J13" s="103">
        <v>3.9308610890463003E-2</v>
      </c>
    </row>
    <row r="14" spans="1:14">
      <c r="B14" s="83">
        <v>10</v>
      </c>
      <c r="C14" s="84" t="s">
        <v>34</v>
      </c>
      <c r="D14" s="85">
        <v>1826164.8035000002</v>
      </c>
      <c r="E14" s="86">
        <v>1713797.0557851025</v>
      </c>
      <c r="F14" s="87">
        <v>1686162.1233999999</v>
      </c>
      <c r="G14" s="87">
        <v>1659511.7404</v>
      </c>
      <c r="H14" s="30">
        <v>6.5566542628596736E-2</v>
      </c>
      <c r="I14" s="30">
        <v>8.3030378963617757E-2</v>
      </c>
      <c r="J14" s="103">
        <v>1.6059171111122206E-2</v>
      </c>
      <c r="L14" s="36" t="s">
        <v>35</v>
      </c>
      <c r="M14" s="37">
        <v>18867771.380099997</v>
      </c>
    </row>
    <row r="15" spans="1:14" ht="12" thickBot="1">
      <c r="B15" s="83">
        <v>11</v>
      </c>
      <c r="C15" s="84" t="s">
        <v>36</v>
      </c>
      <c r="D15" s="85" t="s">
        <v>41</v>
      </c>
      <c r="E15" s="86">
        <v>1297155.8215570231</v>
      </c>
      <c r="F15" s="87">
        <v>1276239.2180999999</v>
      </c>
      <c r="G15" s="87">
        <v>1256603.2783000001</v>
      </c>
      <c r="H15" s="30" t="s">
        <v>41</v>
      </c>
      <c r="I15" s="30" t="s">
        <v>41</v>
      </c>
      <c r="J15" s="103">
        <v>1.5626204498339735E-2</v>
      </c>
      <c r="L15" s="38" t="s">
        <v>37</v>
      </c>
      <c r="M15" s="39">
        <v>5.3609861998160424E-2</v>
      </c>
    </row>
    <row r="16" spans="1:14" ht="12" thickBot="1">
      <c r="B16" s="90">
        <v>12</v>
      </c>
      <c r="C16" s="91" t="s">
        <v>38</v>
      </c>
      <c r="D16" s="85" t="s">
        <v>41</v>
      </c>
      <c r="E16" s="86">
        <v>1283831.5981048008</v>
      </c>
      <c r="F16" s="87">
        <v>1263129.8474000001</v>
      </c>
      <c r="G16" s="87">
        <v>1263941.862</v>
      </c>
      <c r="H16" s="30" t="s">
        <v>41</v>
      </c>
      <c r="I16" s="30" t="s">
        <v>41</v>
      </c>
      <c r="J16" s="104">
        <v>-6.4244616339792504E-4</v>
      </c>
      <c r="L16" s="38" t="s">
        <v>39</v>
      </c>
      <c r="M16" s="39">
        <v>1.6389249883860257E-2</v>
      </c>
    </row>
    <row r="17" spans="1:11" ht="12" thickBot="1">
      <c r="B17" s="93" t="s">
        <v>40</v>
      </c>
      <c r="C17" s="94"/>
      <c r="D17" s="47">
        <v>17168065.5623</v>
      </c>
      <c r="E17" s="105">
        <v>19177000.000000004</v>
      </c>
      <c r="F17" s="106">
        <v>18867771.380099997</v>
      </c>
      <c r="G17" s="106">
        <v>18496754.272199996</v>
      </c>
      <c r="H17" s="50">
        <v>3.4469302743211472E-2</v>
      </c>
      <c r="I17" s="50">
        <v>5.1423478643052523E-2</v>
      </c>
      <c r="J17" s="51">
        <v>2.00584979634848E-2</v>
      </c>
      <c r="K17" s="99"/>
    </row>
    <row r="18" spans="1:11">
      <c r="A18" s="100"/>
      <c r="D18" s="101"/>
      <c r="E18" s="101"/>
      <c r="F18" s="101"/>
      <c r="G18" s="101"/>
      <c r="H18" s="59"/>
      <c r="I18" s="59"/>
      <c r="J18" s="59"/>
    </row>
    <row r="19" spans="1:11"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3" pageOrder="overThenDown" orientation="landscape" r:id="rId1"/>
  <headerFooter alignWithMargins="0">
    <oddHeader>&amp;C&amp;"Tahoma,Bold"Monthly follow-up of total service units - 2016</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N45"/>
  <sheetViews>
    <sheetView workbookViewId="0">
      <selection activeCell="L57" sqref="L57"/>
    </sheetView>
  </sheetViews>
  <sheetFormatPr defaultRowHeight="11.25"/>
  <cols>
    <col min="1" max="2" width="2.85546875" style="40" bestFit="1" customWidth="1"/>
    <col min="3" max="3" width="9.28515625" style="40" customWidth="1"/>
    <col min="4" max="4" width="11.28515625" style="40" customWidth="1"/>
    <col min="5" max="5" width="12.28515625" style="40" customWidth="1"/>
    <col min="6" max="6" width="11.140625" style="40" customWidth="1"/>
    <col min="7" max="10" width="9.7109375" style="40" customWidth="1"/>
    <col min="11" max="11" width="2" style="40" customWidth="1"/>
    <col min="12" max="12" width="32.85546875" style="40" customWidth="1"/>
    <col min="13" max="13" width="12.42578125" style="40" customWidth="1"/>
    <col min="14" max="16384" width="9.140625" style="40"/>
  </cols>
  <sheetData>
    <row r="1" spans="1:14" s="67" customFormat="1" ht="13.5" customHeight="1" thickBot="1">
      <c r="B1" s="2" t="s">
        <v>0</v>
      </c>
      <c r="C1" s="2"/>
      <c r="D1" s="107" t="s">
        <v>47</v>
      </c>
      <c r="E1" s="108"/>
      <c r="F1" s="108"/>
      <c r="G1" s="108"/>
      <c r="H1" s="108"/>
      <c r="I1" s="108"/>
      <c r="J1" s="108"/>
      <c r="K1" s="108"/>
      <c r="L1" s="109" t="s">
        <v>2</v>
      </c>
      <c r="M1" s="110">
        <v>42688</v>
      </c>
    </row>
    <row r="2" spans="1:14" ht="9.6" customHeight="1" thickBot="1">
      <c r="A2" s="71"/>
      <c r="B2" s="111"/>
      <c r="C2" s="112"/>
      <c r="D2" s="111"/>
      <c r="E2" s="111"/>
      <c r="F2" s="111"/>
      <c r="G2" s="111"/>
      <c r="H2" s="111"/>
      <c r="I2" s="111"/>
      <c r="J2" s="111"/>
      <c r="K2" s="113"/>
      <c r="L2" s="113"/>
      <c r="M2" s="113"/>
    </row>
    <row r="3" spans="1:14" s="76" customFormat="1" ht="33.75" customHeight="1">
      <c r="A3" s="73"/>
      <c r="B3" s="538" t="s">
        <v>3</v>
      </c>
      <c r="C3" s="539"/>
      <c r="D3" s="12" t="s">
        <v>4</v>
      </c>
      <c r="E3" s="12" t="s">
        <v>5</v>
      </c>
      <c r="F3" s="12" t="s">
        <v>6</v>
      </c>
      <c r="G3" s="12" t="s">
        <v>7</v>
      </c>
      <c r="H3" s="13" t="s">
        <v>8</v>
      </c>
      <c r="I3" s="12" t="s">
        <v>9</v>
      </c>
      <c r="J3" s="14" t="s">
        <v>10</v>
      </c>
      <c r="K3" s="74"/>
      <c r="L3" s="16" t="s">
        <v>11</v>
      </c>
      <c r="M3" s="17">
        <v>10904235</v>
      </c>
      <c r="N3" s="102"/>
    </row>
    <row r="4" spans="1:14" s="77" customFormat="1" ht="11.85" customHeight="1">
      <c r="B4" s="114"/>
      <c r="C4" s="79"/>
      <c r="D4" s="80" t="s">
        <v>12</v>
      </c>
      <c r="E4" s="80" t="s">
        <v>13</v>
      </c>
      <c r="F4" s="80" t="s">
        <v>14</v>
      </c>
      <c r="G4" s="80" t="s">
        <v>15</v>
      </c>
      <c r="H4" s="80" t="s">
        <v>16</v>
      </c>
      <c r="I4" s="80" t="s">
        <v>17</v>
      </c>
      <c r="J4" s="81" t="s">
        <v>18</v>
      </c>
      <c r="K4" s="115"/>
      <c r="L4" s="23" t="s">
        <v>19</v>
      </c>
      <c r="M4" s="24">
        <v>10337332</v>
      </c>
    </row>
    <row r="5" spans="1:14">
      <c r="B5" s="116">
        <v>1</v>
      </c>
      <c r="C5" s="117" t="s">
        <v>20</v>
      </c>
      <c r="D5" s="85">
        <v>736164.50040000002</v>
      </c>
      <c r="E5" s="86">
        <v>732140.7593971506</v>
      </c>
      <c r="F5" s="87">
        <v>712418.72510000004</v>
      </c>
      <c r="G5" s="87">
        <v>728087.48809999996</v>
      </c>
      <c r="H5" s="30">
        <v>5.4958571165504289E-3</v>
      </c>
      <c r="I5" s="30">
        <v>3.3331206021664839E-2</v>
      </c>
      <c r="J5" s="103">
        <v>-2.1520439859348151E-2</v>
      </c>
      <c r="K5" s="111"/>
      <c r="L5" s="23" t="s">
        <v>21</v>
      </c>
      <c r="M5" s="24">
        <v>10476362</v>
      </c>
    </row>
    <row r="6" spans="1:14">
      <c r="B6" s="116">
        <v>2</v>
      </c>
      <c r="C6" s="117" t="s">
        <v>22</v>
      </c>
      <c r="D6" s="85">
        <v>718895.60050000006</v>
      </c>
      <c r="E6" s="86">
        <v>684637.73762899137</v>
      </c>
      <c r="F6" s="87">
        <v>666195.31549999991</v>
      </c>
      <c r="G6" s="87">
        <v>677653.72309999994</v>
      </c>
      <c r="H6" s="30">
        <v>5.0037941217860871E-2</v>
      </c>
      <c r="I6" s="30">
        <v>7.9106357811067785E-2</v>
      </c>
      <c r="J6" s="103">
        <v>-1.6908942147594641E-2</v>
      </c>
      <c r="K6" s="111"/>
      <c r="L6" s="23" t="s">
        <v>23</v>
      </c>
      <c r="M6" s="24">
        <v>10594608</v>
      </c>
    </row>
    <row r="7" spans="1:14">
      <c r="B7" s="116">
        <v>3</v>
      </c>
      <c r="C7" s="117" t="s">
        <v>24</v>
      </c>
      <c r="D7" s="85">
        <v>815287.87089999998</v>
      </c>
      <c r="E7" s="86">
        <v>793249.48579611536</v>
      </c>
      <c r="F7" s="87">
        <v>771881.3358</v>
      </c>
      <c r="G7" s="87">
        <v>763401.85510000004</v>
      </c>
      <c r="H7" s="30">
        <v>2.7782413349775492E-2</v>
      </c>
      <c r="I7" s="30">
        <v>5.6234725581247869E-2</v>
      </c>
      <c r="J7" s="103">
        <v>1.110749291916413E-2</v>
      </c>
      <c r="K7" s="111"/>
      <c r="L7" s="23" t="s">
        <v>25</v>
      </c>
      <c r="M7" s="24">
        <v>10904235</v>
      </c>
    </row>
    <row r="8" spans="1:14" ht="12" thickBot="1">
      <c r="B8" s="116">
        <v>4</v>
      </c>
      <c r="C8" s="117" t="s">
        <v>26</v>
      </c>
      <c r="D8" s="85">
        <v>869911.55069999991</v>
      </c>
      <c r="E8" s="86">
        <v>837298.5115824684</v>
      </c>
      <c r="F8" s="87">
        <v>814743.79139999999</v>
      </c>
      <c r="G8" s="87">
        <v>801839.7757</v>
      </c>
      <c r="H8" s="30">
        <v>3.8950313020255978E-2</v>
      </c>
      <c r="I8" s="30">
        <v>6.7711788518453719E-2</v>
      </c>
      <c r="J8" s="103">
        <v>1.6093010213586556E-2</v>
      </c>
      <c r="K8" s="111"/>
      <c r="L8" s="33"/>
      <c r="M8" s="34"/>
    </row>
    <row r="9" spans="1:14">
      <c r="B9" s="116">
        <v>5</v>
      </c>
      <c r="C9" s="117" t="s">
        <v>27</v>
      </c>
      <c r="D9" s="85">
        <v>970304.31040000007</v>
      </c>
      <c r="E9" s="86">
        <v>923088.92497505015</v>
      </c>
      <c r="F9" s="87">
        <v>898223.22640000004</v>
      </c>
      <c r="G9" s="87">
        <v>902423.2317</v>
      </c>
      <c r="H9" s="30">
        <v>5.1149335830484643E-2</v>
      </c>
      <c r="I9" s="30">
        <v>8.024851938965627E-2</v>
      </c>
      <c r="J9" s="103">
        <v>-4.6541413745387894E-3</v>
      </c>
      <c r="K9" s="111"/>
      <c r="L9" s="35"/>
      <c r="M9" s="111"/>
    </row>
    <row r="10" spans="1:14" ht="12" thickBot="1">
      <c r="B10" s="116">
        <v>6</v>
      </c>
      <c r="C10" s="117" t="s">
        <v>28</v>
      </c>
      <c r="D10" s="85">
        <v>1005683.7095</v>
      </c>
      <c r="E10" s="86">
        <v>979218.26901202917</v>
      </c>
      <c r="F10" s="87">
        <v>952840.58679999993</v>
      </c>
      <c r="G10" s="87">
        <v>928029.29359999998</v>
      </c>
      <c r="H10" s="30">
        <v>2.7027110630475581E-2</v>
      </c>
      <c r="I10" s="30">
        <v>5.5458513661206688E-2</v>
      </c>
      <c r="J10" s="103">
        <v>2.67354633858079E-2</v>
      </c>
      <c r="K10" s="111"/>
      <c r="L10" s="35"/>
      <c r="M10" s="111"/>
    </row>
    <row r="11" spans="1:14">
      <c r="B11" s="116">
        <v>7</v>
      </c>
      <c r="C11" s="117" t="s">
        <v>29</v>
      </c>
      <c r="D11" s="85">
        <v>1067599.8743</v>
      </c>
      <c r="E11" s="86">
        <v>1041177.0815990828</v>
      </c>
      <c r="F11" s="87">
        <v>1013130.3844999999</v>
      </c>
      <c r="G11" s="87">
        <v>979984.34979999997</v>
      </c>
      <c r="H11" s="30">
        <v>2.5377808605175911E-2</v>
      </c>
      <c r="I11" s="30">
        <v>5.3763553668249697E-2</v>
      </c>
      <c r="J11" s="103">
        <v>3.3823024527651402E-2</v>
      </c>
      <c r="K11" s="111"/>
      <c r="L11" s="36" t="s">
        <v>30</v>
      </c>
      <c r="M11" s="37">
        <v>10435000</v>
      </c>
    </row>
    <row r="12" spans="1:14" ht="12" thickBot="1">
      <c r="B12" s="116">
        <v>8</v>
      </c>
      <c r="C12" s="117" t="s">
        <v>31</v>
      </c>
      <c r="D12" s="85">
        <v>1070831.6395</v>
      </c>
      <c r="E12" s="86">
        <v>1010253.5492596284</v>
      </c>
      <c r="F12" s="87">
        <v>983039.85450000002</v>
      </c>
      <c r="G12" s="87">
        <v>979955.22270000004</v>
      </c>
      <c r="H12" s="30">
        <v>5.99632540610886E-2</v>
      </c>
      <c r="I12" s="30">
        <v>8.9306435133958306E-2</v>
      </c>
      <c r="J12" s="103">
        <v>3.1477272925808375E-3</v>
      </c>
      <c r="K12" s="111"/>
      <c r="L12" s="38" t="s">
        <v>32</v>
      </c>
      <c r="M12" s="39">
        <v>4.4967417345471938E-2</v>
      </c>
    </row>
    <row r="13" spans="1:14" ht="12" thickBot="1">
      <c r="B13" s="116">
        <v>9</v>
      </c>
      <c r="C13" s="117" t="s">
        <v>33</v>
      </c>
      <c r="D13" s="85">
        <v>1033265.5449</v>
      </c>
      <c r="E13" s="86">
        <v>949581.56664184958</v>
      </c>
      <c r="F13" s="87">
        <v>924002.22279999999</v>
      </c>
      <c r="G13" s="87">
        <v>906858.32389999996</v>
      </c>
      <c r="H13" s="30">
        <v>8.8127214341465088E-2</v>
      </c>
      <c r="I13" s="30">
        <v>0.1182500641274431</v>
      </c>
      <c r="J13" s="103">
        <v>1.8904715817429585E-2</v>
      </c>
      <c r="K13" s="111"/>
      <c r="M13" s="111"/>
    </row>
    <row r="14" spans="1:14">
      <c r="B14" s="116">
        <v>10</v>
      </c>
      <c r="C14" s="117" t="s">
        <v>34</v>
      </c>
      <c r="D14" s="85">
        <v>969476.20220000006</v>
      </c>
      <c r="E14" s="86">
        <v>930460.27905087103</v>
      </c>
      <c r="F14" s="87">
        <v>905396.01470000006</v>
      </c>
      <c r="G14" s="87">
        <v>890327.44530000002</v>
      </c>
      <c r="H14" s="30">
        <v>4.1931852468681141E-2</v>
      </c>
      <c r="I14" s="30">
        <v>7.0775866537509335E-2</v>
      </c>
      <c r="J14" s="103">
        <v>1.6924749966482855E-2</v>
      </c>
      <c r="K14" s="111"/>
      <c r="L14" s="36" t="s">
        <v>35</v>
      </c>
      <c r="M14" s="37">
        <v>10153907.293099999</v>
      </c>
    </row>
    <row r="15" spans="1:14" ht="12" thickBot="1">
      <c r="B15" s="116">
        <v>11</v>
      </c>
      <c r="C15" s="117" t="s">
        <v>36</v>
      </c>
      <c r="D15" s="85" t="s">
        <v>41</v>
      </c>
      <c r="E15" s="86">
        <v>763870.46584344993</v>
      </c>
      <c r="F15" s="87">
        <v>743293.71290000004</v>
      </c>
      <c r="G15" s="87">
        <v>735633.72639999993</v>
      </c>
      <c r="H15" s="30" t="s">
        <v>41</v>
      </c>
      <c r="I15" s="30" t="s">
        <v>41</v>
      </c>
      <c r="J15" s="103">
        <v>1.04127723146763E-2</v>
      </c>
      <c r="K15" s="111"/>
      <c r="L15" s="38" t="s">
        <v>37</v>
      </c>
      <c r="M15" s="39">
        <v>7.3895465581991227E-2</v>
      </c>
    </row>
    <row r="16" spans="1:14" ht="12" thickBot="1">
      <c r="B16" s="118">
        <v>12</v>
      </c>
      <c r="C16" s="119" t="s">
        <v>38</v>
      </c>
      <c r="D16" s="85" t="s">
        <v>41</v>
      </c>
      <c r="E16" s="86">
        <v>790023.3692133138</v>
      </c>
      <c r="F16" s="87">
        <v>768742.12270000007</v>
      </c>
      <c r="G16" s="87">
        <v>685208.40140000009</v>
      </c>
      <c r="H16" s="30" t="s">
        <v>41</v>
      </c>
      <c r="I16" s="30" t="s">
        <v>41</v>
      </c>
      <c r="J16" s="104">
        <v>0.12190994904517516</v>
      </c>
      <c r="K16" s="111"/>
      <c r="L16" s="38" t="s">
        <v>39</v>
      </c>
      <c r="M16" s="39">
        <v>2.7683205960627122E-2</v>
      </c>
    </row>
    <row r="17" spans="1:13" ht="12" thickBot="1">
      <c r="B17" s="120" t="s">
        <v>40</v>
      </c>
      <c r="C17" s="121"/>
      <c r="D17" s="47">
        <v>9257420.8032999989</v>
      </c>
      <c r="E17" s="105">
        <v>10435000</v>
      </c>
      <c r="F17" s="106">
        <v>10153907.293099999</v>
      </c>
      <c r="G17" s="106">
        <v>9979402.8367999997</v>
      </c>
      <c r="H17" s="50">
        <v>4.2372496327338638E-2</v>
      </c>
      <c r="I17" s="50">
        <v>7.1228708830861409E-2</v>
      </c>
      <c r="J17" s="51">
        <v>1.748646278277266E-2</v>
      </c>
      <c r="K17" s="99"/>
      <c r="L17" s="111"/>
      <c r="M17" s="111"/>
    </row>
    <row r="18" spans="1:13" ht="16.5" customHeight="1">
      <c r="A18" s="100"/>
      <c r="B18" s="111"/>
      <c r="C18" s="111"/>
      <c r="D18" s="122"/>
      <c r="E18" s="122"/>
      <c r="F18" s="122"/>
      <c r="G18" s="122"/>
      <c r="H18" s="123"/>
      <c r="I18" s="123"/>
      <c r="J18" s="123"/>
      <c r="K18" s="111"/>
      <c r="L18" s="111"/>
      <c r="M18" s="111"/>
    </row>
    <row r="19" spans="1:13" ht="12" customHeight="1">
      <c r="B19" s="111"/>
      <c r="C19" s="111"/>
      <c r="D19" s="111"/>
      <c r="E19" s="111"/>
      <c r="F19" s="111"/>
      <c r="G19" s="111"/>
      <c r="H19" s="111"/>
      <c r="I19" s="111"/>
      <c r="J19" s="111"/>
      <c r="K19" s="111"/>
      <c r="L19" s="111"/>
      <c r="M19" s="111"/>
    </row>
    <row r="20" spans="1:13">
      <c r="B20" s="111"/>
      <c r="C20" s="111"/>
      <c r="D20" s="111"/>
      <c r="E20" s="111"/>
      <c r="F20" s="111"/>
      <c r="G20" s="111"/>
      <c r="H20" s="111"/>
      <c r="I20" s="111"/>
      <c r="J20" s="111"/>
      <c r="K20" s="111"/>
      <c r="L20" s="111"/>
      <c r="M20" s="111"/>
    </row>
    <row r="21" spans="1:13">
      <c r="B21" s="111"/>
      <c r="C21" s="111"/>
      <c r="D21" s="111"/>
      <c r="E21" s="111"/>
      <c r="F21" s="111"/>
      <c r="G21" s="111"/>
      <c r="H21" s="111"/>
      <c r="I21" s="111"/>
      <c r="J21" s="111"/>
      <c r="K21" s="111"/>
      <c r="L21" s="111"/>
      <c r="M21" s="111"/>
    </row>
    <row r="22" spans="1:13">
      <c r="B22" s="111"/>
      <c r="C22" s="111"/>
      <c r="D22" s="111"/>
      <c r="E22" s="111"/>
      <c r="F22" s="111"/>
      <c r="G22" s="111"/>
      <c r="H22" s="111"/>
      <c r="I22" s="111"/>
      <c r="J22" s="111"/>
      <c r="K22" s="111"/>
      <c r="L22" s="111"/>
      <c r="M22" s="111"/>
    </row>
    <row r="23" spans="1:13">
      <c r="B23" s="111"/>
      <c r="C23" s="111"/>
      <c r="D23" s="111"/>
      <c r="E23" s="111"/>
      <c r="F23" s="111"/>
      <c r="G23" s="111"/>
      <c r="H23" s="111"/>
      <c r="I23" s="111"/>
      <c r="J23" s="111"/>
      <c r="K23" s="111"/>
      <c r="L23" s="111"/>
      <c r="M23" s="111"/>
    </row>
    <row r="24" spans="1:13">
      <c r="B24" s="111"/>
      <c r="C24" s="111"/>
      <c r="D24" s="111"/>
      <c r="E24" s="111"/>
      <c r="F24" s="111"/>
      <c r="G24" s="111"/>
      <c r="H24" s="111"/>
      <c r="I24" s="111"/>
      <c r="J24" s="111"/>
      <c r="K24" s="111"/>
      <c r="L24" s="111"/>
      <c r="M24" s="111"/>
    </row>
    <row r="25" spans="1:13">
      <c r="B25" s="111"/>
      <c r="C25" s="111"/>
      <c r="D25" s="111"/>
      <c r="E25" s="111"/>
      <c r="F25" s="111"/>
      <c r="G25" s="111"/>
      <c r="H25" s="111"/>
      <c r="I25" s="111"/>
      <c r="J25" s="111"/>
      <c r="K25" s="111"/>
      <c r="L25" s="111"/>
      <c r="M25" s="111"/>
    </row>
    <row r="26" spans="1:13">
      <c r="B26" s="111"/>
      <c r="C26" s="111"/>
      <c r="D26" s="111"/>
      <c r="E26" s="111"/>
      <c r="F26" s="111"/>
      <c r="G26" s="111"/>
      <c r="H26" s="111"/>
      <c r="I26" s="111"/>
      <c r="J26" s="111"/>
      <c r="K26" s="111"/>
      <c r="L26" s="111"/>
      <c r="M26" s="111"/>
    </row>
    <row r="27" spans="1:13">
      <c r="B27" s="111"/>
      <c r="C27" s="111"/>
      <c r="D27" s="111"/>
      <c r="E27" s="111"/>
      <c r="F27" s="111"/>
      <c r="G27" s="111"/>
      <c r="H27" s="111"/>
      <c r="I27" s="111"/>
      <c r="J27" s="111"/>
      <c r="K27" s="111"/>
      <c r="L27" s="111"/>
      <c r="M27" s="111"/>
    </row>
    <row r="28" spans="1:13">
      <c r="B28" s="111"/>
      <c r="C28" s="111"/>
      <c r="D28" s="111"/>
      <c r="E28" s="111"/>
      <c r="F28" s="111"/>
      <c r="G28" s="111"/>
      <c r="H28" s="111"/>
      <c r="I28" s="111"/>
      <c r="J28" s="111"/>
      <c r="K28" s="111"/>
      <c r="L28" s="111"/>
      <c r="M28" s="111"/>
    </row>
    <row r="29" spans="1:13">
      <c r="B29" s="111"/>
      <c r="C29" s="111"/>
      <c r="D29" s="111"/>
      <c r="E29" s="111"/>
      <c r="F29" s="111"/>
      <c r="G29" s="111"/>
      <c r="H29" s="111"/>
      <c r="I29" s="111"/>
      <c r="J29" s="111"/>
      <c r="K29" s="111"/>
      <c r="L29" s="111"/>
      <c r="M29" s="111"/>
    </row>
    <row r="30" spans="1:13">
      <c r="B30" s="111"/>
      <c r="C30" s="111"/>
      <c r="D30" s="111"/>
      <c r="E30" s="111"/>
      <c r="F30" s="111"/>
      <c r="G30" s="111"/>
      <c r="H30" s="111"/>
      <c r="I30" s="111"/>
      <c r="J30" s="111"/>
      <c r="K30" s="111"/>
      <c r="L30" s="111"/>
      <c r="M30" s="111"/>
    </row>
    <row r="31" spans="1:13">
      <c r="B31" s="111"/>
      <c r="C31" s="111"/>
      <c r="D31" s="111"/>
      <c r="E31" s="111"/>
      <c r="F31" s="111"/>
      <c r="G31" s="111"/>
      <c r="H31" s="111"/>
      <c r="I31" s="111"/>
      <c r="J31" s="111"/>
      <c r="K31" s="111"/>
      <c r="L31" s="111"/>
      <c r="M31" s="111"/>
    </row>
    <row r="32" spans="1:13">
      <c r="B32" s="111"/>
      <c r="C32" s="111"/>
      <c r="D32" s="111"/>
      <c r="E32" s="111"/>
      <c r="F32" s="111"/>
      <c r="G32" s="111"/>
      <c r="H32" s="111"/>
      <c r="I32" s="111"/>
      <c r="J32" s="111"/>
      <c r="K32" s="111"/>
      <c r="L32" s="111"/>
      <c r="M32" s="111"/>
    </row>
    <row r="33" spans="2:13">
      <c r="B33" s="111"/>
      <c r="C33" s="111"/>
      <c r="D33" s="111"/>
      <c r="E33" s="111"/>
      <c r="F33" s="111"/>
      <c r="G33" s="111"/>
      <c r="H33" s="111"/>
      <c r="I33" s="111"/>
      <c r="J33" s="111"/>
      <c r="K33" s="111"/>
      <c r="L33" s="111"/>
      <c r="M33" s="111"/>
    </row>
    <row r="34" spans="2:13">
      <c r="B34" s="111"/>
      <c r="C34" s="111"/>
      <c r="D34" s="111"/>
      <c r="E34" s="111"/>
      <c r="F34" s="111"/>
      <c r="G34" s="111"/>
      <c r="H34" s="111"/>
      <c r="I34" s="111"/>
      <c r="J34" s="111"/>
      <c r="K34" s="111"/>
      <c r="L34" s="111"/>
      <c r="M34" s="111"/>
    </row>
    <row r="35" spans="2:13">
      <c r="B35" s="111"/>
      <c r="C35" s="111"/>
      <c r="D35" s="111"/>
      <c r="E35" s="111"/>
      <c r="F35" s="111"/>
      <c r="G35" s="111"/>
      <c r="H35" s="111"/>
      <c r="I35" s="111"/>
      <c r="J35" s="111"/>
      <c r="K35" s="111"/>
      <c r="L35" s="111"/>
      <c r="M35" s="111"/>
    </row>
    <row r="36" spans="2:13">
      <c r="B36" s="111"/>
      <c r="C36" s="111"/>
      <c r="D36" s="111"/>
      <c r="E36" s="111"/>
      <c r="F36" s="111"/>
      <c r="G36" s="111"/>
      <c r="H36" s="111"/>
      <c r="I36" s="111"/>
      <c r="J36" s="111"/>
      <c r="K36" s="111"/>
      <c r="L36" s="111"/>
      <c r="M36" s="111"/>
    </row>
    <row r="37" spans="2:13">
      <c r="B37" s="111"/>
      <c r="C37" s="111"/>
      <c r="D37" s="111"/>
      <c r="E37" s="111"/>
      <c r="F37" s="111"/>
      <c r="G37" s="111"/>
      <c r="H37" s="111"/>
      <c r="I37" s="111"/>
      <c r="J37" s="111"/>
      <c r="K37" s="111"/>
      <c r="L37" s="111"/>
      <c r="M37" s="111"/>
    </row>
    <row r="38" spans="2:13">
      <c r="B38" s="111"/>
      <c r="C38" s="111"/>
      <c r="D38" s="111"/>
      <c r="E38" s="111"/>
      <c r="F38" s="111"/>
      <c r="G38" s="111"/>
      <c r="H38" s="111"/>
      <c r="I38" s="111"/>
      <c r="J38" s="111"/>
      <c r="K38" s="111"/>
      <c r="L38" s="111"/>
      <c r="M38" s="111"/>
    </row>
    <row r="39" spans="2:13">
      <c r="B39" s="111"/>
      <c r="C39" s="111"/>
      <c r="D39" s="111"/>
      <c r="E39" s="111"/>
      <c r="F39" s="111"/>
      <c r="G39" s="111"/>
      <c r="H39" s="111"/>
      <c r="I39" s="111"/>
      <c r="J39" s="111"/>
      <c r="K39" s="111"/>
      <c r="L39" s="111"/>
      <c r="M39" s="111"/>
    </row>
    <row r="40" spans="2:13">
      <c r="B40" s="111"/>
      <c r="C40" s="111"/>
      <c r="D40" s="111"/>
      <c r="E40" s="111"/>
      <c r="F40" s="111"/>
      <c r="G40" s="111"/>
      <c r="H40" s="111"/>
      <c r="I40" s="111"/>
      <c r="J40" s="111"/>
      <c r="K40" s="111"/>
      <c r="L40" s="111"/>
      <c r="M40" s="111"/>
    </row>
    <row r="41" spans="2:13">
      <c r="B41" s="111"/>
      <c r="C41" s="111"/>
      <c r="D41" s="111"/>
      <c r="E41" s="111"/>
      <c r="F41" s="111"/>
      <c r="G41" s="111"/>
      <c r="H41" s="111"/>
      <c r="I41" s="111"/>
      <c r="J41" s="111"/>
      <c r="K41" s="111"/>
      <c r="L41" s="111"/>
      <c r="M41" s="111"/>
    </row>
    <row r="42" spans="2:13">
      <c r="B42" s="111"/>
      <c r="C42" s="111"/>
      <c r="D42" s="111"/>
      <c r="E42" s="111"/>
      <c r="F42" s="111"/>
      <c r="G42" s="111"/>
      <c r="H42" s="111"/>
      <c r="I42" s="111"/>
      <c r="J42" s="111"/>
      <c r="K42" s="111"/>
      <c r="L42" s="111"/>
      <c r="M42" s="111"/>
    </row>
    <row r="43" spans="2:13">
      <c r="B43" s="111"/>
      <c r="C43" s="111"/>
      <c r="D43" s="111"/>
      <c r="E43" s="111"/>
      <c r="F43" s="111"/>
      <c r="G43" s="111"/>
      <c r="H43" s="111"/>
      <c r="I43" s="111"/>
      <c r="J43" s="111"/>
      <c r="K43" s="111"/>
      <c r="L43" s="111"/>
      <c r="M43" s="111"/>
    </row>
    <row r="44" spans="2:13">
      <c r="B44" s="111"/>
      <c r="C44" s="111"/>
      <c r="D44" s="111"/>
      <c r="E44" s="111"/>
      <c r="F44" s="111"/>
      <c r="G44" s="111"/>
      <c r="H44" s="111"/>
      <c r="I44" s="111"/>
      <c r="J44" s="111"/>
      <c r="K44" s="111"/>
      <c r="L44" s="111"/>
      <c r="M44" s="111"/>
    </row>
    <row r="45" spans="2:13">
      <c r="B45" s="111"/>
      <c r="C45" s="111"/>
      <c r="D45" s="111"/>
      <c r="E45" s="111"/>
      <c r="F45" s="111"/>
      <c r="G45" s="111"/>
      <c r="H45" s="111"/>
      <c r="I45" s="111"/>
      <c r="J45" s="111"/>
      <c r="K45" s="111"/>
      <c r="L45" s="111"/>
      <c r="M45" s="111"/>
    </row>
  </sheetData>
  <mergeCells count="1">
    <mergeCell ref="B3:C3"/>
  </mergeCells>
  <printOptions horizontalCentered="1" verticalCentered="1"/>
  <pageMargins left="0.39370078740157483" right="0.39370078740157483" top="0" bottom="0.15748031496062992" header="0.19685039370078741" footer="0.19685039370078741"/>
  <pageSetup paperSize="9" pageOrder="overThenDown" orientation="landscape" r:id="rId1"/>
  <headerFooter alignWithMargins="0">
    <oddHeader>&amp;C&amp;"Tahoma,Bold"Monthly follow-up of total service units - 2016</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N19"/>
  <sheetViews>
    <sheetView workbookViewId="0">
      <selection activeCell="L56" sqref="L56"/>
    </sheetView>
  </sheetViews>
  <sheetFormatPr defaultRowHeight="11.25"/>
  <cols>
    <col min="1" max="2" width="2.85546875" style="40" bestFit="1" customWidth="1"/>
    <col min="3" max="3" width="9.28515625" style="40" customWidth="1"/>
    <col min="4" max="4" width="11.28515625" style="40" customWidth="1"/>
    <col min="5" max="5" width="11.85546875" style="40" customWidth="1"/>
    <col min="6" max="8" width="9.7109375" style="40" customWidth="1"/>
    <col min="9" max="9" width="8.85546875" style="40" customWidth="1"/>
    <col min="10" max="10" width="9.7109375" style="40" customWidth="1"/>
    <col min="11" max="11" width="2.7109375" style="40" customWidth="1"/>
    <col min="12" max="12" width="33.7109375" style="40" customWidth="1"/>
    <col min="13" max="13" width="10.85546875" style="40" customWidth="1"/>
    <col min="14" max="16384" width="9.140625" style="40"/>
  </cols>
  <sheetData>
    <row r="1" spans="1:14" s="67" customFormat="1" ht="13.5" thickBot="1">
      <c r="B1" s="2" t="s">
        <v>0</v>
      </c>
      <c r="C1" s="2"/>
      <c r="D1" s="68" t="s">
        <v>48</v>
      </c>
      <c r="L1" s="69" t="s">
        <v>2</v>
      </c>
      <c r="M1" s="70">
        <v>42688</v>
      </c>
    </row>
    <row r="2" spans="1:14" ht="8.25" customHeight="1" thickBot="1">
      <c r="A2" s="71"/>
      <c r="C2" s="71"/>
      <c r="K2" s="72"/>
      <c r="L2" s="72"/>
      <c r="M2" s="72"/>
    </row>
    <row r="3" spans="1:14" s="76" customFormat="1" ht="33.75" customHeight="1">
      <c r="A3" s="73"/>
      <c r="B3" s="538" t="s">
        <v>3</v>
      </c>
      <c r="C3" s="539"/>
      <c r="D3" s="12" t="s">
        <v>4</v>
      </c>
      <c r="E3" s="12" t="s">
        <v>5</v>
      </c>
      <c r="F3" s="12" t="s">
        <v>6</v>
      </c>
      <c r="G3" s="12" t="s">
        <v>7</v>
      </c>
      <c r="H3" s="13" t="s">
        <v>8</v>
      </c>
      <c r="I3" s="12" t="s">
        <v>9</v>
      </c>
      <c r="J3" s="14" t="s">
        <v>10</v>
      </c>
      <c r="K3" s="74"/>
      <c r="L3" s="16" t="s">
        <v>11</v>
      </c>
      <c r="M3" s="17">
        <v>3123670</v>
      </c>
      <c r="N3" s="102"/>
    </row>
    <row r="4" spans="1:14" s="77" customFormat="1" ht="11.85" customHeight="1">
      <c r="B4" s="78"/>
      <c r="C4" s="79"/>
      <c r="D4" s="80" t="s">
        <v>12</v>
      </c>
      <c r="E4" s="80" t="s">
        <v>13</v>
      </c>
      <c r="F4" s="80" t="s">
        <v>14</v>
      </c>
      <c r="G4" s="80" t="s">
        <v>15</v>
      </c>
      <c r="H4" s="80" t="s">
        <v>16</v>
      </c>
      <c r="I4" s="80" t="s">
        <v>17</v>
      </c>
      <c r="J4" s="81" t="s">
        <v>18</v>
      </c>
      <c r="K4" s="76"/>
      <c r="L4" s="23" t="s">
        <v>19</v>
      </c>
      <c r="M4" s="24">
        <v>2976228</v>
      </c>
    </row>
    <row r="5" spans="1:14">
      <c r="B5" s="83">
        <v>1</v>
      </c>
      <c r="C5" s="84" t="s">
        <v>20</v>
      </c>
      <c r="D5" s="85">
        <v>222247.0184</v>
      </c>
      <c r="E5" s="86">
        <v>202601.42818842171</v>
      </c>
      <c r="F5" s="87">
        <v>207392.09969999999</v>
      </c>
      <c r="G5" s="87">
        <v>206980.10400000002</v>
      </c>
      <c r="H5" s="30">
        <v>9.696669163312932E-2</v>
      </c>
      <c r="I5" s="30">
        <v>7.1627215894376706E-2</v>
      </c>
      <c r="J5" s="103">
        <v>1.9905087109239883E-3</v>
      </c>
      <c r="L5" s="23" t="s">
        <v>21</v>
      </c>
      <c r="M5" s="24">
        <v>2994307</v>
      </c>
    </row>
    <row r="6" spans="1:14">
      <c r="B6" s="83">
        <v>2</v>
      </c>
      <c r="C6" s="84" t="s">
        <v>22</v>
      </c>
      <c r="D6" s="85">
        <v>215268.99029999998</v>
      </c>
      <c r="E6" s="86">
        <v>190911.37809759483</v>
      </c>
      <c r="F6" s="87">
        <v>195425.62910000002</v>
      </c>
      <c r="G6" s="87">
        <v>193005.43849999999</v>
      </c>
      <c r="H6" s="30">
        <v>0.12758596394371735</v>
      </c>
      <c r="I6" s="30">
        <v>0.10153919571033354</v>
      </c>
      <c r="J6" s="103">
        <v>1.253949432103707E-2</v>
      </c>
      <c r="L6" s="23" t="s">
        <v>23</v>
      </c>
      <c r="M6" s="24">
        <v>3061590</v>
      </c>
    </row>
    <row r="7" spans="1:14">
      <c r="B7" s="83">
        <v>3</v>
      </c>
      <c r="C7" s="84" t="s">
        <v>24</v>
      </c>
      <c r="D7" s="85">
        <v>241533.28649999999</v>
      </c>
      <c r="E7" s="86">
        <v>219984.58944878416</v>
      </c>
      <c r="F7" s="87">
        <v>225186.2996</v>
      </c>
      <c r="G7" s="87">
        <v>221398.18530000001</v>
      </c>
      <c r="H7" s="30">
        <v>9.7955484541941917E-2</v>
      </c>
      <c r="I7" s="30">
        <v>7.2593168096981353E-2</v>
      </c>
      <c r="J7" s="103">
        <v>1.7109960927940815E-2</v>
      </c>
      <c r="L7" s="23" t="s">
        <v>25</v>
      </c>
      <c r="M7" s="24">
        <v>3123670</v>
      </c>
    </row>
    <row r="8" spans="1:14" ht="12" thickBot="1">
      <c r="B8" s="83">
        <v>4</v>
      </c>
      <c r="C8" s="84" t="s">
        <v>26</v>
      </c>
      <c r="D8" s="85">
        <v>252419.8101</v>
      </c>
      <c r="E8" s="86">
        <v>230122.50411321773</v>
      </c>
      <c r="F8" s="87">
        <v>235563.9333</v>
      </c>
      <c r="G8" s="87">
        <v>230730.10860000001</v>
      </c>
      <c r="H8" s="30">
        <v>9.6893200744122998E-2</v>
      </c>
      <c r="I8" s="30">
        <v>7.1555422614434594E-2</v>
      </c>
      <c r="J8" s="103">
        <v>2.0950125362182659E-2</v>
      </c>
      <c r="L8" s="33"/>
      <c r="M8" s="34"/>
    </row>
    <row r="9" spans="1:14">
      <c r="B9" s="83">
        <v>5</v>
      </c>
      <c r="C9" s="84" t="s">
        <v>27</v>
      </c>
      <c r="D9" s="85">
        <v>275907.93480000005</v>
      </c>
      <c r="E9" s="86">
        <v>246448.02072052695</v>
      </c>
      <c r="F9" s="87">
        <v>252275.4797</v>
      </c>
      <c r="G9" s="87">
        <v>247749.8621</v>
      </c>
      <c r="H9" s="30">
        <v>0.11953804292419434</v>
      </c>
      <c r="I9" s="30">
        <v>9.3677178329432564E-2</v>
      </c>
      <c r="J9" s="103">
        <v>1.8266882417772301E-2</v>
      </c>
      <c r="L9" s="35"/>
    </row>
    <row r="10" spans="1:14" ht="12" thickBot="1">
      <c r="B10" s="83">
        <v>6</v>
      </c>
      <c r="C10" s="84" t="s">
        <v>28</v>
      </c>
      <c r="D10" s="85">
        <v>274922.2512</v>
      </c>
      <c r="E10" s="86">
        <v>253420.11541000011</v>
      </c>
      <c r="F10" s="87">
        <v>259412.4351</v>
      </c>
      <c r="G10" s="87">
        <v>249750.20259999999</v>
      </c>
      <c r="H10" s="30">
        <v>8.484778627463041E-2</v>
      </c>
      <c r="I10" s="30">
        <v>5.9788252224767691E-2</v>
      </c>
      <c r="J10" s="103">
        <v>3.8687586233814075E-2</v>
      </c>
      <c r="L10" s="35"/>
    </row>
    <row r="11" spans="1:14">
      <c r="B11" s="83">
        <v>7</v>
      </c>
      <c r="C11" s="84" t="s">
        <v>29</v>
      </c>
      <c r="D11" s="85">
        <v>289256.53999999998</v>
      </c>
      <c r="E11" s="86">
        <v>264606.10725789616</v>
      </c>
      <c r="F11" s="87">
        <v>270862.92859999998</v>
      </c>
      <c r="G11" s="87">
        <v>258633.91929999998</v>
      </c>
      <c r="H11" s="30">
        <v>9.3158971263193502E-2</v>
      </c>
      <c r="I11" s="30">
        <v>6.7907452286182002E-2</v>
      </c>
      <c r="J11" s="103">
        <v>4.7283083878163268E-2</v>
      </c>
      <c r="L11" s="36" t="s">
        <v>30</v>
      </c>
      <c r="M11" s="37">
        <v>2825835.3439999991</v>
      </c>
    </row>
    <row r="12" spans="1:14" ht="12" thickBot="1">
      <c r="B12" s="83">
        <v>8</v>
      </c>
      <c r="C12" s="84" t="s">
        <v>31</v>
      </c>
      <c r="D12" s="85">
        <v>289248.67970000004</v>
      </c>
      <c r="E12" s="86">
        <v>261398.82127948615</v>
      </c>
      <c r="F12" s="87">
        <v>267579.80380000005</v>
      </c>
      <c r="G12" s="87">
        <v>248866.1507</v>
      </c>
      <c r="H12" s="30">
        <v>0.1065416373501431</v>
      </c>
      <c r="I12" s="30">
        <v>8.0980984335410344E-2</v>
      </c>
      <c r="J12" s="103">
        <v>7.5195654561148961E-2</v>
      </c>
      <c r="L12" s="38" t="s">
        <v>32</v>
      </c>
      <c r="M12" s="39">
        <v>0.10539703122914901</v>
      </c>
    </row>
    <row r="13" spans="1:14" ht="12" thickBot="1">
      <c r="B13" s="83">
        <v>9</v>
      </c>
      <c r="C13" s="84" t="s">
        <v>33</v>
      </c>
      <c r="D13" s="85">
        <v>278688.04670000001</v>
      </c>
      <c r="E13" s="86">
        <v>256722.47958892488</v>
      </c>
      <c r="F13" s="87">
        <v>262792.88630000001</v>
      </c>
      <c r="G13" s="87">
        <v>243661.27600000001</v>
      </c>
      <c r="H13" s="30">
        <v>8.5561525995882182E-2</v>
      </c>
      <c r="I13" s="30">
        <v>6.0485504854398409E-2</v>
      </c>
      <c r="J13" s="103">
        <v>7.8517237593387579E-2</v>
      </c>
    </row>
    <row r="14" spans="1:14">
      <c r="B14" s="83">
        <v>10</v>
      </c>
      <c r="C14" s="84" t="s">
        <v>34</v>
      </c>
      <c r="D14" s="85">
        <v>276546.1765</v>
      </c>
      <c r="E14" s="86">
        <v>256326.08280536949</v>
      </c>
      <c r="F14" s="87">
        <v>262387.1164</v>
      </c>
      <c r="G14" s="87">
        <v>245310.67379999999</v>
      </c>
      <c r="H14" s="30">
        <v>7.8884261302365477E-2</v>
      </c>
      <c r="I14" s="30">
        <v>5.3962482206691087E-2</v>
      </c>
      <c r="J14" s="103">
        <v>6.9611494418389208E-2</v>
      </c>
      <c r="L14" s="36" t="s">
        <v>35</v>
      </c>
      <c r="M14" s="37">
        <v>2892654.4627000005</v>
      </c>
    </row>
    <row r="15" spans="1:14" ht="12" thickBot="1">
      <c r="B15" s="83">
        <v>11</v>
      </c>
      <c r="C15" s="84" t="s">
        <v>36</v>
      </c>
      <c r="D15" s="85" t="s">
        <v>41</v>
      </c>
      <c r="E15" s="86">
        <v>222254.98562977376</v>
      </c>
      <c r="F15" s="87">
        <v>227510.3811</v>
      </c>
      <c r="G15" s="87">
        <v>213672.85319999998</v>
      </c>
      <c r="H15" s="30" t="s">
        <v>41</v>
      </c>
      <c r="I15" s="30" t="s">
        <v>41</v>
      </c>
      <c r="J15" s="103">
        <v>6.4760345981096368E-2</v>
      </c>
      <c r="L15" s="38" t="s">
        <v>37</v>
      </c>
      <c r="M15" s="39">
        <v>7.9862818141220204E-2</v>
      </c>
    </row>
    <row r="16" spans="1:14" ht="12" thickBot="1">
      <c r="B16" s="90">
        <v>12</v>
      </c>
      <c r="C16" s="91" t="s">
        <v>38</v>
      </c>
      <c r="D16" s="85" t="s">
        <v>41</v>
      </c>
      <c r="E16" s="86">
        <v>221038.83146000322</v>
      </c>
      <c r="F16" s="87">
        <v>226265.47</v>
      </c>
      <c r="G16" s="87">
        <v>207553.70550000001</v>
      </c>
      <c r="H16" s="30" t="s">
        <v>41</v>
      </c>
      <c r="I16" s="61" t="s">
        <v>41</v>
      </c>
      <c r="J16" s="104">
        <v>9.015384454314157E-2</v>
      </c>
      <c r="L16" s="38" t="s">
        <v>39</v>
      </c>
      <c r="M16" s="39">
        <v>-2.309958536756318E-2</v>
      </c>
    </row>
    <row r="17" spans="1:11" ht="12" thickBot="1">
      <c r="B17" s="93" t="s">
        <v>40</v>
      </c>
      <c r="C17" s="94"/>
      <c r="D17" s="47">
        <v>2616038.7342000003</v>
      </c>
      <c r="E17" s="105">
        <v>2825835.3439999991</v>
      </c>
      <c r="F17" s="106">
        <v>2892654.4627000005</v>
      </c>
      <c r="G17" s="106">
        <v>2767312.4795999997</v>
      </c>
      <c r="H17" s="50">
        <v>9.8003415534413385E-2</v>
      </c>
      <c r="I17" s="50">
        <v>7.2639991903400203E-2</v>
      </c>
      <c r="J17" s="51">
        <v>4.5293758483725188E-2</v>
      </c>
      <c r="K17" s="99"/>
    </row>
    <row r="18" spans="1:11">
      <c r="A18" s="100"/>
      <c r="D18" s="101"/>
      <c r="E18" s="101"/>
      <c r="F18" s="101"/>
      <c r="G18" s="101"/>
      <c r="H18" s="59"/>
      <c r="I18" s="59"/>
      <c r="J18" s="59"/>
    </row>
    <row r="19" spans="1:11"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7" pageOrder="overThenDown" orientation="landscape" r:id="rId1"/>
  <headerFooter alignWithMargins="0">
    <oddHeader>&amp;C&amp;"Tahoma,Bold"Monthly follow-up of total service units - 2016</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N19"/>
  <sheetViews>
    <sheetView workbookViewId="0">
      <selection activeCell="N59" sqref="N59"/>
    </sheetView>
  </sheetViews>
  <sheetFormatPr defaultRowHeight="11.25"/>
  <cols>
    <col min="1" max="2" width="2.85546875" style="40" bestFit="1" customWidth="1"/>
    <col min="3" max="3" width="9.28515625" style="40" customWidth="1"/>
    <col min="4" max="5" width="11.42578125" style="40" customWidth="1"/>
    <col min="6" max="10" width="9.7109375" style="40" customWidth="1"/>
    <col min="11" max="11" width="2.7109375" style="40" customWidth="1"/>
    <col min="12" max="12" width="33.7109375" style="40" customWidth="1"/>
    <col min="13" max="13" width="12.5703125" style="40" customWidth="1"/>
    <col min="14" max="16384" width="9.140625" style="40"/>
  </cols>
  <sheetData>
    <row r="1" spans="1:14" s="67" customFormat="1" ht="13.5" thickBot="1">
      <c r="B1" s="2" t="s">
        <v>0</v>
      </c>
      <c r="C1" s="2"/>
      <c r="D1" s="68" t="s">
        <v>49</v>
      </c>
      <c r="L1" s="69" t="s">
        <v>2</v>
      </c>
      <c r="M1" s="70">
        <v>42688</v>
      </c>
    </row>
    <row r="2" spans="1:14" ht="8.25" customHeight="1" thickBot="1">
      <c r="A2" s="71"/>
      <c r="C2" s="71"/>
      <c r="K2" s="72"/>
      <c r="L2" s="72"/>
      <c r="M2" s="72"/>
    </row>
    <row r="3" spans="1:14" s="76" customFormat="1" ht="33.75" customHeight="1">
      <c r="A3" s="73"/>
      <c r="B3" s="538" t="s">
        <v>3</v>
      </c>
      <c r="C3" s="539"/>
      <c r="D3" s="12" t="s">
        <v>4</v>
      </c>
      <c r="E3" s="12" t="s">
        <v>5</v>
      </c>
      <c r="F3" s="12" t="s">
        <v>6</v>
      </c>
      <c r="G3" s="12" t="s">
        <v>7</v>
      </c>
      <c r="H3" s="13" t="s">
        <v>8</v>
      </c>
      <c r="I3" s="12" t="s">
        <v>9</v>
      </c>
      <c r="J3" s="14" t="s">
        <v>10</v>
      </c>
      <c r="K3" s="74"/>
      <c r="L3" s="16" t="s">
        <v>11</v>
      </c>
      <c r="M3" s="17">
        <v>4528688</v>
      </c>
      <c r="N3" s="102"/>
    </row>
    <row r="4" spans="1:14" s="77" customFormat="1" ht="11.85" customHeight="1">
      <c r="B4" s="78"/>
      <c r="C4" s="79"/>
      <c r="D4" s="80" t="s">
        <v>12</v>
      </c>
      <c r="E4" s="80" t="s">
        <v>13</v>
      </c>
      <c r="F4" s="80" t="s">
        <v>14</v>
      </c>
      <c r="G4" s="80" t="s">
        <v>15</v>
      </c>
      <c r="H4" s="80" t="s">
        <v>16</v>
      </c>
      <c r="I4" s="80" t="s">
        <v>17</v>
      </c>
      <c r="J4" s="81" t="s">
        <v>18</v>
      </c>
      <c r="K4" s="76"/>
      <c r="L4" s="23" t="s">
        <v>19</v>
      </c>
      <c r="M4" s="24">
        <v>4238843</v>
      </c>
    </row>
    <row r="5" spans="1:14">
      <c r="B5" s="83">
        <v>1</v>
      </c>
      <c r="C5" s="84" t="s">
        <v>20</v>
      </c>
      <c r="D5" s="85">
        <v>302493.31079999998</v>
      </c>
      <c r="E5" s="86">
        <v>264323.8113219557</v>
      </c>
      <c r="F5" s="87">
        <v>272993.55499999999</v>
      </c>
      <c r="G5" s="87">
        <v>251610.18289999999</v>
      </c>
      <c r="H5" s="30">
        <v>0.14440431714096502</v>
      </c>
      <c r="I5" s="30">
        <v>0.10806026464617458</v>
      </c>
      <c r="J5" s="103">
        <v>8.4986115639439808E-2</v>
      </c>
      <c r="L5" s="23" t="s">
        <v>21</v>
      </c>
      <c r="M5" s="24">
        <v>4291573</v>
      </c>
    </row>
    <row r="6" spans="1:14">
      <c r="B6" s="83">
        <v>2</v>
      </c>
      <c r="C6" s="84" t="s">
        <v>22</v>
      </c>
      <c r="D6" s="85">
        <v>273707.18309999997</v>
      </c>
      <c r="E6" s="86">
        <v>248168.43406925941</v>
      </c>
      <c r="F6" s="87">
        <v>256308.2861</v>
      </c>
      <c r="G6" s="87">
        <v>230374.6151</v>
      </c>
      <c r="H6" s="30">
        <v>0.10290893411372837</v>
      </c>
      <c r="I6" s="30">
        <v>6.7882694175605884E-2</v>
      </c>
      <c r="J6" s="103">
        <v>0.11257173881220739</v>
      </c>
      <c r="L6" s="23" t="s">
        <v>23</v>
      </c>
      <c r="M6" s="24">
        <v>4291045</v>
      </c>
    </row>
    <row r="7" spans="1:14">
      <c r="B7" s="83">
        <v>3</v>
      </c>
      <c r="C7" s="84" t="s">
        <v>24</v>
      </c>
      <c r="D7" s="85">
        <v>341636.95979999995</v>
      </c>
      <c r="E7" s="86">
        <v>291178.18385951739</v>
      </c>
      <c r="F7" s="87">
        <v>300728.74309999996</v>
      </c>
      <c r="G7" s="87">
        <v>300023.0722</v>
      </c>
      <c r="H7" s="30">
        <v>0.17329174621415677</v>
      </c>
      <c r="I7" s="30">
        <v>0.13603028522749816</v>
      </c>
      <c r="J7" s="103">
        <v>2.3520554430211948E-3</v>
      </c>
      <c r="L7" s="23" t="s">
        <v>25</v>
      </c>
      <c r="M7" s="24">
        <v>4528688</v>
      </c>
    </row>
    <row r="8" spans="1:14" ht="12" thickBot="1">
      <c r="B8" s="83">
        <v>4</v>
      </c>
      <c r="C8" s="84" t="s">
        <v>26</v>
      </c>
      <c r="D8" s="85">
        <v>355584.06699999998</v>
      </c>
      <c r="E8" s="86">
        <v>340982.56038090104</v>
      </c>
      <c r="F8" s="87">
        <v>352166.68859999999</v>
      </c>
      <c r="G8" s="87">
        <v>322858.04699999996</v>
      </c>
      <c r="H8" s="30">
        <v>4.2821857524877771E-2</v>
      </c>
      <c r="I8" s="30">
        <v>9.7038661254005287E-3</v>
      </c>
      <c r="J8" s="103">
        <v>9.0778724186484361E-2</v>
      </c>
      <c r="L8" s="33"/>
      <c r="M8" s="34"/>
    </row>
    <row r="9" spans="1:14">
      <c r="B9" s="83">
        <v>5</v>
      </c>
      <c r="C9" s="84" t="s">
        <v>27</v>
      </c>
      <c r="D9" s="85">
        <v>408454.88829999999</v>
      </c>
      <c r="E9" s="86">
        <v>357585.9376636821</v>
      </c>
      <c r="F9" s="87">
        <v>369314.65179999999</v>
      </c>
      <c r="G9" s="87">
        <v>368807.12430000002</v>
      </c>
      <c r="H9" s="30">
        <v>0.14225657465356289</v>
      </c>
      <c r="I9" s="30">
        <v>0.10598073027764987</v>
      </c>
      <c r="J9" s="103">
        <v>1.3761325813954617E-3</v>
      </c>
      <c r="L9" s="35"/>
    </row>
    <row r="10" spans="1:14" ht="12" thickBot="1">
      <c r="B10" s="83">
        <v>6</v>
      </c>
      <c r="C10" s="84" t="s">
        <v>28</v>
      </c>
      <c r="D10" s="85">
        <v>435806.86049999995</v>
      </c>
      <c r="E10" s="86">
        <v>384155.33093771123</v>
      </c>
      <c r="F10" s="87">
        <v>396755.5134</v>
      </c>
      <c r="G10" s="87">
        <v>395934.75300000003</v>
      </c>
      <c r="H10" s="30">
        <v>0.13445480357179718</v>
      </c>
      <c r="I10" s="30">
        <v>9.8426728252240414E-2</v>
      </c>
      <c r="J10" s="103">
        <v>2.0729688257499213E-3</v>
      </c>
      <c r="L10" s="35"/>
    </row>
    <row r="11" spans="1:14">
      <c r="B11" s="83">
        <v>7</v>
      </c>
      <c r="C11" s="84" t="s">
        <v>29</v>
      </c>
      <c r="D11" s="85">
        <v>443916.35160000005</v>
      </c>
      <c r="E11" s="86">
        <v>391781.2396626483</v>
      </c>
      <c r="F11" s="87">
        <v>404631.54970000003</v>
      </c>
      <c r="G11" s="87">
        <v>393429.81319999998</v>
      </c>
      <c r="H11" s="30">
        <v>0.1330719969701557</v>
      </c>
      <c r="I11" s="30">
        <v>9.7087836895383806E-2</v>
      </c>
      <c r="J11" s="103">
        <v>2.8472007265767818E-2</v>
      </c>
      <c r="L11" s="36" t="s">
        <v>30</v>
      </c>
      <c r="M11" s="37">
        <v>4049624.0000000005</v>
      </c>
    </row>
    <row r="12" spans="1:14" ht="12" thickBot="1">
      <c r="B12" s="83">
        <v>8</v>
      </c>
      <c r="C12" s="84" t="s">
        <v>31</v>
      </c>
      <c r="D12" s="85">
        <v>450777.42259999999</v>
      </c>
      <c r="E12" s="86">
        <v>405110.84713732701</v>
      </c>
      <c r="F12" s="87">
        <v>418398.36440000002</v>
      </c>
      <c r="G12" s="87">
        <v>377777.19569999998</v>
      </c>
      <c r="H12" s="30">
        <v>0.11272612369027146</v>
      </c>
      <c r="I12" s="30">
        <v>7.7388108929232535E-2</v>
      </c>
      <c r="J12" s="103">
        <v>0.10752678870605537</v>
      </c>
      <c r="L12" s="38" t="s">
        <v>32</v>
      </c>
      <c r="M12" s="39">
        <v>0.11829839017153176</v>
      </c>
    </row>
    <row r="13" spans="1:14" ht="12" thickBot="1">
      <c r="B13" s="83">
        <v>9</v>
      </c>
      <c r="C13" s="84" t="s">
        <v>33</v>
      </c>
      <c r="D13" s="85">
        <v>402253.04310000001</v>
      </c>
      <c r="E13" s="86">
        <v>381738.3154389243</v>
      </c>
      <c r="F13" s="87">
        <v>394259.2205</v>
      </c>
      <c r="G13" s="87">
        <v>369162.10800000001</v>
      </c>
      <c r="H13" s="30">
        <v>5.3740289699470756E-2</v>
      </c>
      <c r="I13" s="30">
        <v>2.0275550156727551E-2</v>
      </c>
      <c r="J13" s="103">
        <v>6.7983988486705726E-2</v>
      </c>
    </row>
    <row r="14" spans="1:14">
      <c r="B14" s="83">
        <v>10</v>
      </c>
      <c r="C14" s="84" t="s">
        <v>34</v>
      </c>
      <c r="D14" s="85">
        <v>404008.26620000001</v>
      </c>
      <c r="E14" s="86">
        <v>373975.48452183057</v>
      </c>
      <c r="F14" s="87">
        <v>386241.77099999995</v>
      </c>
      <c r="G14" s="87">
        <v>351875.43780000001</v>
      </c>
      <c r="H14" s="30">
        <v>8.0306819353599401E-2</v>
      </c>
      <c r="I14" s="30">
        <v>4.5998378564808373E-2</v>
      </c>
      <c r="J14" s="103">
        <v>9.7666189532482184E-2</v>
      </c>
      <c r="L14" s="36" t="s">
        <v>35</v>
      </c>
      <c r="M14" s="37">
        <v>4182450.4823999992</v>
      </c>
    </row>
    <row r="15" spans="1:14" ht="12" thickBot="1">
      <c r="B15" s="83">
        <v>11</v>
      </c>
      <c r="C15" s="84" t="s">
        <v>36</v>
      </c>
      <c r="D15" s="85" t="s">
        <v>41</v>
      </c>
      <c r="E15" s="86">
        <v>296754.81189162063</v>
      </c>
      <c r="F15" s="87">
        <v>306488.28289999999</v>
      </c>
      <c r="G15" s="87">
        <v>280462.386</v>
      </c>
      <c r="H15" s="30" t="s">
        <v>41</v>
      </c>
      <c r="I15" s="30" t="s">
        <v>41</v>
      </c>
      <c r="J15" s="103">
        <v>9.2796389816065972E-2</v>
      </c>
      <c r="L15" s="38" t="s">
        <v>37</v>
      </c>
      <c r="M15" s="39">
        <v>8.2783411078502622E-2</v>
      </c>
    </row>
    <row r="16" spans="1:14" ht="12" thickBot="1">
      <c r="B16" s="90">
        <v>12</v>
      </c>
      <c r="C16" s="91" t="s">
        <v>38</v>
      </c>
      <c r="D16" s="85" t="s">
        <v>41</v>
      </c>
      <c r="E16" s="86">
        <v>313869.04311462311</v>
      </c>
      <c r="F16" s="87">
        <v>324163.85590000002</v>
      </c>
      <c r="G16" s="87">
        <v>280184.08359999995</v>
      </c>
      <c r="H16" s="30" t="s">
        <v>41</v>
      </c>
      <c r="I16" s="30" t="s">
        <v>41</v>
      </c>
      <c r="J16" s="104">
        <v>0.15696741847330298</v>
      </c>
      <c r="L16" s="38" t="s">
        <v>39</v>
      </c>
      <c r="M16" s="39">
        <v>-3.1758052595945996E-2</v>
      </c>
    </row>
    <row r="17" spans="1:13" ht="13.5" thickBot="1">
      <c r="B17" s="93" t="s">
        <v>40</v>
      </c>
      <c r="C17" s="94"/>
      <c r="D17" s="47">
        <v>3818638.3529999997</v>
      </c>
      <c r="E17" s="105">
        <v>4049624.0000000005</v>
      </c>
      <c r="F17" s="106">
        <v>4182450.4823999992</v>
      </c>
      <c r="G17" s="106">
        <v>3922498.8188</v>
      </c>
      <c r="H17" s="50">
        <v>0.11039203024137478</v>
      </c>
      <c r="I17" s="50">
        <v>7.5128141742849985E-2</v>
      </c>
      <c r="J17" s="51">
        <v>6.6271954590295001E-2</v>
      </c>
      <c r="K17" s="99"/>
      <c r="L17" s="124"/>
      <c r="M17" s="124"/>
    </row>
    <row r="18" spans="1:13">
      <c r="A18" s="100"/>
      <c r="D18" s="101"/>
      <c r="E18" s="101"/>
      <c r="F18" s="101"/>
      <c r="G18" s="101"/>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6" pageOrder="overThenDown" orientation="landscape" r:id="rId1"/>
  <headerFooter alignWithMargins="0">
    <oddHeader>&amp;C&amp;"Tahoma,Bold"Monthly follow-up of total service units - 2016</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N19"/>
  <sheetViews>
    <sheetView workbookViewId="0">
      <selection activeCell="N58" sqref="N58"/>
    </sheetView>
  </sheetViews>
  <sheetFormatPr defaultRowHeight="11.25"/>
  <cols>
    <col min="1" max="2" width="2.85546875" style="40" bestFit="1" customWidth="1"/>
    <col min="3" max="3" width="9.28515625" style="40" customWidth="1"/>
    <col min="4" max="4" width="11" style="40" customWidth="1"/>
    <col min="5" max="5" width="11.140625" style="40" customWidth="1"/>
    <col min="6" max="10" width="9.7109375" style="40" customWidth="1"/>
    <col min="11" max="11" width="2.7109375" style="40" customWidth="1"/>
    <col min="12" max="12" width="34" style="40" customWidth="1"/>
    <col min="13" max="13" width="12.42578125" style="40" customWidth="1"/>
    <col min="14" max="16384" width="9.140625" style="40"/>
  </cols>
  <sheetData>
    <row r="1" spans="1:14" s="67" customFormat="1" ht="13.5" thickBot="1">
      <c r="B1" s="2" t="s">
        <v>0</v>
      </c>
      <c r="C1" s="2"/>
      <c r="D1" s="68" t="s">
        <v>50</v>
      </c>
      <c r="L1" s="69" t="s">
        <v>2</v>
      </c>
      <c r="M1" s="70">
        <v>42688</v>
      </c>
    </row>
    <row r="2" spans="1:14" ht="8.25" customHeight="1" thickBot="1">
      <c r="A2" s="71"/>
      <c r="C2" s="71"/>
      <c r="K2" s="72"/>
      <c r="L2" s="72"/>
      <c r="M2" s="72"/>
    </row>
    <row r="3" spans="1:14" s="76" customFormat="1" ht="33.75" customHeight="1">
      <c r="A3" s="73"/>
      <c r="B3" s="538" t="s">
        <v>3</v>
      </c>
      <c r="C3" s="539"/>
      <c r="D3" s="12" t="s">
        <v>4</v>
      </c>
      <c r="E3" s="12" t="s">
        <v>5</v>
      </c>
      <c r="F3" s="12" t="s">
        <v>6</v>
      </c>
      <c r="G3" s="12" t="s">
        <v>7</v>
      </c>
      <c r="H3" s="13" t="s">
        <v>8</v>
      </c>
      <c r="I3" s="12" t="s">
        <v>9</v>
      </c>
      <c r="J3" s="14" t="s">
        <v>10</v>
      </c>
      <c r="K3" s="74"/>
      <c r="L3" s="16" t="s">
        <v>11</v>
      </c>
      <c r="M3" s="17">
        <v>1523402</v>
      </c>
      <c r="N3" s="102"/>
    </row>
    <row r="4" spans="1:14" s="77" customFormat="1" ht="11.85" customHeight="1">
      <c r="B4" s="78"/>
      <c r="C4" s="79"/>
      <c r="D4" s="80" t="s">
        <v>12</v>
      </c>
      <c r="E4" s="80" t="s">
        <v>13</v>
      </c>
      <c r="F4" s="80" t="s">
        <v>14</v>
      </c>
      <c r="G4" s="80" t="s">
        <v>15</v>
      </c>
      <c r="H4" s="80" t="s">
        <v>16</v>
      </c>
      <c r="I4" s="80" t="s">
        <v>17</v>
      </c>
      <c r="J4" s="81" t="s">
        <v>18</v>
      </c>
      <c r="K4" s="76"/>
      <c r="L4" s="23" t="s">
        <v>19</v>
      </c>
      <c r="M4" s="24">
        <v>1501234</v>
      </c>
    </row>
    <row r="5" spans="1:14">
      <c r="B5" s="83">
        <v>1</v>
      </c>
      <c r="C5" s="84" t="s">
        <v>20</v>
      </c>
      <c r="D5" s="85">
        <v>98516.935299999997</v>
      </c>
      <c r="E5" s="86">
        <v>98543.268496945806</v>
      </c>
      <c r="F5" s="87">
        <v>97518.983699999997</v>
      </c>
      <c r="G5" s="87">
        <v>92063.606199999995</v>
      </c>
      <c r="H5" s="30">
        <v>-2.6722471608120468E-4</v>
      </c>
      <c r="I5" s="30">
        <v>1.0233408533768307E-2</v>
      </c>
      <c r="J5" s="103">
        <v>5.9256613174033967E-2</v>
      </c>
      <c r="L5" s="23" t="s">
        <v>21</v>
      </c>
      <c r="M5" s="24">
        <v>1518131</v>
      </c>
    </row>
    <row r="6" spans="1:14">
      <c r="B6" s="83">
        <v>2</v>
      </c>
      <c r="C6" s="84" t="s">
        <v>22</v>
      </c>
      <c r="D6" s="85">
        <v>95814.986499999999</v>
      </c>
      <c r="E6" s="86">
        <v>89934.53534762605</v>
      </c>
      <c r="F6" s="87">
        <v>88999.731999999989</v>
      </c>
      <c r="G6" s="87">
        <v>86942.959300000002</v>
      </c>
      <c r="H6" s="30">
        <v>6.5385906867079457E-2</v>
      </c>
      <c r="I6" s="30">
        <v>7.6576123847204469E-2</v>
      </c>
      <c r="J6" s="103">
        <v>2.3656575719984474E-2</v>
      </c>
      <c r="L6" s="23" t="s">
        <v>23</v>
      </c>
      <c r="M6" s="24">
        <v>1508934</v>
      </c>
    </row>
    <row r="7" spans="1:14">
      <c r="B7" s="83">
        <v>3</v>
      </c>
      <c r="C7" s="84" t="s">
        <v>24</v>
      </c>
      <c r="D7" s="85">
        <v>108562.4152</v>
      </c>
      <c r="E7" s="86">
        <v>103820.44001347336</v>
      </c>
      <c r="F7" s="87">
        <v>102741.3029</v>
      </c>
      <c r="G7" s="87">
        <v>103510.1214</v>
      </c>
      <c r="H7" s="30">
        <v>4.5674774504049998E-2</v>
      </c>
      <c r="I7" s="30">
        <v>5.6657956787503405E-2</v>
      </c>
      <c r="J7" s="103">
        <v>-7.4274717254848577E-3</v>
      </c>
      <c r="L7" s="23" t="s">
        <v>25</v>
      </c>
      <c r="M7" s="24">
        <v>1523402</v>
      </c>
    </row>
    <row r="8" spans="1:14" ht="12" thickBot="1">
      <c r="B8" s="83">
        <v>4</v>
      </c>
      <c r="C8" s="84" t="s">
        <v>26</v>
      </c>
      <c r="D8" s="85">
        <v>116573.76119999999</v>
      </c>
      <c r="E8" s="86">
        <v>120371.34095549304</v>
      </c>
      <c r="F8" s="87">
        <v>119120.16940000001</v>
      </c>
      <c r="G8" s="87">
        <v>114606.2295</v>
      </c>
      <c r="H8" s="30">
        <v>-3.1548869733844631E-2</v>
      </c>
      <c r="I8" s="30">
        <v>-2.1376801366436049E-2</v>
      </c>
      <c r="J8" s="103">
        <v>3.938651432555873E-2</v>
      </c>
      <c r="L8" s="33"/>
      <c r="M8" s="34"/>
    </row>
    <row r="9" spans="1:14">
      <c r="B9" s="83">
        <v>5</v>
      </c>
      <c r="C9" s="84" t="s">
        <v>27</v>
      </c>
      <c r="D9" s="85">
        <v>136465.39869999999</v>
      </c>
      <c r="E9" s="86">
        <v>135701.48240041523</v>
      </c>
      <c r="F9" s="87">
        <v>134290.96529999998</v>
      </c>
      <c r="G9" s="87">
        <v>130920.9553</v>
      </c>
      <c r="H9" s="30">
        <v>5.6293880219426828E-3</v>
      </c>
      <c r="I9" s="30">
        <v>1.6191955990058071E-2</v>
      </c>
      <c r="J9" s="103">
        <v>2.5740799036164441E-2</v>
      </c>
      <c r="L9" s="35"/>
    </row>
    <row r="10" spans="1:14" ht="12" thickBot="1">
      <c r="B10" s="83">
        <v>6</v>
      </c>
      <c r="C10" s="84" t="s">
        <v>28</v>
      </c>
      <c r="D10" s="85">
        <v>143781.17059999998</v>
      </c>
      <c r="E10" s="86">
        <v>138517.60886372591</v>
      </c>
      <c r="F10" s="87">
        <v>137077.82020000002</v>
      </c>
      <c r="G10" s="87">
        <v>136949.85209999999</v>
      </c>
      <c r="H10" s="30">
        <v>3.7999224643362028E-2</v>
      </c>
      <c r="I10" s="30">
        <v>4.890178724916705E-2</v>
      </c>
      <c r="J10" s="103">
        <v>9.3441575903696616E-4</v>
      </c>
      <c r="L10" s="35"/>
    </row>
    <row r="11" spans="1:14">
      <c r="B11" s="83">
        <v>7</v>
      </c>
      <c r="C11" s="84" t="s">
        <v>29</v>
      </c>
      <c r="D11" s="85">
        <v>157784.21030000001</v>
      </c>
      <c r="E11" s="86">
        <v>153858.54258643798</v>
      </c>
      <c r="F11" s="87">
        <v>152259.29620000001</v>
      </c>
      <c r="G11" s="87">
        <v>144977.4896</v>
      </c>
      <c r="H11" s="30">
        <v>2.5514785513820692E-2</v>
      </c>
      <c r="I11" s="30">
        <v>3.62862185619377E-2</v>
      </c>
      <c r="J11" s="103">
        <v>5.0227153333189056E-2</v>
      </c>
      <c r="L11" s="36" t="s">
        <v>30</v>
      </c>
      <c r="M11" s="37">
        <v>1470066.3046959997</v>
      </c>
    </row>
    <row r="12" spans="1:14" ht="12" thickBot="1">
      <c r="B12" s="83">
        <v>8</v>
      </c>
      <c r="C12" s="84" t="s">
        <v>31</v>
      </c>
      <c r="D12" s="85">
        <v>152411.3964</v>
      </c>
      <c r="E12" s="86">
        <v>150476.31986893166</v>
      </c>
      <c r="F12" s="87">
        <v>148912.2292</v>
      </c>
      <c r="G12" s="87">
        <v>149435.6042</v>
      </c>
      <c r="H12" s="30">
        <v>1.2859674749846617E-2</v>
      </c>
      <c r="I12" s="30">
        <v>2.3498185600998367E-2</v>
      </c>
      <c r="J12" s="103">
        <v>-3.5023447243505146E-3</v>
      </c>
      <c r="L12" s="38" t="s">
        <v>32</v>
      </c>
      <c r="M12" s="39">
        <v>3.6281149451302896E-2</v>
      </c>
    </row>
    <row r="13" spans="1:14" ht="12" thickBot="1">
      <c r="B13" s="83">
        <v>9</v>
      </c>
      <c r="C13" s="84" t="s">
        <v>33</v>
      </c>
      <c r="D13" s="85">
        <v>144450.91080000001</v>
      </c>
      <c r="E13" s="86">
        <v>137672.29737250562</v>
      </c>
      <c r="F13" s="87">
        <v>136241.29510000002</v>
      </c>
      <c r="G13" s="87">
        <v>137953.30409999998</v>
      </c>
      <c r="H13" s="30">
        <v>4.9237308862168705E-2</v>
      </c>
      <c r="I13" s="30">
        <v>6.0257910011602522E-2</v>
      </c>
      <c r="J13" s="103">
        <v>-1.241006158691893E-2</v>
      </c>
    </row>
    <row r="14" spans="1:14">
      <c r="B14" s="83">
        <v>10</v>
      </c>
      <c r="C14" s="84" t="s">
        <v>34</v>
      </c>
      <c r="D14" s="85">
        <v>135140.41149999999</v>
      </c>
      <c r="E14" s="86">
        <v>131416.72772704464</v>
      </c>
      <c r="F14" s="87">
        <v>130050.74750000001</v>
      </c>
      <c r="G14" s="87">
        <v>133139.87940000001</v>
      </c>
      <c r="H14" s="30">
        <v>2.833492993897635E-2</v>
      </c>
      <c r="I14" s="30">
        <v>3.9135984204934804E-2</v>
      </c>
      <c r="J14" s="103">
        <v>-2.3202153358717781E-2</v>
      </c>
      <c r="L14" s="36" t="s">
        <v>35</v>
      </c>
      <c r="M14" s="37">
        <v>1454786.0467000001</v>
      </c>
    </row>
    <row r="15" spans="1:14" ht="12" thickBot="1">
      <c r="B15" s="83">
        <v>11</v>
      </c>
      <c r="C15" s="84" t="s">
        <v>36</v>
      </c>
      <c r="D15" s="85" t="s">
        <v>41</v>
      </c>
      <c r="E15" s="86">
        <v>101712.73214036235</v>
      </c>
      <c r="F15" s="87">
        <v>100655.5031</v>
      </c>
      <c r="G15" s="87">
        <v>99747.909899999999</v>
      </c>
      <c r="H15" s="30" t="s">
        <v>41</v>
      </c>
      <c r="I15" s="30" t="s">
        <v>41</v>
      </c>
      <c r="J15" s="103">
        <v>9.0988693488402994E-3</v>
      </c>
      <c r="L15" s="38" t="s">
        <v>37</v>
      </c>
      <c r="M15" s="39">
        <v>4.7165666357363412E-2</v>
      </c>
    </row>
    <row r="16" spans="1:14" ht="12" thickBot="1">
      <c r="B16" s="90">
        <v>12</v>
      </c>
      <c r="C16" s="91" t="s">
        <v>38</v>
      </c>
      <c r="D16" s="85" t="s">
        <v>41</v>
      </c>
      <c r="E16" s="86">
        <v>108041.00892303819</v>
      </c>
      <c r="F16" s="87">
        <v>106918.0021</v>
      </c>
      <c r="G16" s="87">
        <v>96819.787199999992</v>
      </c>
      <c r="H16" s="30" t="s">
        <v>41</v>
      </c>
      <c r="I16" s="30" t="s">
        <v>41</v>
      </c>
      <c r="J16" s="104">
        <v>0.1042990817480336</v>
      </c>
      <c r="L16" s="38" t="s">
        <v>39</v>
      </c>
      <c r="M16" s="39">
        <v>1.0503440028629019E-2</v>
      </c>
    </row>
    <row r="17" spans="1:13" ht="13.5" thickBot="1">
      <c r="B17" s="93" t="s">
        <v>40</v>
      </c>
      <c r="C17" s="94"/>
      <c r="D17" s="47">
        <v>1289501.5965</v>
      </c>
      <c r="E17" s="105">
        <v>1470066.3046959997</v>
      </c>
      <c r="F17" s="106">
        <v>1454786.0467000001</v>
      </c>
      <c r="G17" s="106">
        <v>1427067.6982</v>
      </c>
      <c r="H17" s="50">
        <v>2.3160153845700915E-2</v>
      </c>
      <c r="I17" s="50">
        <v>3.3906855161301985E-2</v>
      </c>
      <c r="J17" s="51">
        <v>1.9423289122836973E-2</v>
      </c>
      <c r="K17" s="99"/>
      <c r="L17" s="124"/>
      <c r="M17" s="124"/>
    </row>
    <row r="18" spans="1:13">
      <c r="A18" s="100"/>
      <c r="D18" s="101"/>
      <c r="E18" s="101"/>
      <c r="F18" s="101"/>
      <c r="G18" s="101"/>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pageOrder="overThenDown" orientation="landscape" r:id="rId1"/>
  <headerFooter alignWithMargins="0">
    <oddHeader>&amp;C&amp;"Tahoma,Bold"Monthly follow-up of total service units - 2016</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N19"/>
  <sheetViews>
    <sheetView workbookViewId="0">
      <selection activeCell="P58" sqref="P58"/>
    </sheetView>
  </sheetViews>
  <sheetFormatPr defaultRowHeight="11.25"/>
  <cols>
    <col min="1" max="2" width="2.85546875" style="40" bestFit="1" customWidth="1"/>
    <col min="3" max="3" width="9.28515625" style="40" customWidth="1"/>
    <col min="4" max="4" width="11" style="40" customWidth="1"/>
    <col min="5" max="5" width="11.140625" style="40" customWidth="1"/>
    <col min="6" max="10" width="9.7109375" style="40" customWidth="1"/>
    <col min="11" max="11" width="2.7109375" style="40" customWidth="1"/>
    <col min="12" max="12" width="33.140625" style="40" customWidth="1"/>
    <col min="13" max="13" width="11.5703125" style="40" customWidth="1"/>
    <col min="14" max="16384" width="9.140625" style="40"/>
  </cols>
  <sheetData>
    <row r="1" spans="1:14" s="67" customFormat="1" ht="13.5" thickBot="1">
      <c r="B1" s="2" t="s">
        <v>0</v>
      </c>
      <c r="C1" s="2"/>
      <c r="D1" s="68" t="s">
        <v>51</v>
      </c>
      <c r="L1" s="69" t="s">
        <v>2</v>
      </c>
      <c r="M1" s="70">
        <v>42688</v>
      </c>
    </row>
    <row r="2" spans="1:14" ht="8.25" customHeight="1" thickBot="1">
      <c r="A2" s="71"/>
      <c r="C2" s="71"/>
      <c r="K2" s="72"/>
      <c r="L2" s="72"/>
      <c r="M2" s="72"/>
    </row>
    <row r="3" spans="1:14" s="76" customFormat="1" ht="33.75" customHeight="1">
      <c r="A3" s="73"/>
      <c r="B3" s="538" t="s">
        <v>3</v>
      </c>
      <c r="C3" s="539"/>
      <c r="D3" s="12" t="s">
        <v>4</v>
      </c>
      <c r="E3" s="12" t="s">
        <v>5</v>
      </c>
      <c r="F3" s="12" t="s">
        <v>6</v>
      </c>
      <c r="G3" s="12" t="s">
        <v>7</v>
      </c>
      <c r="H3" s="13" t="s">
        <v>8</v>
      </c>
      <c r="I3" s="12" t="s">
        <v>9</v>
      </c>
      <c r="J3" s="14" t="s">
        <v>10</v>
      </c>
      <c r="K3" s="74"/>
      <c r="L3" s="16" t="s">
        <v>11</v>
      </c>
      <c r="M3" s="17">
        <v>3503794</v>
      </c>
      <c r="N3" s="102"/>
    </row>
    <row r="4" spans="1:14" s="77" customFormat="1" ht="11.85" customHeight="1">
      <c r="B4" s="78"/>
      <c r="C4" s="79"/>
      <c r="D4" s="80" t="s">
        <v>12</v>
      </c>
      <c r="E4" s="80" t="s">
        <v>13</v>
      </c>
      <c r="F4" s="80" t="s">
        <v>14</v>
      </c>
      <c r="G4" s="80" t="s">
        <v>15</v>
      </c>
      <c r="H4" s="80" t="s">
        <v>16</v>
      </c>
      <c r="I4" s="80" t="s">
        <v>17</v>
      </c>
      <c r="J4" s="81" t="s">
        <v>18</v>
      </c>
      <c r="K4" s="76"/>
      <c r="L4" s="23" t="s">
        <v>19</v>
      </c>
      <c r="M4" s="24">
        <v>3256511</v>
      </c>
    </row>
    <row r="5" spans="1:14">
      <c r="B5" s="83">
        <v>1</v>
      </c>
      <c r="C5" s="84" t="s">
        <v>20</v>
      </c>
      <c r="D5" s="85">
        <v>258226.71729999999</v>
      </c>
      <c r="E5" s="86">
        <v>248270.34715128213</v>
      </c>
      <c r="F5" s="87">
        <v>251921.02799999999</v>
      </c>
      <c r="G5" s="87">
        <v>235395.15879999998</v>
      </c>
      <c r="H5" s="30">
        <v>4.0102937233382097E-2</v>
      </c>
      <c r="I5" s="30">
        <v>2.5030420644361673E-2</v>
      </c>
      <c r="J5" s="103">
        <v>7.0204796412321135E-2</v>
      </c>
      <c r="L5" s="23" t="s">
        <v>21</v>
      </c>
      <c r="M5" s="24">
        <v>3314673</v>
      </c>
    </row>
    <row r="6" spans="1:14">
      <c r="B6" s="83">
        <v>2</v>
      </c>
      <c r="C6" s="84" t="s">
        <v>22</v>
      </c>
      <c r="D6" s="85">
        <v>247128.16239999997</v>
      </c>
      <c r="E6" s="86">
        <v>222931.07067354801</v>
      </c>
      <c r="F6" s="87">
        <v>226209.15119999999</v>
      </c>
      <c r="G6" s="87">
        <v>216796.66700000002</v>
      </c>
      <c r="H6" s="30">
        <v>0.10854068772623116</v>
      </c>
      <c r="I6" s="30">
        <v>9.2476414367094639E-2</v>
      </c>
      <c r="J6" s="103">
        <v>4.341618499144162E-2</v>
      </c>
      <c r="L6" s="23" t="s">
        <v>23</v>
      </c>
      <c r="M6" s="24">
        <v>3363540</v>
      </c>
    </row>
    <row r="7" spans="1:14">
      <c r="B7" s="83">
        <v>3</v>
      </c>
      <c r="C7" s="84" t="s">
        <v>24</v>
      </c>
      <c r="D7" s="85">
        <v>281496.25380000001</v>
      </c>
      <c r="E7" s="86">
        <v>248427.13733661463</v>
      </c>
      <c r="F7" s="87">
        <v>252080.1237</v>
      </c>
      <c r="G7" s="87">
        <v>251662.62250000003</v>
      </c>
      <c r="H7" s="30">
        <v>0.133113945674048</v>
      </c>
      <c r="I7" s="30">
        <v>0.11669357213981724</v>
      </c>
      <c r="J7" s="103">
        <v>1.6589718244710561E-3</v>
      </c>
      <c r="L7" s="23" t="s">
        <v>25</v>
      </c>
      <c r="M7" s="24">
        <v>3503794</v>
      </c>
    </row>
    <row r="8" spans="1:14" ht="12" thickBot="1">
      <c r="B8" s="83">
        <v>4</v>
      </c>
      <c r="C8" s="84" t="s">
        <v>26</v>
      </c>
      <c r="D8" s="85">
        <v>289571.28979999997</v>
      </c>
      <c r="E8" s="86">
        <v>259178.83071479501</v>
      </c>
      <c r="F8" s="87">
        <v>262989.91489999997</v>
      </c>
      <c r="G8" s="87">
        <v>264521.97649999999</v>
      </c>
      <c r="H8" s="30">
        <v>0.11726443475875303</v>
      </c>
      <c r="I8" s="30">
        <v>0.10107374235284783</v>
      </c>
      <c r="J8" s="103">
        <v>-5.7918121596979288E-3</v>
      </c>
      <c r="L8" s="33"/>
      <c r="M8" s="34"/>
    </row>
    <row r="9" spans="1:14">
      <c r="B9" s="83">
        <v>5</v>
      </c>
      <c r="C9" s="84" t="s">
        <v>27</v>
      </c>
      <c r="D9" s="85">
        <v>288817.68049999996</v>
      </c>
      <c r="E9" s="86">
        <v>247105.78185260028</v>
      </c>
      <c r="F9" s="87">
        <v>250739.33840000001</v>
      </c>
      <c r="G9" s="87">
        <v>254650.74860000002</v>
      </c>
      <c r="H9" s="30">
        <v>0.16880179142178475</v>
      </c>
      <c r="I9" s="30">
        <v>0.15186425210731902</v>
      </c>
      <c r="J9" s="103">
        <v>-1.5359900654146386E-2</v>
      </c>
      <c r="L9" s="35"/>
    </row>
    <row r="10" spans="1:14" ht="12" thickBot="1">
      <c r="B10" s="83">
        <v>6</v>
      </c>
      <c r="C10" s="84" t="s">
        <v>28</v>
      </c>
      <c r="D10" s="85">
        <v>288518.21669999999</v>
      </c>
      <c r="E10" s="86">
        <v>254116.85896489935</v>
      </c>
      <c r="F10" s="87">
        <v>257853.50959999999</v>
      </c>
      <c r="G10" s="87">
        <v>249455.23750000002</v>
      </c>
      <c r="H10" s="30">
        <v>0.1353761331508212</v>
      </c>
      <c r="I10" s="30">
        <v>0.11892297742066482</v>
      </c>
      <c r="J10" s="103">
        <v>3.3666449276295474E-2</v>
      </c>
      <c r="L10" s="35"/>
    </row>
    <row r="11" spans="1:14">
      <c r="B11" s="83">
        <v>7</v>
      </c>
      <c r="C11" s="84" t="s">
        <v>29</v>
      </c>
      <c r="D11" s="85">
        <v>323066.40159999998</v>
      </c>
      <c r="E11" s="86">
        <v>285302.33445581159</v>
      </c>
      <c r="F11" s="87">
        <v>289497.55060000002</v>
      </c>
      <c r="G11" s="87">
        <v>277921.42369999998</v>
      </c>
      <c r="H11" s="30">
        <v>0.13236508287329629</v>
      </c>
      <c r="I11" s="30">
        <v>0.11595556138705354</v>
      </c>
      <c r="J11" s="103">
        <v>4.1652517268678801E-2</v>
      </c>
      <c r="L11" s="36" t="s">
        <v>30</v>
      </c>
      <c r="M11" s="37">
        <v>3104535.7499999995</v>
      </c>
    </row>
    <row r="12" spans="1:14" ht="12" thickBot="1">
      <c r="B12" s="83">
        <v>8</v>
      </c>
      <c r="C12" s="84" t="s">
        <v>31</v>
      </c>
      <c r="D12" s="85">
        <v>331461.52249999996</v>
      </c>
      <c r="E12" s="86">
        <v>295218.84967599204</v>
      </c>
      <c r="F12" s="87">
        <v>299559.88279999996</v>
      </c>
      <c r="G12" s="87">
        <v>283999.31760000001</v>
      </c>
      <c r="H12" s="30">
        <v>0.12276544286987412</v>
      </c>
      <c r="I12" s="30">
        <v>0.10649503331959509</v>
      </c>
      <c r="J12" s="103">
        <v>5.4790854187601656E-2</v>
      </c>
      <c r="L12" s="38" t="s">
        <v>32</v>
      </c>
      <c r="M12" s="39">
        <v>0.12860481635619769</v>
      </c>
    </row>
    <row r="13" spans="1:14" ht="12" thickBot="1">
      <c r="B13" s="83">
        <v>9</v>
      </c>
      <c r="C13" s="84" t="s">
        <v>33</v>
      </c>
      <c r="D13" s="85">
        <v>306401.60019999999</v>
      </c>
      <c r="E13" s="86">
        <v>265330.22884049505</v>
      </c>
      <c r="F13" s="87">
        <v>269231.766</v>
      </c>
      <c r="G13" s="87">
        <v>252587.788</v>
      </c>
      <c r="H13" s="30">
        <v>0.15479341173822769</v>
      </c>
      <c r="I13" s="30">
        <v>0.13805887303803521</v>
      </c>
      <c r="J13" s="103">
        <v>6.5893834899096504E-2</v>
      </c>
    </row>
    <row r="14" spans="1:14">
      <c r="B14" s="83">
        <v>10</v>
      </c>
      <c r="C14" s="84" t="s">
        <v>34</v>
      </c>
      <c r="D14" s="85">
        <v>314328.67620000005</v>
      </c>
      <c r="E14" s="86">
        <v>279977.48015135218</v>
      </c>
      <c r="F14" s="87">
        <v>284094.39720000001</v>
      </c>
      <c r="G14" s="87">
        <v>262061.70050000001</v>
      </c>
      <c r="H14" s="30">
        <v>0.12269271096403211</v>
      </c>
      <c r="I14" s="30">
        <v>0.1064233553987175</v>
      </c>
      <c r="J14" s="103">
        <v>8.4074462838189534E-2</v>
      </c>
      <c r="L14" s="36" t="s">
        <v>35</v>
      </c>
      <c r="M14" s="37">
        <v>3150186.2650000001</v>
      </c>
    </row>
    <row r="15" spans="1:14" ht="12" thickBot="1">
      <c r="B15" s="83">
        <v>11</v>
      </c>
      <c r="C15" s="84" t="s">
        <v>36</v>
      </c>
      <c r="D15" s="85" t="s">
        <v>41</v>
      </c>
      <c r="E15" s="86">
        <v>247055.11379885953</v>
      </c>
      <c r="F15" s="87">
        <v>250687.9253</v>
      </c>
      <c r="G15" s="87">
        <v>225675.3039</v>
      </c>
      <c r="H15" s="30" t="s">
        <v>41</v>
      </c>
      <c r="I15" s="30" t="s">
        <v>41</v>
      </c>
      <c r="J15" s="103">
        <v>0.11083455286309696</v>
      </c>
      <c r="L15" s="38" t="s">
        <v>37</v>
      </c>
      <c r="M15" s="39">
        <v>0.11224978628366911</v>
      </c>
    </row>
    <row r="16" spans="1:14" ht="12" thickBot="1">
      <c r="B16" s="90">
        <v>12</v>
      </c>
      <c r="C16" s="91" t="s">
        <v>38</v>
      </c>
      <c r="D16" s="85" t="s">
        <v>41</v>
      </c>
      <c r="E16" s="86">
        <v>251621.71638374956</v>
      </c>
      <c r="F16" s="87">
        <v>255321.67730000001</v>
      </c>
      <c r="G16" s="87">
        <v>244883.24189999999</v>
      </c>
      <c r="H16" s="30" t="s">
        <v>41</v>
      </c>
      <c r="I16" s="30" t="s">
        <v>41</v>
      </c>
      <c r="J16" s="104">
        <v>4.2626172861034872E-2</v>
      </c>
      <c r="L16" s="38" t="s">
        <v>39</v>
      </c>
      <c r="M16" s="39">
        <v>-1.4491370084111721E-2</v>
      </c>
    </row>
    <row r="17" spans="1:13" ht="13.5" thickBot="1">
      <c r="B17" s="93" t="s">
        <v>40</v>
      </c>
      <c r="C17" s="94"/>
      <c r="D17" s="47">
        <v>2929016.5210000002</v>
      </c>
      <c r="E17" s="105">
        <v>3104535.7499999995</v>
      </c>
      <c r="F17" s="106">
        <v>3150186.2650000001</v>
      </c>
      <c r="G17" s="106">
        <v>3019611.1864999998</v>
      </c>
      <c r="H17" s="50">
        <v>0.12401193277388001</v>
      </c>
      <c r="I17" s="50">
        <v>0.10772345987709619</v>
      </c>
      <c r="J17" s="51">
        <v>4.3242348247937379E-2</v>
      </c>
      <c r="K17" s="99"/>
      <c r="L17" s="124"/>
      <c r="M17" s="124"/>
    </row>
    <row r="18" spans="1:13">
      <c r="A18" s="100"/>
      <c r="D18" s="101"/>
      <c r="E18" s="101"/>
      <c r="F18" s="101"/>
      <c r="G18" s="101"/>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7" pageOrder="overThenDown" orientation="landscape" r:id="rId1"/>
  <headerFooter alignWithMargins="0">
    <oddHeader>&amp;C&amp;"Tahoma,Bold"Monthly follow-up of total service units - 2016</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N19"/>
  <sheetViews>
    <sheetView workbookViewId="0">
      <selection activeCell="P58" sqref="P58"/>
    </sheetView>
  </sheetViews>
  <sheetFormatPr defaultRowHeight="11.25"/>
  <cols>
    <col min="1" max="2" width="2.85546875" style="40" bestFit="1" customWidth="1"/>
    <col min="3" max="3" width="9.28515625" style="40" customWidth="1"/>
    <col min="4" max="4" width="11.28515625" style="40" customWidth="1"/>
    <col min="5" max="5" width="12" style="40" customWidth="1"/>
    <col min="6" max="10" width="9.7109375" style="40" customWidth="1"/>
    <col min="11" max="11" width="2.42578125" style="40" customWidth="1"/>
    <col min="12" max="12" width="33.42578125" style="40" customWidth="1"/>
    <col min="13" max="13" width="11.140625" style="40" customWidth="1"/>
    <col min="14" max="16384" width="9.140625" style="40"/>
  </cols>
  <sheetData>
    <row r="1" spans="1:14" s="67" customFormat="1" ht="13.5" thickBot="1">
      <c r="B1" s="2" t="s">
        <v>0</v>
      </c>
      <c r="C1" s="2"/>
      <c r="D1" s="68" t="s">
        <v>52</v>
      </c>
      <c r="L1" s="69" t="s">
        <v>2</v>
      </c>
      <c r="M1" s="70">
        <v>42688</v>
      </c>
    </row>
    <row r="2" spans="1:14" ht="8.25" customHeight="1" thickBot="1">
      <c r="A2" s="71"/>
      <c r="C2" s="71"/>
      <c r="K2" s="72"/>
      <c r="L2" s="72"/>
      <c r="M2" s="72"/>
    </row>
    <row r="3" spans="1:14" s="76" customFormat="1" ht="33.75" customHeight="1">
      <c r="A3" s="73"/>
      <c r="B3" s="538" t="s">
        <v>3</v>
      </c>
      <c r="C3" s="539"/>
      <c r="D3" s="12" t="s">
        <v>4</v>
      </c>
      <c r="E3" s="12" t="s">
        <v>5</v>
      </c>
      <c r="F3" s="12" t="s">
        <v>6</v>
      </c>
      <c r="G3" s="12" t="s">
        <v>7</v>
      </c>
      <c r="H3" s="13" t="s">
        <v>8</v>
      </c>
      <c r="I3" s="12" t="s">
        <v>9</v>
      </c>
      <c r="J3" s="14" t="s">
        <v>10</v>
      </c>
      <c r="K3" s="74"/>
      <c r="L3" s="16" t="s">
        <v>11</v>
      </c>
      <c r="M3" s="17">
        <v>2737318</v>
      </c>
      <c r="N3" s="102"/>
    </row>
    <row r="4" spans="1:14" s="77" customFormat="1" ht="11.85" customHeight="1">
      <c r="B4" s="78"/>
      <c r="C4" s="79"/>
      <c r="D4" s="80" t="s">
        <v>12</v>
      </c>
      <c r="E4" s="80" t="s">
        <v>13</v>
      </c>
      <c r="F4" s="80" t="s">
        <v>14</v>
      </c>
      <c r="G4" s="80" t="s">
        <v>15</v>
      </c>
      <c r="H4" s="80" t="s">
        <v>16</v>
      </c>
      <c r="I4" s="80" t="s">
        <v>17</v>
      </c>
      <c r="J4" s="81" t="s">
        <v>18</v>
      </c>
      <c r="K4" s="76"/>
      <c r="L4" s="23" t="s">
        <v>19</v>
      </c>
      <c r="M4" s="24">
        <v>2812217</v>
      </c>
    </row>
    <row r="5" spans="1:14">
      <c r="B5" s="83">
        <v>1</v>
      </c>
      <c r="C5" s="84" t="s">
        <v>20</v>
      </c>
      <c r="D5" s="85">
        <v>185407.30610000002</v>
      </c>
      <c r="E5" s="86">
        <v>183983.46880244149</v>
      </c>
      <c r="F5" s="87">
        <v>181484.75399999999</v>
      </c>
      <c r="G5" s="87">
        <v>164358.6557</v>
      </c>
      <c r="H5" s="30">
        <v>7.7389414757007557E-3</v>
      </c>
      <c r="I5" s="30">
        <v>2.1613672848795007E-2</v>
      </c>
      <c r="J5" s="103">
        <v>0.10419955205316267</v>
      </c>
      <c r="L5" s="23" t="s">
        <v>21</v>
      </c>
      <c r="M5" s="24">
        <v>2798843</v>
      </c>
    </row>
    <row r="6" spans="1:14">
      <c r="B6" s="83">
        <v>2</v>
      </c>
      <c r="C6" s="84" t="s">
        <v>22</v>
      </c>
      <c r="D6" s="85">
        <v>172849.19529999999</v>
      </c>
      <c r="E6" s="86">
        <v>165305.02902682606</v>
      </c>
      <c r="F6" s="87">
        <v>163059.98970000001</v>
      </c>
      <c r="G6" s="87">
        <v>148572.69589999999</v>
      </c>
      <c r="H6" s="30">
        <v>4.5637850932833013E-2</v>
      </c>
      <c r="I6" s="30">
        <v>6.0034381321931285E-2</v>
      </c>
      <c r="J6" s="103">
        <v>9.7509799578187506E-2</v>
      </c>
      <c r="L6" s="23" t="s">
        <v>23</v>
      </c>
      <c r="M6" s="24">
        <v>2799852</v>
      </c>
    </row>
    <row r="7" spans="1:14">
      <c r="B7" s="83">
        <v>3</v>
      </c>
      <c r="C7" s="84" t="s">
        <v>24</v>
      </c>
      <c r="D7" s="85">
        <v>195418.14440000002</v>
      </c>
      <c r="E7" s="86">
        <v>195609.23344340696</v>
      </c>
      <c r="F7" s="87">
        <v>192952.6269</v>
      </c>
      <c r="G7" s="87">
        <v>171842.95190000001</v>
      </c>
      <c r="H7" s="30">
        <v>-9.7689173482817804E-4</v>
      </c>
      <c r="I7" s="30">
        <v>1.2777838475750869E-2</v>
      </c>
      <c r="J7" s="103">
        <v>0.12284283275280483</v>
      </c>
      <c r="L7" s="23" t="s">
        <v>25</v>
      </c>
      <c r="M7" s="24">
        <v>2737318</v>
      </c>
    </row>
    <row r="8" spans="1:14" ht="12" thickBot="1">
      <c r="B8" s="83">
        <v>4</v>
      </c>
      <c r="C8" s="84" t="s">
        <v>26</v>
      </c>
      <c r="D8" s="85">
        <v>212163.68339999998</v>
      </c>
      <c r="E8" s="86">
        <v>217674.90739651141</v>
      </c>
      <c r="F8" s="87">
        <v>214718.62269999998</v>
      </c>
      <c r="G8" s="87">
        <v>199905.4093</v>
      </c>
      <c r="H8" s="30">
        <v>-2.531860039555367E-2</v>
      </c>
      <c r="I8" s="30">
        <v>-1.1899011216971678E-2</v>
      </c>
      <c r="J8" s="103">
        <v>7.4101113380927286E-2</v>
      </c>
      <c r="L8" s="33"/>
      <c r="M8" s="34"/>
    </row>
    <row r="9" spans="1:14">
      <c r="B9" s="83">
        <v>5</v>
      </c>
      <c r="C9" s="84" t="s">
        <v>27</v>
      </c>
      <c r="D9" s="85">
        <v>250714.8223</v>
      </c>
      <c r="E9" s="86">
        <v>251817.84427544585</v>
      </c>
      <c r="F9" s="87">
        <v>248397.8578</v>
      </c>
      <c r="G9" s="87">
        <v>235942.5809</v>
      </c>
      <c r="H9" s="30">
        <v>-4.380237542814247E-3</v>
      </c>
      <c r="I9" s="30">
        <v>9.3276347892883305E-3</v>
      </c>
      <c r="J9" s="103">
        <v>5.2789440771943363E-2</v>
      </c>
      <c r="L9" s="35"/>
    </row>
    <row r="10" spans="1:14" ht="12" thickBot="1">
      <c r="B10" s="83">
        <v>6</v>
      </c>
      <c r="C10" s="84" t="s">
        <v>28</v>
      </c>
      <c r="D10" s="85">
        <v>261995.16390000001</v>
      </c>
      <c r="E10" s="86">
        <v>269189.7939583527</v>
      </c>
      <c r="F10" s="87">
        <v>265533.87569999998</v>
      </c>
      <c r="G10" s="87">
        <v>251310.71919999999</v>
      </c>
      <c r="H10" s="30">
        <v>-2.6726979327699851E-2</v>
      </c>
      <c r="I10" s="30">
        <v>-1.3326780964090568E-2</v>
      </c>
      <c r="J10" s="103">
        <v>5.6595900665425969E-2</v>
      </c>
      <c r="L10" s="35"/>
    </row>
    <row r="11" spans="1:14">
      <c r="B11" s="83">
        <v>7</v>
      </c>
      <c r="C11" s="84" t="s">
        <v>29</v>
      </c>
      <c r="D11" s="85">
        <v>285870.93420000002</v>
      </c>
      <c r="E11" s="86">
        <v>294398.94680160395</v>
      </c>
      <c r="F11" s="87">
        <v>290400.65820000001</v>
      </c>
      <c r="G11" s="87">
        <v>279089.32309999998</v>
      </c>
      <c r="H11" s="30">
        <v>-2.8967537738343152E-2</v>
      </c>
      <c r="I11" s="30">
        <v>-1.5598187786752038E-2</v>
      </c>
      <c r="J11" s="103">
        <v>4.0529444030172002E-2</v>
      </c>
      <c r="L11" s="36" t="s">
        <v>30</v>
      </c>
      <c r="M11" s="37">
        <v>2777000</v>
      </c>
    </row>
    <row r="12" spans="1:14" ht="12" thickBot="1">
      <c r="B12" s="83">
        <v>8</v>
      </c>
      <c r="C12" s="84" t="s">
        <v>31</v>
      </c>
      <c r="D12" s="85">
        <v>286269.47450000001</v>
      </c>
      <c r="E12" s="86">
        <v>295233.55112308264</v>
      </c>
      <c r="F12" s="87">
        <v>291223.9276</v>
      </c>
      <c r="G12" s="87">
        <v>297905.08350000001</v>
      </c>
      <c r="H12" s="30">
        <v>-3.0362662336251622E-2</v>
      </c>
      <c r="I12" s="30">
        <v>-1.7012520711570778E-2</v>
      </c>
      <c r="J12" s="103">
        <v>-2.2427129545776969E-2</v>
      </c>
      <c r="L12" s="38" t="s">
        <v>32</v>
      </c>
      <c r="M12" s="39">
        <v>-1.4289521065898425E-2</v>
      </c>
    </row>
    <row r="13" spans="1:14" ht="12" thickBot="1">
      <c r="B13" s="83">
        <v>9</v>
      </c>
      <c r="C13" s="84" t="s">
        <v>33</v>
      </c>
      <c r="D13" s="85">
        <v>268359.25170000002</v>
      </c>
      <c r="E13" s="86">
        <v>271447.6153642179</v>
      </c>
      <c r="F13" s="87">
        <v>267761.03320000001</v>
      </c>
      <c r="G13" s="87">
        <v>271450.3848</v>
      </c>
      <c r="H13" s="30">
        <v>-1.1377383662310003E-2</v>
      </c>
      <c r="I13" s="30">
        <v>2.2341507009093764E-3</v>
      </c>
      <c r="J13" s="103">
        <v>-1.3591255738017227E-2</v>
      </c>
    </row>
    <row r="14" spans="1:14">
      <c r="B14" s="83">
        <v>10</v>
      </c>
      <c r="C14" s="84" t="s">
        <v>34</v>
      </c>
      <c r="D14" s="85">
        <v>253000.22649999999</v>
      </c>
      <c r="E14" s="86">
        <v>253428.46228780365</v>
      </c>
      <c r="F14" s="87">
        <v>249986.6017</v>
      </c>
      <c r="G14" s="87">
        <v>250398.4939</v>
      </c>
      <c r="H14" s="30">
        <v>-1.6897699016826806E-3</v>
      </c>
      <c r="I14" s="30">
        <v>1.2055145273811574E-2</v>
      </c>
      <c r="J14" s="103">
        <v>-1.6449467949455343E-3</v>
      </c>
      <c r="L14" s="36" t="s">
        <v>35</v>
      </c>
      <c r="M14" s="37">
        <v>2739285.03</v>
      </c>
    </row>
    <row r="15" spans="1:14" ht="12" thickBot="1">
      <c r="B15" s="83">
        <v>11</v>
      </c>
      <c r="C15" s="84" t="s">
        <v>36</v>
      </c>
      <c r="D15" s="85" t="s">
        <v>41</v>
      </c>
      <c r="E15" s="86">
        <v>190703.68362984853</v>
      </c>
      <c r="F15" s="87">
        <v>188113.70030000003</v>
      </c>
      <c r="G15" s="87">
        <v>193716.4859</v>
      </c>
      <c r="H15" s="30" t="s">
        <v>41</v>
      </c>
      <c r="I15" s="30" t="s">
        <v>41</v>
      </c>
      <c r="J15" s="103">
        <v>-2.8922606013471852E-2</v>
      </c>
      <c r="L15" s="38" t="s">
        <v>37</v>
      </c>
      <c r="M15" s="39">
        <v>-7.1808153531205399E-4</v>
      </c>
    </row>
    <row r="16" spans="1:14" ht="12" thickBot="1">
      <c r="B16" s="90">
        <v>12</v>
      </c>
      <c r="C16" s="91" t="s">
        <v>38</v>
      </c>
      <c r="D16" s="85" t="s">
        <v>41</v>
      </c>
      <c r="E16" s="86">
        <v>188207.46389045904</v>
      </c>
      <c r="F16" s="87">
        <v>185651.38219999999</v>
      </c>
      <c r="G16" s="87">
        <v>180898.82309999998</v>
      </c>
      <c r="H16" s="30" t="s">
        <v>41</v>
      </c>
      <c r="I16" s="30" t="s">
        <v>41</v>
      </c>
      <c r="J16" s="104">
        <v>2.6271918294199281E-2</v>
      </c>
      <c r="L16" s="38" t="s">
        <v>39</v>
      </c>
      <c r="M16" s="39">
        <v>1.3768180232051286E-2</v>
      </c>
    </row>
    <row r="17" spans="1:13" ht="13.5" thickBot="1">
      <c r="B17" s="93" t="s">
        <v>40</v>
      </c>
      <c r="C17" s="94"/>
      <c r="D17" s="47">
        <v>2372048.2023</v>
      </c>
      <c r="E17" s="105">
        <v>2777000</v>
      </c>
      <c r="F17" s="106">
        <v>2739285.03</v>
      </c>
      <c r="G17" s="106">
        <v>2645391.6072000004</v>
      </c>
      <c r="H17" s="50">
        <v>-1.0858917989116978E-2</v>
      </c>
      <c r="I17" s="50">
        <v>2.7597547029352132E-3</v>
      </c>
      <c r="J17" s="51">
        <v>3.549320355611929E-2</v>
      </c>
      <c r="K17" s="99"/>
      <c r="L17" s="124"/>
      <c r="M17" s="124"/>
    </row>
    <row r="18" spans="1:13">
      <c r="A18" s="100"/>
      <c r="D18" s="101"/>
      <c r="E18" s="101"/>
      <c r="F18" s="101"/>
      <c r="G18" s="101"/>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7" pageOrder="overThenDown" orientation="landscape" r:id="rId1"/>
  <headerFooter alignWithMargins="0">
    <oddHeader>&amp;C&amp;"Tahoma,Bold"Monthly follow-up of total service units - 2016</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N19"/>
  <sheetViews>
    <sheetView workbookViewId="0">
      <selection activeCell="P58" sqref="P58"/>
    </sheetView>
  </sheetViews>
  <sheetFormatPr defaultRowHeight="11.25"/>
  <cols>
    <col min="1" max="2" width="2.85546875" style="40" bestFit="1" customWidth="1"/>
    <col min="3" max="3" width="9.28515625" style="40" customWidth="1"/>
    <col min="4" max="4" width="11.7109375" style="40" customWidth="1"/>
    <col min="5" max="5" width="11.42578125" style="40" customWidth="1"/>
    <col min="6" max="10" width="9.7109375" style="40" customWidth="1"/>
    <col min="11" max="11" width="2.7109375" style="40" customWidth="1"/>
    <col min="12" max="12" width="33.28515625" style="40" customWidth="1"/>
    <col min="13" max="13" width="10.140625" style="40" bestFit="1" customWidth="1"/>
    <col min="14" max="16384" width="9.140625" style="40"/>
  </cols>
  <sheetData>
    <row r="1" spans="1:14" s="67" customFormat="1" ht="13.5" thickBot="1">
      <c r="B1" s="2" t="s">
        <v>0</v>
      </c>
      <c r="C1" s="2"/>
      <c r="D1" s="68" t="s">
        <v>53</v>
      </c>
      <c r="L1" s="69" t="s">
        <v>2</v>
      </c>
      <c r="M1" s="70">
        <v>42688</v>
      </c>
    </row>
    <row r="2" spans="1:14" ht="8.25" customHeight="1" thickBot="1">
      <c r="A2" s="71"/>
      <c r="C2" s="71"/>
      <c r="K2" s="72"/>
      <c r="L2" s="72"/>
      <c r="M2" s="72"/>
    </row>
    <row r="3" spans="1:14" s="76" customFormat="1" ht="33.75" customHeight="1">
      <c r="A3" s="73"/>
      <c r="B3" s="538" t="s">
        <v>3</v>
      </c>
      <c r="C3" s="539"/>
      <c r="D3" s="12" t="s">
        <v>4</v>
      </c>
      <c r="E3" s="12" t="s">
        <v>5</v>
      </c>
      <c r="F3" s="12" t="s">
        <v>6</v>
      </c>
      <c r="G3" s="12" t="s">
        <v>7</v>
      </c>
      <c r="H3" s="13" t="s">
        <v>8</v>
      </c>
      <c r="I3" s="12" t="s">
        <v>9</v>
      </c>
      <c r="J3" s="14" t="s">
        <v>10</v>
      </c>
      <c r="K3" s="74"/>
      <c r="L3" s="16" t="s">
        <v>11</v>
      </c>
      <c r="M3" s="17">
        <v>9772990</v>
      </c>
      <c r="N3" s="102"/>
    </row>
    <row r="4" spans="1:14" s="77" customFormat="1" ht="11.85" customHeight="1">
      <c r="B4" s="78"/>
      <c r="C4" s="79"/>
      <c r="D4" s="80" t="s">
        <v>12</v>
      </c>
      <c r="E4" s="80" t="s">
        <v>13</v>
      </c>
      <c r="F4" s="80" t="s">
        <v>14</v>
      </c>
      <c r="G4" s="80" t="s">
        <v>15</v>
      </c>
      <c r="H4" s="80" t="s">
        <v>16</v>
      </c>
      <c r="I4" s="80" t="s">
        <v>17</v>
      </c>
      <c r="J4" s="81" t="s">
        <v>18</v>
      </c>
      <c r="K4" s="76"/>
      <c r="L4" s="23" t="s">
        <v>19</v>
      </c>
      <c r="M4" s="24">
        <v>9236957</v>
      </c>
    </row>
    <row r="5" spans="1:14">
      <c r="B5" s="83">
        <v>1</v>
      </c>
      <c r="C5" s="84" t="s">
        <v>20</v>
      </c>
      <c r="D5" s="85">
        <v>628950.90450000006</v>
      </c>
      <c r="E5" s="86">
        <v>588083.32718758052</v>
      </c>
      <c r="F5" s="87">
        <v>592125.20559999999</v>
      </c>
      <c r="G5" s="87">
        <v>583447.65110000002</v>
      </c>
      <c r="H5" s="30">
        <v>6.9492834472731246E-2</v>
      </c>
      <c r="I5" s="30">
        <v>6.2192419021724676E-2</v>
      </c>
      <c r="J5" s="103">
        <v>1.4872893024146627E-2</v>
      </c>
      <c r="L5" s="23" t="s">
        <v>21</v>
      </c>
      <c r="M5" s="24">
        <v>9575125</v>
      </c>
    </row>
    <row r="6" spans="1:14">
      <c r="B6" s="83">
        <v>2</v>
      </c>
      <c r="C6" s="84" t="s">
        <v>22</v>
      </c>
      <c r="D6" s="85">
        <v>603274.27580000006</v>
      </c>
      <c r="E6" s="86">
        <v>539074.1272937688</v>
      </c>
      <c r="F6" s="87">
        <v>542779.16700000002</v>
      </c>
      <c r="G6" s="87">
        <v>536458.59870000009</v>
      </c>
      <c r="H6" s="30">
        <v>0.11909335888280426</v>
      </c>
      <c r="I6" s="30">
        <v>0.11145436759182026</v>
      </c>
      <c r="J6" s="103">
        <v>1.1782024400981861E-2</v>
      </c>
      <c r="L6" s="23" t="s">
        <v>23</v>
      </c>
      <c r="M6" s="24">
        <v>9636569</v>
      </c>
    </row>
    <row r="7" spans="1:14">
      <c r="B7" s="83">
        <v>3</v>
      </c>
      <c r="C7" s="84" t="s">
        <v>24</v>
      </c>
      <c r="D7" s="85">
        <v>707118.84889999998</v>
      </c>
      <c r="E7" s="86">
        <v>641603.47060687758</v>
      </c>
      <c r="F7" s="87">
        <v>646013.19129999995</v>
      </c>
      <c r="G7" s="87">
        <v>636555.11899999995</v>
      </c>
      <c r="H7" s="30">
        <v>0.10211194498551102</v>
      </c>
      <c r="I7" s="30">
        <v>9.4588869736598635E-2</v>
      </c>
      <c r="J7" s="103">
        <v>1.4858214187104757E-2</v>
      </c>
      <c r="L7" s="23" t="s">
        <v>25</v>
      </c>
      <c r="M7" s="24">
        <v>9772990</v>
      </c>
    </row>
    <row r="8" spans="1:14" ht="12" thickBot="1">
      <c r="B8" s="83">
        <v>4</v>
      </c>
      <c r="C8" s="84" t="s">
        <v>26</v>
      </c>
      <c r="D8" s="85">
        <v>804255.71499999997</v>
      </c>
      <c r="E8" s="86">
        <v>747371.82271331572</v>
      </c>
      <c r="F8" s="87">
        <v>752508.48599999992</v>
      </c>
      <c r="G8" s="87">
        <v>743741.35210000002</v>
      </c>
      <c r="H8" s="30">
        <v>7.6111903818060211E-2</v>
      </c>
      <c r="I8" s="30">
        <v>6.8766306244684827E-2</v>
      </c>
      <c r="J8" s="103">
        <v>1.1787880121557626E-2</v>
      </c>
      <c r="L8" s="33"/>
      <c r="M8" s="34"/>
    </row>
    <row r="9" spans="1:14">
      <c r="B9" s="83">
        <v>5</v>
      </c>
      <c r="C9" s="84" t="s">
        <v>27</v>
      </c>
      <c r="D9" s="85">
        <v>880189.01659999997</v>
      </c>
      <c r="E9" s="86">
        <v>804182.28368245496</v>
      </c>
      <c r="F9" s="87">
        <v>809709.40350000001</v>
      </c>
      <c r="G9" s="87">
        <v>793659.57979999995</v>
      </c>
      <c r="H9" s="30">
        <v>9.4514309081145553E-2</v>
      </c>
      <c r="I9" s="30">
        <v>8.704309570241997E-2</v>
      </c>
      <c r="J9" s="103">
        <v>2.0222553987245595E-2</v>
      </c>
      <c r="L9" s="35"/>
    </row>
    <row r="10" spans="1:14" ht="12" thickBot="1">
      <c r="B10" s="83">
        <v>6</v>
      </c>
      <c r="C10" s="84" t="s">
        <v>28</v>
      </c>
      <c r="D10" s="85">
        <v>904784.1899</v>
      </c>
      <c r="E10" s="86">
        <v>823555.18950344063</v>
      </c>
      <c r="F10" s="87">
        <v>829215.45869999996</v>
      </c>
      <c r="G10" s="87">
        <v>813647.41119999997</v>
      </c>
      <c r="H10" s="30">
        <v>9.8632127429779226E-2</v>
      </c>
      <c r="I10" s="30">
        <v>9.1132805602144318E-2</v>
      </c>
      <c r="J10" s="103">
        <v>1.913365333153294E-2</v>
      </c>
      <c r="L10" s="35"/>
    </row>
    <row r="11" spans="1:14">
      <c r="B11" s="83">
        <v>7</v>
      </c>
      <c r="C11" s="84" t="s">
        <v>29</v>
      </c>
      <c r="D11" s="85">
        <v>1027968.9328</v>
      </c>
      <c r="E11" s="86">
        <v>921709.39192379429</v>
      </c>
      <c r="F11" s="87">
        <v>928044.27190000005</v>
      </c>
      <c r="G11" s="87">
        <v>900926.28100000008</v>
      </c>
      <c r="H11" s="30">
        <v>0.11528529687043809</v>
      </c>
      <c r="I11" s="30">
        <v>0.10767229961499836</v>
      </c>
      <c r="J11" s="103">
        <v>3.0100121921074141E-2</v>
      </c>
      <c r="L11" s="36" t="s">
        <v>30</v>
      </c>
      <c r="M11" s="37">
        <v>8936000</v>
      </c>
    </row>
    <row r="12" spans="1:14" ht="12" thickBot="1">
      <c r="B12" s="83">
        <v>8</v>
      </c>
      <c r="C12" s="84" t="s">
        <v>31</v>
      </c>
      <c r="D12" s="85">
        <v>1034746.9151999999</v>
      </c>
      <c r="E12" s="86">
        <v>948638.07720759313</v>
      </c>
      <c r="F12" s="87">
        <v>955158.0371999999</v>
      </c>
      <c r="G12" s="87">
        <v>927386.50150000001</v>
      </c>
      <c r="H12" s="30">
        <v>9.07710116864342E-2</v>
      </c>
      <c r="I12" s="30">
        <v>8.3325350256499009E-2</v>
      </c>
      <c r="J12" s="103">
        <v>2.9946021054954919E-2</v>
      </c>
      <c r="L12" s="38" t="s">
        <v>32</v>
      </c>
      <c r="M12" s="39">
        <v>9.3664950760966814E-2</v>
      </c>
    </row>
    <row r="13" spans="1:14" ht="12" thickBot="1">
      <c r="B13" s="83">
        <v>9</v>
      </c>
      <c r="C13" s="84" t="s">
        <v>33</v>
      </c>
      <c r="D13" s="85">
        <v>927968.48629999999</v>
      </c>
      <c r="E13" s="86">
        <v>843692.36512188497</v>
      </c>
      <c r="F13" s="87">
        <v>849491.03650000005</v>
      </c>
      <c r="G13" s="87">
        <v>822805.6017</v>
      </c>
      <c r="H13" s="30">
        <v>9.9889633546630385E-2</v>
      </c>
      <c r="I13" s="30">
        <v>9.2381727914794709E-2</v>
      </c>
      <c r="J13" s="103">
        <v>3.2432247355712152E-2</v>
      </c>
    </row>
    <row r="14" spans="1:14">
      <c r="B14" s="83">
        <v>10</v>
      </c>
      <c r="C14" s="84" t="s">
        <v>34</v>
      </c>
      <c r="D14" s="85">
        <v>877675.58289999992</v>
      </c>
      <c r="E14" s="86">
        <v>808301.50003660226</v>
      </c>
      <c r="F14" s="87">
        <v>813856.93110000005</v>
      </c>
      <c r="G14" s="87">
        <v>786838.15749999997</v>
      </c>
      <c r="H14" s="30">
        <v>8.5826987652820375E-2</v>
      </c>
      <c r="I14" s="30">
        <v>7.8415074396114504E-2</v>
      </c>
      <c r="J14" s="103">
        <v>3.4338412979164845E-2</v>
      </c>
      <c r="L14" s="36" t="s">
        <v>35</v>
      </c>
      <c r="M14" s="37">
        <v>8997416.8499999996</v>
      </c>
    </row>
    <row r="15" spans="1:14" ht="12" thickBot="1">
      <c r="B15" s="83">
        <v>11</v>
      </c>
      <c r="C15" s="84" t="s">
        <v>36</v>
      </c>
      <c r="D15" s="85" t="s">
        <v>41</v>
      </c>
      <c r="E15" s="86">
        <v>625064.89482371823</v>
      </c>
      <c r="F15" s="87">
        <v>629360.94640000002</v>
      </c>
      <c r="G15" s="87">
        <v>621615.70649999997</v>
      </c>
      <c r="H15" s="30" t="s">
        <v>41</v>
      </c>
      <c r="I15" s="30" t="s">
        <v>41</v>
      </c>
      <c r="J15" s="103">
        <v>1.2459852315523934E-2</v>
      </c>
      <c r="L15" s="38" t="s">
        <v>37</v>
      </c>
      <c r="M15" s="39">
        <v>8.6199535147690742E-2</v>
      </c>
    </row>
    <row r="16" spans="1:14" ht="12" thickBot="1">
      <c r="B16" s="90">
        <v>12</v>
      </c>
      <c r="C16" s="91" t="s">
        <v>38</v>
      </c>
      <c r="D16" s="85" t="s">
        <v>41</v>
      </c>
      <c r="E16" s="86">
        <v>644723.54989896913</v>
      </c>
      <c r="F16" s="87">
        <v>649154.71480000007</v>
      </c>
      <c r="G16" s="87">
        <v>600686.67890000006</v>
      </c>
      <c r="H16" s="30" t="s">
        <v>41</v>
      </c>
      <c r="I16" s="30" t="s">
        <v>41</v>
      </c>
      <c r="J16" s="104">
        <v>8.0687715580369579E-2</v>
      </c>
      <c r="L16" s="38" t="s">
        <v>39</v>
      </c>
      <c r="M16" s="39">
        <v>-6.8260536356054002E-3</v>
      </c>
    </row>
    <row r="17" spans="1:13" ht="13.5" thickBot="1">
      <c r="B17" s="93" t="s">
        <v>40</v>
      </c>
      <c r="C17" s="94"/>
      <c r="D17" s="47">
        <v>8396932.867899999</v>
      </c>
      <c r="E17" s="105">
        <v>8936000</v>
      </c>
      <c r="F17" s="106">
        <v>8997416.8499999996</v>
      </c>
      <c r="G17" s="106">
        <v>8767768.6390000004</v>
      </c>
      <c r="H17" s="50">
        <v>9.5317133809028398E-2</v>
      </c>
      <c r="I17" s="50">
        <v>8.784044030565008E-2</v>
      </c>
      <c r="J17" s="51">
        <v>2.6192321040326982E-2</v>
      </c>
      <c r="K17" s="99"/>
      <c r="L17" s="124"/>
      <c r="M17" s="124"/>
    </row>
    <row r="18" spans="1:13">
      <c r="A18" s="100"/>
      <c r="D18" s="101"/>
      <c r="E18" s="101"/>
      <c r="F18" s="101"/>
      <c r="G18" s="101"/>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7" pageOrder="overThenDown" orientation="landscape" r:id="rId1"/>
  <headerFooter alignWithMargins="0">
    <oddHeader>&amp;C&amp;"Tahoma,Bold"Monthly follow-up of total service units - 2016</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N19"/>
  <sheetViews>
    <sheetView workbookViewId="0">
      <selection activeCell="P56" sqref="P56"/>
    </sheetView>
  </sheetViews>
  <sheetFormatPr defaultRowHeight="11.25"/>
  <cols>
    <col min="1" max="2" width="2.85546875" style="40" bestFit="1" customWidth="1"/>
    <col min="3" max="3" width="9.28515625" style="40" customWidth="1"/>
    <col min="4" max="4" width="10.5703125" style="40" customWidth="1"/>
    <col min="5" max="5" width="11.42578125" style="40" customWidth="1"/>
    <col min="6" max="10" width="9.7109375" style="40" customWidth="1"/>
    <col min="11" max="11" width="2.7109375" style="40" customWidth="1"/>
    <col min="12" max="12" width="34" style="40" customWidth="1"/>
    <col min="13" max="13" width="10.140625" style="40" bestFit="1" customWidth="1"/>
    <col min="14" max="16384" width="9.140625" style="40"/>
  </cols>
  <sheetData>
    <row r="1" spans="1:14" s="67" customFormat="1" ht="13.5" thickBot="1">
      <c r="B1" s="2" t="s">
        <v>0</v>
      </c>
      <c r="C1" s="2"/>
      <c r="D1" s="68" t="s">
        <v>54</v>
      </c>
      <c r="L1" s="69" t="s">
        <v>2</v>
      </c>
      <c r="M1" s="70">
        <v>42688</v>
      </c>
    </row>
    <row r="2" spans="1:14" ht="8.25" customHeight="1" thickBot="1">
      <c r="A2" s="71"/>
      <c r="C2" s="71"/>
      <c r="K2" s="72"/>
      <c r="L2" s="72"/>
      <c r="M2" s="72"/>
    </row>
    <row r="3" spans="1:14" s="76" customFormat="1" ht="33.75" customHeight="1">
      <c r="A3" s="73"/>
      <c r="B3" s="538" t="s">
        <v>3</v>
      </c>
      <c r="C3" s="539"/>
      <c r="D3" s="12" t="s">
        <v>4</v>
      </c>
      <c r="E3" s="12" t="s">
        <v>5</v>
      </c>
      <c r="F3" s="12" t="s">
        <v>6</v>
      </c>
      <c r="G3" s="12" t="s">
        <v>7</v>
      </c>
      <c r="H3" s="13" t="s">
        <v>8</v>
      </c>
      <c r="I3" s="12" t="s">
        <v>9</v>
      </c>
      <c r="J3" s="14" t="s">
        <v>10</v>
      </c>
      <c r="K3" s="74"/>
      <c r="L3" s="16" t="s">
        <v>11</v>
      </c>
      <c r="M3" s="17">
        <v>1513769</v>
      </c>
      <c r="N3" s="102"/>
    </row>
    <row r="4" spans="1:14" s="77" customFormat="1" ht="11.85" customHeight="1">
      <c r="B4" s="78"/>
      <c r="C4" s="79"/>
      <c r="D4" s="80" t="s">
        <v>12</v>
      </c>
      <c r="E4" s="80" t="s">
        <v>13</v>
      </c>
      <c r="F4" s="80" t="s">
        <v>14</v>
      </c>
      <c r="G4" s="80" t="s">
        <v>15</v>
      </c>
      <c r="H4" s="80" t="s">
        <v>16</v>
      </c>
      <c r="I4" s="80" t="s">
        <v>17</v>
      </c>
      <c r="J4" s="81" t="s">
        <v>18</v>
      </c>
      <c r="K4" s="76"/>
      <c r="L4" s="23" t="s">
        <v>19</v>
      </c>
      <c r="M4" s="24">
        <v>1451171</v>
      </c>
    </row>
    <row r="5" spans="1:14">
      <c r="B5" s="83">
        <v>1</v>
      </c>
      <c r="C5" s="84" t="s">
        <v>20</v>
      </c>
      <c r="D5" s="85">
        <v>129018.5457</v>
      </c>
      <c r="E5" s="86">
        <v>132860.50643592194</v>
      </c>
      <c r="F5" s="87">
        <v>121935.0739</v>
      </c>
      <c r="G5" s="87">
        <v>131843.03349999999</v>
      </c>
      <c r="H5" s="30">
        <v>-2.8917251928246235E-2</v>
      </c>
      <c r="I5" s="30">
        <v>5.8092159814568278E-2</v>
      </c>
      <c r="J5" s="103">
        <v>-7.514966348221952E-2</v>
      </c>
      <c r="L5" s="23" t="s">
        <v>21</v>
      </c>
      <c r="M5" s="24">
        <v>1495176</v>
      </c>
    </row>
    <row r="6" spans="1:14">
      <c r="B6" s="83">
        <v>2</v>
      </c>
      <c r="C6" s="84" t="s">
        <v>22</v>
      </c>
      <c r="D6" s="85">
        <v>119889.40579999999</v>
      </c>
      <c r="E6" s="86">
        <v>116106.26781174709</v>
      </c>
      <c r="F6" s="87">
        <v>106558.57579999999</v>
      </c>
      <c r="G6" s="87">
        <v>118275.01549999999</v>
      </c>
      <c r="H6" s="30">
        <v>3.2583408799142788E-2</v>
      </c>
      <c r="I6" s="30">
        <v>0.1251033049186081</v>
      </c>
      <c r="J6" s="103">
        <v>-9.9060986383891048E-2</v>
      </c>
      <c r="L6" s="23" t="s">
        <v>23</v>
      </c>
      <c r="M6" s="24">
        <v>1488174</v>
      </c>
    </row>
    <row r="7" spans="1:14">
      <c r="B7" s="83">
        <v>3</v>
      </c>
      <c r="C7" s="84" t="s">
        <v>24</v>
      </c>
      <c r="D7" s="85">
        <v>126454.19259999999</v>
      </c>
      <c r="E7" s="86">
        <v>131045.20273472887</v>
      </c>
      <c r="F7" s="87">
        <v>120269.0469</v>
      </c>
      <c r="G7" s="87">
        <v>135205.03150000001</v>
      </c>
      <c r="H7" s="30">
        <v>-3.503379016492747E-2</v>
      </c>
      <c r="I7" s="30">
        <v>5.1427577248057466E-2</v>
      </c>
      <c r="J7" s="103">
        <v>-0.11046914774026007</v>
      </c>
      <c r="L7" s="23" t="s">
        <v>25</v>
      </c>
      <c r="M7" s="24">
        <v>1513769</v>
      </c>
    </row>
    <row r="8" spans="1:14" ht="12" thickBot="1">
      <c r="B8" s="83">
        <v>4</v>
      </c>
      <c r="C8" s="84" t="s">
        <v>26</v>
      </c>
      <c r="D8" s="85">
        <v>115231.03730000001</v>
      </c>
      <c r="E8" s="86">
        <v>123253.8646427941</v>
      </c>
      <c r="F8" s="87">
        <v>113118.40889999999</v>
      </c>
      <c r="G8" s="87">
        <v>124487.6029</v>
      </c>
      <c r="H8" s="30">
        <v>-6.5091892786041994E-2</v>
      </c>
      <c r="I8" s="30">
        <v>1.8676256327718077E-2</v>
      </c>
      <c r="J8" s="103">
        <v>-9.1327921296169512E-2</v>
      </c>
      <c r="L8" s="33"/>
      <c r="M8" s="34"/>
    </row>
    <row r="9" spans="1:14">
      <c r="B9" s="83">
        <v>5</v>
      </c>
      <c r="C9" s="84" t="s">
        <v>27</v>
      </c>
      <c r="D9" s="85">
        <v>106711.5733</v>
      </c>
      <c r="E9" s="86">
        <v>117106.46727023293</v>
      </c>
      <c r="F9" s="87">
        <v>107476.52649999999</v>
      </c>
      <c r="G9" s="87">
        <v>112521.897</v>
      </c>
      <c r="H9" s="30">
        <v>-8.8764474008474981E-2</v>
      </c>
      <c r="I9" s="30">
        <v>-7.1173978626857259E-3</v>
      </c>
      <c r="J9" s="103">
        <v>-4.4839010312810568E-2</v>
      </c>
      <c r="L9" s="35"/>
    </row>
    <row r="10" spans="1:14" ht="12" thickBot="1">
      <c r="B10" s="83">
        <v>6</v>
      </c>
      <c r="C10" s="84" t="s">
        <v>28</v>
      </c>
      <c r="D10" s="85">
        <v>107592.82180000001</v>
      </c>
      <c r="E10" s="86">
        <v>116701.39153820967</v>
      </c>
      <c r="F10" s="87">
        <v>107104.7611</v>
      </c>
      <c r="G10" s="87">
        <v>113387.38800000001</v>
      </c>
      <c r="H10" s="30">
        <v>-7.8050223893237791E-2</v>
      </c>
      <c r="I10" s="30">
        <v>4.5568534487865353E-3</v>
      </c>
      <c r="J10" s="103">
        <v>-5.5408515980630901E-2</v>
      </c>
      <c r="L10" s="35"/>
    </row>
    <row r="11" spans="1:14">
      <c r="B11" s="83">
        <v>7</v>
      </c>
      <c r="C11" s="84" t="s">
        <v>29</v>
      </c>
      <c r="D11" s="85">
        <v>125757.46090000001</v>
      </c>
      <c r="E11" s="86">
        <v>130695.17840962792</v>
      </c>
      <c r="F11" s="87">
        <v>119947.80590000001</v>
      </c>
      <c r="G11" s="87">
        <v>126724.34970000001</v>
      </c>
      <c r="H11" s="30">
        <v>-3.7780410644928319E-2</v>
      </c>
      <c r="I11" s="30">
        <v>4.8434858448711315E-2</v>
      </c>
      <c r="J11" s="103">
        <v>-5.347467803971695E-2</v>
      </c>
      <c r="L11" s="36" t="s">
        <v>30</v>
      </c>
      <c r="M11" s="37">
        <v>1528000</v>
      </c>
    </row>
    <row r="12" spans="1:14" ht="12" thickBot="1">
      <c r="B12" s="83">
        <v>8</v>
      </c>
      <c r="C12" s="84" t="s">
        <v>31</v>
      </c>
      <c r="D12" s="85">
        <v>135309.90280000001</v>
      </c>
      <c r="E12" s="86">
        <v>131706.01171434877</v>
      </c>
      <c r="F12" s="87">
        <v>120875.516</v>
      </c>
      <c r="G12" s="87">
        <v>128920.2169</v>
      </c>
      <c r="H12" s="30">
        <v>2.7363147959164946E-2</v>
      </c>
      <c r="I12" s="30">
        <v>0.11941530657043908</v>
      </c>
      <c r="J12" s="103">
        <v>-6.2400615616711619E-2</v>
      </c>
      <c r="L12" s="38" t="s">
        <v>32</v>
      </c>
      <c r="M12" s="39">
        <v>-9.3134816753926986E-3</v>
      </c>
    </row>
    <row r="13" spans="1:14" ht="12" thickBot="1">
      <c r="B13" s="83">
        <v>9</v>
      </c>
      <c r="C13" s="84" t="s">
        <v>33</v>
      </c>
      <c r="D13" s="85">
        <v>122632.62149999999</v>
      </c>
      <c r="E13" s="86">
        <v>126359.4217196036</v>
      </c>
      <c r="F13" s="87">
        <v>115968.58869999999</v>
      </c>
      <c r="G13" s="87">
        <v>118116.3845</v>
      </c>
      <c r="H13" s="30">
        <v>-2.949364731878501E-2</v>
      </c>
      <c r="I13" s="30">
        <v>5.7464119161088068E-2</v>
      </c>
      <c r="J13" s="103">
        <v>-1.8183724545005941E-2</v>
      </c>
    </row>
    <row r="14" spans="1:14">
      <c r="B14" s="83">
        <v>10</v>
      </c>
      <c r="C14" s="84" t="s">
        <v>34</v>
      </c>
      <c r="D14" s="85">
        <v>125986.8159</v>
      </c>
      <c r="E14" s="86">
        <v>132541.92329335315</v>
      </c>
      <c r="F14" s="87">
        <v>121642.68860000001</v>
      </c>
      <c r="G14" s="87">
        <v>131252.94649999999</v>
      </c>
      <c r="H14" s="30">
        <v>-4.9456860368962796E-2</v>
      </c>
      <c r="I14" s="30">
        <v>3.5712194049614121E-2</v>
      </c>
      <c r="J14" s="103">
        <v>-7.3219368831464515E-2</v>
      </c>
      <c r="L14" s="36" t="s">
        <v>35</v>
      </c>
      <c r="M14" s="37">
        <v>1402348.9591999999</v>
      </c>
    </row>
    <row r="15" spans="1:14" ht="12" thickBot="1">
      <c r="B15" s="83">
        <v>11</v>
      </c>
      <c r="C15" s="84" t="s">
        <v>36</v>
      </c>
      <c r="D15" s="85" t="s">
        <v>41</v>
      </c>
      <c r="E15" s="86">
        <v>128889.29049037228</v>
      </c>
      <c r="F15" s="87">
        <v>118290.4204</v>
      </c>
      <c r="G15" s="87">
        <v>122977.91620000001</v>
      </c>
      <c r="H15" s="30" t="s">
        <v>41</v>
      </c>
      <c r="I15" s="30" t="s">
        <v>41</v>
      </c>
      <c r="J15" s="103">
        <v>-3.8116565517151035E-2</v>
      </c>
      <c r="L15" s="38" t="s">
        <v>37</v>
      </c>
      <c r="M15" s="39">
        <v>7.9452435906938623E-2</v>
      </c>
    </row>
    <row r="16" spans="1:14" ht="12" thickBot="1">
      <c r="B16" s="90">
        <v>12</v>
      </c>
      <c r="C16" s="91" t="s">
        <v>38</v>
      </c>
      <c r="D16" s="85" t="s">
        <v>41</v>
      </c>
      <c r="E16" s="86">
        <v>140734.4739390598</v>
      </c>
      <c r="F16" s="87">
        <v>129161.5465</v>
      </c>
      <c r="G16" s="87">
        <v>128068.7871</v>
      </c>
      <c r="H16" s="30" t="s">
        <v>41</v>
      </c>
      <c r="I16" s="30" t="s">
        <v>41</v>
      </c>
      <c r="J16" s="104">
        <v>8.5325974013226169E-3</v>
      </c>
      <c r="L16" s="38" t="s">
        <v>39</v>
      </c>
      <c r="M16" s="39">
        <v>8.9600409352947663E-2</v>
      </c>
    </row>
    <row r="17" spans="1:13" ht="13.5" thickBot="1">
      <c r="B17" s="93" t="s">
        <v>40</v>
      </c>
      <c r="C17" s="94"/>
      <c r="D17" s="47">
        <v>1214584.3776</v>
      </c>
      <c r="E17" s="105">
        <v>1528000</v>
      </c>
      <c r="F17" s="106">
        <v>1402348.9591999999</v>
      </c>
      <c r="G17" s="106">
        <v>1491780.5693000003</v>
      </c>
      <c r="H17" s="50">
        <v>-3.4800290034650905E-2</v>
      </c>
      <c r="I17" s="50">
        <v>5.1681999085590569E-2</v>
      </c>
      <c r="J17" s="51">
        <v>-5.9949574314381304E-2</v>
      </c>
      <c r="K17" s="99"/>
      <c r="L17" s="124"/>
      <c r="M17" s="124"/>
    </row>
    <row r="18" spans="1:13">
      <c r="A18" s="100"/>
      <c r="D18" s="101"/>
      <c r="E18" s="101"/>
      <c r="F18" s="101"/>
      <c r="G18" s="101"/>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8" pageOrder="overThenDown" orientation="landscape" r:id="rId1"/>
  <headerFooter alignWithMargins="0">
    <oddHeader>&amp;C&amp;"Tahoma,Bold"Monthly follow-up of total service units - 2016</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P19"/>
  <sheetViews>
    <sheetView zoomScaleNormal="100" workbookViewId="0">
      <selection activeCell="P57" sqref="P57"/>
    </sheetView>
  </sheetViews>
  <sheetFormatPr defaultRowHeight="11.25"/>
  <cols>
    <col min="1" max="1" width="2.85546875" style="40" bestFit="1" customWidth="1"/>
    <col min="2" max="2" width="3.140625" style="40" bestFit="1" customWidth="1"/>
    <col min="3" max="3" width="9.28515625" style="40" customWidth="1"/>
    <col min="4" max="4" width="11.42578125" style="40" customWidth="1"/>
    <col min="5" max="5" width="11.140625" style="40" customWidth="1"/>
    <col min="6" max="10" width="9.7109375" style="40" customWidth="1"/>
    <col min="11" max="11" width="2.7109375" style="40" customWidth="1"/>
    <col min="12" max="12" width="33.42578125" style="40" customWidth="1"/>
    <col min="13" max="13" width="11.85546875" style="40" bestFit="1" customWidth="1"/>
    <col min="14" max="16384" width="9.140625" style="40"/>
  </cols>
  <sheetData>
    <row r="1" spans="1:16" s="67" customFormat="1" ht="13.5" thickBot="1">
      <c r="B1" s="2" t="s">
        <v>0</v>
      </c>
      <c r="C1" s="2"/>
      <c r="D1" s="68" t="s">
        <v>55</v>
      </c>
      <c r="L1" s="69" t="s">
        <v>2</v>
      </c>
      <c r="M1" s="70">
        <v>42688</v>
      </c>
    </row>
    <row r="2" spans="1:16" ht="8.25" customHeight="1" thickBot="1">
      <c r="A2" s="71"/>
      <c r="C2" s="71"/>
      <c r="K2" s="72"/>
      <c r="L2" s="72"/>
      <c r="M2" s="72"/>
    </row>
    <row r="3" spans="1:16" s="76" customFormat="1" ht="33.75" customHeight="1">
      <c r="A3" s="73"/>
      <c r="B3" s="538" t="s">
        <v>3</v>
      </c>
      <c r="C3" s="539"/>
      <c r="D3" s="12" t="s">
        <v>4</v>
      </c>
      <c r="E3" s="12" t="s">
        <v>5</v>
      </c>
      <c r="F3" s="12" t="s">
        <v>6</v>
      </c>
      <c r="G3" s="12" t="s">
        <v>7</v>
      </c>
      <c r="H3" s="13" t="s">
        <v>8</v>
      </c>
      <c r="I3" s="12" t="s">
        <v>9</v>
      </c>
      <c r="J3" s="14" t="s">
        <v>10</v>
      </c>
      <c r="K3" s="74"/>
      <c r="L3" s="16" t="s">
        <v>11</v>
      </c>
      <c r="M3" s="17">
        <v>5079255</v>
      </c>
      <c r="N3" s="102"/>
    </row>
    <row r="4" spans="1:16" s="77" customFormat="1" ht="11.85" customHeight="1">
      <c r="B4" s="78"/>
      <c r="C4" s="79"/>
      <c r="D4" s="80" t="s">
        <v>12</v>
      </c>
      <c r="E4" s="80" t="s">
        <v>13</v>
      </c>
      <c r="F4" s="80" t="s">
        <v>14</v>
      </c>
      <c r="G4" s="80" t="s">
        <v>15</v>
      </c>
      <c r="H4" s="80" t="s">
        <v>16</v>
      </c>
      <c r="I4" s="80" t="s">
        <v>17</v>
      </c>
      <c r="J4" s="81" t="s">
        <v>18</v>
      </c>
      <c r="K4" s="76"/>
      <c r="L4" s="23" t="s">
        <v>19</v>
      </c>
      <c r="M4" s="24">
        <v>4829645</v>
      </c>
    </row>
    <row r="5" spans="1:16">
      <c r="B5" s="83">
        <v>1</v>
      </c>
      <c r="C5" s="84" t="s">
        <v>20</v>
      </c>
      <c r="D5" s="85">
        <v>400841.85099999997</v>
      </c>
      <c r="E5" s="86">
        <v>370501.61087243276</v>
      </c>
      <c r="F5" s="87">
        <v>398254.22690000001</v>
      </c>
      <c r="G5" s="87">
        <v>349607.22070000001</v>
      </c>
      <c r="H5" s="30">
        <v>8.1889630806527336E-2</v>
      </c>
      <c r="I5" s="30">
        <v>6.4974177930061661E-3</v>
      </c>
      <c r="J5" s="103">
        <v>0.13914760142137994</v>
      </c>
      <c r="L5" s="23" t="s">
        <v>21</v>
      </c>
      <c r="M5" s="24">
        <v>4876084</v>
      </c>
    </row>
    <row r="6" spans="1:16">
      <c r="B6" s="83">
        <v>2</v>
      </c>
      <c r="C6" s="84" t="s">
        <v>22</v>
      </c>
      <c r="D6" s="85">
        <v>403015.47319999995</v>
      </c>
      <c r="E6" s="86">
        <v>328106.28353555279</v>
      </c>
      <c r="F6" s="87">
        <v>352683.25549999997</v>
      </c>
      <c r="G6" s="87">
        <v>309344.16759999999</v>
      </c>
      <c r="H6" s="30">
        <v>0.22830769608327284</v>
      </c>
      <c r="I6" s="30">
        <v>0.14271224084240641</v>
      </c>
      <c r="J6" s="103">
        <v>0.14009990308283404</v>
      </c>
      <c r="L6" s="23" t="s">
        <v>23</v>
      </c>
      <c r="M6" s="24">
        <v>4904773</v>
      </c>
    </row>
    <row r="7" spans="1:16">
      <c r="B7" s="83">
        <v>3</v>
      </c>
      <c r="C7" s="84" t="s">
        <v>24</v>
      </c>
      <c r="D7" s="85">
        <v>422629.18570000003</v>
      </c>
      <c r="E7" s="86">
        <v>376993.60181171057</v>
      </c>
      <c r="F7" s="87">
        <v>405232.50380000001</v>
      </c>
      <c r="G7" s="87">
        <v>337409.26679999998</v>
      </c>
      <c r="H7" s="30">
        <v>0.12105134853477484</v>
      </c>
      <c r="I7" s="30">
        <v>4.2930124649097845E-2</v>
      </c>
      <c r="J7" s="103">
        <v>0.20101177908727208</v>
      </c>
      <c r="L7" s="23" t="s">
        <v>25</v>
      </c>
      <c r="M7" s="24">
        <v>5079255</v>
      </c>
    </row>
    <row r="8" spans="1:16" ht="12" thickBot="1">
      <c r="B8" s="83">
        <v>4</v>
      </c>
      <c r="C8" s="84" t="s">
        <v>26</v>
      </c>
      <c r="D8" s="85">
        <v>401710.78850000002</v>
      </c>
      <c r="E8" s="86">
        <v>352224.4185756435</v>
      </c>
      <c r="F8" s="87">
        <v>378607.97200000001</v>
      </c>
      <c r="G8" s="87">
        <v>336687.19790000003</v>
      </c>
      <c r="H8" s="30">
        <v>0.14049670413105919</v>
      </c>
      <c r="I8" s="30">
        <v>6.1020417446466357E-2</v>
      </c>
      <c r="J8" s="103">
        <v>0.12450955771847005</v>
      </c>
      <c r="L8" s="33"/>
      <c r="M8" s="34"/>
    </row>
    <row r="9" spans="1:16">
      <c r="B9" s="83">
        <v>5</v>
      </c>
      <c r="C9" s="84" t="s">
        <v>27</v>
      </c>
      <c r="D9" s="85">
        <v>409358.00180000003</v>
      </c>
      <c r="E9" s="86">
        <v>364723.89294163854</v>
      </c>
      <c r="F9" s="87">
        <v>392043.72599999997</v>
      </c>
      <c r="G9" s="87">
        <v>333819.00469999999</v>
      </c>
      <c r="H9" s="30">
        <v>0.12237780337989435</v>
      </c>
      <c r="I9" s="30">
        <v>4.4164144588300536E-2</v>
      </c>
      <c r="J9" s="103">
        <v>0.17442003145484786</v>
      </c>
      <c r="L9" s="35"/>
      <c r="P9" s="40" t="s">
        <v>56</v>
      </c>
    </row>
    <row r="10" spans="1:16" ht="12" thickBot="1">
      <c r="B10" s="83">
        <v>6</v>
      </c>
      <c r="C10" s="84" t="s">
        <v>28</v>
      </c>
      <c r="D10" s="85">
        <v>423658.87949999998</v>
      </c>
      <c r="E10" s="86">
        <v>351428.10719419224</v>
      </c>
      <c r="F10" s="87">
        <v>377752.01250000001</v>
      </c>
      <c r="G10" s="87">
        <v>331987.36799999996</v>
      </c>
      <c r="H10" s="30">
        <v>0.20553498945346016</v>
      </c>
      <c r="I10" s="30">
        <v>0.1215264657259767</v>
      </c>
      <c r="J10" s="103">
        <v>0.1378505597237063</v>
      </c>
      <c r="L10" s="35"/>
    </row>
    <row r="11" spans="1:16">
      <c r="B11" s="83">
        <v>7</v>
      </c>
      <c r="C11" s="84" t="s">
        <v>29</v>
      </c>
      <c r="D11" s="85">
        <v>469888.32280000002</v>
      </c>
      <c r="E11" s="86">
        <v>385320.35028296954</v>
      </c>
      <c r="F11" s="87">
        <v>414182.97169999999</v>
      </c>
      <c r="G11" s="87">
        <v>405619.64299999998</v>
      </c>
      <c r="H11" s="30">
        <v>0.21947445146597078</v>
      </c>
      <c r="I11" s="30">
        <v>0.13449454686985152</v>
      </c>
      <c r="J11" s="103">
        <v>2.1111720913377985E-2</v>
      </c>
      <c r="L11" s="36" t="s">
        <v>30</v>
      </c>
      <c r="M11" s="37">
        <v>4336772.1825526478</v>
      </c>
    </row>
    <row r="12" spans="1:16" ht="12" thickBot="1">
      <c r="B12" s="83">
        <v>8</v>
      </c>
      <c r="C12" s="84" t="s">
        <v>31</v>
      </c>
      <c r="D12" s="85">
        <v>462772.24470000004</v>
      </c>
      <c r="E12" s="86">
        <v>393133.53640903119</v>
      </c>
      <c r="F12" s="87">
        <v>422581.40860000002</v>
      </c>
      <c r="G12" s="87">
        <v>390274.14320000005</v>
      </c>
      <c r="H12" s="30">
        <v>0.17713754193311582</v>
      </c>
      <c r="I12" s="30">
        <v>9.5107913604507877E-2</v>
      </c>
      <c r="J12" s="103">
        <v>8.2780952730050039E-2</v>
      </c>
      <c r="L12" s="38" t="s">
        <v>32</v>
      </c>
      <c r="M12" s="39">
        <v>0.17120632262733304</v>
      </c>
    </row>
    <row r="13" spans="1:16" ht="12" thickBot="1">
      <c r="B13" s="83">
        <v>9</v>
      </c>
      <c r="C13" s="84" t="s">
        <v>33</v>
      </c>
      <c r="D13" s="85">
        <v>417071.45069999999</v>
      </c>
      <c r="E13" s="86">
        <v>334946.68593317707</v>
      </c>
      <c r="F13" s="87">
        <v>360036.04180000001</v>
      </c>
      <c r="G13" s="87">
        <v>335756.90780000004</v>
      </c>
      <c r="H13" s="30">
        <v>0.24518757227891208</v>
      </c>
      <c r="I13" s="30">
        <v>0.15841583141190951</v>
      </c>
      <c r="J13" s="103">
        <v>7.2311644037603262E-2</v>
      </c>
    </row>
    <row r="14" spans="1:16">
      <c r="B14" s="83">
        <v>10</v>
      </c>
      <c r="C14" s="84" t="s">
        <v>34</v>
      </c>
      <c r="D14" s="85">
        <v>409341.12450000003</v>
      </c>
      <c r="E14" s="86">
        <v>350283.65702952212</v>
      </c>
      <c r="F14" s="87">
        <v>376521.83669999999</v>
      </c>
      <c r="G14" s="87">
        <v>323607.22019999998</v>
      </c>
      <c r="H14" s="30">
        <v>0.16859898052708888</v>
      </c>
      <c r="I14" s="30">
        <v>8.7164367643700169E-2</v>
      </c>
      <c r="J14" s="103">
        <v>0.16351494403399602</v>
      </c>
      <c r="L14" s="36" t="s">
        <v>35</v>
      </c>
      <c r="M14" s="37">
        <v>4661620.3603999997</v>
      </c>
    </row>
    <row r="15" spans="1:16" ht="12" thickBot="1">
      <c r="B15" s="83">
        <v>11</v>
      </c>
      <c r="C15" s="84" t="s">
        <v>36</v>
      </c>
      <c r="D15" s="85" t="s">
        <v>41</v>
      </c>
      <c r="E15" s="86">
        <v>355721.59979587886</v>
      </c>
      <c r="F15" s="87">
        <v>382367.11139999999</v>
      </c>
      <c r="G15" s="87">
        <v>331831.11830000003</v>
      </c>
      <c r="H15" s="30" t="s">
        <v>41</v>
      </c>
      <c r="I15" s="30" t="s">
        <v>41</v>
      </c>
      <c r="J15" s="103">
        <v>0.15229431573175023</v>
      </c>
      <c r="L15" s="38" t="s">
        <v>37</v>
      </c>
      <c r="M15" s="39">
        <v>8.959001534053801E-2</v>
      </c>
    </row>
    <row r="16" spans="1:16" ht="12" thickBot="1">
      <c r="B16" s="90">
        <v>12</v>
      </c>
      <c r="C16" s="91" t="s">
        <v>38</v>
      </c>
      <c r="D16" s="85" t="s">
        <v>41</v>
      </c>
      <c r="E16" s="86">
        <v>373388.43817089888</v>
      </c>
      <c r="F16" s="87">
        <v>401357.29350000003</v>
      </c>
      <c r="G16" s="87">
        <v>380155.71299999999</v>
      </c>
      <c r="H16" s="30" t="s">
        <v>41</v>
      </c>
      <c r="I16" s="30" t="s">
        <v>41</v>
      </c>
      <c r="J16" s="104">
        <v>5.5770779643656176E-2</v>
      </c>
      <c r="L16" s="38" t="s">
        <v>39</v>
      </c>
      <c r="M16" s="39">
        <v>-6.9685678526485106E-2</v>
      </c>
    </row>
    <row r="17" spans="1:13" ht="13.5" thickBot="1">
      <c r="B17" s="93" t="s">
        <v>40</v>
      </c>
      <c r="C17" s="94"/>
      <c r="D17" s="47">
        <v>4220287.3223999999</v>
      </c>
      <c r="E17" s="105">
        <v>4336772.1825526478</v>
      </c>
      <c r="F17" s="106">
        <v>4661620.3603999997</v>
      </c>
      <c r="G17" s="106">
        <v>4166098.9712000005</v>
      </c>
      <c r="H17" s="50">
        <v>0.16981223664015088</v>
      </c>
      <c r="I17" s="50">
        <v>8.8293077181296642E-2</v>
      </c>
      <c r="J17" s="51">
        <v>0.11894133879812019</v>
      </c>
      <c r="K17" s="99"/>
      <c r="L17" s="124"/>
      <c r="M17" s="124"/>
    </row>
    <row r="18" spans="1:13">
      <c r="A18" s="100"/>
      <c r="D18" s="101"/>
      <c r="E18" s="101"/>
      <c r="F18" s="101"/>
      <c r="G18" s="101"/>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pageOrder="overThenDown" orientation="landscape" r:id="rId1"/>
  <headerFooter alignWithMargins="0">
    <oddHeader>&amp;C&amp;"Tahoma,Bold"Monthly follow-up of total service units - 2016</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N19"/>
  <sheetViews>
    <sheetView workbookViewId="0">
      <selection activeCell="O58" sqref="O58"/>
    </sheetView>
  </sheetViews>
  <sheetFormatPr defaultRowHeight="11.25"/>
  <cols>
    <col min="1" max="2" width="2.85546875" style="40" bestFit="1" customWidth="1"/>
    <col min="3" max="3" width="9.28515625" style="40" customWidth="1"/>
    <col min="4" max="4" width="10.5703125" style="40" customWidth="1"/>
    <col min="5" max="5" width="11.42578125" style="40" customWidth="1"/>
    <col min="6" max="10" width="9.7109375" style="40" customWidth="1"/>
    <col min="11" max="11" width="2.7109375" style="40" customWidth="1"/>
    <col min="12" max="12" width="33.42578125" style="40" customWidth="1"/>
    <col min="13" max="13" width="11.28515625" style="40" bestFit="1" customWidth="1"/>
    <col min="14" max="16384" width="9.140625" style="40"/>
  </cols>
  <sheetData>
    <row r="1" spans="1:14" s="67" customFormat="1" ht="13.5" thickBot="1">
      <c r="B1" s="2" t="s">
        <v>0</v>
      </c>
      <c r="C1" s="2"/>
      <c r="D1" s="68" t="s">
        <v>57</v>
      </c>
      <c r="L1" s="69" t="s">
        <v>2</v>
      </c>
      <c r="M1" s="70">
        <v>42688</v>
      </c>
    </row>
    <row r="2" spans="1:14" ht="8.25" customHeight="1" thickBot="1">
      <c r="A2" s="71"/>
      <c r="C2" s="71"/>
      <c r="K2" s="72"/>
      <c r="L2" s="72"/>
      <c r="M2" s="72"/>
    </row>
    <row r="3" spans="1:14" s="76" customFormat="1" ht="33.75" customHeight="1">
      <c r="A3" s="73"/>
      <c r="B3" s="538" t="s">
        <v>3</v>
      </c>
      <c r="C3" s="539"/>
      <c r="D3" s="12" t="s">
        <v>4</v>
      </c>
      <c r="E3" s="12" t="s">
        <v>5</v>
      </c>
      <c r="F3" s="12" t="s">
        <v>6</v>
      </c>
      <c r="G3" s="12" t="s">
        <v>7</v>
      </c>
      <c r="H3" s="13" t="s">
        <v>8</v>
      </c>
      <c r="I3" s="12" t="s">
        <v>9</v>
      </c>
      <c r="J3" s="14" t="s">
        <v>10</v>
      </c>
      <c r="K3" s="74"/>
      <c r="L3" s="16" t="s">
        <v>11</v>
      </c>
      <c r="M3" s="17">
        <v>4712998</v>
      </c>
      <c r="N3" s="102"/>
    </row>
    <row r="4" spans="1:14" s="77" customFormat="1" ht="11.85" customHeight="1">
      <c r="B4" s="78"/>
      <c r="C4" s="79"/>
      <c r="D4" s="80" t="s">
        <v>12</v>
      </c>
      <c r="E4" s="80" t="s">
        <v>13</v>
      </c>
      <c r="F4" s="80" t="s">
        <v>14</v>
      </c>
      <c r="G4" s="80" t="s">
        <v>15</v>
      </c>
      <c r="H4" s="80" t="s">
        <v>16</v>
      </c>
      <c r="I4" s="80" t="s">
        <v>17</v>
      </c>
      <c r="J4" s="81" t="s">
        <v>18</v>
      </c>
      <c r="K4" s="76"/>
      <c r="L4" s="23" t="s">
        <v>19</v>
      </c>
      <c r="M4" s="24">
        <v>5357960</v>
      </c>
    </row>
    <row r="5" spans="1:14">
      <c r="B5" s="83">
        <v>1</v>
      </c>
      <c r="C5" s="84" t="s">
        <v>20</v>
      </c>
      <c r="D5" s="85">
        <v>284853.92430000001</v>
      </c>
      <c r="E5" s="86">
        <v>257233.88878090179</v>
      </c>
      <c r="F5" s="87">
        <v>291815.63130000001</v>
      </c>
      <c r="G5" s="87">
        <v>240662.57130000001</v>
      </c>
      <c r="H5" s="30">
        <v>0.10737323783424002</v>
      </c>
      <c r="I5" s="30">
        <v>-2.3856525330690825E-2</v>
      </c>
      <c r="J5" s="103">
        <v>0.21255095764864373</v>
      </c>
      <c r="L5" s="23" t="s">
        <v>21</v>
      </c>
      <c r="M5" s="24">
        <v>5048426</v>
      </c>
    </row>
    <row r="6" spans="1:14">
      <c r="B6" s="83">
        <v>2</v>
      </c>
      <c r="C6" s="84" t="s">
        <v>22</v>
      </c>
      <c r="D6" s="85">
        <v>265900.28169999999</v>
      </c>
      <c r="E6" s="86">
        <v>232556.54914997023</v>
      </c>
      <c r="F6" s="87">
        <v>263820.7451</v>
      </c>
      <c r="G6" s="87">
        <v>216122.9964</v>
      </c>
      <c r="H6" s="30">
        <v>0.14337903048487011</v>
      </c>
      <c r="I6" s="30">
        <v>7.8823846821134413E-3</v>
      </c>
      <c r="J6" s="103">
        <v>0.2206972395094926</v>
      </c>
      <c r="L6" s="23" t="s">
        <v>23</v>
      </c>
      <c r="M6" s="24">
        <v>4920105</v>
      </c>
    </row>
    <row r="7" spans="1:14">
      <c r="B7" s="83">
        <v>3</v>
      </c>
      <c r="C7" s="84" t="s">
        <v>24</v>
      </c>
      <c r="D7" s="85">
        <v>287036.32649999997</v>
      </c>
      <c r="E7" s="86">
        <v>275161.65231655427</v>
      </c>
      <c r="F7" s="87">
        <v>312153.54889999999</v>
      </c>
      <c r="G7" s="87">
        <v>257504.76860000001</v>
      </c>
      <c r="H7" s="30">
        <v>4.3155265581065416E-2</v>
      </c>
      <c r="I7" s="30">
        <v>-8.0464317924658468E-2</v>
      </c>
      <c r="J7" s="103">
        <v>0.21222434286213043</v>
      </c>
      <c r="L7" s="23" t="s">
        <v>25</v>
      </c>
      <c r="M7" s="24">
        <v>4712998</v>
      </c>
    </row>
    <row r="8" spans="1:14" ht="12" thickBot="1">
      <c r="B8" s="83">
        <v>4</v>
      </c>
      <c r="C8" s="84" t="s">
        <v>26</v>
      </c>
      <c r="D8" s="85">
        <v>323008.39289999998</v>
      </c>
      <c r="E8" s="86">
        <v>318792.54910502135</v>
      </c>
      <c r="F8" s="87">
        <v>361650.05089999997</v>
      </c>
      <c r="G8" s="87">
        <v>316511.37880000001</v>
      </c>
      <c r="H8" s="30">
        <v>1.3224411319568752E-2</v>
      </c>
      <c r="I8" s="30">
        <v>-0.10684820285200192</v>
      </c>
      <c r="J8" s="103">
        <v>0.14261311005985222</v>
      </c>
      <c r="L8" s="33"/>
      <c r="M8" s="34"/>
    </row>
    <row r="9" spans="1:14">
      <c r="B9" s="83">
        <v>5</v>
      </c>
      <c r="C9" s="84" t="s">
        <v>27</v>
      </c>
      <c r="D9" s="85">
        <v>418913.17630000005</v>
      </c>
      <c r="E9" s="86">
        <v>390791.3786031151</v>
      </c>
      <c r="F9" s="87">
        <v>443328.18430000002</v>
      </c>
      <c r="G9" s="87">
        <v>408050.66899999999</v>
      </c>
      <c r="H9" s="30">
        <v>7.1961151746505747E-2</v>
      </c>
      <c r="I9" s="30">
        <v>-5.5072086243626583E-2</v>
      </c>
      <c r="J9" s="103">
        <v>8.6453761701834164E-2</v>
      </c>
      <c r="L9" s="35"/>
    </row>
    <row r="10" spans="1:14" ht="12" thickBot="1">
      <c r="B10" s="83">
        <v>6</v>
      </c>
      <c r="C10" s="84" t="s">
        <v>28</v>
      </c>
      <c r="D10" s="85">
        <v>464564.64189999999</v>
      </c>
      <c r="E10" s="86">
        <v>429919.87017092883</v>
      </c>
      <c r="F10" s="87">
        <v>487716.9914</v>
      </c>
      <c r="G10" s="87">
        <v>466742.54119999998</v>
      </c>
      <c r="H10" s="30">
        <v>8.0584253329107458E-2</v>
      </c>
      <c r="I10" s="30">
        <v>-4.747086918899579E-2</v>
      </c>
      <c r="J10" s="103">
        <v>4.4937944045285727E-2</v>
      </c>
      <c r="L10" s="35"/>
    </row>
    <row r="11" spans="1:14">
      <c r="B11" s="83">
        <v>7</v>
      </c>
      <c r="C11" s="84" t="s">
        <v>29</v>
      </c>
      <c r="D11" s="85">
        <v>579070.19070000004</v>
      </c>
      <c r="E11" s="86">
        <v>516377.96964181925</v>
      </c>
      <c r="F11" s="87">
        <v>585798.25509999995</v>
      </c>
      <c r="G11" s="87">
        <v>540528.88699999999</v>
      </c>
      <c r="H11" s="30">
        <v>0.12140762143990513</v>
      </c>
      <c r="I11" s="30">
        <v>-1.1485292660783686E-2</v>
      </c>
      <c r="J11" s="103">
        <v>8.3750136558381483E-2</v>
      </c>
      <c r="L11" s="36" t="s">
        <v>30</v>
      </c>
      <c r="M11" s="37">
        <v>4318281.0000000019</v>
      </c>
    </row>
    <row r="12" spans="1:14" ht="12" thickBot="1">
      <c r="B12" s="83">
        <v>8</v>
      </c>
      <c r="C12" s="84" t="s">
        <v>31</v>
      </c>
      <c r="D12" s="85">
        <v>573109.28749999998</v>
      </c>
      <c r="E12" s="86">
        <v>527611.95621614461</v>
      </c>
      <c r="F12" s="87">
        <v>598542.50470000005</v>
      </c>
      <c r="G12" s="87">
        <v>597738.64379999996</v>
      </c>
      <c r="H12" s="30">
        <v>8.6232563056658051E-2</v>
      </c>
      <c r="I12" s="30">
        <v>-4.2491914943864617E-2</v>
      </c>
      <c r="J12" s="103">
        <v>1.3448367582356013E-3</v>
      </c>
      <c r="L12" s="38" t="s">
        <v>32</v>
      </c>
      <c r="M12" s="39">
        <v>9.1406047915825184E-2</v>
      </c>
    </row>
    <row r="13" spans="1:14" ht="12" thickBot="1">
      <c r="B13" s="83">
        <v>9</v>
      </c>
      <c r="C13" s="84" t="s">
        <v>33</v>
      </c>
      <c r="D13" s="85">
        <v>496442.20789999998</v>
      </c>
      <c r="E13" s="86">
        <v>441500.02168272575</v>
      </c>
      <c r="F13" s="87">
        <v>500853.94330000004</v>
      </c>
      <c r="G13" s="87">
        <v>509369.41260000004</v>
      </c>
      <c r="H13" s="30">
        <v>0.12444435678138466</v>
      </c>
      <c r="I13" s="30">
        <v>-8.80842700555029E-3</v>
      </c>
      <c r="J13" s="103">
        <v>-1.6717669120597689E-2</v>
      </c>
    </row>
    <row r="14" spans="1:14">
      <c r="B14" s="83">
        <v>10</v>
      </c>
      <c r="C14" s="84" t="s">
        <v>34</v>
      </c>
      <c r="D14" s="85">
        <v>417499.33930000005</v>
      </c>
      <c r="E14" s="86">
        <v>386648.87288652675</v>
      </c>
      <c r="F14" s="87">
        <v>438628.77270000003</v>
      </c>
      <c r="G14" s="87">
        <v>448664.62520000001</v>
      </c>
      <c r="H14" s="30">
        <v>7.9789360778835805E-2</v>
      </c>
      <c r="I14" s="30">
        <v>-4.8171562640400345E-2</v>
      </c>
      <c r="J14" s="103">
        <v>-2.2368272282501267E-2</v>
      </c>
      <c r="L14" s="36" t="s">
        <v>35</v>
      </c>
      <c r="M14" s="37">
        <v>4898817.5784999989</v>
      </c>
    </row>
    <row r="15" spans="1:14" ht="12" thickBot="1">
      <c r="B15" s="83">
        <v>11</v>
      </c>
      <c r="C15" s="84" t="s">
        <v>36</v>
      </c>
      <c r="D15" s="85" t="s">
        <v>41</v>
      </c>
      <c r="E15" s="86">
        <v>263210.44069818669</v>
      </c>
      <c r="F15" s="87">
        <v>298595.65269999998</v>
      </c>
      <c r="G15" s="87">
        <v>313515.26190000004</v>
      </c>
      <c r="H15" s="30" t="s">
        <v>41</v>
      </c>
      <c r="I15" s="30" t="s">
        <v>41</v>
      </c>
      <c r="J15" s="103">
        <v>-4.7588143267994654E-2</v>
      </c>
      <c r="L15" s="38" t="s">
        <v>37</v>
      </c>
      <c r="M15" s="39">
        <v>-3.7931516232718399E-2</v>
      </c>
    </row>
    <row r="16" spans="1:14" ht="12" thickBot="1">
      <c r="B16" s="90">
        <v>12</v>
      </c>
      <c r="C16" s="91" t="s">
        <v>38</v>
      </c>
      <c r="D16" s="85" t="s">
        <v>41</v>
      </c>
      <c r="E16" s="86">
        <v>278475.85074810649</v>
      </c>
      <c r="F16" s="87">
        <v>315913.29810000001</v>
      </c>
      <c r="G16" s="87">
        <v>302387.12100000004</v>
      </c>
      <c r="H16" s="30" t="s">
        <v>41</v>
      </c>
      <c r="I16" s="30" t="s">
        <v>41</v>
      </c>
      <c r="J16" s="104">
        <v>4.473132670223734E-2</v>
      </c>
      <c r="L16" s="38" t="s">
        <v>39</v>
      </c>
      <c r="M16" s="39">
        <v>-0.11850544936554985</v>
      </c>
    </row>
    <row r="17" spans="1:13" ht="13.5" thickBot="1">
      <c r="B17" s="93" t="s">
        <v>40</v>
      </c>
      <c r="C17" s="94"/>
      <c r="D17" s="47">
        <v>4110397.7689999999</v>
      </c>
      <c r="E17" s="105">
        <v>4318281.0000000019</v>
      </c>
      <c r="F17" s="106">
        <v>4898817.5784999989</v>
      </c>
      <c r="G17" s="106">
        <v>4617798.8768000007</v>
      </c>
      <c r="H17" s="50">
        <v>8.8387313494416642E-2</v>
      </c>
      <c r="I17" s="50">
        <v>-4.059251417500287E-2</v>
      </c>
      <c r="J17" s="51">
        <v>6.0855552439030403E-2</v>
      </c>
      <c r="K17" s="99"/>
      <c r="L17" s="124"/>
      <c r="M17" s="124"/>
    </row>
    <row r="18" spans="1:13">
      <c r="A18" s="100"/>
      <c r="D18" s="101"/>
      <c r="E18" s="101"/>
      <c r="F18" s="101"/>
      <c r="G18" s="101"/>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7" pageOrder="overThenDown" orientation="landscape" r:id="rId1"/>
  <headerFooter alignWithMargins="0">
    <oddHeader>&amp;C&amp;"Tahoma,Bold"Monthly follow-up of total service units - 2016</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N19"/>
  <sheetViews>
    <sheetView workbookViewId="0">
      <selection activeCell="O56" sqref="O56"/>
    </sheetView>
  </sheetViews>
  <sheetFormatPr defaultRowHeight="11.25"/>
  <cols>
    <col min="1" max="2" width="2.85546875" style="40" bestFit="1" customWidth="1"/>
    <col min="3" max="3" width="9.28515625" style="40" customWidth="1"/>
    <col min="4" max="4" width="12.5703125" style="40" customWidth="1"/>
    <col min="5" max="5" width="12.28515625" style="40" customWidth="1"/>
    <col min="6" max="6" width="11" style="40" customWidth="1"/>
    <col min="7" max="7" width="11.85546875" style="40" customWidth="1"/>
    <col min="8" max="10" width="9.7109375" style="40" customWidth="1"/>
    <col min="11" max="11" width="2.7109375" style="40" customWidth="1"/>
    <col min="12" max="12" width="34" style="40" customWidth="1"/>
    <col min="13" max="13" width="11.28515625" style="40" bestFit="1" customWidth="1"/>
    <col min="14" max="16384" width="9.140625" style="40"/>
  </cols>
  <sheetData>
    <row r="1" spans="1:14" s="67" customFormat="1" ht="13.5" thickBot="1">
      <c r="B1" s="2" t="s">
        <v>0</v>
      </c>
      <c r="C1" s="2"/>
      <c r="D1" s="68" t="s">
        <v>58</v>
      </c>
      <c r="L1" s="69" t="s">
        <v>2</v>
      </c>
      <c r="M1" s="70">
        <v>42688</v>
      </c>
    </row>
    <row r="2" spans="1:14" ht="8.25" customHeight="1" thickBot="1">
      <c r="A2" s="71"/>
      <c r="C2" s="71"/>
      <c r="K2" s="72"/>
      <c r="L2" s="72"/>
      <c r="M2" s="72"/>
    </row>
    <row r="3" spans="1:14" s="76" customFormat="1" ht="33.75" customHeight="1">
      <c r="A3" s="73"/>
      <c r="B3" s="538" t="s">
        <v>3</v>
      </c>
      <c r="C3" s="539"/>
      <c r="D3" s="12" t="s">
        <v>4</v>
      </c>
      <c r="E3" s="12" t="s">
        <v>5</v>
      </c>
      <c r="F3" s="12" t="s">
        <v>6</v>
      </c>
      <c r="G3" s="12" t="s">
        <v>7</v>
      </c>
      <c r="H3" s="13" t="s">
        <v>8</v>
      </c>
      <c r="I3" s="12" t="s">
        <v>9</v>
      </c>
      <c r="J3" s="14" t="s">
        <v>10</v>
      </c>
      <c r="K3" s="74"/>
      <c r="L3" s="16" t="s">
        <v>11</v>
      </c>
      <c r="M3" s="17">
        <v>14022107</v>
      </c>
      <c r="N3" s="102"/>
    </row>
    <row r="4" spans="1:14" s="77" customFormat="1" ht="11.85" customHeight="1">
      <c r="B4" s="78"/>
      <c r="C4" s="79"/>
      <c r="D4" s="80" t="s">
        <v>12</v>
      </c>
      <c r="E4" s="80" t="s">
        <v>13</v>
      </c>
      <c r="F4" s="80" t="s">
        <v>14</v>
      </c>
      <c r="G4" s="80" t="s">
        <v>15</v>
      </c>
      <c r="H4" s="80" t="s">
        <v>16</v>
      </c>
      <c r="I4" s="80" t="s">
        <v>17</v>
      </c>
      <c r="J4" s="81" t="s">
        <v>18</v>
      </c>
      <c r="K4" s="76"/>
      <c r="L4" s="23" t="s">
        <v>19</v>
      </c>
      <c r="M4" s="24">
        <v>15172312</v>
      </c>
    </row>
    <row r="5" spans="1:14">
      <c r="B5" s="83">
        <v>1</v>
      </c>
      <c r="C5" s="84" t="s">
        <v>20</v>
      </c>
      <c r="D5" s="85">
        <v>1039812.8924</v>
      </c>
      <c r="E5" s="86">
        <v>1078009.840821642</v>
      </c>
      <c r="F5" s="87">
        <v>1019014.2409000001</v>
      </c>
      <c r="G5" s="87">
        <v>800735.40280000004</v>
      </c>
      <c r="H5" s="30">
        <v>-3.5432838342671191E-2</v>
      </c>
      <c r="I5" s="30">
        <v>2.0410560191612692E-2</v>
      </c>
      <c r="J5" s="103">
        <v>0.27259796099526223</v>
      </c>
      <c r="L5" s="23" t="s">
        <v>21</v>
      </c>
      <c r="M5" s="24">
        <v>14460661</v>
      </c>
    </row>
    <row r="6" spans="1:14">
      <c r="B6" s="83">
        <v>2</v>
      </c>
      <c r="C6" s="84" t="s">
        <v>22</v>
      </c>
      <c r="D6" s="85">
        <v>979631.56740000006</v>
      </c>
      <c r="E6" s="86">
        <v>960347.82842995971</v>
      </c>
      <c r="F6" s="87">
        <v>907791.44709999999</v>
      </c>
      <c r="G6" s="87">
        <v>737890.81670000008</v>
      </c>
      <c r="H6" s="30">
        <v>2.0079952699603387E-2</v>
      </c>
      <c r="I6" s="30">
        <v>7.9137251765808214E-2</v>
      </c>
      <c r="J6" s="103">
        <v>0.23025172092509649</v>
      </c>
      <c r="L6" s="23" t="s">
        <v>23</v>
      </c>
      <c r="M6" s="24">
        <v>14518471</v>
      </c>
    </row>
    <row r="7" spans="1:14">
      <c r="B7" s="83">
        <v>3</v>
      </c>
      <c r="C7" s="84" t="s">
        <v>24</v>
      </c>
      <c r="D7" s="85">
        <v>1116892.5755999999</v>
      </c>
      <c r="E7" s="86">
        <v>1130672.8213660633</v>
      </c>
      <c r="F7" s="87">
        <v>1068795.166</v>
      </c>
      <c r="G7" s="87">
        <v>861856.92210000008</v>
      </c>
      <c r="H7" s="30">
        <v>-1.2187651021286938E-2</v>
      </c>
      <c r="I7" s="30">
        <v>4.5001522396481253E-2</v>
      </c>
      <c r="J7" s="103">
        <v>0.2401074222340458</v>
      </c>
      <c r="L7" s="23" t="s">
        <v>25</v>
      </c>
      <c r="M7" s="24">
        <v>14022107</v>
      </c>
    </row>
    <row r="8" spans="1:14" ht="12" thickBot="1">
      <c r="B8" s="83">
        <v>4</v>
      </c>
      <c r="C8" s="84" t="s">
        <v>26</v>
      </c>
      <c r="D8" s="85">
        <v>1133972.8724</v>
      </c>
      <c r="E8" s="86">
        <v>1187704.5161206243</v>
      </c>
      <c r="F8" s="87">
        <v>1122705.7213000001</v>
      </c>
      <c r="G8" s="87">
        <v>986215.353</v>
      </c>
      <c r="H8" s="30">
        <v>-4.5239908572653142E-2</v>
      </c>
      <c r="I8" s="30">
        <v>1.0035711839923245E-2</v>
      </c>
      <c r="J8" s="103">
        <v>0.13839813777468146</v>
      </c>
      <c r="L8" s="33"/>
      <c r="M8" s="34"/>
    </row>
    <row r="9" spans="1:14">
      <c r="B9" s="83">
        <v>5</v>
      </c>
      <c r="C9" s="84" t="s">
        <v>27</v>
      </c>
      <c r="D9" s="85">
        <v>1219657.267</v>
      </c>
      <c r="E9" s="86">
        <v>1317790.5362546113</v>
      </c>
      <c r="F9" s="87">
        <v>1245672.6016000002</v>
      </c>
      <c r="G9" s="87">
        <v>1104650.4545</v>
      </c>
      <c r="H9" s="30">
        <v>-7.4468033086292351E-2</v>
      </c>
      <c r="I9" s="30">
        <v>-2.0884568358158329E-2</v>
      </c>
      <c r="J9" s="103">
        <v>0.12766223607252414</v>
      </c>
      <c r="L9" s="35"/>
    </row>
    <row r="10" spans="1:14" ht="12" thickBot="1">
      <c r="B10" s="83">
        <v>6</v>
      </c>
      <c r="C10" s="84" t="s">
        <v>28</v>
      </c>
      <c r="D10" s="85">
        <v>1221369.6254999998</v>
      </c>
      <c r="E10" s="86">
        <v>1358793.6439077775</v>
      </c>
      <c r="F10" s="87">
        <v>1284431.7567</v>
      </c>
      <c r="G10" s="87">
        <v>1155675.9092999999</v>
      </c>
      <c r="H10" s="30">
        <v>-0.10113678336951715</v>
      </c>
      <c r="I10" s="30">
        <v>-4.9097299931310734E-2</v>
      </c>
      <c r="J10" s="103">
        <v>0.11141172569564795</v>
      </c>
      <c r="L10" s="35"/>
    </row>
    <row r="11" spans="1:14">
      <c r="B11" s="83">
        <v>7</v>
      </c>
      <c r="C11" s="84" t="s">
        <v>29</v>
      </c>
      <c r="D11" s="85">
        <v>1361635.9380000001</v>
      </c>
      <c r="E11" s="86">
        <v>1484438.7501000918</v>
      </c>
      <c r="F11" s="87">
        <v>1403200.7582999999</v>
      </c>
      <c r="G11" s="87">
        <v>1276200.4709000001</v>
      </c>
      <c r="H11" s="30">
        <v>-8.2726762617731042E-2</v>
      </c>
      <c r="I11" s="30">
        <v>-2.96214351753602E-2</v>
      </c>
      <c r="J11" s="103">
        <v>9.9514371210376318E-2</v>
      </c>
      <c r="L11" s="36" t="s">
        <v>30</v>
      </c>
      <c r="M11" s="37">
        <v>15002647.806713905</v>
      </c>
    </row>
    <row r="12" spans="1:14" ht="12" thickBot="1">
      <c r="B12" s="83">
        <v>8</v>
      </c>
      <c r="C12" s="84" t="s">
        <v>31</v>
      </c>
      <c r="D12" s="85">
        <v>1388058.0213000001</v>
      </c>
      <c r="E12" s="86">
        <v>1523224.2025638383</v>
      </c>
      <c r="F12" s="87">
        <v>1439863.6225000001</v>
      </c>
      <c r="G12" s="87">
        <v>1377062.1982</v>
      </c>
      <c r="H12" s="30">
        <v>-8.8736891809052865E-2</v>
      </c>
      <c r="I12" s="30">
        <v>-3.5979519442300489E-2</v>
      </c>
      <c r="J12" s="103">
        <v>4.5605365089601335E-2</v>
      </c>
      <c r="L12" s="38" t="s">
        <v>32</v>
      </c>
      <c r="M12" s="39">
        <v>-6.5357850117303884E-2</v>
      </c>
    </row>
    <row r="13" spans="1:14" ht="12" thickBot="1">
      <c r="B13" s="83">
        <v>9</v>
      </c>
      <c r="C13" s="84" t="s">
        <v>33</v>
      </c>
      <c r="D13" s="85">
        <v>1336695.3533000001</v>
      </c>
      <c r="E13" s="86">
        <v>1415075.9635591856</v>
      </c>
      <c r="F13" s="87">
        <v>1337633.9475</v>
      </c>
      <c r="G13" s="87">
        <v>1267209.8511000001</v>
      </c>
      <c r="H13" s="30">
        <v>-5.5389683859828565E-2</v>
      </c>
      <c r="I13" s="30">
        <v>-7.0168240104417912E-4</v>
      </c>
      <c r="J13" s="103">
        <v>5.5574138994317623E-2</v>
      </c>
    </row>
    <row r="14" spans="1:14">
      <c r="B14" s="83">
        <v>10</v>
      </c>
      <c r="C14" s="84" t="s">
        <v>34</v>
      </c>
      <c r="D14" s="85">
        <v>1302601.9489</v>
      </c>
      <c r="E14" s="86">
        <v>1321888.4744687374</v>
      </c>
      <c r="F14" s="87">
        <v>1249546.2744</v>
      </c>
      <c r="G14" s="87">
        <v>1211718.9743000001</v>
      </c>
      <c r="H14" s="30">
        <v>-1.4590130666271683E-2</v>
      </c>
      <c r="I14" s="30">
        <v>4.2459951733661017E-2</v>
      </c>
      <c r="J14" s="103">
        <v>3.1217882118130813E-2</v>
      </c>
      <c r="L14" s="36" t="s">
        <v>35</v>
      </c>
      <c r="M14" s="37">
        <v>14181606.8716</v>
      </c>
    </row>
    <row r="15" spans="1:14" ht="12" thickBot="1">
      <c r="B15" s="83">
        <v>11</v>
      </c>
      <c r="C15" s="84" t="s">
        <v>36</v>
      </c>
      <c r="D15" s="85" t="s">
        <v>41</v>
      </c>
      <c r="E15" s="86">
        <v>1131798.8153663881</v>
      </c>
      <c r="F15" s="87">
        <v>1069859.5384</v>
      </c>
      <c r="G15" s="87">
        <v>1026909.4723</v>
      </c>
      <c r="H15" s="30" t="s">
        <v>41</v>
      </c>
      <c r="I15" s="30" t="s">
        <v>41</v>
      </c>
      <c r="J15" s="103">
        <v>4.1824588494449699E-2</v>
      </c>
      <c r="L15" s="38" t="s">
        <v>37</v>
      </c>
      <c r="M15" s="39">
        <v>-1.1246953398448389E-2</v>
      </c>
    </row>
    <row r="16" spans="1:14" ht="12" thickBot="1">
      <c r="B16" s="90">
        <v>12</v>
      </c>
      <c r="C16" s="91" t="s">
        <v>38</v>
      </c>
      <c r="D16" s="85" t="s">
        <v>41</v>
      </c>
      <c r="E16" s="86">
        <v>1092902.4137549843</v>
      </c>
      <c r="F16" s="87">
        <v>1033091.7969</v>
      </c>
      <c r="G16" s="87">
        <v>1002722.9478000001</v>
      </c>
      <c r="H16" s="30" t="s">
        <v>41</v>
      </c>
      <c r="I16" s="30" t="s">
        <v>41</v>
      </c>
      <c r="J16" s="104">
        <v>3.0286380865851337E-2</v>
      </c>
      <c r="L16" s="38" t="s">
        <v>39</v>
      </c>
      <c r="M16" s="39">
        <v>5.7894774728110443E-2</v>
      </c>
    </row>
    <row r="17" spans="1:13" ht="13.5" thickBot="1">
      <c r="B17" s="93" t="s">
        <v>40</v>
      </c>
      <c r="C17" s="94"/>
      <c r="D17" s="47">
        <v>12100328.061799999</v>
      </c>
      <c r="E17" s="105">
        <v>15002647.806713905</v>
      </c>
      <c r="F17" s="106">
        <v>14181606.8716</v>
      </c>
      <c r="G17" s="106">
        <v>12808848.773</v>
      </c>
      <c r="H17" s="50">
        <v>-5.3030313726683542E-2</v>
      </c>
      <c r="I17" s="50">
        <v>1.7942829344597122E-3</v>
      </c>
      <c r="J17" s="51">
        <v>0.10717263689564827</v>
      </c>
      <c r="K17" s="99"/>
      <c r="L17" s="124"/>
      <c r="M17" s="124"/>
    </row>
    <row r="18" spans="1:13">
      <c r="A18" s="100"/>
      <c r="D18" s="101"/>
      <c r="E18" s="101"/>
      <c r="F18" s="101"/>
      <c r="G18" s="101"/>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3" pageOrder="overThenDown" orientation="landscape" r:id="rId1"/>
  <headerFooter alignWithMargins="0">
    <oddHeader>&amp;C&amp;"Tahoma,Bold"Monthly follow-up of total service units - 2016</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N19"/>
  <sheetViews>
    <sheetView workbookViewId="0">
      <selection activeCell="P56" sqref="P56"/>
    </sheetView>
  </sheetViews>
  <sheetFormatPr defaultRowHeight="11.25"/>
  <cols>
    <col min="1" max="2" width="2.85546875" style="40" bestFit="1" customWidth="1"/>
    <col min="3" max="3" width="9.28515625" style="40" customWidth="1"/>
    <col min="4" max="10" width="9.7109375" style="40" customWidth="1"/>
    <col min="11" max="11" width="2.7109375" style="40" customWidth="1"/>
    <col min="12" max="12" width="33.7109375" style="40" customWidth="1"/>
    <col min="13" max="13" width="10.42578125" style="40" customWidth="1"/>
    <col min="14" max="16384" width="9.140625" style="40"/>
  </cols>
  <sheetData>
    <row r="1" spans="1:14" s="67" customFormat="1" ht="13.5" thickBot="1">
      <c r="B1" s="2" t="s">
        <v>0</v>
      </c>
      <c r="C1" s="2"/>
      <c r="D1" s="68" t="s">
        <v>59</v>
      </c>
      <c r="L1" s="69" t="s">
        <v>2</v>
      </c>
      <c r="M1" s="70">
        <v>42688</v>
      </c>
    </row>
    <row r="2" spans="1:14" ht="8.25" customHeight="1" thickBot="1">
      <c r="A2" s="71"/>
      <c r="C2" s="71"/>
      <c r="K2" s="72"/>
      <c r="L2" s="72"/>
      <c r="M2" s="72"/>
    </row>
    <row r="3" spans="1:14" s="76" customFormat="1" ht="33.75" customHeight="1">
      <c r="A3" s="73"/>
      <c r="B3" s="538" t="s">
        <v>3</v>
      </c>
      <c r="C3" s="539"/>
      <c r="D3" s="12" t="s">
        <v>4</v>
      </c>
      <c r="E3" s="12" t="s">
        <v>5</v>
      </c>
      <c r="F3" s="12" t="s">
        <v>6</v>
      </c>
      <c r="G3" s="12" t="s">
        <v>7</v>
      </c>
      <c r="H3" s="13" t="s">
        <v>8</v>
      </c>
      <c r="I3" s="12" t="s">
        <v>9</v>
      </c>
      <c r="J3" s="14" t="s">
        <v>10</v>
      </c>
      <c r="K3" s="74"/>
      <c r="L3" s="16" t="s">
        <v>11</v>
      </c>
      <c r="M3" s="17">
        <v>933313</v>
      </c>
      <c r="N3" s="102"/>
    </row>
    <row r="4" spans="1:14" s="77" customFormat="1" ht="11.85" customHeight="1">
      <c r="B4" s="78"/>
      <c r="C4" s="79"/>
      <c r="D4" s="80" t="s">
        <v>12</v>
      </c>
      <c r="E4" s="80" t="s">
        <v>13</v>
      </c>
      <c r="F4" s="80" t="s">
        <v>14</v>
      </c>
      <c r="G4" s="80" t="s">
        <v>15</v>
      </c>
      <c r="H4" s="80" t="s">
        <v>16</v>
      </c>
      <c r="I4" s="80" t="s">
        <v>17</v>
      </c>
      <c r="J4" s="81" t="s">
        <v>18</v>
      </c>
      <c r="K4" s="76"/>
      <c r="L4" s="23" t="s">
        <v>19</v>
      </c>
      <c r="M4" s="24">
        <v>839618</v>
      </c>
    </row>
    <row r="5" spans="1:14">
      <c r="B5" s="83">
        <v>1</v>
      </c>
      <c r="C5" s="84" t="s">
        <v>20</v>
      </c>
      <c r="D5" s="85">
        <v>74418.091700000004</v>
      </c>
      <c r="E5" s="86">
        <v>48036.525639699212</v>
      </c>
      <c r="F5" s="87">
        <v>63688.5743</v>
      </c>
      <c r="G5" s="87">
        <v>59904.073899999996</v>
      </c>
      <c r="H5" s="30">
        <v>0.54919804688160179</v>
      </c>
      <c r="I5" s="30">
        <v>0.16846848148082971</v>
      </c>
      <c r="J5" s="103">
        <v>6.3176010471635236E-2</v>
      </c>
      <c r="L5" s="23" t="s">
        <v>21</v>
      </c>
      <c r="M5" s="24">
        <v>861107</v>
      </c>
    </row>
    <row r="6" spans="1:14">
      <c r="B6" s="83">
        <v>2</v>
      </c>
      <c r="C6" s="84" t="s">
        <v>22</v>
      </c>
      <c r="D6" s="85">
        <v>68447.967499999999</v>
      </c>
      <c r="E6" s="86">
        <v>43235.405160378585</v>
      </c>
      <c r="F6" s="87">
        <v>57323.074000000001</v>
      </c>
      <c r="G6" s="87">
        <v>57367.597500000003</v>
      </c>
      <c r="H6" s="30">
        <v>0.58314620265722628</v>
      </c>
      <c r="I6" s="30">
        <v>0.19407356800160436</v>
      </c>
      <c r="J6" s="103">
        <v>-7.7610884785617174E-4</v>
      </c>
      <c r="L6" s="23" t="s">
        <v>23</v>
      </c>
      <c r="M6" s="24">
        <v>909904</v>
      </c>
    </row>
    <row r="7" spans="1:14">
      <c r="B7" s="83">
        <v>3</v>
      </c>
      <c r="C7" s="84" t="s">
        <v>24</v>
      </c>
      <c r="D7" s="85">
        <v>83837.774400000009</v>
      </c>
      <c r="E7" s="86">
        <v>52173.515613226991</v>
      </c>
      <c r="F7" s="87">
        <v>69173.546199999997</v>
      </c>
      <c r="G7" s="87">
        <v>67890.440499999997</v>
      </c>
      <c r="H7" s="30">
        <v>0.60690291644340566</v>
      </c>
      <c r="I7" s="30">
        <v>0.21199185245760921</v>
      </c>
      <c r="J7" s="103">
        <v>1.8899652006235002E-2</v>
      </c>
      <c r="L7" s="23" t="s">
        <v>25</v>
      </c>
      <c r="M7" s="24">
        <v>933313</v>
      </c>
    </row>
    <row r="8" spans="1:14" ht="12" thickBot="1">
      <c r="B8" s="83">
        <v>4</v>
      </c>
      <c r="C8" s="84" t="s">
        <v>26</v>
      </c>
      <c r="D8" s="85">
        <v>84389.489600000001</v>
      </c>
      <c r="E8" s="86">
        <v>53460.656091439334</v>
      </c>
      <c r="F8" s="87">
        <v>70880.083900000012</v>
      </c>
      <c r="G8" s="87">
        <v>65391.3554</v>
      </c>
      <c r="H8" s="30">
        <v>0.57853449190110684</v>
      </c>
      <c r="I8" s="30">
        <v>0.19059522727229705</v>
      </c>
      <c r="J8" s="103">
        <v>8.3936607009066799E-2</v>
      </c>
      <c r="L8" s="33"/>
      <c r="M8" s="34"/>
    </row>
    <row r="9" spans="1:14">
      <c r="B9" s="83">
        <v>5</v>
      </c>
      <c r="C9" s="84" t="s">
        <v>27</v>
      </c>
      <c r="D9" s="85">
        <v>82914.271999999997</v>
      </c>
      <c r="E9" s="86">
        <v>49736.857594125824</v>
      </c>
      <c r="F9" s="87">
        <v>65942.936300000001</v>
      </c>
      <c r="G9" s="87">
        <v>63718.285300000003</v>
      </c>
      <c r="H9" s="30">
        <v>0.66705891788773952</v>
      </c>
      <c r="I9" s="30">
        <v>0.25736396727605215</v>
      </c>
      <c r="J9" s="103">
        <v>3.4913855410983574E-2</v>
      </c>
      <c r="L9" s="35"/>
      <c r="M9" s="125"/>
    </row>
    <row r="10" spans="1:14" ht="12" thickBot="1">
      <c r="B10" s="83">
        <v>6</v>
      </c>
      <c r="C10" s="84" t="s">
        <v>28</v>
      </c>
      <c r="D10" s="85">
        <v>81626.080199999997</v>
      </c>
      <c r="E10" s="86">
        <v>51408.57236776458</v>
      </c>
      <c r="F10" s="87">
        <v>68159.356599999999</v>
      </c>
      <c r="G10" s="87">
        <v>67532.837899999999</v>
      </c>
      <c r="H10" s="30">
        <v>0.58779122703635145</v>
      </c>
      <c r="I10" s="30">
        <v>0.19757703522688463</v>
      </c>
      <c r="J10" s="103">
        <v>9.2772452555263119E-3</v>
      </c>
      <c r="L10" s="35"/>
    </row>
    <row r="11" spans="1:14">
      <c r="B11" s="83">
        <v>7</v>
      </c>
      <c r="C11" s="84" t="s">
        <v>29</v>
      </c>
      <c r="D11" s="85">
        <v>80203.722099999999</v>
      </c>
      <c r="E11" s="86">
        <v>56250.702356202579</v>
      </c>
      <c r="F11" s="87">
        <v>74579.228799999997</v>
      </c>
      <c r="G11" s="87">
        <v>61264.327400000002</v>
      </c>
      <c r="H11" s="30">
        <v>0.42582614510512329</v>
      </c>
      <c r="I11" s="30">
        <v>7.541635104706268E-2</v>
      </c>
      <c r="J11" s="103">
        <v>0.21733530694078906</v>
      </c>
      <c r="L11" s="36" t="s">
        <v>30</v>
      </c>
      <c r="M11" s="37">
        <v>621000</v>
      </c>
    </row>
    <row r="12" spans="1:14" ht="12" thickBot="1">
      <c r="B12" s="83">
        <v>8</v>
      </c>
      <c r="C12" s="84" t="s">
        <v>31</v>
      </c>
      <c r="D12" s="85">
        <v>75974.2932</v>
      </c>
      <c r="E12" s="86">
        <v>53133.399425780561</v>
      </c>
      <c r="F12" s="87">
        <v>70446.195099999997</v>
      </c>
      <c r="G12" s="87">
        <v>59719.448099999994</v>
      </c>
      <c r="H12" s="30">
        <v>0.42987826905607207</v>
      </c>
      <c r="I12" s="30">
        <v>7.8472628538031719E-2</v>
      </c>
      <c r="J12" s="103">
        <v>0.17961899081917343</v>
      </c>
      <c r="L12" s="38" t="s">
        <v>32</v>
      </c>
      <c r="M12" s="39">
        <v>0.50291948470209347</v>
      </c>
    </row>
    <row r="13" spans="1:14" ht="12" thickBot="1">
      <c r="B13" s="83">
        <v>9</v>
      </c>
      <c r="C13" s="84" t="s">
        <v>33</v>
      </c>
      <c r="D13" s="85">
        <v>75322.769899999999</v>
      </c>
      <c r="E13" s="86">
        <v>58539.209442231295</v>
      </c>
      <c r="F13" s="87">
        <v>77613.414799999999</v>
      </c>
      <c r="G13" s="87">
        <v>59195.1345</v>
      </c>
      <c r="H13" s="30">
        <v>0.28670630535814379</v>
      </c>
      <c r="I13" s="30">
        <v>-2.9513517810068057E-2</v>
      </c>
      <c r="J13" s="103">
        <v>0.31114517190597812</v>
      </c>
    </row>
    <row r="14" spans="1:14">
      <c r="B14" s="83">
        <v>10</v>
      </c>
      <c r="C14" s="84" t="s">
        <v>34</v>
      </c>
      <c r="D14" s="85">
        <v>64228.388200000001</v>
      </c>
      <c r="E14" s="86">
        <v>57078.837334746277</v>
      </c>
      <c r="F14" s="87">
        <v>75677.200299999997</v>
      </c>
      <c r="G14" s="87">
        <v>61071.669200000004</v>
      </c>
      <c r="H14" s="30">
        <v>0.12525747192999481</v>
      </c>
      <c r="I14" s="30">
        <v>-0.15128482627019169</v>
      </c>
      <c r="J14" s="103">
        <v>0.23915395291013253</v>
      </c>
      <c r="L14" s="36" t="s">
        <v>35</v>
      </c>
      <c r="M14" s="37">
        <v>823344.40540000005</v>
      </c>
    </row>
    <row r="15" spans="1:14" ht="12" thickBot="1">
      <c r="B15" s="83">
        <v>11</v>
      </c>
      <c r="C15" s="84" t="s">
        <v>36</v>
      </c>
      <c r="D15" s="85" t="s">
        <v>41</v>
      </c>
      <c r="E15" s="86">
        <v>42732.325218396392</v>
      </c>
      <c r="F15" s="87">
        <v>56656.0723</v>
      </c>
      <c r="G15" s="87">
        <v>52578.888299999999</v>
      </c>
      <c r="H15" s="30" t="s">
        <v>41</v>
      </c>
      <c r="I15" s="30" t="s">
        <v>41</v>
      </c>
      <c r="J15" s="103">
        <v>7.7544127154928866E-2</v>
      </c>
      <c r="L15" s="38" t="s">
        <v>37</v>
      </c>
      <c r="M15" s="39">
        <v>0.13356329851609861</v>
      </c>
    </row>
    <row r="16" spans="1:14" ht="12" thickBot="1">
      <c r="B16" s="90">
        <v>12</v>
      </c>
      <c r="C16" s="91" t="s">
        <v>38</v>
      </c>
      <c r="D16" s="85" t="s">
        <v>41</v>
      </c>
      <c r="E16" s="86">
        <v>55213.993756008334</v>
      </c>
      <c r="F16" s="87">
        <v>73204.722799999989</v>
      </c>
      <c r="G16" s="87">
        <v>51741.169900000001</v>
      </c>
      <c r="H16" s="30" t="s">
        <v>41</v>
      </c>
      <c r="I16" s="30" t="s">
        <v>41</v>
      </c>
      <c r="J16" s="104">
        <v>0.41482542705320591</v>
      </c>
      <c r="L16" s="38" t="s">
        <v>39</v>
      </c>
      <c r="M16" s="39">
        <v>-0.24575913077553058</v>
      </c>
    </row>
    <row r="17" spans="1:13" ht="13.5" thickBot="1">
      <c r="B17" s="93" t="s">
        <v>40</v>
      </c>
      <c r="C17" s="94"/>
      <c r="D17" s="47">
        <v>771362.84879999992</v>
      </c>
      <c r="E17" s="105">
        <v>621000</v>
      </c>
      <c r="F17" s="106">
        <v>823344.40540000005</v>
      </c>
      <c r="G17" s="106">
        <v>727375.22789999994</v>
      </c>
      <c r="H17" s="50">
        <v>0.47472979692547823</v>
      </c>
      <c r="I17" s="50">
        <v>0.11230148390429795</v>
      </c>
      <c r="J17" s="51">
        <v>0.13193902379253708</v>
      </c>
      <c r="K17" s="99"/>
      <c r="L17" s="124"/>
      <c r="M17" s="124"/>
    </row>
    <row r="18" spans="1:13">
      <c r="A18" s="100"/>
      <c r="C18" s="126"/>
      <c r="D18" s="101"/>
      <c r="E18" s="101"/>
      <c r="F18" s="101"/>
      <c r="G18" s="101"/>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9" pageOrder="overThenDown" orientation="landscape" r:id="rId1"/>
  <headerFooter alignWithMargins="0">
    <oddHeader>&amp;C&amp;"Tahoma,Bold"Monthly follow-up of total service units - 2016</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N19"/>
  <sheetViews>
    <sheetView workbookViewId="0">
      <selection activeCell="O53" sqref="O53"/>
    </sheetView>
  </sheetViews>
  <sheetFormatPr defaultRowHeight="11.25"/>
  <cols>
    <col min="1" max="2" width="2.85546875" style="40" bestFit="1" customWidth="1"/>
    <col min="3" max="3" width="9.28515625" style="40" customWidth="1"/>
    <col min="4" max="4" width="11" style="40" customWidth="1"/>
    <col min="5" max="5" width="11.7109375" style="40" customWidth="1"/>
    <col min="6" max="10" width="9.7109375" style="40" customWidth="1"/>
    <col min="11" max="11" width="2.7109375" style="40" customWidth="1"/>
    <col min="12" max="12" width="34" style="40" customWidth="1"/>
    <col min="13" max="13" width="10.85546875" style="40" customWidth="1"/>
    <col min="14" max="16384" width="9.140625" style="40"/>
  </cols>
  <sheetData>
    <row r="1" spans="1:14" s="67" customFormat="1" ht="13.5" thickBot="1">
      <c r="B1" s="2" t="s">
        <v>0</v>
      </c>
      <c r="C1" s="2"/>
      <c r="D1" s="68" t="s">
        <v>60</v>
      </c>
      <c r="L1" s="69" t="s">
        <v>2</v>
      </c>
      <c r="M1" s="70">
        <v>42688</v>
      </c>
    </row>
    <row r="2" spans="1:14" ht="8.25" customHeight="1" thickBot="1">
      <c r="A2" s="71"/>
      <c r="C2" s="71"/>
      <c r="K2" s="72"/>
      <c r="L2" s="72"/>
      <c r="M2" s="72"/>
    </row>
    <row r="3" spans="1:14" s="76" customFormat="1" ht="33.75" customHeight="1">
      <c r="A3" s="73"/>
      <c r="B3" s="538" t="s">
        <v>3</v>
      </c>
      <c r="C3" s="539"/>
      <c r="D3" s="12" t="s">
        <v>4</v>
      </c>
      <c r="E3" s="12" t="s">
        <v>5</v>
      </c>
      <c r="F3" s="12" t="s">
        <v>6</v>
      </c>
      <c r="G3" s="12" t="s">
        <v>7</v>
      </c>
      <c r="H3" s="13" t="s">
        <v>8</v>
      </c>
      <c r="I3" s="12" t="s">
        <v>9</v>
      </c>
      <c r="J3" s="14" t="s">
        <v>10</v>
      </c>
      <c r="K3" s="74"/>
      <c r="L3" s="16" t="s">
        <v>11</v>
      </c>
      <c r="M3" s="17">
        <v>8352494</v>
      </c>
      <c r="N3" s="102"/>
    </row>
    <row r="4" spans="1:14" s="77" customFormat="1" ht="11.85" customHeight="1">
      <c r="B4" s="78"/>
      <c r="C4" s="79"/>
      <c r="D4" s="80" t="s">
        <v>12</v>
      </c>
      <c r="E4" s="80" t="s">
        <v>13</v>
      </c>
      <c r="F4" s="80" t="s">
        <v>14</v>
      </c>
      <c r="G4" s="80" t="s">
        <v>15</v>
      </c>
      <c r="H4" s="80" t="s">
        <v>16</v>
      </c>
      <c r="I4" s="80" t="s">
        <v>17</v>
      </c>
      <c r="J4" s="81" t="s">
        <v>18</v>
      </c>
      <c r="K4" s="76"/>
      <c r="L4" s="23" t="s">
        <v>19</v>
      </c>
      <c r="M4" s="24">
        <v>8223998</v>
      </c>
    </row>
    <row r="5" spans="1:14">
      <c r="B5" s="83">
        <v>1</v>
      </c>
      <c r="C5" s="84" t="s">
        <v>20</v>
      </c>
      <c r="D5" s="85">
        <v>518276.5943</v>
      </c>
      <c r="E5" s="86">
        <v>563921.91794649628</v>
      </c>
      <c r="F5" s="87">
        <v>519745.84289999999</v>
      </c>
      <c r="G5" s="87">
        <v>529974.00400000007</v>
      </c>
      <c r="H5" s="30">
        <v>-8.0942630874700328E-2</v>
      </c>
      <c r="I5" s="30">
        <v>-2.826859743220056E-3</v>
      </c>
      <c r="J5" s="103">
        <v>-1.9299363785398205E-2</v>
      </c>
      <c r="L5" s="23" t="s">
        <v>21</v>
      </c>
      <c r="M5" s="24">
        <v>8413683</v>
      </c>
    </row>
    <row r="6" spans="1:14">
      <c r="B6" s="83">
        <v>2</v>
      </c>
      <c r="C6" s="84" t="s">
        <v>22</v>
      </c>
      <c r="D6" s="85">
        <v>491569.50260000001</v>
      </c>
      <c r="E6" s="86">
        <v>513290.79527835472</v>
      </c>
      <c r="F6" s="87">
        <v>473081.02159999998</v>
      </c>
      <c r="G6" s="87">
        <v>479912.89319999999</v>
      </c>
      <c r="H6" s="30">
        <v>-4.2317713230324738E-2</v>
      </c>
      <c r="I6" s="30">
        <v>3.9081003371199241E-2</v>
      </c>
      <c r="J6" s="103">
        <v>-1.4235649212185009E-2</v>
      </c>
      <c r="L6" s="23" t="s">
        <v>23</v>
      </c>
      <c r="M6" s="24">
        <v>8342710</v>
      </c>
    </row>
    <row r="7" spans="1:14">
      <c r="B7" s="83">
        <v>3</v>
      </c>
      <c r="C7" s="84" t="s">
        <v>24</v>
      </c>
      <c r="D7" s="85">
        <v>577636.52020000003</v>
      </c>
      <c r="E7" s="86">
        <v>603986.48589889705</v>
      </c>
      <c r="F7" s="87">
        <v>556671.86400000006</v>
      </c>
      <c r="G7" s="87">
        <v>571955.92440000002</v>
      </c>
      <c r="H7" s="30">
        <v>-4.3626747144319133E-2</v>
      </c>
      <c r="I7" s="30">
        <v>3.7660707421706352E-2</v>
      </c>
      <c r="J7" s="103">
        <v>-2.6722444419180369E-2</v>
      </c>
      <c r="L7" s="23" t="s">
        <v>25</v>
      </c>
      <c r="M7" s="24">
        <v>8352494</v>
      </c>
    </row>
    <row r="8" spans="1:14" ht="12" thickBot="1">
      <c r="B8" s="83">
        <v>4</v>
      </c>
      <c r="C8" s="84" t="s">
        <v>26</v>
      </c>
      <c r="D8" s="85">
        <v>645303.88809999998</v>
      </c>
      <c r="E8" s="86">
        <v>721572.19749389531</v>
      </c>
      <c r="F8" s="87">
        <v>665046.23790000007</v>
      </c>
      <c r="G8" s="87">
        <v>673542.14199999999</v>
      </c>
      <c r="H8" s="30">
        <v>-0.10569740582963716</v>
      </c>
      <c r="I8" s="30">
        <v>-2.9685679994732372E-2</v>
      </c>
      <c r="J8" s="103">
        <v>-1.261376767721234E-2</v>
      </c>
      <c r="L8" s="33"/>
      <c r="M8" s="34"/>
    </row>
    <row r="9" spans="1:14">
      <c r="B9" s="83">
        <v>5</v>
      </c>
      <c r="C9" s="84" t="s">
        <v>27</v>
      </c>
      <c r="D9" s="85">
        <v>750385.53389999992</v>
      </c>
      <c r="E9" s="86">
        <v>812571.27868841414</v>
      </c>
      <c r="F9" s="87">
        <v>748916.70409999997</v>
      </c>
      <c r="G9" s="87">
        <v>767842.9611999999</v>
      </c>
      <c r="H9" s="30">
        <v>-7.6529587519742703E-2</v>
      </c>
      <c r="I9" s="30">
        <v>1.9612725847331092E-3</v>
      </c>
      <c r="J9" s="103">
        <v>-2.4648604019787634E-2</v>
      </c>
      <c r="L9" s="35"/>
    </row>
    <row r="10" spans="1:14" ht="12" thickBot="1">
      <c r="B10" s="83">
        <v>6</v>
      </c>
      <c r="C10" s="84" t="s">
        <v>28</v>
      </c>
      <c r="D10" s="85">
        <v>801875.15369999991</v>
      </c>
      <c r="E10" s="86">
        <v>862879.13843839103</v>
      </c>
      <c r="F10" s="87">
        <v>795283.58600000001</v>
      </c>
      <c r="G10" s="87">
        <v>836747.39139999996</v>
      </c>
      <c r="H10" s="30">
        <v>-7.069818010526252E-2</v>
      </c>
      <c r="I10" s="30">
        <v>8.2883235817214906E-3</v>
      </c>
      <c r="J10" s="103">
        <v>-4.9553552035130899E-2</v>
      </c>
      <c r="L10" s="35"/>
    </row>
    <row r="11" spans="1:14">
      <c r="B11" s="83">
        <v>7</v>
      </c>
      <c r="C11" s="84" t="s">
        <v>29</v>
      </c>
      <c r="D11" s="85">
        <v>938542.29759999993</v>
      </c>
      <c r="E11" s="86">
        <v>968527.85764057876</v>
      </c>
      <c r="F11" s="87">
        <v>892656.07830000005</v>
      </c>
      <c r="G11" s="87">
        <v>920812.73090000008</v>
      </c>
      <c r="H11" s="30">
        <v>-3.0959935539310535E-2</v>
      </c>
      <c r="I11" s="30">
        <v>5.1404141433044392E-2</v>
      </c>
      <c r="J11" s="103">
        <v>-3.0578044433073548E-2</v>
      </c>
      <c r="L11" s="36" t="s">
        <v>30</v>
      </c>
      <c r="M11" s="37">
        <v>8866050.5053096022</v>
      </c>
    </row>
    <row r="12" spans="1:14" ht="12" thickBot="1">
      <c r="B12" s="83">
        <v>8</v>
      </c>
      <c r="C12" s="84" t="s">
        <v>31</v>
      </c>
      <c r="D12" s="85">
        <v>932658.07120000001</v>
      </c>
      <c r="E12" s="86">
        <v>992914.56324988895</v>
      </c>
      <c r="F12" s="87">
        <v>915132.39720000001</v>
      </c>
      <c r="G12" s="87">
        <v>954476.53830000001</v>
      </c>
      <c r="H12" s="30">
        <v>-6.0686482281682497E-2</v>
      </c>
      <c r="I12" s="30">
        <v>1.9150971000068129E-2</v>
      </c>
      <c r="J12" s="103">
        <v>-4.122064767571465E-2</v>
      </c>
      <c r="L12" s="38" t="s">
        <v>32</v>
      </c>
      <c r="M12" s="39">
        <v>-5.7923931856924238E-2</v>
      </c>
    </row>
    <row r="13" spans="1:14" ht="12" thickBot="1">
      <c r="B13" s="83">
        <v>9</v>
      </c>
      <c r="C13" s="84" t="s">
        <v>33</v>
      </c>
      <c r="D13" s="85">
        <v>833467.23270000005</v>
      </c>
      <c r="E13" s="86">
        <v>862155.60905857605</v>
      </c>
      <c r="F13" s="87">
        <v>794616.73589999997</v>
      </c>
      <c r="G13" s="87">
        <v>817213.9351</v>
      </c>
      <c r="H13" s="30">
        <v>-3.3275172204588532E-2</v>
      </c>
      <c r="I13" s="30">
        <v>4.8892119992913541E-2</v>
      </c>
      <c r="J13" s="103">
        <v>-2.7651509879398795E-2</v>
      </c>
    </row>
    <row r="14" spans="1:14">
      <c r="B14" s="83">
        <v>10</v>
      </c>
      <c r="C14" s="84" t="s">
        <v>34</v>
      </c>
      <c r="D14" s="85">
        <v>731572.45340000011</v>
      </c>
      <c r="E14" s="86">
        <v>775565.0717326022</v>
      </c>
      <c r="F14" s="87">
        <v>714809.46050000004</v>
      </c>
      <c r="G14" s="87">
        <v>709266.36300000001</v>
      </c>
      <c r="H14" s="30">
        <v>-5.672331044295631E-2</v>
      </c>
      <c r="I14" s="30">
        <v>2.3450994742395537E-2</v>
      </c>
      <c r="J14" s="103">
        <v>7.815255014426814E-3</v>
      </c>
      <c r="L14" s="36" t="s">
        <v>35</v>
      </c>
      <c r="M14" s="37">
        <v>8171508.7611000007</v>
      </c>
    </row>
    <row r="15" spans="1:14" ht="12" thickBot="1">
      <c r="B15" s="83">
        <v>11</v>
      </c>
      <c r="C15" s="84" t="s">
        <v>36</v>
      </c>
      <c r="D15" s="85" t="s">
        <v>41</v>
      </c>
      <c r="E15" s="86">
        <v>588549.19874738681</v>
      </c>
      <c r="F15" s="87">
        <v>542443.89100000006</v>
      </c>
      <c r="G15" s="87">
        <v>530391.14500000002</v>
      </c>
      <c r="H15" s="30" t="s">
        <v>41</v>
      </c>
      <c r="I15" s="30" t="s">
        <v>41</v>
      </c>
      <c r="J15" s="103">
        <v>2.2724259470810138E-2</v>
      </c>
      <c r="L15" s="38" t="s">
        <v>37</v>
      </c>
      <c r="M15" s="39">
        <v>2.2148325871174324E-2</v>
      </c>
    </row>
    <row r="16" spans="1:14" ht="12" thickBot="1">
      <c r="B16" s="90">
        <v>12</v>
      </c>
      <c r="C16" s="91" t="s">
        <v>38</v>
      </c>
      <c r="D16" s="85" t="s">
        <v>41</v>
      </c>
      <c r="E16" s="86">
        <v>600116.39113612054</v>
      </c>
      <c r="F16" s="87">
        <v>553104.94170000008</v>
      </c>
      <c r="G16" s="87">
        <v>521409.54</v>
      </c>
      <c r="H16" s="30" t="s">
        <v>41</v>
      </c>
      <c r="I16" s="30" t="s">
        <v>41</v>
      </c>
      <c r="J16" s="104">
        <v>6.0787920566240716E-2</v>
      </c>
      <c r="L16" s="38" t="s">
        <v>39</v>
      </c>
      <c r="M16" s="39">
        <v>8.4995533201399409E-2</v>
      </c>
    </row>
    <row r="17" spans="1:13" ht="13.5" thickBot="1">
      <c r="B17" s="93" t="s">
        <v>40</v>
      </c>
      <c r="C17" s="94"/>
      <c r="D17" s="47">
        <v>7221287.2476999993</v>
      </c>
      <c r="E17" s="105">
        <v>8866050.5053096022</v>
      </c>
      <c r="F17" s="106">
        <v>8171508.7611000007</v>
      </c>
      <c r="G17" s="106">
        <v>8313545.5685000001</v>
      </c>
      <c r="H17" s="50">
        <v>-5.9407945902212433E-2</v>
      </c>
      <c r="I17" s="50">
        <v>2.0538177260828627E-2</v>
      </c>
      <c r="J17" s="51">
        <v>-1.7084985729575619E-2</v>
      </c>
      <c r="K17" s="99"/>
      <c r="L17" s="124"/>
      <c r="M17" s="124"/>
    </row>
    <row r="18" spans="1:13" ht="14.85" customHeight="1">
      <c r="A18" s="100"/>
      <c r="D18" s="101"/>
      <c r="E18" s="101"/>
      <c r="F18" s="101"/>
      <c r="G18" s="101"/>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7" pageOrder="overThenDown" orientation="landscape" r:id="rId1"/>
  <headerFooter alignWithMargins="0">
    <oddHeader>&amp;C&amp;"Tahoma,Bold"Monthly follow-up of total service units - 2016</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N19"/>
  <sheetViews>
    <sheetView workbookViewId="0">
      <selection activeCell="P55" sqref="P55"/>
    </sheetView>
  </sheetViews>
  <sheetFormatPr defaultRowHeight="11.25"/>
  <cols>
    <col min="1" max="2" width="2.85546875" style="132" bestFit="1" customWidth="1"/>
    <col min="3" max="3" width="9.28515625" style="132" customWidth="1"/>
    <col min="4" max="5" width="11" style="132" customWidth="1"/>
    <col min="6" max="10" width="9.7109375" style="132" customWidth="1"/>
    <col min="11" max="11" width="2.7109375" style="132" customWidth="1"/>
    <col min="12" max="12" width="33.7109375" style="132" customWidth="1"/>
    <col min="13" max="13" width="10.140625" style="132" bestFit="1" customWidth="1"/>
    <col min="14" max="16384" width="9.140625" style="132"/>
  </cols>
  <sheetData>
    <row r="1" spans="1:14" s="127" customFormat="1" ht="13.5" thickBot="1">
      <c r="B1" s="2" t="s">
        <v>0</v>
      </c>
      <c r="C1" s="2"/>
      <c r="D1" s="128" t="s">
        <v>61</v>
      </c>
      <c r="L1" s="129" t="s">
        <v>2</v>
      </c>
      <c r="M1" s="130">
        <v>42688</v>
      </c>
    </row>
    <row r="2" spans="1:14" ht="8.25" customHeight="1" thickBot="1">
      <c r="A2" s="131"/>
      <c r="C2" s="131"/>
      <c r="K2" s="133"/>
      <c r="L2" s="133"/>
      <c r="M2" s="133"/>
    </row>
    <row r="3" spans="1:14" s="137" customFormat="1" ht="33.75" customHeight="1">
      <c r="A3" s="134"/>
      <c r="B3" s="540" t="s">
        <v>3</v>
      </c>
      <c r="C3" s="541"/>
      <c r="D3" s="12" t="s">
        <v>4</v>
      </c>
      <c r="E3" s="12" t="s">
        <v>5</v>
      </c>
      <c r="F3" s="12" t="s">
        <v>6</v>
      </c>
      <c r="G3" s="12" t="s">
        <v>7</v>
      </c>
      <c r="H3" s="13" t="s">
        <v>8</v>
      </c>
      <c r="I3" s="12" t="s">
        <v>9</v>
      </c>
      <c r="J3" s="14" t="s">
        <v>10</v>
      </c>
      <c r="K3" s="135"/>
      <c r="L3" s="16" t="s">
        <v>11</v>
      </c>
      <c r="M3" s="17">
        <v>1518639</v>
      </c>
      <c r="N3" s="136"/>
    </row>
    <row r="4" spans="1:14" s="138" customFormat="1" ht="11.85" customHeight="1">
      <c r="B4" s="139"/>
      <c r="C4" s="140"/>
      <c r="D4" s="141" t="s">
        <v>12</v>
      </c>
      <c r="E4" s="141" t="s">
        <v>13</v>
      </c>
      <c r="F4" s="141" t="s">
        <v>14</v>
      </c>
      <c r="G4" s="141" t="s">
        <v>15</v>
      </c>
      <c r="H4" s="141" t="s">
        <v>16</v>
      </c>
      <c r="I4" s="141" t="s">
        <v>17</v>
      </c>
      <c r="J4" s="142" t="s">
        <v>18</v>
      </c>
      <c r="K4" s="137"/>
      <c r="L4" s="23" t="s">
        <v>19</v>
      </c>
      <c r="M4" s="24">
        <v>1663022</v>
      </c>
    </row>
    <row r="5" spans="1:14">
      <c r="B5" s="143">
        <v>1</v>
      </c>
      <c r="C5" s="144" t="s">
        <v>20</v>
      </c>
      <c r="D5" s="85">
        <v>106974.7951</v>
      </c>
      <c r="E5" s="86">
        <v>103009.74431394388</v>
      </c>
      <c r="F5" s="87">
        <v>111814.9195</v>
      </c>
      <c r="G5" s="87">
        <v>97245.752700000012</v>
      </c>
      <c r="H5" s="30">
        <v>3.8491997164576963E-2</v>
      </c>
      <c r="I5" s="30">
        <v>-4.3286928270784064E-2</v>
      </c>
      <c r="J5" s="103">
        <v>0.14981802696252866</v>
      </c>
      <c r="L5" s="23" t="s">
        <v>21</v>
      </c>
      <c r="M5" s="24">
        <v>1529487</v>
      </c>
    </row>
    <row r="6" spans="1:14">
      <c r="B6" s="143">
        <v>2</v>
      </c>
      <c r="C6" s="144" t="s">
        <v>22</v>
      </c>
      <c r="D6" s="85">
        <v>100575.0573</v>
      </c>
      <c r="E6" s="86">
        <v>91089.638635007839</v>
      </c>
      <c r="F6" s="87">
        <v>98875.894499999995</v>
      </c>
      <c r="G6" s="87">
        <v>87249.159499999994</v>
      </c>
      <c r="H6" s="30">
        <v>0.10413279498231209</v>
      </c>
      <c r="I6" s="30">
        <v>1.7184803319276298E-2</v>
      </c>
      <c r="J6" s="103">
        <v>0.13325899145194642</v>
      </c>
      <c r="L6" s="23" t="s">
        <v>23</v>
      </c>
      <c r="M6" s="24">
        <v>1518231</v>
      </c>
    </row>
    <row r="7" spans="1:14">
      <c r="B7" s="143">
        <v>3</v>
      </c>
      <c r="C7" s="144" t="s">
        <v>24</v>
      </c>
      <c r="D7" s="85">
        <v>114362.94750000001</v>
      </c>
      <c r="E7" s="86">
        <v>111202.00587066315</v>
      </c>
      <c r="F7" s="87">
        <v>120707.44780000001</v>
      </c>
      <c r="G7" s="87">
        <v>103430.44399999999</v>
      </c>
      <c r="H7" s="30">
        <v>2.8425221331108697E-2</v>
      </c>
      <c r="I7" s="30">
        <v>-5.2560967990245233E-2</v>
      </c>
      <c r="J7" s="103">
        <v>0.16703983016837887</v>
      </c>
      <c r="L7" s="23" t="s">
        <v>25</v>
      </c>
      <c r="M7" s="24">
        <v>1518639</v>
      </c>
    </row>
    <row r="8" spans="1:14" ht="12" thickBot="1">
      <c r="B8" s="143">
        <v>4</v>
      </c>
      <c r="C8" s="144" t="s">
        <v>26</v>
      </c>
      <c r="D8" s="85">
        <v>121637.1905</v>
      </c>
      <c r="E8" s="86">
        <v>118744.82062381586</v>
      </c>
      <c r="F8" s="87">
        <v>128895.01519999999</v>
      </c>
      <c r="G8" s="87">
        <v>117978.21519999999</v>
      </c>
      <c r="H8" s="30">
        <v>2.4357861344935339E-2</v>
      </c>
      <c r="I8" s="30">
        <v>-5.6308032461444668E-2</v>
      </c>
      <c r="J8" s="103">
        <v>9.2532337275093912E-2</v>
      </c>
      <c r="L8" s="33"/>
      <c r="M8" s="34"/>
    </row>
    <row r="9" spans="1:14">
      <c r="B9" s="143">
        <v>5</v>
      </c>
      <c r="C9" s="144" t="s">
        <v>27</v>
      </c>
      <c r="D9" s="85">
        <v>131410.03020000001</v>
      </c>
      <c r="E9" s="86">
        <v>121108.80093064348</v>
      </c>
      <c r="F9" s="87">
        <v>131461.06630000001</v>
      </c>
      <c r="G9" s="87">
        <v>126753.9908</v>
      </c>
      <c r="H9" s="30">
        <v>8.5057643954842055E-2</v>
      </c>
      <c r="I9" s="30">
        <v>-3.8822216673284338E-4</v>
      </c>
      <c r="J9" s="103">
        <v>3.7135521101083979E-2</v>
      </c>
      <c r="L9" s="35"/>
    </row>
    <row r="10" spans="1:14" ht="12" thickBot="1">
      <c r="B10" s="143">
        <v>6</v>
      </c>
      <c r="C10" s="144" t="s">
        <v>28</v>
      </c>
      <c r="D10" s="85">
        <v>129421.8787</v>
      </c>
      <c r="E10" s="86">
        <v>120588.94170398363</v>
      </c>
      <c r="F10" s="87">
        <v>130896.77</v>
      </c>
      <c r="G10" s="87">
        <v>132207.85690000001</v>
      </c>
      <c r="H10" s="30">
        <v>7.3248316729564333E-2</v>
      </c>
      <c r="I10" s="30">
        <v>-1.1267591247667963E-2</v>
      </c>
      <c r="J10" s="103">
        <v>-9.9168606975581497E-3</v>
      </c>
      <c r="L10" s="35"/>
    </row>
    <row r="11" spans="1:14">
      <c r="B11" s="143">
        <v>7</v>
      </c>
      <c r="C11" s="144" t="s">
        <v>29</v>
      </c>
      <c r="D11" s="85">
        <v>156655.7231</v>
      </c>
      <c r="E11" s="86">
        <v>143933.10295429087</v>
      </c>
      <c r="F11" s="87">
        <v>156236.36800000002</v>
      </c>
      <c r="G11" s="87">
        <v>136535.67680000002</v>
      </c>
      <c r="H11" s="30">
        <v>8.8392592701551642E-2</v>
      </c>
      <c r="I11" s="30">
        <v>2.6841068143621527E-3</v>
      </c>
      <c r="J11" s="103">
        <v>0.14428969527765223</v>
      </c>
      <c r="L11" s="36" t="s">
        <v>30</v>
      </c>
      <c r="M11" s="145">
        <v>1425772.6658999999</v>
      </c>
    </row>
    <row r="12" spans="1:14" ht="12" thickBot="1">
      <c r="B12" s="143">
        <v>8</v>
      </c>
      <c r="C12" s="144" t="s">
        <v>31</v>
      </c>
      <c r="D12" s="85">
        <v>160766.90010000003</v>
      </c>
      <c r="E12" s="86">
        <v>151693.80860067232</v>
      </c>
      <c r="F12" s="87">
        <v>164660.45139999999</v>
      </c>
      <c r="G12" s="87">
        <v>147308.45979999998</v>
      </c>
      <c r="H12" s="30">
        <v>5.9811877511838585E-2</v>
      </c>
      <c r="I12" s="30">
        <v>-2.3645940885596017E-2</v>
      </c>
      <c r="J12" s="103">
        <v>0.11779358513121863</v>
      </c>
      <c r="L12" s="38" t="s">
        <v>32</v>
      </c>
      <c r="M12" s="39">
        <v>6.5134040174195329E-2</v>
      </c>
    </row>
    <row r="13" spans="1:14" ht="12" thickBot="1">
      <c r="B13" s="143">
        <v>9</v>
      </c>
      <c r="C13" s="144" t="s">
        <v>33</v>
      </c>
      <c r="D13" s="85">
        <v>149817.5698</v>
      </c>
      <c r="E13" s="86">
        <v>133935.69269550883</v>
      </c>
      <c r="F13" s="87">
        <v>145384.38859999998</v>
      </c>
      <c r="G13" s="87">
        <v>136257.28509999998</v>
      </c>
      <c r="H13" s="30">
        <v>0.11857837731572607</v>
      </c>
      <c r="I13" s="30">
        <v>3.0492828306326381E-2</v>
      </c>
      <c r="J13" s="103">
        <v>6.6984334036169546E-2</v>
      </c>
      <c r="L13" s="40"/>
    </row>
    <row r="14" spans="1:14">
      <c r="B14" s="143">
        <v>10</v>
      </c>
      <c r="C14" s="144" t="s">
        <v>34</v>
      </c>
      <c r="D14" s="85">
        <v>135570.78099999999</v>
      </c>
      <c r="E14" s="86">
        <v>131778.34475049112</v>
      </c>
      <c r="F14" s="87">
        <v>143042.63259999998</v>
      </c>
      <c r="G14" s="87">
        <v>145622.0098</v>
      </c>
      <c r="H14" s="30">
        <v>2.8778903367540964E-2</v>
      </c>
      <c r="I14" s="30">
        <v>-5.2235137624277672E-2</v>
      </c>
      <c r="J14" s="103">
        <v>-1.7712825166625423E-2</v>
      </c>
      <c r="L14" s="36" t="s">
        <v>35</v>
      </c>
      <c r="M14" s="145">
        <v>1547646.3603000001</v>
      </c>
    </row>
    <row r="15" spans="1:14" ht="12" thickBot="1">
      <c r="B15" s="143">
        <v>11</v>
      </c>
      <c r="C15" s="144" t="s">
        <v>36</v>
      </c>
      <c r="D15" s="85" t="s">
        <v>41</v>
      </c>
      <c r="E15" s="86">
        <v>98119.932488290855</v>
      </c>
      <c r="F15" s="87">
        <v>106507.1312</v>
      </c>
      <c r="G15" s="87">
        <v>115893.6952</v>
      </c>
      <c r="H15" s="30" t="s">
        <v>41</v>
      </c>
      <c r="I15" s="30" t="s">
        <v>41</v>
      </c>
      <c r="J15" s="103">
        <v>-8.0992878722189521E-2</v>
      </c>
      <c r="L15" s="38" t="s">
        <v>37</v>
      </c>
      <c r="M15" s="39">
        <v>-1.8742886646518686E-2</v>
      </c>
    </row>
    <row r="16" spans="1:14" ht="12" thickBot="1">
      <c r="B16" s="146">
        <v>12</v>
      </c>
      <c r="C16" s="147" t="s">
        <v>38</v>
      </c>
      <c r="D16" s="85" t="s">
        <v>41</v>
      </c>
      <c r="E16" s="86">
        <v>100567.83233268801</v>
      </c>
      <c r="F16" s="87">
        <v>109164.2752</v>
      </c>
      <c r="G16" s="87">
        <v>107741.11240000001</v>
      </c>
      <c r="H16" s="30" t="s">
        <v>41</v>
      </c>
      <c r="I16" s="30" t="s">
        <v>41</v>
      </c>
      <c r="J16" s="104">
        <v>1.320909695749517E-2</v>
      </c>
      <c r="L16" s="38" t="s">
        <v>39</v>
      </c>
      <c r="M16" s="39">
        <v>-7.8747766625688165E-2</v>
      </c>
    </row>
    <row r="17" spans="1:13" ht="13.5" thickBot="1">
      <c r="B17" s="148" t="s">
        <v>40</v>
      </c>
      <c r="C17" s="149"/>
      <c r="D17" s="47">
        <v>1307192.8732999999</v>
      </c>
      <c r="E17" s="150">
        <v>1425772.6658999999</v>
      </c>
      <c r="F17" s="151">
        <v>1547646.3603000001</v>
      </c>
      <c r="G17" s="151">
        <v>1454223.6581999999</v>
      </c>
      <c r="H17" s="50">
        <v>6.5283153717022202E-2</v>
      </c>
      <c r="I17" s="50">
        <v>-1.8605515462162936E-2</v>
      </c>
      <c r="J17" s="51">
        <v>6.4242320342688064E-2</v>
      </c>
      <c r="K17" s="99"/>
      <c r="L17" s="152"/>
      <c r="M17" s="152"/>
    </row>
    <row r="18" spans="1:13">
      <c r="A18" s="153"/>
      <c r="D18" s="154"/>
      <c r="E18" s="154"/>
      <c r="F18" s="154"/>
      <c r="G18" s="154"/>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8" pageOrder="overThenDown" orientation="landscape" r:id="rId1"/>
  <headerFooter alignWithMargins="0">
    <oddHeader>&amp;C&amp;"Tahoma,Bold"Monthly follow-up of total service units - 2016</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N19"/>
  <sheetViews>
    <sheetView workbookViewId="0">
      <selection activeCell="P55" sqref="P55"/>
    </sheetView>
  </sheetViews>
  <sheetFormatPr defaultRowHeight="11.25"/>
  <cols>
    <col min="1" max="2" width="2.85546875" style="40" bestFit="1" customWidth="1"/>
    <col min="3" max="3" width="9.28515625" style="40" customWidth="1"/>
    <col min="4" max="4" width="11.28515625" style="40" customWidth="1"/>
    <col min="5" max="5" width="11.42578125" style="40" customWidth="1"/>
    <col min="6" max="10" width="9.7109375" style="40" customWidth="1"/>
    <col min="11" max="11" width="2.7109375" style="40" customWidth="1"/>
    <col min="12" max="12" width="33.85546875" style="40" customWidth="1"/>
    <col min="13" max="13" width="12" style="40" customWidth="1"/>
    <col min="14" max="16384" width="9.140625" style="40"/>
  </cols>
  <sheetData>
    <row r="1" spans="1:14" s="67" customFormat="1" ht="13.5" thickBot="1">
      <c r="B1" s="2" t="s">
        <v>0</v>
      </c>
      <c r="C1" s="2"/>
      <c r="D1" s="68" t="s">
        <v>62</v>
      </c>
      <c r="L1" s="69" t="s">
        <v>2</v>
      </c>
      <c r="M1" s="70">
        <v>42688</v>
      </c>
    </row>
    <row r="2" spans="1:14" ht="8.25" customHeight="1" thickBot="1">
      <c r="A2" s="71"/>
      <c r="C2" s="71"/>
      <c r="K2" s="72"/>
      <c r="L2" s="72"/>
      <c r="M2" s="72"/>
    </row>
    <row r="3" spans="1:14" s="76" customFormat="1" ht="33.75" customHeight="1">
      <c r="A3" s="73"/>
      <c r="B3" s="538" t="s">
        <v>3</v>
      </c>
      <c r="C3" s="539"/>
      <c r="D3" s="12" t="s">
        <v>4</v>
      </c>
      <c r="E3" s="12" t="s">
        <v>5</v>
      </c>
      <c r="F3" s="12" t="s">
        <v>6</v>
      </c>
      <c r="G3" s="12" t="s">
        <v>7</v>
      </c>
      <c r="H3" s="13" t="s">
        <v>8</v>
      </c>
      <c r="I3" s="12" t="s">
        <v>9</v>
      </c>
      <c r="J3" s="14" t="s">
        <v>10</v>
      </c>
      <c r="K3" s="74"/>
      <c r="L3" s="16" t="s">
        <v>11</v>
      </c>
      <c r="M3" s="17">
        <v>2803391</v>
      </c>
      <c r="N3" s="102"/>
    </row>
    <row r="4" spans="1:14" s="77" customFormat="1" ht="11.85" customHeight="1">
      <c r="B4" s="78"/>
      <c r="C4" s="79"/>
      <c r="D4" s="80" t="s">
        <v>12</v>
      </c>
      <c r="E4" s="80" t="s">
        <v>13</v>
      </c>
      <c r="F4" s="80" t="s">
        <v>14</v>
      </c>
      <c r="G4" s="80" t="s">
        <v>15</v>
      </c>
      <c r="H4" s="80" t="s">
        <v>16</v>
      </c>
      <c r="I4" s="80" t="s">
        <v>17</v>
      </c>
      <c r="J4" s="81" t="s">
        <v>18</v>
      </c>
      <c r="K4" s="76"/>
      <c r="L4" s="23" t="s">
        <v>19</v>
      </c>
      <c r="M4" s="24">
        <v>2904143</v>
      </c>
    </row>
    <row r="5" spans="1:14">
      <c r="B5" s="83">
        <v>1</v>
      </c>
      <c r="C5" s="84" t="s">
        <v>20</v>
      </c>
      <c r="D5" s="85">
        <v>189042.7928</v>
      </c>
      <c r="E5" s="86">
        <v>158725.06138204594</v>
      </c>
      <c r="F5" s="87">
        <v>180945.57490000001</v>
      </c>
      <c r="G5" s="87">
        <v>147660.52889999998</v>
      </c>
      <c r="H5" s="30">
        <v>0.19100784182392139</v>
      </c>
      <c r="I5" s="30">
        <v>4.474946626616827E-2</v>
      </c>
      <c r="J5" s="103">
        <v>0.2254160014728217</v>
      </c>
      <c r="L5" s="23" t="s">
        <v>21</v>
      </c>
      <c r="M5" s="24">
        <v>2798069</v>
      </c>
    </row>
    <row r="6" spans="1:14">
      <c r="B6" s="83">
        <v>2</v>
      </c>
      <c r="C6" s="84" t="s">
        <v>22</v>
      </c>
      <c r="D6" s="85">
        <v>177136.96730000002</v>
      </c>
      <c r="E6" s="86">
        <v>141347.27537816923</v>
      </c>
      <c r="F6" s="87">
        <v>161135.00779999999</v>
      </c>
      <c r="G6" s="87">
        <v>134213.77680000002</v>
      </c>
      <c r="H6" s="30">
        <v>0.25320397458017374</v>
      </c>
      <c r="I6" s="30">
        <v>9.9307777487196214E-2</v>
      </c>
      <c r="J6" s="103">
        <v>0.20058470629372804</v>
      </c>
      <c r="L6" s="23" t="s">
        <v>23</v>
      </c>
      <c r="M6" s="24">
        <v>2800755</v>
      </c>
    </row>
    <row r="7" spans="1:14">
      <c r="B7" s="83">
        <v>3</v>
      </c>
      <c r="C7" s="84" t="s">
        <v>24</v>
      </c>
      <c r="D7" s="85">
        <v>201946.70050000001</v>
      </c>
      <c r="E7" s="86">
        <v>164603.95309767206</v>
      </c>
      <c r="F7" s="87">
        <v>187647.47460000002</v>
      </c>
      <c r="G7" s="87">
        <v>153986.0741</v>
      </c>
      <c r="H7" s="30">
        <v>0.22686421984148608</v>
      </c>
      <c r="I7" s="30">
        <v>7.6202602409017439E-2</v>
      </c>
      <c r="J7" s="103">
        <v>0.21860029029729011</v>
      </c>
      <c r="L7" s="23" t="s">
        <v>25</v>
      </c>
      <c r="M7" s="24">
        <v>2803391</v>
      </c>
    </row>
    <row r="8" spans="1:14" ht="12" thickBot="1">
      <c r="B8" s="83">
        <v>4</v>
      </c>
      <c r="C8" s="84" t="s">
        <v>26</v>
      </c>
      <c r="D8" s="85">
        <v>213671.25270000001</v>
      </c>
      <c r="E8" s="86">
        <v>179862.41893804556</v>
      </c>
      <c r="F8" s="87">
        <v>205042.03</v>
      </c>
      <c r="G8" s="87">
        <v>175015.76420000001</v>
      </c>
      <c r="H8" s="30">
        <v>0.18797052748189746</v>
      </c>
      <c r="I8" s="30">
        <v>4.2085140787964326E-2</v>
      </c>
      <c r="J8" s="103">
        <v>0.17156320710451745</v>
      </c>
      <c r="L8" s="33"/>
      <c r="M8" s="34"/>
    </row>
    <row r="9" spans="1:14">
      <c r="B9" s="83">
        <v>5</v>
      </c>
      <c r="C9" s="84" t="s">
        <v>27</v>
      </c>
      <c r="D9" s="85">
        <v>243584.1257</v>
      </c>
      <c r="E9" s="86">
        <v>206803.83464024594</v>
      </c>
      <c r="F9" s="87">
        <v>235755.07500000001</v>
      </c>
      <c r="G9" s="87">
        <v>198212.62779999999</v>
      </c>
      <c r="H9" s="30">
        <v>0.17785110766314705</v>
      </c>
      <c r="I9" s="30">
        <v>3.3208407920805039E-2</v>
      </c>
      <c r="J9" s="103">
        <v>0.18940492145576626</v>
      </c>
      <c r="L9" s="35"/>
    </row>
    <row r="10" spans="1:14" ht="12" thickBot="1">
      <c r="B10" s="83">
        <v>6</v>
      </c>
      <c r="C10" s="84" t="s">
        <v>28</v>
      </c>
      <c r="D10" s="85">
        <v>256707.8383</v>
      </c>
      <c r="E10" s="86">
        <v>229397.24941403567</v>
      </c>
      <c r="F10" s="87">
        <v>261511.42619999999</v>
      </c>
      <c r="G10" s="87">
        <v>219518.4749</v>
      </c>
      <c r="H10" s="30">
        <v>0.11905368942184591</v>
      </c>
      <c r="I10" s="30">
        <v>-1.8368558383090594E-2</v>
      </c>
      <c r="J10" s="103">
        <v>0.19129575002345267</v>
      </c>
      <c r="L10" s="35"/>
    </row>
    <row r="11" spans="1:14">
      <c r="B11" s="83">
        <v>7</v>
      </c>
      <c r="C11" s="84" t="s">
        <v>29</v>
      </c>
      <c r="D11" s="85">
        <v>293835.76759999996</v>
      </c>
      <c r="E11" s="86">
        <v>253728.26716444024</v>
      </c>
      <c r="F11" s="87">
        <v>289248.63390000002</v>
      </c>
      <c r="G11" s="87">
        <v>257857.76179999998</v>
      </c>
      <c r="H11" s="30">
        <v>0.15807265340903554</v>
      </c>
      <c r="I11" s="30">
        <v>1.5858791234899305E-2</v>
      </c>
      <c r="J11" s="103">
        <v>0.12173716191776873</v>
      </c>
      <c r="L11" s="36" t="s">
        <v>30</v>
      </c>
      <c r="M11" s="37">
        <v>2364164.7398838871</v>
      </c>
    </row>
    <row r="12" spans="1:14" ht="12" thickBot="1">
      <c r="B12" s="83">
        <v>8</v>
      </c>
      <c r="C12" s="84" t="s">
        <v>31</v>
      </c>
      <c r="D12" s="85">
        <v>297164.52250000002</v>
      </c>
      <c r="E12" s="86">
        <v>254184.50335762053</v>
      </c>
      <c r="F12" s="87">
        <v>289768.7403</v>
      </c>
      <c r="G12" s="87">
        <v>276698.10270000005</v>
      </c>
      <c r="H12" s="30">
        <v>0.16908984841577657</v>
      </c>
      <c r="I12" s="30">
        <v>2.5523050527614277E-2</v>
      </c>
      <c r="J12" s="103">
        <v>4.7237901064219878E-2</v>
      </c>
      <c r="L12" s="38" t="s">
        <v>32</v>
      </c>
      <c r="M12" s="39">
        <v>0.18578496358831775</v>
      </c>
    </row>
    <row r="13" spans="1:14" ht="12" thickBot="1">
      <c r="B13" s="83">
        <v>9</v>
      </c>
      <c r="C13" s="84" t="s">
        <v>33</v>
      </c>
      <c r="D13" s="85">
        <v>271532.83600000001</v>
      </c>
      <c r="E13" s="86">
        <v>233215.86515050818</v>
      </c>
      <c r="F13" s="87">
        <v>265864.62420000002</v>
      </c>
      <c r="G13" s="87">
        <v>252926.49789999999</v>
      </c>
      <c r="H13" s="30">
        <v>0.16429830288245428</v>
      </c>
      <c r="I13" s="30">
        <v>2.1319917296465984E-2</v>
      </c>
      <c r="J13" s="103">
        <v>5.1153700412660541E-2</v>
      </c>
    </row>
    <row r="14" spans="1:14">
      <c r="B14" s="83">
        <v>10</v>
      </c>
      <c r="C14" s="84" t="s">
        <v>34</v>
      </c>
      <c r="D14" s="85">
        <v>247730.55670000002</v>
      </c>
      <c r="E14" s="86">
        <v>212776.91047030795</v>
      </c>
      <c r="F14" s="87">
        <v>242564.34399999998</v>
      </c>
      <c r="G14" s="87">
        <v>228112.27260000003</v>
      </c>
      <c r="H14" s="30">
        <v>0.16427368060017811</v>
      </c>
      <c r="I14" s="30">
        <v>2.1298318684464412E-2</v>
      </c>
      <c r="J14" s="103">
        <v>6.335508052800809E-2</v>
      </c>
      <c r="L14" s="36" t="s">
        <v>35</v>
      </c>
      <c r="M14" s="37">
        <v>2695132.9820999997</v>
      </c>
    </row>
    <row r="15" spans="1:14" ht="12" thickBot="1">
      <c r="B15" s="83">
        <v>11</v>
      </c>
      <c r="C15" s="84" t="s">
        <v>36</v>
      </c>
      <c r="D15" s="85" t="s">
        <v>41</v>
      </c>
      <c r="E15" s="86">
        <v>167121.10325597055</v>
      </c>
      <c r="F15" s="87">
        <v>190517.00999999998</v>
      </c>
      <c r="G15" s="87">
        <v>186199.93309999999</v>
      </c>
      <c r="H15" s="30" t="s">
        <v>41</v>
      </c>
      <c r="I15" s="30" t="s">
        <v>41</v>
      </c>
      <c r="J15" s="103">
        <v>2.3185168910245801E-2</v>
      </c>
      <c r="L15" s="38" t="s">
        <v>37</v>
      </c>
      <c r="M15" s="39">
        <v>4.0167968934745391E-2</v>
      </c>
    </row>
    <row r="16" spans="1:14" ht="12" thickBot="1">
      <c r="B16" s="90">
        <v>12</v>
      </c>
      <c r="C16" s="91" t="s">
        <v>38</v>
      </c>
      <c r="D16" s="85" t="s">
        <v>41</v>
      </c>
      <c r="E16" s="86">
        <v>162398.29763482566</v>
      </c>
      <c r="F16" s="87">
        <v>185133.04120000001</v>
      </c>
      <c r="G16" s="87">
        <v>175751.48740000001</v>
      </c>
      <c r="H16" s="30" t="s">
        <v>41</v>
      </c>
      <c r="I16" s="30" t="s">
        <v>41</v>
      </c>
      <c r="J16" s="104">
        <v>5.337965520967769E-2</v>
      </c>
      <c r="L16" s="38" t="s">
        <v>39</v>
      </c>
      <c r="M16" s="39">
        <v>-0.12280219358906286</v>
      </c>
    </row>
    <row r="17" spans="1:13" ht="13.5" thickBot="1">
      <c r="B17" s="93" t="s">
        <v>40</v>
      </c>
      <c r="C17" s="94"/>
      <c r="D17" s="47">
        <v>2392353.3600999997</v>
      </c>
      <c r="E17" s="105">
        <v>2364164.7398838871</v>
      </c>
      <c r="F17" s="106">
        <v>2695132.9820999997</v>
      </c>
      <c r="G17" s="106">
        <v>2406153.3022000003</v>
      </c>
      <c r="H17" s="50">
        <v>0.17580853736599211</v>
      </c>
      <c r="I17" s="50">
        <v>3.1416669736700653E-2</v>
      </c>
      <c r="J17" s="51">
        <v>0.12010027774862841</v>
      </c>
      <c r="K17" s="99"/>
      <c r="L17" s="124"/>
      <c r="M17" s="124"/>
    </row>
    <row r="18" spans="1:13">
      <c r="A18" s="100"/>
      <c r="D18" s="101"/>
      <c r="E18" s="101"/>
      <c r="F18" s="101"/>
      <c r="G18" s="101"/>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6" pageOrder="overThenDown" orientation="landscape" r:id="rId1"/>
  <headerFooter alignWithMargins="0">
    <oddHeader>&amp;C&amp;"Tahoma,Bold"Monthly follow-up of total service units - 2016</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N19"/>
  <sheetViews>
    <sheetView workbookViewId="0">
      <selection activeCell="O57" sqref="O57"/>
    </sheetView>
  </sheetViews>
  <sheetFormatPr defaultRowHeight="11.25"/>
  <cols>
    <col min="1" max="2" width="2.85546875" style="160" bestFit="1" customWidth="1"/>
    <col min="3" max="3" width="9.28515625" style="160" customWidth="1"/>
    <col min="4" max="4" width="11.7109375" style="160" customWidth="1"/>
    <col min="5" max="5" width="11.140625" style="160" customWidth="1"/>
    <col min="6" max="10" width="9.7109375" style="160" customWidth="1"/>
    <col min="11" max="11" width="2.7109375" style="160" customWidth="1"/>
    <col min="12" max="12" width="33.42578125" style="160" customWidth="1"/>
    <col min="13" max="13" width="11.28515625" style="160" bestFit="1" customWidth="1"/>
    <col min="14" max="16384" width="9.140625" style="160"/>
  </cols>
  <sheetData>
    <row r="1" spans="1:14" s="155" customFormat="1" ht="13.5" thickBot="1">
      <c r="B1" s="2" t="s">
        <v>0</v>
      </c>
      <c r="C1" s="2"/>
      <c r="D1" s="156" t="s">
        <v>63</v>
      </c>
      <c r="L1" s="157" t="s">
        <v>2</v>
      </c>
      <c r="M1" s="158">
        <v>42688</v>
      </c>
    </row>
    <row r="2" spans="1:14" ht="8.25" customHeight="1" thickBot="1">
      <c r="A2" s="159"/>
      <c r="C2" s="159"/>
      <c r="K2" s="161"/>
      <c r="L2" s="161"/>
      <c r="M2" s="161"/>
    </row>
    <row r="3" spans="1:14" s="165" customFormat="1" ht="33.75" customHeight="1">
      <c r="A3" s="162"/>
      <c r="B3" s="542" t="s">
        <v>3</v>
      </c>
      <c r="C3" s="543"/>
      <c r="D3" s="12" t="s">
        <v>4</v>
      </c>
      <c r="E3" s="12" t="s">
        <v>5</v>
      </c>
      <c r="F3" s="12" t="s">
        <v>6</v>
      </c>
      <c r="G3" s="12" t="s">
        <v>7</v>
      </c>
      <c r="H3" s="13" t="s">
        <v>8</v>
      </c>
      <c r="I3" s="12" t="s">
        <v>9</v>
      </c>
      <c r="J3" s="14" t="s">
        <v>10</v>
      </c>
      <c r="K3" s="163"/>
      <c r="L3" s="16" t="s">
        <v>11</v>
      </c>
      <c r="M3" s="17">
        <v>2497354</v>
      </c>
      <c r="N3" s="164"/>
    </row>
    <row r="4" spans="1:14" s="166" customFormat="1" ht="11.85" customHeight="1">
      <c r="B4" s="167"/>
      <c r="C4" s="168"/>
      <c r="D4" s="169" t="s">
        <v>12</v>
      </c>
      <c r="E4" s="169" t="s">
        <v>13</v>
      </c>
      <c r="F4" s="169" t="s">
        <v>14</v>
      </c>
      <c r="G4" s="169" t="s">
        <v>15</v>
      </c>
      <c r="H4" s="169" t="s">
        <v>16</v>
      </c>
      <c r="I4" s="169" t="s">
        <v>17</v>
      </c>
      <c r="J4" s="170" t="s">
        <v>18</v>
      </c>
      <c r="K4" s="165"/>
      <c r="L4" s="23" t="s">
        <v>19</v>
      </c>
      <c r="M4" s="24">
        <v>2455352</v>
      </c>
    </row>
    <row r="5" spans="1:14">
      <c r="B5" s="171">
        <v>1</v>
      </c>
      <c r="C5" s="172" t="s">
        <v>20</v>
      </c>
      <c r="D5" s="85">
        <v>178092.44959999999</v>
      </c>
      <c r="E5" s="86">
        <v>185536.5226857271</v>
      </c>
      <c r="F5" s="87">
        <v>181300.53419999999</v>
      </c>
      <c r="G5" s="87">
        <v>169126.86270000003</v>
      </c>
      <c r="H5" s="30">
        <v>-4.0121874539690072E-2</v>
      </c>
      <c r="I5" s="30">
        <v>-1.7694843615083E-2</v>
      </c>
      <c r="J5" s="103">
        <v>7.1979526526154691E-2</v>
      </c>
      <c r="L5" s="23" t="s">
        <v>21</v>
      </c>
      <c r="M5" s="24">
        <v>2366877</v>
      </c>
    </row>
    <row r="6" spans="1:14">
      <c r="B6" s="171">
        <v>2</v>
      </c>
      <c r="C6" s="172" t="s">
        <v>22</v>
      </c>
      <c r="D6" s="85">
        <v>181198.90849999999</v>
      </c>
      <c r="E6" s="86">
        <v>168785.28459544131</v>
      </c>
      <c r="F6" s="87">
        <v>164931.74400000001</v>
      </c>
      <c r="G6" s="87">
        <v>153698.6531</v>
      </c>
      <c r="H6" s="30">
        <v>7.3546837535705123E-2</v>
      </c>
      <c r="I6" s="30">
        <v>9.8629676164704749E-2</v>
      </c>
      <c r="J6" s="103">
        <v>7.308516160315004E-2</v>
      </c>
      <c r="L6" s="23" t="s">
        <v>23</v>
      </c>
      <c r="M6" s="24">
        <v>2403347</v>
      </c>
    </row>
    <row r="7" spans="1:14">
      <c r="B7" s="171">
        <v>3</v>
      </c>
      <c r="C7" s="172" t="s">
        <v>24</v>
      </c>
      <c r="D7" s="85">
        <v>190691.53270000001</v>
      </c>
      <c r="E7" s="86">
        <v>190774.87758317284</v>
      </c>
      <c r="F7" s="87">
        <v>186419.29209999999</v>
      </c>
      <c r="G7" s="87">
        <v>185734.06170000002</v>
      </c>
      <c r="H7" s="30">
        <v>-4.368755688834991E-4</v>
      </c>
      <c r="I7" s="30">
        <v>2.2917373796850882E-2</v>
      </c>
      <c r="J7" s="103">
        <v>3.6893092937726468E-3</v>
      </c>
      <c r="L7" s="23" t="s">
        <v>25</v>
      </c>
      <c r="M7" s="24">
        <v>2497354</v>
      </c>
    </row>
    <row r="8" spans="1:14" ht="12" thickBot="1">
      <c r="B8" s="171">
        <v>4</v>
      </c>
      <c r="C8" s="172" t="s">
        <v>26</v>
      </c>
      <c r="D8" s="85">
        <v>200222.59229999999</v>
      </c>
      <c r="E8" s="86">
        <v>188303.51238933654</v>
      </c>
      <c r="F8" s="87">
        <v>184004.35069999998</v>
      </c>
      <c r="G8" s="87">
        <v>174712.53519999998</v>
      </c>
      <c r="H8" s="30">
        <v>6.3297172524427125E-2</v>
      </c>
      <c r="I8" s="30">
        <v>8.8140533298814105E-2</v>
      </c>
      <c r="J8" s="103">
        <v>5.3183450685798217E-2</v>
      </c>
      <c r="L8" s="33"/>
      <c r="M8" s="34"/>
    </row>
    <row r="9" spans="1:14">
      <c r="B9" s="171">
        <v>5</v>
      </c>
      <c r="C9" s="172" t="s">
        <v>27</v>
      </c>
      <c r="D9" s="85">
        <v>211889.4185</v>
      </c>
      <c r="E9" s="86">
        <v>203524.18428879775</v>
      </c>
      <c r="F9" s="87">
        <v>198877.5191</v>
      </c>
      <c r="G9" s="87">
        <v>187593.17249999999</v>
      </c>
      <c r="H9" s="30">
        <v>4.1101917398337795E-2</v>
      </c>
      <c r="I9" s="30">
        <v>6.5426698094807501E-2</v>
      </c>
      <c r="J9" s="103">
        <v>6.0153290493554668E-2</v>
      </c>
      <c r="L9" s="35"/>
    </row>
    <row r="10" spans="1:14" ht="12" thickBot="1">
      <c r="B10" s="171">
        <v>6</v>
      </c>
      <c r="C10" s="172" t="s">
        <v>28</v>
      </c>
      <c r="D10" s="85">
        <v>223098.11799999999</v>
      </c>
      <c r="E10" s="86">
        <v>212516.85914901097</v>
      </c>
      <c r="F10" s="87">
        <v>207664.88200000001</v>
      </c>
      <c r="G10" s="87">
        <v>196737.38190000001</v>
      </c>
      <c r="H10" s="30">
        <v>4.9790209084398906E-2</v>
      </c>
      <c r="I10" s="30">
        <v>7.4317986995990903E-2</v>
      </c>
      <c r="J10" s="103">
        <v>5.5543588079027817E-2</v>
      </c>
      <c r="L10" s="35"/>
    </row>
    <row r="11" spans="1:14">
      <c r="B11" s="171">
        <v>7</v>
      </c>
      <c r="C11" s="172" t="s">
        <v>29</v>
      </c>
      <c r="D11" s="85">
        <v>232234.0221</v>
      </c>
      <c r="E11" s="86">
        <v>212575.92651741585</v>
      </c>
      <c r="F11" s="87">
        <v>207722.60080000001</v>
      </c>
      <c r="G11" s="87">
        <v>196061.08099999998</v>
      </c>
      <c r="H11" s="30">
        <v>9.2475643430741883E-2</v>
      </c>
      <c r="I11" s="30">
        <v>0.11800074332595201</v>
      </c>
      <c r="J11" s="103">
        <v>5.9479014093572369E-2</v>
      </c>
      <c r="L11" s="36" t="s">
        <v>30</v>
      </c>
      <c r="M11" s="173">
        <v>2367953.73</v>
      </c>
    </row>
    <row r="12" spans="1:14" ht="12" thickBot="1">
      <c r="B12" s="171">
        <v>8</v>
      </c>
      <c r="C12" s="172" t="s">
        <v>31</v>
      </c>
      <c r="D12" s="85">
        <v>232895.68680000002</v>
      </c>
      <c r="E12" s="86">
        <v>217394.13576004995</v>
      </c>
      <c r="F12" s="87">
        <v>212430.80539999998</v>
      </c>
      <c r="G12" s="87">
        <v>201239.97209999998</v>
      </c>
      <c r="H12" s="30">
        <v>7.1306206056358512E-2</v>
      </c>
      <c r="I12" s="30">
        <v>9.6336693548119579E-2</v>
      </c>
      <c r="J12" s="103">
        <v>5.5609396002296529E-2</v>
      </c>
      <c r="L12" s="38" t="s">
        <v>32</v>
      </c>
      <c r="M12" s="39">
        <v>5.4646452065598483E-2</v>
      </c>
    </row>
    <row r="13" spans="1:14" ht="12" thickBot="1">
      <c r="B13" s="171">
        <v>9</v>
      </c>
      <c r="C13" s="172" t="s">
        <v>33</v>
      </c>
      <c r="D13" s="85">
        <v>223325.31209999998</v>
      </c>
      <c r="E13" s="86">
        <v>211951.34273106547</v>
      </c>
      <c r="F13" s="87">
        <v>207112.27690000003</v>
      </c>
      <c r="G13" s="87">
        <v>196098.51380000002</v>
      </c>
      <c r="H13" s="30">
        <v>5.366311542251645E-2</v>
      </c>
      <c r="I13" s="30">
        <v>7.8281381686649665E-2</v>
      </c>
      <c r="J13" s="103">
        <v>5.6164439426771517E-2</v>
      </c>
      <c r="L13" s="40"/>
    </row>
    <row r="14" spans="1:14">
      <c r="B14" s="171">
        <v>10</v>
      </c>
      <c r="C14" s="172" t="s">
        <v>34</v>
      </c>
      <c r="D14" s="85">
        <v>217745.67850000001</v>
      </c>
      <c r="E14" s="86">
        <v>204661.60926375844</v>
      </c>
      <c r="F14" s="87">
        <v>199988.9755</v>
      </c>
      <c r="G14" s="87">
        <v>196532.96830000001</v>
      </c>
      <c r="H14" s="30">
        <v>6.3930256794665574E-2</v>
      </c>
      <c r="I14" s="30">
        <v>8.8788409239088262E-2</v>
      </c>
      <c r="J14" s="103">
        <v>1.7584872552906861E-2</v>
      </c>
      <c r="L14" s="36" t="s">
        <v>35</v>
      </c>
      <c r="M14" s="173">
        <v>2313890.9255999997</v>
      </c>
    </row>
    <row r="15" spans="1:14" ht="12" thickBot="1">
      <c r="B15" s="171">
        <v>11</v>
      </c>
      <c r="C15" s="172" t="s">
        <v>36</v>
      </c>
      <c r="D15" s="85" t="s">
        <v>41</v>
      </c>
      <c r="E15" s="86">
        <v>185633.62472454004</v>
      </c>
      <c r="F15" s="87">
        <v>181395.41930000001</v>
      </c>
      <c r="G15" s="87">
        <v>183148.76009999998</v>
      </c>
      <c r="H15" s="30" t="s">
        <v>41</v>
      </c>
      <c r="I15" s="30" t="s">
        <v>41</v>
      </c>
      <c r="J15" s="103">
        <v>-9.5733151512609194E-3</v>
      </c>
      <c r="L15" s="38" t="s">
        <v>37</v>
      </c>
      <c r="M15" s="39">
        <v>7.9287693456176145E-2</v>
      </c>
    </row>
    <row r="16" spans="1:14" ht="12" thickBot="1">
      <c r="B16" s="174">
        <v>12</v>
      </c>
      <c r="C16" s="175" t="s">
        <v>38</v>
      </c>
      <c r="D16" s="85" t="s">
        <v>41</v>
      </c>
      <c r="E16" s="86">
        <v>186295.85031168352</v>
      </c>
      <c r="F16" s="87">
        <v>182042.52559999999</v>
      </c>
      <c r="G16" s="87">
        <v>180050.23689999999</v>
      </c>
      <c r="H16" s="30" t="s">
        <v>41</v>
      </c>
      <c r="I16" s="30" t="s">
        <v>41</v>
      </c>
      <c r="J16" s="104">
        <v>1.1065182330787682E-2</v>
      </c>
      <c r="L16" s="38" t="s">
        <v>39</v>
      </c>
      <c r="M16" s="39">
        <v>2.3364456726058247E-2</v>
      </c>
    </row>
    <row r="17" spans="1:13" ht="13.5" thickBot="1">
      <c r="B17" s="176" t="s">
        <v>40</v>
      </c>
      <c r="C17" s="177"/>
      <c r="D17" s="47">
        <v>2091393.7190999999</v>
      </c>
      <c r="E17" s="178">
        <v>2367953.73</v>
      </c>
      <c r="F17" s="179">
        <v>2313890.9255999997</v>
      </c>
      <c r="G17" s="179">
        <v>2220734.1993</v>
      </c>
      <c r="H17" s="50">
        <v>4.7779712044608624E-2</v>
      </c>
      <c r="I17" s="50">
        <v>7.2260515785116608E-2</v>
      </c>
      <c r="J17" s="51">
        <v>4.1948616061014299E-2</v>
      </c>
      <c r="K17" s="99"/>
      <c r="L17" s="180"/>
      <c r="M17" s="180"/>
    </row>
    <row r="18" spans="1:13">
      <c r="A18" s="181"/>
      <c r="D18" s="182"/>
      <c r="E18" s="182"/>
      <c r="F18" s="182"/>
      <c r="G18" s="182"/>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7" pageOrder="overThenDown" orientation="landscape" r:id="rId1"/>
  <headerFooter alignWithMargins="0">
    <oddHeader>&amp;C&amp;"Tahoma,Bold"Monthly follow-up of total service units - 2016</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N19"/>
  <sheetViews>
    <sheetView workbookViewId="0">
      <selection activeCell="O54" sqref="O54"/>
    </sheetView>
  </sheetViews>
  <sheetFormatPr defaultRowHeight="11.25"/>
  <cols>
    <col min="1" max="2" width="2.85546875" style="188" bestFit="1" customWidth="1"/>
    <col min="3" max="3" width="9.28515625" style="188" customWidth="1"/>
    <col min="4" max="4" width="11.85546875" style="188" customWidth="1"/>
    <col min="5" max="5" width="11.42578125" style="188" customWidth="1"/>
    <col min="6" max="10" width="9.7109375" style="188" customWidth="1"/>
    <col min="11" max="11" width="2.7109375" style="188" customWidth="1"/>
    <col min="12" max="12" width="33.85546875" style="188" customWidth="1"/>
    <col min="13" max="13" width="11.28515625" style="188" bestFit="1" customWidth="1"/>
    <col min="14" max="16384" width="9.140625" style="188"/>
  </cols>
  <sheetData>
    <row r="1" spans="1:14" s="183" customFormat="1" ht="13.5" thickBot="1">
      <c r="B1" s="2" t="s">
        <v>0</v>
      </c>
      <c r="C1" s="2"/>
      <c r="D1" s="184" t="s">
        <v>64</v>
      </c>
      <c r="L1" s="185" t="s">
        <v>2</v>
      </c>
      <c r="M1" s="186">
        <v>42688</v>
      </c>
    </row>
    <row r="2" spans="1:14" ht="8.25" customHeight="1" thickBot="1">
      <c r="A2" s="187"/>
      <c r="C2" s="187"/>
      <c r="K2" s="189"/>
      <c r="L2" s="189"/>
      <c r="M2" s="189"/>
    </row>
    <row r="3" spans="1:14" s="193" customFormat="1" ht="33.75" customHeight="1">
      <c r="A3" s="190"/>
      <c r="B3" s="544" t="s">
        <v>3</v>
      </c>
      <c r="C3" s="545"/>
      <c r="D3" s="12" t="s">
        <v>4</v>
      </c>
      <c r="E3" s="12" t="s">
        <v>5</v>
      </c>
      <c r="F3" s="12" t="s">
        <v>6</v>
      </c>
      <c r="G3" s="12" t="s">
        <v>7</v>
      </c>
      <c r="H3" s="13" t="s">
        <v>8</v>
      </c>
      <c r="I3" s="12" t="s">
        <v>9</v>
      </c>
      <c r="J3" s="14" t="s">
        <v>10</v>
      </c>
      <c r="K3" s="191"/>
      <c r="L3" s="16" t="s">
        <v>11</v>
      </c>
      <c r="M3" s="17">
        <v>1630179</v>
      </c>
      <c r="N3" s="192"/>
    </row>
    <row r="4" spans="1:14" s="194" customFormat="1" ht="11.85" customHeight="1">
      <c r="B4" s="195"/>
      <c r="C4" s="196"/>
      <c r="D4" s="197" t="s">
        <v>12</v>
      </c>
      <c r="E4" s="197" t="s">
        <v>13</v>
      </c>
      <c r="F4" s="197" t="s">
        <v>14</v>
      </c>
      <c r="G4" s="197" t="s">
        <v>15</v>
      </c>
      <c r="H4" s="197" t="s">
        <v>16</v>
      </c>
      <c r="I4" s="197" t="s">
        <v>17</v>
      </c>
      <c r="J4" s="198" t="s">
        <v>18</v>
      </c>
      <c r="K4" s="193"/>
      <c r="L4" s="23" t="s">
        <v>19</v>
      </c>
      <c r="M4" s="24">
        <v>1616586</v>
      </c>
    </row>
    <row r="5" spans="1:14">
      <c r="B5" s="199">
        <v>1</v>
      </c>
      <c r="C5" s="200" t="s">
        <v>20</v>
      </c>
      <c r="D5" s="85">
        <v>118853.9997</v>
      </c>
      <c r="E5" s="86">
        <v>116685.7333704152</v>
      </c>
      <c r="F5" s="87">
        <v>117610.117</v>
      </c>
      <c r="G5" s="87">
        <v>118090.87950000001</v>
      </c>
      <c r="H5" s="30">
        <v>1.8582103115397208E-2</v>
      </c>
      <c r="I5" s="30">
        <v>1.0576323973897628E-2</v>
      </c>
      <c r="J5" s="103">
        <v>-4.07112303706747E-3</v>
      </c>
      <c r="L5" s="23" t="s">
        <v>21</v>
      </c>
      <c r="M5" s="24">
        <v>1617789</v>
      </c>
    </row>
    <row r="6" spans="1:14">
      <c r="B6" s="199">
        <v>2</v>
      </c>
      <c r="C6" s="200" t="s">
        <v>22</v>
      </c>
      <c r="D6" s="85">
        <v>118526.01670000001</v>
      </c>
      <c r="E6" s="86">
        <v>107747.8769118185</v>
      </c>
      <c r="F6" s="87">
        <v>108601.45490000001</v>
      </c>
      <c r="G6" s="87">
        <v>109306.79909999999</v>
      </c>
      <c r="H6" s="30">
        <v>0.10003111056195002</v>
      </c>
      <c r="I6" s="30">
        <v>9.1385164306854838E-2</v>
      </c>
      <c r="J6" s="103">
        <v>-6.4528849605658412E-3</v>
      </c>
      <c r="L6" s="23" t="s">
        <v>23</v>
      </c>
      <c r="M6" s="24">
        <v>1627394</v>
      </c>
    </row>
    <row r="7" spans="1:14">
      <c r="B7" s="199">
        <v>3</v>
      </c>
      <c r="C7" s="200" t="s">
        <v>24</v>
      </c>
      <c r="D7" s="85">
        <v>127717.6636</v>
      </c>
      <c r="E7" s="86">
        <v>126151.47026360282</v>
      </c>
      <c r="F7" s="87">
        <v>127150.84139999999</v>
      </c>
      <c r="G7" s="87">
        <v>125783.6017</v>
      </c>
      <c r="H7" s="30">
        <v>1.241518099729233E-2</v>
      </c>
      <c r="I7" s="30">
        <v>4.4578721914774189E-3</v>
      </c>
      <c r="J7" s="103">
        <v>1.0869776994149927E-2</v>
      </c>
      <c r="L7" s="23" t="s">
        <v>25</v>
      </c>
      <c r="M7" s="24">
        <v>1630179</v>
      </c>
    </row>
    <row r="8" spans="1:14" ht="12" thickBot="1">
      <c r="B8" s="199">
        <v>4</v>
      </c>
      <c r="C8" s="200" t="s">
        <v>26</v>
      </c>
      <c r="D8" s="85">
        <v>131921.1067</v>
      </c>
      <c r="E8" s="86">
        <v>127481.54442465011</v>
      </c>
      <c r="F8" s="87">
        <v>128491.45240000001</v>
      </c>
      <c r="G8" s="87">
        <v>125334.1381</v>
      </c>
      <c r="H8" s="30">
        <v>3.4825137202302736E-2</v>
      </c>
      <c r="I8" s="30">
        <v>2.6691692217185814E-2</v>
      </c>
      <c r="J8" s="103">
        <v>2.519117574719254E-2</v>
      </c>
      <c r="L8" s="33"/>
      <c r="M8" s="34"/>
    </row>
    <row r="9" spans="1:14">
      <c r="B9" s="199">
        <v>5</v>
      </c>
      <c r="C9" s="200" t="s">
        <v>27</v>
      </c>
      <c r="D9" s="85">
        <v>137895.63939999999</v>
      </c>
      <c r="E9" s="86">
        <v>134161.97836988466</v>
      </c>
      <c r="F9" s="87">
        <v>135224.80870000002</v>
      </c>
      <c r="G9" s="87">
        <v>133504.1146</v>
      </c>
      <c r="H9" s="30">
        <v>2.7829501886306618E-2</v>
      </c>
      <c r="I9" s="30">
        <v>1.9751040697903788E-2</v>
      </c>
      <c r="J9" s="103">
        <v>1.28886971398261E-2</v>
      </c>
      <c r="L9" s="35"/>
    </row>
    <row r="10" spans="1:14" ht="12" thickBot="1">
      <c r="B10" s="199">
        <v>6</v>
      </c>
      <c r="C10" s="200" t="s">
        <v>28</v>
      </c>
      <c r="D10" s="85">
        <v>146432.60150000002</v>
      </c>
      <c r="E10" s="86">
        <v>141570.61102958478</v>
      </c>
      <c r="F10" s="87">
        <v>142692.13250000001</v>
      </c>
      <c r="G10" s="87">
        <v>137331.02490000002</v>
      </c>
      <c r="H10" s="30">
        <v>3.4343218801246911E-2</v>
      </c>
      <c r="I10" s="30">
        <v>2.6213561564089716E-2</v>
      </c>
      <c r="J10" s="103">
        <v>3.903784744855554E-2</v>
      </c>
      <c r="L10" s="35"/>
    </row>
    <row r="11" spans="1:14">
      <c r="B11" s="199">
        <v>7</v>
      </c>
      <c r="C11" s="200" t="s">
        <v>29</v>
      </c>
      <c r="D11" s="85">
        <v>155779.101</v>
      </c>
      <c r="E11" s="86">
        <v>149199.07111780945</v>
      </c>
      <c r="F11" s="87">
        <v>150381.0252</v>
      </c>
      <c r="G11" s="87">
        <v>143367.4448</v>
      </c>
      <c r="H11" s="30">
        <v>4.4102351528682693E-2</v>
      </c>
      <c r="I11" s="30">
        <v>3.5895990154481305E-2</v>
      </c>
      <c r="J11" s="103">
        <v>4.8920313881467781E-2</v>
      </c>
      <c r="L11" s="36" t="s">
        <v>30</v>
      </c>
      <c r="M11" s="201">
        <v>1571000</v>
      </c>
    </row>
    <row r="12" spans="1:14" ht="12" thickBot="1">
      <c r="B12" s="199">
        <v>8</v>
      </c>
      <c r="C12" s="200" t="s">
        <v>31</v>
      </c>
      <c r="D12" s="85">
        <v>146213.38399999999</v>
      </c>
      <c r="E12" s="86">
        <v>143219.42186078028</v>
      </c>
      <c r="F12" s="87">
        <v>144354.00519999999</v>
      </c>
      <c r="G12" s="87">
        <v>138304.47569999998</v>
      </c>
      <c r="H12" s="30">
        <v>2.0904721582594155E-2</v>
      </c>
      <c r="I12" s="30">
        <v>1.288068728972136E-2</v>
      </c>
      <c r="J12" s="103">
        <v>4.3740663267631374E-2</v>
      </c>
      <c r="L12" s="38" t="s">
        <v>32</v>
      </c>
      <c r="M12" s="39">
        <v>3.7669637173774584E-2</v>
      </c>
    </row>
    <row r="13" spans="1:14" ht="12" thickBot="1">
      <c r="B13" s="199">
        <v>9</v>
      </c>
      <c r="C13" s="200" t="s">
        <v>33</v>
      </c>
      <c r="D13" s="85">
        <v>144915.2023</v>
      </c>
      <c r="E13" s="86">
        <v>142280.2992837975</v>
      </c>
      <c r="F13" s="87">
        <v>143407.44289999999</v>
      </c>
      <c r="G13" s="87">
        <v>133620.15470000001</v>
      </c>
      <c r="H13" s="30">
        <v>1.8519099478043977E-2</v>
      </c>
      <c r="I13" s="30">
        <v>1.0513815528050419E-2</v>
      </c>
      <c r="J13" s="103">
        <v>7.3247095260247974E-2</v>
      </c>
      <c r="L13" s="40"/>
    </row>
    <row r="14" spans="1:14">
      <c r="B14" s="199">
        <v>10</v>
      </c>
      <c r="C14" s="200" t="s">
        <v>34</v>
      </c>
      <c r="D14" s="85">
        <v>143488.17449999999</v>
      </c>
      <c r="E14" s="86">
        <v>139923.28106695798</v>
      </c>
      <c r="F14" s="87">
        <v>141031.7524</v>
      </c>
      <c r="G14" s="87">
        <v>137285.63760000002</v>
      </c>
      <c r="H14" s="30">
        <v>2.5477485989883863E-2</v>
      </c>
      <c r="I14" s="30">
        <v>1.7417511008676945E-2</v>
      </c>
      <c r="J14" s="103">
        <v>2.7287011704128838E-2</v>
      </c>
      <c r="L14" s="36" t="s">
        <v>35</v>
      </c>
      <c r="M14" s="201">
        <v>1583445.4519</v>
      </c>
    </row>
    <row r="15" spans="1:14" ht="12" thickBot="1">
      <c r="B15" s="199">
        <v>11</v>
      </c>
      <c r="C15" s="200" t="s">
        <v>36</v>
      </c>
      <c r="D15" s="85" t="s">
        <v>41</v>
      </c>
      <c r="E15" s="86">
        <v>122918.83765831921</v>
      </c>
      <c r="F15" s="87">
        <v>123892.5999</v>
      </c>
      <c r="G15" s="87">
        <v>117134.0481</v>
      </c>
      <c r="H15" s="30" t="s">
        <v>41</v>
      </c>
      <c r="I15" s="30" t="s">
        <v>41</v>
      </c>
      <c r="J15" s="103">
        <v>5.7699293327846624E-2</v>
      </c>
      <c r="L15" s="38" t="s">
        <v>37</v>
      </c>
      <c r="M15" s="39">
        <v>2.9513835190169369E-2</v>
      </c>
    </row>
    <row r="16" spans="1:14" ht="12" thickBot="1">
      <c r="B16" s="202">
        <v>12</v>
      </c>
      <c r="C16" s="203" t="s">
        <v>38</v>
      </c>
      <c r="D16" s="85" t="s">
        <v>41</v>
      </c>
      <c r="E16" s="86">
        <v>119659.87464237954</v>
      </c>
      <c r="F16" s="87">
        <v>120607.81940000001</v>
      </c>
      <c r="G16" s="87">
        <v>112940.5217</v>
      </c>
      <c r="H16" s="30" t="s">
        <v>41</v>
      </c>
      <c r="I16" s="30" t="s">
        <v>41</v>
      </c>
      <c r="J16" s="104">
        <v>6.7887925295461171E-2</v>
      </c>
      <c r="L16" s="38" t="s">
        <v>39</v>
      </c>
      <c r="M16" s="39">
        <v>-7.8597288495581008E-3</v>
      </c>
    </row>
    <row r="17" spans="1:13" ht="13.5" thickBot="1">
      <c r="B17" s="204" t="s">
        <v>40</v>
      </c>
      <c r="C17" s="205"/>
      <c r="D17" s="47">
        <v>1371742.8894</v>
      </c>
      <c r="E17" s="206">
        <v>1571000</v>
      </c>
      <c r="F17" s="207">
        <v>1583445.4519</v>
      </c>
      <c r="G17" s="207">
        <v>1532002.8404999997</v>
      </c>
      <c r="H17" s="50">
        <v>3.2611342577720581E-2</v>
      </c>
      <c r="I17" s="208">
        <v>2.4495297418081652E-2</v>
      </c>
      <c r="J17" s="51">
        <v>3.3578665809268937E-2</v>
      </c>
      <c r="K17" s="99"/>
      <c r="L17" s="209"/>
      <c r="M17" s="209"/>
    </row>
    <row r="18" spans="1:13">
      <c r="A18" s="210"/>
      <c r="D18" s="211"/>
      <c r="E18" s="211"/>
      <c r="F18" s="211"/>
      <c r="G18" s="211"/>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6" pageOrder="overThenDown" orientation="landscape" r:id="rId1"/>
  <headerFooter alignWithMargins="0">
    <oddHeader>&amp;C&amp;"Tahoma,Bold"Monthly follow-up of total service units - 2016</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N19"/>
  <sheetViews>
    <sheetView workbookViewId="0">
      <selection activeCell="J57" sqref="J57"/>
    </sheetView>
  </sheetViews>
  <sheetFormatPr defaultRowHeight="11.25"/>
  <cols>
    <col min="1" max="2" width="2.85546875" style="217" bestFit="1" customWidth="1"/>
    <col min="3" max="3" width="9.28515625" style="217" customWidth="1"/>
    <col min="4" max="10" width="9.7109375" style="217" customWidth="1"/>
    <col min="11" max="11" width="2.7109375" style="217" customWidth="1"/>
    <col min="12" max="12" width="33.5703125" style="217" customWidth="1"/>
    <col min="13" max="13" width="11.28515625" style="217" bestFit="1" customWidth="1"/>
    <col min="14" max="16384" width="9.140625" style="217"/>
  </cols>
  <sheetData>
    <row r="1" spans="1:14" s="212" customFormat="1" ht="13.5" thickBot="1">
      <c r="B1" s="2" t="s">
        <v>0</v>
      </c>
      <c r="C1" s="2"/>
      <c r="D1" s="213" t="s">
        <v>65</v>
      </c>
      <c r="L1" s="214" t="s">
        <v>2</v>
      </c>
      <c r="M1" s="215">
        <v>42688</v>
      </c>
    </row>
    <row r="2" spans="1:14" ht="8.25" customHeight="1" thickBot="1">
      <c r="A2" s="216"/>
      <c r="C2" s="216"/>
      <c r="K2" s="218"/>
      <c r="L2" s="218"/>
      <c r="M2" s="218"/>
    </row>
    <row r="3" spans="1:14" s="222" customFormat="1" ht="33.75" customHeight="1">
      <c r="A3" s="219"/>
      <c r="B3" s="546" t="s">
        <v>3</v>
      </c>
      <c r="C3" s="547"/>
      <c r="D3" s="12" t="s">
        <v>4</v>
      </c>
      <c r="E3" s="12" t="s">
        <v>5</v>
      </c>
      <c r="F3" s="12" t="s">
        <v>6</v>
      </c>
      <c r="G3" s="12" t="s">
        <v>7</v>
      </c>
      <c r="H3" s="13" t="s">
        <v>8</v>
      </c>
      <c r="I3" s="12" t="s">
        <v>9</v>
      </c>
      <c r="J3" s="14" t="s">
        <v>10</v>
      </c>
      <c r="K3" s="220"/>
      <c r="L3" s="16" t="s">
        <v>11</v>
      </c>
      <c r="M3" s="17">
        <v>499035</v>
      </c>
      <c r="N3" s="221"/>
    </row>
    <row r="4" spans="1:14" s="223" customFormat="1" ht="11.85" customHeight="1">
      <c r="B4" s="224"/>
      <c r="C4" s="225"/>
      <c r="D4" s="226" t="s">
        <v>12</v>
      </c>
      <c r="E4" s="226" t="s">
        <v>13</v>
      </c>
      <c r="F4" s="226" t="s">
        <v>14</v>
      </c>
      <c r="G4" s="226" t="s">
        <v>15</v>
      </c>
      <c r="H4" s="226" t="s">
        <v>16</v>
      </c>
      <c r="I4" s="226" t="s">
        <v>17</v>
      </c>
      <c r="J4" s="227" t="s">
        <v>18</v>
      </c>
      <c r="K4" s="222"/>
      <c r="L4" s="23" t="s">
        <v>19</v>
      </c>
      <c r="M4" s="24">
        <v>498197</v>
      </c>
    </row>
    <row r="5" spans="1:14">
      <c r="B5" s="228">
        <v>1</v>
      </c>
      <c r="C5" s="229" t="s">
        <v>20</v>
      </c>
      <c r="D5" s="85">
        <v>28747.894200000002</v>
      </c>
      <c r="E5" s="86">
        <v>28456.351453003881</v>
      </c>
      <c r="F5" s="87">
        <v>26555.650600000001</v>
      </c>
      <c r="G5" s="87">
        <v>23269.428400000001</v>
      </c>
      <c r="H5" s="30">
        <v>1.0245260973727133E-2</v>
      </c>
      <c r="I5" s="30">
        <v>8.255281081307797E-2</v>
      </c>
      <c r="J5" s="103">
        <v>0.1412248785621224</v>
      </c>
      <c r="L5" s="23" t="s">
        <v>21</v>
      </c>
      <c r="M5" s="24">
        <v>484547</v>
      </c>
    </row>
    <row r="6" spans="1:14">
      <c r="B6" s="228">
        <v>2</v>
      </c>
      <c r="C6" s="229" t="s">
        <v>22</v>
      </c>
      <c r="D6" s="85">
        <v>26176.9794</v>
      </c>
      <c r="E6" s="86">
        <v>25285.341422687045</v>
      </c>
      <c r="F6" s="87">
        <v>23596.443599999999</v>
      </c>
      <c r="G6" s="87">
        <v>20882.892899999999</v>
      </c>
      <c r="H6" s="30">
        <v>3.5263038865393392E-2</v>
      </c>
      <c r="I6" s="30">
        <v>0.10936121746753402</v>
      </c>
      <c r="J6" s="103">
        <v>0.12994132149190873</v>
      </c>
      <c r="L6" s="23" t="s">
        <v>23</v>
      </c>
      <c r="M6" s="24">
        <v>484326</v>
      </c>
    </row>
    <row r="7" spans="1:14">
      <c r="B7" s="228">
        <v>3</v>
      </c>
      <c r="C7" s="229" t="s">
        <v>24</v>
      </c>
      <c r="D7" s="85">
        <v>30060.027099999999</v>
      </c>
      <c r="E7" s="86">
        <v>31409.138494275023</v>
      </c>
      <c r="F7" s="87">
        <v>29311.210500000001</v>
      </c>
      <c r="G7" s="87">
        <v>24344.584900000002</v>
      </c>
      <c r="H7" s="30">
        <v>-4.2952830257376395E-2</v>
      </c>
      <c r="I7" s="30">
        <v>2.5547105944327964E-2</v>
      </c>
      <c r="J7" s="103">
        <v>0.2040135668938845</v>
      </c>
      <c r="L7" s="23" t="s">
        <v>25</v>
      </c>
      <c r="M7" s="24">
        <v>499035</v>
      </c>
    </row>
    <row r="8" spans="1:14" ht="12" thickBot="1">
      <c r="B8" s="228">
        <v>4</v>
      </c>
      <c r="C8" s="229" t="s">
        <v>26</v>
      </c>
      <c r="D8" s="85">
        <v>34707.537999999993</v>
      </c>
      <c r="E8" s="86">
        <v>36614.786956996453</v>
      </c>
      <c r="F8" s="87">
        <v>34169.155200000001</v>
      </c>
      <c r="G8" s="87">
        <v>33457.468399999998</v>
      </c>
      <c r="H8" s="30">
        <v>-5.2089582256384492E-2</v>
      </c>
      <c r="I8" s="30">
        <v>1.5756397746702122E-2</v>
      </c>
      <c r="J8" s="103">
        <v>2.1271388244066936E-2</v>
      </c>
      <c r="L8" s="33"/>
      <c r="M8" s="34"/>
    </row>
    <row r="9" spans="1:14">
      <c r="B9" s="228">
        <v>5</v>
      </c>
      <c r="C9" s="229" t="s">
        <v>27</v>
      </c>
      <c r="D9" s="85">
        <v>47334.570799999994</v>
      </c>
      <c r="E9" s="86">
        <v>47072.722758751966</v>
      </c>
      <c r="F9" s="87">
        <v>43928.568299999999</v>
      </c>
      <c r="G9" s="87">
        <v>43854.532200000001</v>
      </c>
      <c r="H9" s="30">
        <v>5.5626279063991646E-3</v>
      </c>
      <c r="I9" s="30">
        <v>7.7535021782168867E-2</v>
      </c>
      <c r="J9" s="103">
        <v>1.688220037608712E-3</v>
      </c>
      <c r="L9" s="35"/>
    </row>
    <row r="10" spans="1:14" ht="12" thickBot="1">
      <c r="B10" s="228">
        <v>6</v>
      </c>
      <c r="C10" s="229" t="s">
        <v>28</v>
      </c>
      <c r="D10" s="85">
        <v>51384.918299999998</v>
      </c>
      <c r="E10" s="86">
        <v>49961.414336185539</v>
      </c>
      <c r="F10" s="87">
        <v>46624.313900000001</v>
      </c>
      <c r="G10" s="87">
        <v>47931.531900000002</v>
      </c>
      <c r="H10" s="30">
        <v>2.8492066982648501E-2</v>
      </c>
      <c r="I10" s="30">
        <v>0.10210561833061083</v>
      </c>
      <c r="J10" s="103">
        <v>-2.7272610496306693E-2</v>
      </c>
      <c r="L10" s="35"/>
    </row>
    <row r="11" spans="1:14">
      <c r="B11" s="228">
        <v>7</v>
      </c>
      <c r="C11" s="229" t="s">
        <v>29</v>
      </c>
      <c r="D11" s="85">
        <v>58619.556700000001</v>
      </c>
      <c r="E11" s="86">
        <v>57666.492705856544</v>
      </c>
      <c r="F11" s="87">
        <v>53814.742700000003</v>
      </c>
      <c r="G11" s="87">
        <v>55062.415399999998</v>
      </c>
      <c r="H11" s="30">
        <v>1.6527171142604713E-2</v>
      </c>
      <c r="I11" s="30">
        <v>8.9284344009322947E-2</v>
      </c>
      <c r="J11" s="103">
        <v>-2.265924389506524E-2</v>
      </c>
      <c r="L11" s="36" t="s">
        <v>30</v>
      </c>
      <c r="M11" s="230">
        <v>499636.61470256926</v>
      </c>
    </row>
    <row r="12" spans="1:14" ht="12" thickBot="1">
      <c r="B12" s="228">
        <v>8</v>
      </c>
      <c r="C12" s="229" t="s">
        <v>31</v>
      </c>
      <c r="D12" s="85">
        <v>59843.763800000001</v>
      </c>
      <c r="E12" s="86">
        <v>60646.622035765678</v>
      </c>
      <c r="F12" s="87">
        <v>56595.818599999999</v>
      </c>
      <c r="G12" s="87">
        <v>56391.597200000004</v>
      </c>
      <c r="H12" s="30">
        <v>-1.3238300977294393E-2</v>
      </c>
      <c r="I12" s="30">
        <v>5.738843045906572E-2</v>
      </c>
      <c r="J12" s="103">
        <v>3.6214863586094825E-3</v>
      </c>
      <c r="L12" s="38" t="s">
        <v>32</v>
      </c>
      <c r="M12" s="39">
        <v>-1.2041045128916572E-3</v>
      </c>
    </row>
    <row r="13" spans="1:14" ht="12" thickBot="1">
      <c r="B13" s="228">
        <v>9</v>
      </c>
      <c r="C13" s="229" t="s">
        <v>33</v>
      </c>
      <c r="D13" s="85">
        <v>55071.452299999997</v>
      </c>
      <c r="E13" s="86">
        <v>52873.962585527144</v>
      </c>
      <c r="F13" s="87">
        <v>49342.322700000004</v>
      </c>
      <c r="G13" s="87">
        <v>49819.842900000003</v>
      </c>
      <c r="H13" s="30">
        <v>4.1560904593036074E-2</v>
      </c>
      <c r="I13" s="30">
        <v>0.11610984822974268</v>
      </c>
      <c r="J13" s="103">
        <v>-9.5849398995193624E-3</v>
      </c>
      <c r="L13" s="40"/>
    </row>
    <row r="14" spans="1:14">
      <c r="B14" s="228">
        <v>10</v>
      </c>
      <c r="C14" s="229" t="s">
        <v>34</v>
      </c>
      <c r="D14" s="85">
        <v>49278.911</v>
      </c>
      <c r="E14" s="86">
        <v>46881.128711364086</v>
      </c>
      <c r="F14" s="87">
        <v>43749.771500000003</v>
      </c>
      <c r="G14" s="87">
        <v>45965.955000000002</v>
      </c>
      <c r="H14" s="30">
        <v>5.1146001697153887E-2</v>
      </c>
      <c r="I14" s="30">
        <v>0.12638099149843551</v>
      </c>
      <c r="J14" s="103">
        <v>-4.8213585467766329E-2</v>
      </c>
      <c r="L14" s="36" t="s">
        <v>35</v>
      </c>
      <c r="M14" s="230">
        <v>466264.10939999996</v>
      </c>
    </row>
    <row r="15" spans="1:14" ht="12" thickBot="1">
      <c r="B15" s="228">
        <v>11</v>
      </c>
      <c r="C15" s="229" t="s">
        <v>36</v>
      </c>
      <c r="D15" s="85" t="s">
        <v>41</v>
      </c>
      <c r="E15" s="86">
        <v>30847.0989773402</v>
      </c>
      <c r="F15" s="87">
        <v>28786.711599999999</v>
      </c>
      <c r="G15" s="87">
        <v>30167.185999999998</v>
      </c>
      <c r="H15" s="30" t="s">
        <v>41</v>
      </c>
      <c r="I15" s="30" t="s">
        <v>41</v>
      </c>
      <c r="J15" s="103">
        <v>-4.5760794526874315E-2</v>
      </c>
      <c r="L15" s="38" t="s">
        <v>37</v>
      </c>
      <c r="M15" s="39">
        <v>7.0283965545129501E-2</v>
      </c>
    </row>
    <row r="16" spans="1:14" ht="12" thickBot="1">
      <c r="B16" s="231">
        <v>12</v>
      </c>
      <c r="C16" s="232" t="s">
        <v>38</v>
      </c>
      <c r="D16" s="85" t="s">
        <v>41</v>
      </c>
      <c r="E16" s="86">
        <v>31921.554264815644</v>
      </c>
      <c r="F16" s="87">
        <v>29789.4002</v>
      </c>
      <c r="G16" s="87">
        <v>28058.098699999999</v>
      </c>
      <c r="H16" s="30" t="s">
        <v>41</v>
      </c>
      <c r="I16" s="30" t="s">
        <v>41</v>
      </c>
      <c r="J16" s="104">
        <v>6.170416315486138E-2</v>
      </c>
      <c r="L16" s="38" t="s">
        <v>39</v>
      </c>
      <c r="M16" s="39">
        <v>7.1574252938991778E-2</v>
      </c>
    </row>
    <row r="17" spans="1:13" ht="13.5" thickBot="1">
      <c r="B17" s="233" t="s">
        <v>40</v>
      </c>
      <c r="C17" s="234"/>
      <c r="D17" s="47">
        <v>441225.6116</v>
      </c>
      <c r="E17" s="235">
        <v>499636.61470256926</v>
      </c>
      <c r="F17" s="236">
        <v>466264.10939999996</v>
      </c>
      <c r="G17" s="236">
        <v>459205.53389999998</v>
      </c>
      <c r="H17" s="50">
        <v>9.974753298500838E-3</v>
      </c>
      <c r="I17" s="50">
        <v>8.2262941753083352E-2</v>
      </c>
      <c r="J17" s="51">
        <v>1.5371277083819024E-2</v>
      </c>
      <c r="K17" s="99"/>
      <c r="L17" s="237"/>
      <c r="M17" s="237"/>
    </row>
    <row r="18" spans="1:13">
      <c r="A18" s="238"/>
      <c r="D18" s="239"/>
      <c r="E18" s="239"/>
      <c r="F18" s="239"/>
      <c r="G18" s="239"/>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pageOrder="overThenDown" orientation="landscape" r:id="rId1"/>
  <headerFooter alignWithMargins="0">
    <oddHeader>&amp;C&amp;"Tahoma,Bold"Monthly follow-up of total service units - 2016</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Q19"/>
  <sheetViews>
    <sheetView workbookViewId="0">
      <selection activeCell="L56" sqref="L56"/>
    </sheetView>
  </sheetViews>
  <sheetFormatPr defaultRowHeight="11.25"/>
  <cols>
    <col min="1" max="2" width="2.85546875" style="245" bestFit="1" customWidth="1"/>
    <col min="3" max="3" width="9.28515625" style="245" customWidth="1"/>
    <col min="4" max="4" width="11.28515625" style="245" customWidth="1"/>
    <col min="5" max="5" width="11.7109375" style="245" customWidth="1"/>
    <col min="6" max="10" width="9.7109375" style="245" customWidth="1"/>
    <col min="11" max="11" width="2.7109375" style="245" customWidth="1"/>
    <col min="12" max="12" width="35.140625" style="245" customWidth="1"/>
    <col min="13" max="13" width="11.28515625" style="245" bestFit="1" customWidth="1"/>
    <col min="14" max="15" width="9.140625" style="245"/>
    <col min="16" max="16" width="9.140625" style="245" bestFit="1" customWidth="1"/>
    <col min="17" max="17" width="10.28515625" style="245" bestFit="1" customWidth="1"/>
    <col min="18" max="16384" width="9.140625" style="245"/>
  </cols>
  <sheetData>
    <row r="1" spans="1:17" s="240" customFormat="1" ht="13.5" thickBot="1">
      <c r="B1" s="2" t="s">
        <v>0</v>
      </c>
      <c r="C1" s="2"/>
      <c r="D1" s="241" t="s">
        <v>66</v>
      </c>
      <c r="L1" s="242" t="s">
        <v>2</v>
      </c>
      <c r="M1" s="243">
        <v>42688</v>
      </c>
    </row>
    <row r="2" spans="1:17" ht="8.25" customHeight="1" thickBot="1">
      <c r="A2" s="244"/>
      <c r="C2" s="244"/>
      <c r="K2" s="246"/>
      <c r="L2" s="246"/>
      <c r="M2" s="246"/>
    </row>
    <row r="3" spans="1:17" s="250" customFormat="1" ht="33.75" customHeight="1">
      <c r="A3" s="247"/>
      <c r="B3" s="548" t="s">
        <v>3</v>
      </c>
      <c r="C3" s="549"/>
      <c r="D3" s="12" t="s">
        <v>4</v>
      </c>
      <c r="E3" s="12" t="s">
        <v>5</v>
      </c>
      <c r="F3" s="12" t="s">
        <v>6</v>
      </c>
      <c r="G3" s="12" t="s">
        <v>7</v>
      </c>
      <c r="H3" s="13" t="s">
        <v>8</v>
      </c>
      <c r="I3" s="12" t="s">
        <v>9</v>
      </c>
      <c r="J3" s="14" t="s">
        <v>10</v>
      </c>
      <c r="K3" s="248"/>
      <c r="L3" s="16" t="s">
        <v>11</v>
      </c>
      <c r="M3" s="17">
        <v>4528771</v>
      </c>
      <c r="N3" s="249"/>
    </row>
    <row r="4" spans="1:17" s="251" customFormat="1" ht="11.85" customHeight="1">
      <c r="B4" s="252"/>
      <c r="C4" s="253"/>
      <c r="D4" s="254" t="s">
        <v>12</v>
      </c>
      <c r="E4" s="254" t="s">
        <v>13</v>
      </c>
      <c r="F4" s="254" t="s">
        <v>14</v>
      </c>
      <c r="G4" s="254" t="s">
        <v>15</v>
      </c>
      <c r="H4" s="254" t="s">
        <v>16</v>
      </c>
      <c r="I4" s="254" t="s">
        <v>17</v>
      </c>
      <c r="J4" s="255" t="s">
        <v>18</v>
      </c>
      <c r="K4" s="250"/>
      <c r="L4" s="23" t="s">
        <v>19</v>
      </c>
      <c r="M4" s="24">
        <v>4751677</v>
      </c>
    </row>
    <row r="5" spans="1:17">
      <c r="B5" s="256">
        <v>1</v>
      </c>
      <c r="C5" s="257" t="s">
        <v>20</v>
      </c>
      <c r="D5" s="85">
        <v>328886.11129999999</v>
      </c>
      <c r="E5" s="86">
        <v>296646.5225840538</v>
      </c>
      <c r="F5" s="87">
        <v>329334.78670000006</v>
      </c>
      <c r="G5" s="87">
        <v>274354.22349999996</v>
      </c>
      <c r="H5" s="30">
        <v>0.10868015048722235</v>
      </c>
      <c r="I5" s="30">
        <v>-1.3623686841462979E-3</v>
      </c>
      <c r="J5" s="103">
        <v>0.20039991547642466</v>
      </c>
      <c r="L5" s="23" t="s">
        <v>21</v>
      </c>
      <c r="M5" s="24">
        <v>4686276</v>
      </c>
    </row>
    <row r="6" spans="1:17">
      <c r="B6" s="256">
        <v>2</v>
      </c>
      <c r="C6" s="257" t="s">
        <v>22</v>
      </c>
      <c r="D6" s="85">
        <v>307869.8124</v>
      </c>
      <c r="E6" s="86">
        <v>266729.00490451779</v>
      </c>
      <c r="F6" s="87">
        <v>296120.57870000001</v>
      </c>
      <c r="G6" s="87">
        <v>255683.34950000001</v>
      </c>
      <c r="H6" s="30">
        <v>0.15424197121047856</v>
      </c>
      <c r="I6" s="30">
        <v>3.96771941740095E-2</v>
      </c>
      <c r="J6" s="103">
        <v>0.15815354922045866</v>
      </c>
      <c r="L6" s="23" t="s">
        <v>23</v>
      </c>
      <c r="M6" s="24">
        <v>4713045</v>
      </c>
    </row>
    <row r="7" spans="1:17">
      <c r="B7" s="256">
        <v>3</v>
      </c>
      <c r="C7" s="257" t="s">
        <v>24</v>
      </c>
      <c r="D7" s="85">
        <v>346358.17079999996</v>
      </c>
      <c r="E7" s="86">
        <v>306962.84667493281</v>
      </c>
      <c r="F7" s="87">
        <v>340787.89379999996</v>
      </c>
      <c r="G7" s="87">
        <v>289524.39359999995</v>
      </c>
      <c r="H7" s="30">
        <v>0.1283390630227832</v>
      </c>
      <c r="I7" s="30">
        <v>1.6345290138942037E-2</v>
      </c>
      <c r="J7" s="103">
        <v>0.17706107441442209</v>
      </c>
      <c r="L7" s="23" t="s">
        <v>25</v>
      </c>
      <c r="M7" s="24">
        <v>4528771</v>
      </c>
    </row>
    <row r="8" spans="1:17" ht="12" thickBot="1">
      <c r="B8" s="256">
        <v>4</v>
      </c>
      <c r="C8" s="257" t="s">
        <v>26</v>
      </c>
      <c r="D8" s="85">
        <v>355778.03699999995</v>
      </c>
      <c r="E8" s="86">
        <v>320681.8421189519</v>
      </c>
      <c r="F8" s="87">
        <v>356018.62160000001</v>
      </c>
      <c r="G8" s="87">
        <v>301598.46029999998</v>
      </c>
      <c r="H8" s="30">
        <v>0.10944241385525544</v>
      </c>
      <c r="I8" s="30">
        <v>-6.7576409042546803E-4</v>
      </c>
      <c r="J8" s="103">
        <v>0.1804391217576784</v>
      </c>
      <c r="L8" s="33"/>
      <c r="M8" s="34"/>
    </row>
    <row r="9" spans="1:17">
      <c r="B9" s="256">
        <v>5</v>
      </c>
      <c r="C9" s="257" t="s">
        <v>27</v>
      </c>
      <c r="D9" s="85">
        <v>365061.93230000004</v>
      </c>
      <c r="E9" s="86">
        <v>359835.78031727171</v>
      </c>
      <c r="F9" s="87">
        <v>399487.03570000001</v>
      </c>
      <c r="G9" s="87">
        <v>338489.91220000002</v>
      </c>
      <c r="H9" s="30">
        <v>1.452371406234354E-2</v>
      </c>
      <c r="I9" s="30">
        <v>-8.6173268025278138E-2</v>
      </c>
      <c r="J9" s="103">
        <v>0.18020366723354297</v>
      </c>
      <c r="L9" s="35"/>
    </row>
    <row r="10" spans="1:17" ht="12" thickBot="1">
      <c r="B10" s="256">
        <v>6</v>
      </c>
      <c r="C10" s="257" t="s">
        <v>28</v>
      </c>
      <c r="D10" s="85">
        <v>387473.84300000005</v>
      </c>
      <c r="E10" s="86">
        <v>383129.14906929911</v>
      </c>
      <c r="F10" s="87">
        <v>425347.16229999997</v>
      </c>
      <c r="G10" s="87">
        <v>381924.64390000002</v>
      </c>
      <c r="H10" s="30">
        <v>1.134002448327176E-2</v>
      </c>
      <c r="I10" s="30">
        <v>-8.9040959143128484E-2</v>
      </c>
      <c r="J10" s="103">
        <v>0.11369394223057605</v>
      </c>
      <c r="L10" s="35"/>
      <c r="P10" s="258"/>
      <c r="Q10" s="259"/>
    </row>
    <row r="11" spans="1:17">
      <c r="B11" s="256">
        <v>7</v>
      </c>
      <c r="C11" s="257" t="s">
        <v>29</v>
      </c>
      <c r="D11" s="85">
        <v>441312.49829999998</v>
      </c>
      <c r="E11" s="86">
        <v>413020.41085513472</v>
      </c>
      <c r="F11" s="87">
        <v>458532.22120000003</v>
      </c>
      <c r="G11" s="87">
        <v>435677.04059999995</v>
      </c>
      <c r="H11" s="30">
        <v>6.8500458333979442E-2</v>
      </c>
      <c r="I11" s="30">
        <v>-3.75540084291901E-2</v>
      </c>
      <c r="J11" s="103">
        <v>5.2458997078488778E-2</v>
      </c>
      <c r="L11" s="36" t="s">
        <v>30</v>
      </c>
      <c r="M11" s="260">
        <v>4117019.0000000009</v>
      </c>
    </row>
    <row r="12" spans="1:17" ht="12" thickBot="1">
      <c r="B12" s="256">
        <v>8</v>
      </c>
      <c r="C12" s="257" t="s">
        <v>31</v>
      </c>
      <c r="D12" s="85">
        <v>448135.34740000003</v>
      </c>
      <c r="E12" s="86">
        <v>417071.40572678484</v>
      </c>
      <c r="F12" s="87">
        <v>463029.60589999997</v>
      </c>
      <c r="G12" s="87">
        <v>452510.34460000001</v>
      </c>
      <c r="H12" s="30">
        <v>7.4481111020026525E-2</v>
      </c>
      <c r="I12" s="30">
        <v>-3.2166967965363003E-2</v>
      </c>
      <c r="J12" s="103">
        <v>2.3246454861266308E-2</v>
      </c>
      <c r="L12" s="38" t="s">
        <v>32</v>
      </c>
      <c r="M12" s="39">
        <v>0.10001216899897702</v>
      </c>
      <c r="P12" s="55"/>
    </row>
    <row r="13" spans="1:17" ht="12" thickBot="1">
      <c r="B13" s="256">
        <v>9</v>
      </c>
      <c r="C13" s="257" t="s">
        <v>33</v>
      </c>
      <c r="D13" s="85">
        <v>407653.38010000001</v>
      </c>
      <c r="E13" s="86">
        <v>388333.17671325331</v>
      </c>
      <c r="F13" s="87">
        <v>431124.63549999997</v>
      </c>
      <c r="G13" s="87">
        <v>410757.45020000002</v>
      </c>
      <c r="H13" s="30">
        <v>4.9751616769567963E-2</v>
      </c>
      <c r="I13" s="30">
        <v>-5.4441925761860022E-2</v>
      </c>
      <c r="J13" s="103">
        <v>4.958445742148565E-2</v>
      </c>
      <c r="L13" s="40"/>
    </row>
    <row r="14" spans="1:17">
      <c r="B14" s="256">
        <v>10</v>
      </c>
      <c r="C14" s="257" t="s">
        <v>34</v>
      </c>
      <c r="D14" s="85">
        <v>381845.65040000004</v>
      </c>
      <c r="E14" s="86">
        <v>360321.01006887952</v>
      </c>
      <c r="F14" s="87">
        <v>400025.73420000001</v>
      </c>
      <c r="G14" s="87">
        <v>386846.69640000002</v>
      </c>
      <c r="H14" s="30">
        <v>5.973740006725059E-2</v>
      </c>
      <c r="I14" s="30">
        <v>-4.544728562615552E-2</v>
      </c>
      <c r="J14" s="103">
        <v>3.4067856653925865E-2</v>
      </c>
      <c r="L14" s="36" t="s">
        <v>35</v>
      </c>
      <c r="M14" s="260">
        <v>4570684.2014999995</v>
      </c>
    </row>
    <row r="15" spans="1:17" ht="12" thickBot="1">
      <c r="B15" s="256">
        <v>11</v>
      </c>
      <c r="C15" s="257" t="s">
        <v>36</v>
      </c>
      <c r="D15" s="85" t="s">
        <v>41</v>
      </c>
      <c r="E15" s="86">
        <v>304947.7181152493</v>
      </c>
      <c r="F15" s="87">
        <v>338550.71290000004</v>
      </c>
      <c r="G15" s="87">
        <v>332050.79239999998</v>
      </c>
      <c r="H15" s="30" t="s">
        <v>41</v>
      </c>
      <c r="I15" s="30" t="s">
        <v>41</v>
      </c>
      <c r="J15" s="103">
        <v>1.9575079020350605E-2</v>
      </c>
      <c r="L15" s="38" t="s">
        <v>37</v>
      </c>
      <c r="M15" s="39">
        <v>-9.1700059886535845E-3</v>
      </c>
    </row>
    <row r="16" spans="1:17" ht="12" thickBot="1">
      <c r="B16" s="261">
        <v>12</v>
      </c>
      <c r="C16" s="262" t="s">
        <v>38</v>
      </c>
      <c r="D16" s="85" t="s">
        <v>41</v>
      </c>
      <c r="E16" s="86">
        <v>299340.13285167178</v>
      </c>
      <c r="F16" s="87">
        <v>332325.21300000005</v>
      </c>
      <c r="G16" s="87">
        <v>322427.2904</v>
      </c>
      <c r="H16" s="30" t="s">
        <v>41</v>
      </c>
      <c r="I16" s="30" t="s">
        <v>41</v>
      </c>
      <c r="J16" s="104">
        <v>3.0698153955022844E-2</v>
      </c>
      <c r="L16" s="38" t="s">
        <v>39</v>
      </c>
      <c r="M16" s="39">
        <v>-9.9255424680426474E-2</v>
      </c>
    </row>
    <row r="17" spans="1:13" ht="13.5" thickBot="1">
      <c r="B17" s="263" t="s">
        <v>40</v>
      </c>
      <c r="C17" s="264"/>
      <c r="D17" s="47">
        <v>3770374.7830000003</v>
      </c>
      <c r="E17" s="265">
        <v>4117019.0000000009</v>
      </c>
      <c r="F17" s="266">
        <v>4570684.2014999995</v>
      </c>
      <c r="G17" s="266">
        <v>4181844.5976</v>
      </c>
      <c r="H17" s="50">
        <v>7.3345674074100309E-2</v>
      </c>
      <c r="I17" s="50">
        <v>-3.3189706635023075E-2</v>
      </c>
      <c r="J17" s="51">
        <v>9.298279618596017E-2</v>
      </c>
      <c r="K17" s="99"/>
      <c r="L17" s="267"/>
      <c r="M17" s="267"/>
    </row>
    <row r="18" spans="1:13">
      <c r="A18" s="268"/>
      <c r="D18" s="269"/>
      <c r="E18" s="269"/>
      <c r="F18" s="269"/>
      <c r="G18" s="269"/>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5" pageOrder="overThenDown" orientation="landscape" r:id="rId1"/>
  <headerFooter alignWithMargins="0">
    <oddHeader>&amp;C&amp;"Tahoma,Bold"Monthly follow-up of total service units - 2016</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N19"/>
  <sheetViews>
    <sheetView workbookViewId="0">
      <selection activeCell="L57" sqref="L57"/>
    </sheetView>
  </sheetViews>
  <sheetFormatPr defaultRowHeight="11.25"/>
  <cols>
    <col min="1" max="2" width="2.85546875" style="275" bestFit="1" customWidth="1"/>
    <col min="3" max="3" width="9.28515625" style="275" customWidth="1"/>
    <col min="4" max="4" width="10.5703125" style="275" customWidth="1"/>
    <col min="5" max="5" width="11.140625" style="275" customWidth="1"/>
    <col min="6" max="10" width="9.7109375" style="275" customWidth="1"/>
    <col min="11" max="11" width="2.7109375" style="275" customWidth="1"/>
    <col min="12" max="12" width="33.85546875" style="275" customWidth="1"/>
    <col min="13" max="13" width="11.28515625" style="275" bestFit="1" customWidth="1"/>
    <col min="14" max="16384" width="9.140625" style="275"/>
  </cols>
  <sheetData>
    <row r="1" spans="1:14" s="270" customFormat="1" ht="13.5" thickBot="1">
      <c r="B1" s="2" t="s">
        <v>0</v>
      </c>
      <c r="C1" s="2"/>
      <c r="D1" s="271" t="s">
        <v>67</v>
      </c>
      <c r="L1" s="272" t="s">
        <v>2</v>
      </c>
      <c r="M1" s="273">
        <v>42688</v>
      </c>
    </row>
    <row r="2" spans="1:14" ht="8.25" customHeight="1" thickBot="1">
      <c r="A2" s="274"/>
      <c r="C2" s="274"/>
      <c r="K2" s="276"/>
      <c r="L2" s="276"/>
      <c r="M2" s="276"/>
    </row>
    <row r="3" spans="1:14" s="280" customFormat="1" ht="33.75" customHeight="1">
      <c r="A3" s="277"/>
      <c r="B3" s="550" t="s">
        <v>3</v>
      </c>
      <c r="C3" s="551"/>
      <c r="D3" s="12" t="s">
        <v>4</v>
      </c>
      <c r="E3" s="12" t="s">
        <v>5</v>
      </c>
      <c r="F3" s="12" t="s">
        <v>6</v>
      </c>
      <c r="G3" s="12" t="s">
        <v>7</v>
      </c>
      <c r="H3" s="13" t="s">
        <v>8</v>
      </c>
      <c r="I3" s="12" t="s">
        <v>9</v>
      </c>
      <c r="J3" s="14" t="s">
        <v>10</v>
      </c>
      <c r="K3" s="278"/>
      <c r="L3" s="16" t="s">
        <v>11</v>
      </c>
      <c r="M3" s="17">
        <v>2743189</v>
      </c>
      <c r="N3" s="279"/>
    </row>
    <row r="4" spans="1:14" s="281" customFormat="1" ht="11.85" customHeight="1">
      <c r="B4" s="282"/>
      <c r="C4" s="283"/>
      <c r="D4" s="284" t="s">
        <v>12</v>
      </c>
      <c r="E4" s="284" t="s">
        <v>13</v>
      </c>
      <c r="F4" s="284" t="s">
        <v>14</v>
      </c>
      <c r="G4" s="284" t="s">
        <v>15</v>
      </c>
      <c r="H4" s="284" t="s">
        <v>16</v>
      </c>
      <c r="I4" s="284" t="s">
        <v>17</v>
      </c>
      <c r="J4" s="285" t="s">
        <v>18</v>
      </c>
      <c r="K4" s="280"/>
      <c r="L4" s="23" t="s">
        <v>19</v>
      </c>
      <c r="M4" s="24">
        <v>2620286</v>
      </c>
    </row>
    <row r="5" spans="1:14">
      <c r="B5" s="286">
        <v>1</v>
      </c>
      <c r="C5" s="287" t="s">
        <v>20</v>
      </c>
      <c r="D5" s="85">
        <v>186271.39680000002</v>
      </c>
      <c r="E5" s="86">
        <v>184239.9636621543</v>
      </c>
      <c r="F5" s="87">
        <v>176890.97820000001</v>
      </c>
      <c r="G5" s="87">
        <v>174936.6881</v>
      </c>
      <c r="H5" s="30">
        <v>1.1026017903318808E-2</v>
      </c>
      <c r="I5" s="30">
        <v>5.3029378295337048E-2</v>
      </c>
      <c r="J5" s="103">
        <v>1.1171413619553983E-2</v>
      </c>
      <c r="L5" s="23" t="s">
        <v>21</v>
      </c>
      <c r="M5" s="24">
        <v>2630535</v>
      </c>
    </row>
    <row r="6" spans="1:14">
      <c r="B6" s="286">
        <v>2</v>
      </c>
      <c r="C6" s="287" t="s">
        <v>22</v>
      </c>
      <c r="D6" s="85">
        <v>178250.76690000002</v>
      </c>
      <c r="E6" s="86">
        <v>166943.29947524608</v>
      </c>
      <c r="F6" s="87">
        <v>160284.24540000001</v>
      </c>
      <c r="G6" s="87">
        <v>159831.23060000001</v>
      </c>
      <c r="H6" s="30">
        <v>6.7732382553218784E-2</v>
      </c>
      <c r="I6" s="30">
        <v>0.11209162482041424</v>
      </c>
      <c r="J6" s="103">
        <v>2.8343321783821374E-3</v>
      </c>
      <c r="L6" s="23" t="s">
        <v>23</v>
      </c>
      <c r="M6" s="24">
        <v>2684844</v>
      </c>
    </row>
    <row r="7" spans="1:14">
      <c r="B7" s="286">
        <v>3</v>
      </c>
      <c r="C7" s="287" t="s">
        <v>24</v>
      </c>
      <c r="D7" s="85">
        <v>207471.2458</v>
      </c>
      <c r="E7" s="86">
        <v>195462.82571097941</v>
      </c>
      <c r="F7" s="87">
        <v>187666.1814</v>
      </c>
      <c r="G7" s="87">
        <v>185089.46480000002</v>
      </c>
      <c r="H7" s="30">
        <v>6.1435825688803014E-2</v>
      </c>
      <c r="I7" s="30">
        <v>0.10553347572936755</v>
      </c>
      <c r="J7" s="103">
        <v>1.3921465507419795E-2</v>
      </c>
      <c r="L7" s="23" t="s">
        <v>25</v>
      </c>
      <c r="M7" s="24">
        <v>2743189</v>
      </c>
    </row>
    <row r="8" spans="1:14" ht="12" thickBot="1">
      <c r="B8" s="286">
        <v>4</v>
      </c>
      <c r="C8" s="287" t="s">
        <v>26</v>
      </c>
      <c r="D8" s="85">
        <v>218587.58490000002</v>
      </c>
      <c r="E8" s="86">
        <v>207323.94431267743</v>
      </c>
      <c r="F8" s="87">
        <v>199054.18230000001</v>
      </c>
      <c r="G8" s="87">
        <v>194966.9443</v>
      </c>
      <c r="H8" s="30">
        <v>5.4328701031923332E-2</v>
      </c>
      <c r="I8" s="30">
        <v>9.8131083578845146E-2</v>
      </c>
      <c r="J8" s="103">
        <v>2.0963748571198204E-2</v>
      </c>
      <c r="L8" s="33"/>
      <c r="M8" s="34"/>
    </row>
    <row r="9" spans="1:14">
      <c r="B9" s="286">
        <v>5</v>
      </c>
      <c r="C9" s="287" t="s">
        <v>27</v>
      </c>
      <c r="D9" s="85">
        <v>239230.12889999998</v>
      </c>
      <c r="E9" s="86">
        <v>237543.87633557018</v>
      </c>
      <c r="F9" s="87">
        <v>228068.69810000001</v>
      </c>
      <c r="G9" s="87">
        <v>218072.5313</v>
      </c>
      <c r="H9" s="30">
        <v>7.0986993663759712E-3</v>
      </c>
      <c r="I9" s="30">
        <v>4.8938898204724524E-2</v>
      </c>
      <c r="J9" s="103">
        <v>4.5838725035242556E-2</v>
      </c>
      <c r="L9" s="35"/>
    </row>
    <row r="10" spans="1:14" ht="12" thickBot="1">
      <c r="B10" s="286">
        <v>6</v>
      </c>
      <c r="C10" s="287" t="s">
        <v>28</v>
      </c>
      <c r="D10" s="85">
        <v>244861.4633</v>
      </c>
      <c r="E10" s="86">
        <v>244449.93127169923</v>
      </c>
      <c r="F10" s="87">
        <v>234699.28350000002</v>
      </c>
      <c r="G10" s="87">
        <v>227141.80459999997</v>
      </c>
      <c r="H10" s="30">
        <v>1.6835023276948746E-3</v>
      </c>
      <c r="I10" s="30">
        <v>4.3298725281366135E-2</v>
      </c>
      <c r="J10" s="103">
        <v>3.3272073862884444E-2</v>
      </c>
      <c r="L10" s="35"/>
    </row>
    <row r="11" spans="1:14">
      <c r="B11" s="286">
        <v>7</v>
      </c>
      <c r="C11" s="287" t="s">
        <v>29</v>
      </c>
      <c r="D11" s="85">
        <v>272359.45299999998</v>
      </c>
      <c r="E11" s="86">
        <v>260768.38477516518</v>
      </c>
      <c r="F11" s="87">
        <v>250366.82459999999</v>
      </c>
      <c r="G11" s="87">
        <v>241634.16129999998</v>
      </c>
      <c r="H11" s="30">
        <v>4.4449668370759809E-2</v>
      </c>
      <c r="I11" s="30">
        <v>8.7841623726053308E-2</v>
      </c>
      <c r="J11" s="103">
        <v>3.6140019494834696E-2</v>
      </c>
      <c r="L11" s="36" t="s">
        <v>30</v>
      </c>
      <c r="M11" s="288">
        <v>2636999.9999999995</v>
      </c>
    </row>
    <row r="12" spans="1:14" ht="12" thickBot="1">
      <c r="B12" s="286">
        <v>8</v>
      </c>
      <c r="C12" s="287" t="s">
        <v>31</v>
      </c>
      <c r="D12" s="85">
        <v>274158.60100000002</v>
      </c>
      <c r="E12" s="86">
        <v>262110.14694322619</v>
      </c>
      <c r="F12" s="87">
        <v>251655.06639999998</v>
      </c>
      <c r="G12" s="87">
        <v>229310.83119999999</v>
      </c>
      <c r="H12" s="30">
        <v>4.59671409034903E-2</v>
      </c>
      <c r="I12" s="30">
        <v>8.9422140082136004E-2</v>
      </c>
      <c r="J12" s="103">
        <v>9.744081901003554E-2</v>
      </c>
      <c r="L12" s="38" t="s">
        <v>32</v>
      </c>
      <c r="M12" s="39">
        <v>4.0268866135760417E-2</v>
      </c>
    </row>
    <row r="13" spans="1:14" ht="12" thickBot="1">
      <c r="B13" s="286">
        <v>9</v>
      </c>
      <c r="C13" s="287" t="s">
        <v>33</v>
      </c>
      <c r="D13" s="85">
        <v>257846.323</v>
      </c>
      <c r="E13" s="86">
        <v>254029.27767402443</v>
      </c>
      <c r="F13" s="87">
        <v>243896.52780000001</v>
      </c>
      <c r="G13" s="87">
        <v>217550.12390000001</v>
      </c>
      <c r="H13" s="30">
        <v>1.502600550978106E-2</v>
      </c>
      <c r="I13" s="30">
        <v>5.7195546512409212E-2</v>
      </c>
      <c r="J13" s="103">
        <v>0.12110498228036182</v>
      </c>
      <c r="L13" s="40"/>
    </row>
    <row r="14" spans="1:14">
      <c r="B14" s="286">
        <v>10</v>
      </c>
      <c r="C14" s="287" t="s">
        <v>34</v>
      </c>
      <c r="D14" s="85">
        <v>247514.136</v>
      </c>
      <c r="E14" s="86">
        <v>239424.92492415913</v>
      </c>
      <c r="F14" s="87">
        <v>229874.71520000001</v>
      </c>
      <c r="G14" s="87">
        <v>208188.4137</v>
      </c>
      <c r="H14" s="30">
        <v>3.3786002348766386E-2</v>
      </c>
      <c r="I14" s="30">
        <v>7.6734932698679037E-2</v>
      </c>
      <c r="J14" s="103">
        <v>0.10416670704475428</v>
      </c>
      <c r="L14" s="36" t="s">
        <v>35</v>
      </c>
      <c r="M14" s="288">
        <v>2531815.0321</v>
      </c>
    </row>
    <row r="15" spans="1:14" ht="12" thickBot="1">
      <c r="B15" s="286">
        <v>11</v>
      </c>
      <c r="C15" s="287" t="s">
        <v>36</v>
      </c>
      <c r="D15" s="85" t="s">
        <v>41</v>
      </c>
      <c r="E15" s="86">
        <v>195821.4157946503</v>
      </c>
      <c r="F15" s="87">
        <v>188010.46799999999</v>
      </c>
      <c r="G15" s="87">
        <v>172345.73809999999</v>
      </c>
      <c r="H15" s="30" t="s">
        <v>41</v>
      </c>
      <c r="I15" s="30" t="s">
        <v>41</v>
      </c>
      <c r="J15" s="103">
        <v>9.0891309948789578E-2</v>
      </c>
      <c r="L15" s="38" t="s">
        <v>37</v>
      </c>
      <c r="M15" s="39">
        <v>8.3487128885824324E-2</v>
      </c>
    </row>
    <row r="16" spans="1:14" ht="12" thickBot="1">
      <c r="B16" s="289">
        <v>12</v>
      </c>
      <c r="C16" s="290" t="s">
        <v>38</v>
      </c>
      <c r="D16" s="85" t="s">
        <v>41</v>
      </c>
      <c r="E16" s="86">
        <v>188882.00912044817</v>
      </c>
      <c r="F16" s="87">
        <v>181347.86119999998</v>
      </c>
      <c r="G16" s="87">
        <v>164339.84450000001</v>
      </c>
      <c r="H16" s="30" t="s">
        <v>41</v>
      </c>
      <c r="I16" s="30" t="s">
        <v>41</v>
      </c>
      <c r="J16" s="104">
        <v>0.10349295845901807</v>
      </c>
      <c r="L16" s="38" t="s">
        <v>39</v>
      </c>
      <c r="M16" s="39">
        <v>4.1545281375770404E-2</v>
      </c>
    </row>
    <row r="17" spans="1:13" ht="13.5" thickBot="1">
      <c r="B17" s="291" t="s">
        <v>40</v>
      </c>
      <c r="C17" s="292"/>
      <c r="D17" s="47">
        <v>2326551.0996000003</v>
      </c>
      <c r="E17" s="293">
        <v>2636999.9999999995</v>
      </c>
      <c r="F17" s="294">
        <v>2531815.0321</v>
      </c>
      <c r="G17" s="294">
        <v>2393407.7764000003</v>
      </c>
      <c r="H17" s="50">
        <v>3.2968360089212334E-2</v>
      </c>
      <c r="I17" s="50">
        <v>7.5883321261386971E-2</v>
      </c>
      <c r="J17" s="51">
        <v>5.7828530961064439E-2</v>
      </c>
      <c r="K17" s="99"/>
      <c r="L17" s="295"/>
      <c r="M17" s="295"/>
    </row>
    <row r="18" spans="1:13">
      <c r="A18" s="296"/>
      <c r="D18" s="297"/>
      <c r="E18" s="297"/>
      <c r="F18" s="297"/>
      <c r="G18" s="297"/>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7" pageOrder="overThenDown" orientation="landscape" r:id="rId1"/>
  <headerFooter alignWithMargins="0">
    <oddHeader>&amp;C&amp;"Tahoma,Bold"Monthly follow-up of total service units - 2016</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N19"/>
  <sheetViews>
    <sheetView workbookViewId="0">
      <selection activeCell="L54" sqref="L54"/>
    </sheetView>
  </sheetViews>
  <sheetFormatPr defaultRowHeight="11.25"/>
  <cols>
    <col min="1" max="2" width="2.85546875" style="303" bestFit="1" customWidth="1"/>
    <col min="3" max="3" width="9.28515625" style="303" customWidth="1"/>
    <col min="4" max="5" width="11.140625" style="303" customWidth="1"/>
    <col min="6" max="10" width="9.7109375" style="303" customWidth="1"/>
    <col min="11" max="11" width="2.7109375" style="303" customWidth="1"/>
    <col min="12" max="12" width="34.140625" style="303" customWidth="1"/>
    <col min="13" max="13" width="11.28515625" style="303" bestFit="1" customWidth="1"/>
    <col min="14" max="16384" width="9.140625" style="303"/>
  </cols>
  <sheetData>
    <row r="1" spans="1:14" s="298" customFormat="1" ht="13.5" thickBot="1">
      <c r="B1" s="2" t="s">
        <v>0</v>
      </c>
      <c r="C1" s="2"/>
      <c r="D1" s="299" t="s">
        <v>68</v>
      </c>
      <c r="L1" s="300" t="s">
        <v>2</v>
      </c>
      <c r="M1" s="301">
        <v>42688</v>
      </c>
    </row>
    <row r="2" spans="1:14" ht="8.25" customHeight="1" thickBot="1">
      <c r="A2" s="302"/>
      <c r="C2" s="302"/>
      <c r="K2" s="304"/>
      <c r="L2" s="304"/>
      <c r="M2" s="304"/>
    </row>
    <row r="3" spans="1:14" s="308" customFormat="1" ht="33.75" customHeight="1">
      <c r="A3" s="305"/>
      <c r="B3" s="552" t="s">
        <v>3</v>
      </c>
      <c r="C3" s="553"/>
      <c r="D3" s="12" t="s">
        <v>4</v>
      </c>
      <c r="E3" s="12" t="s">
        <v>5</v>
      </c>
      <c r="F3" s="12" t="s">
        <v>6</v>
      </c>
      <c r="G3" s="12" t="s">
        <v>7</v>
      </c>
      <c r="H3" s="13" t="s">
        <v>8</v>
      </c>
      <c r="I3" s="12" t="s">
        <v>9</v>
      </c>
      <c r="J3" s="14" t="s">
        <v>10</v>
      </c>
      <c r="K3" s="306"/>
      <c r="L3" s="16" t="s">
        <v>11</v>
      </c>
      <c r="M3" s="17">
        <v>3396459</v>
      </c>
      <c r="N3" s="307"/>
    </row>
    <row r="4" spans="1:14" s="309" customFormat="1" ht="11.85" customHeight="1">
      <c r="B4" s="310"/>
      <c r="C4" s="311"/>
      <c r="D4" s="312" t="s">
        <v>12</v>
      </c>
      <c r="E4" s="312" t="s">
        <v>13</v>
      </c>
      <c r="F4" s="312" t="s">
        <v>14</v>
      </c>
      <c r="G4" s="312" t="s">
        <v>15</v>
      </c>
      <c r="H4" s="312" t="s">
        <v>16</v>
      </c>
      <c r="I4" s="312" t="s">
        <v>17</v>
      </c>
      <c r="J4" s="313" t="s">
        <v>18</v>
      </c>
      <c r="K4" s="308"/>
      <c r="L4" s="23" t="s">
        <v>19</v>
      </c>
      <c r="M4" s="24">
        <v>3461807</v>
      </c>
    </row>
    <row r="5" spans="1:14">
      <c r="B5" s="314">
        <v>1</v>
      </c>
      <c r="C5" s="315" t="s">
        <v>20</v>
      </c>
      <c r="D5" s="85">
        <v>250329.38039999999</v>
      </c>
      <c r="E5" s="86">
        <v>246096.20935688584</v>
      </c>
      <c r="F5" s="87">
        <v>249965.91269999999</v>
      </c>
      <c r="G5" s="87">
        <v>247591.5624</v>
      </c>
      <c r="H5" s="30">
        <v>1.7201285034729175E-2</v>
      </c>
      <c r="I5" s="30">
        <v>1.4540690611533069E-3</v>
      </c>
      <c r="J5" s="103">
        <v>9.58978681254119E-3</v>
      </c>
      <c r="L5" s="23" t="s">
        <v>21</v>
      </c>
      <c r="M5" s="24">
        <v>3419089</v>
      </c>
    </row>
    <row r="6" spans="1:14">
      <c r="B6" s="314">
        <v>2</v>
      </c>
      <c r="C6" s="315" t="s">
        <v>22</v>
      </c>
      <c r="D6" s="85">
        <v>248531.47820000001</v>
      </c>
      <c r="E6" s="86">
        <v>233912.13138383423</v>
      </c>
      <c r="F6" s="87">
        <v>237590.24800000002</v>
      </c>
      <c r="G6" s="87">
        <v>229249.01690000002</v>
      </c>
      <c r="H6" s="30">
        <v>6.249931001730058E-2</v>
      </c>
      <c r="I6" s="30">
        <v>4.6050838753280754E-2</v>
      </c>
      <c r="J6" s="103">
        <v>3.6385024515234843E-2</v>
      </c>
      <c r="L6" s="23" t="s">
        <v>23</v>
      </c>
      <c r="M6" s="24">
        <v>3386117</v>
      </c>
    </row>
    <row r="7" spans="1:14">
      <c r="B7" s="314">
        <v>3</v>
      </c>
      <c r="C7" s="315" t="s">
        <v>24</v>
      </c>
      <c r="D7" s="85">
        <v>274514.73259999999</v>
      </c>
      <c r="E7" s="86">
        <v>272531.45446603489</v>
      </c>
      <c r="F7" s="87">
        <v>276816.83490000002</v>
      </c>
      <c r="G7" s="87">
        <v>269423.96490000002</v>
      </c>
      <c r="H7" s="30">
        <v>7.2772448884876884E-3</v>
      </c>
      <c r="I7" s="30">
        <v>-8.3163377719843723E-3</v>
      </c>
      <c r="J7" s="103">
        <v>2.7439541255151356E-2</v>
      </c>
      <c r="L7" s="23" t="s">
        <v>25</v>
      </c>
      <c r="M7" s="24">
        <v>3396459</v>
      </c>
    </row>
    <row r="8" spans="1:14" ht="12" thickBot="1">
      <c r="B8" s="314">
        <v>4</v>
      </c>
      <c r="C8" s="315" t="s">
        <v>26</v>
      </c>
      <c r="D8" s="85">
        <v>276062.17549999995</v>
      </c>
      <c r="E8" s="86">
        <v>276488.9891981206</v>
      </c>
      <c r="F8" s="87">
        <v>280836.5993</v>
      </c>
      <c r="G8" s="87">
        <v>264607.84179999999</v>
      </c>
      <c r="H8" s="30">
        <v>-1.5436914842739125E-3</v>
      </c>
      <c r="I8" s="30">
        <v>-1.7000717897526663E-2</v>
      </c>
      <c r="J8" s="103">
        <v>6.1331355070974425E-2</v>
      </c>
      <c r="L8" s="33"/>
      <c r="M8" s="34"/>
    </row>
    <row r="9" spans="1:14">
      <c r="B9" s="314">
        <v>5</v>
      </c>
      <c r="C9" s="315" t="s">
        <v>27</v>
      </c>
      <c r="D9" s="85">
        <v>295144.5013</v>
      </c>
      <c r="E9" s="86">
        <v>294886.62510109629</v>
      </c>
      <c r="F9" s="87">
        <v>299523.52610000002</v>
      </c>
      <c r="G9" s="87">
        <v>288543.66250000003</v>
      </c>
      <c r="H9" s="30">
        <v>8.7449269296402399E-4</v>
      </c>
      <c r="I9" s="30">
        <v>-1.4619969446199699E-2</v>
      </c>
      <c r="J9" s="103">
        <v>3.8052693671620563E-2</v>
      </c>
      <c r="L9" s="35"/>
    </row>
    <row r="10" spans="1:14" ht="12" thickBot="1">
      <c r="B10" s="314">
        <v>6</v>
      </c>
      <c r="C10" s="315" t="s">
        <v>28</v>
      </c>
      <c r="D10" s="85">
        <v>295263.08720000001</v>
      </c>
      <c r="E10" s="86">
        <v>299171.42962783651</v>
      </c>
      <c r="F10" s="87">
        <v>303875.70640000002</v>
      </c>
      <c r="G10" s="87">
        <v>295618.20500000002</v>
      </c>
      <c r="H10" s="30">
        <v>-1.3063889264754991E-2</v>
      </c>
      <c r="I10" s="30">
        <v>-2.8342572369582486E-2</v>
      </c>
      <c r="J10" s="103">
        <v>2.7932993504239834E-2</v>
      </c>
      <c r="L10" s="35"/>
    </row>
    <row r="11" spans="1:14">
      <c r="B11" s="314">
        <v>7</v>
      </c>
      <c r="C11" s="315" t="s">
        <v>29</v>
      </c>
      <c r="D11" s="85">
        <v>302823.00499999995</v>
      </c>
      <c r="E11" s="86">
        <v>289447.62869339873</v>
      </c>
      <c r="F11" s="87">
        <v>293999.005</v>
      </c>
      <c r="G11" s="87">
        <v>291364.99670000002</v>
      </c>
      <c r="H11" s="30">
        <v>4.6210004783868053E-2</v>
      </c>
      <c r="I11" s="30">
        <v>3.0013707019178382E-2</v>
      </c>
      <c r="J11" s="103">
        <v>9.0402358891177315E-3</v>
      </c>
      <c r="L11" s="36" t="s">
        <v>30</v>
      </c>
      <c r="M11" s="316">
        <v>3302999.9999999991</v>
      </c>
    </row>
    <row r="12" spans="1:14" ht="12" thickBot="1">
      <c r="B12" s="314">
        <v>8</v>
      </c>
      <c r="C12" s="315" t="s">
        <v>31</v>
      </c>
      <c r="D12" s="85">
        <v>304589.48879999999</v>
      </c>
      <c r="E12" s="86">
        <v>291647.26769614982</v>
      </c>
      <c r="F12" s="87">
        <v>296233.23190000001</v>
      </c>
      <c r="G12" s="87">
        <v>293706.18209999998</v>
      </c>
      <c r="H12" s="30">
        <v>4.4376280998915218E-2</v>
      </c>
      <c r="I12" s="30">
        <v>2.8208370973114905E-2</v>
      </c>
      <c r="J12" s="103">
        <v>8.604006159937283E-3</v>
      </c>
      <c r="L12" s="38" t="s">
        <v>32</v>
      </c>
      <c r="M12" s="39">
        <v>2.8295186194368993E-2</v>
      </c>
    </row>
    <row r="13" spans="1:14" ht="12" thickBot="1">
      <c r="B13" s="314">
        <v>9</v>
      </c>
      <c r="C13" s="315" t="s">
        <v>33</v>
      </c>
      <c r="D13" s="85">
        <v>301694.15219999995</v>
      </c>
      <c r="E13" s="86">
        <v>301445.71033812821</v>
      </c>
      <c r="F13" s="87">
        <v>306185.7487</v>
      </c>
      <c r="G13" s="87">
        <v>296658.533</v>
      </c>
      <c r="H13" s="30">
        <v>8.2416784631988982E-4</v>
      </c>
      <c r="I13" s="30">
        <v>-1.4669515217708207E-2</v>
      </c>
      <c r="J13" s="103">
        <v>3.2115090719470496E-2</v>
      </c>
      <c r="L13" s="40"/>
    </row>
    <row r="14" spans="1:14">
      <c r="B14" s="314">
        <v>10</v>
      </c>
      <c r="C14" s="315" t="s">
        <v>34</v>
      </c>
      <c r="D14" s="85">
        <v>302229.12340000004</v>
      </c>
      <c r="E14" s="86">
        <v>288292.10593955475</v>
      </c>
      <c r="F14" s="87">
        <v>292825.3124</v>
      </c>
      <c r="G14" s="87">
        <v>294338.7121</v>
      </c>
      <c r="H14" s="30">
        <v>4.8343389129660741E-2</v>
      </c>
      <c r="I14" s="30">
        <v>3.2114064603658399E-2</v>
      </c>
      <c r="J14" s="103">
        <v>-5.1416943738132881E-3</v>
      </c>
      <c r="L14" s="36" t="s">
        <v>35</v>
      </c>
      <c r="M14" s="316">
        <v>3354937.5336000007</v>
      </c>
    </row>
    <row r="15" spans="1:14" ht="12" thickBot="1">
      <c r="B15" s="314">
        <v>11</v>
      </c>
      <c r="C15" s="315" t="s">
        <v>36</v>
      </c>
      <c r="D15" s="85" t="s">
        <v>41</v>
      </c>
      <c r="E15" s="86">
        <v>257801.43763100551</v>
      </c>
      <c r="F15" s="87">
        <v>261855.19810000001</v>
      </c>
      <c r="G15" s="87">
        <v>262312.57980000001</v>
      </c>
      <c r="H15" s="30" t="s">
        <v>41</v>
      </c>
      <c r="I15" s="30" t="s">
        <v>41</v>
      </c>
      <c r="J15" s="103">
        <v>-1.7436514114143042E-3</v>
      </c>
      <c r="L15" s="38" t="s">
        <v>37</v>
      </c>
      <c r="M15" s="39">
        <v>1.2376226378034705E-2</v>
      </c>
    </row>
    <row r="16" spans="1:14" ht="12" thickBot="1">
      <c r="B16" s="317">
        <v>12</v>
      </c>
      <c r="C16" s="318" t="s">
        <v>38</v>
      </c>
      <c r="D16" s="85" t="s">
        <v>41</v>
      </c>
      <c r="E16" s="86">
        <v>251279.01056795398</v>
      </c>
      <c r="F16" s="87">
        <v>255230.21010000003</v>
      </c>
      <c r="G16" s="87">
        <v>251425.41329999999</v>
      </c>
      <c r="H16" s="30" t="s">
        <v>41</v>
      </c>
      <c r="I16" s="30" t="s">
        <v>41</v>
      </c>
      <c r="J16" s="104">
        <v>1.5132904625914545E-2</v>
      </c>
      <c r="L16" s="38" t="s">
        <v>39</v>
      </c>
      <c r="M16" s="39">
        <v>-1.5480924184084643E-2</v>
      </c>
    </row>
    <row r="17" spans="1:13" ht="13.5" thickBot="1">
      <c r="B17" s="319" t="s">
        <v>40</v>
      </c>
      <c r="C17" s="320"/>
      <c r="D17" s="47">
        <v>2851181.1245999997</v>
      </c>
      <c r="E17" s="321">
        <v>3302999.9999999991</v>
      </c>
      <c r="F17" s="322">
        <v>3354937.5336000007</v>
      </c>
      <c r="G17" s="322">
        <v>3284840.6705</v>
      </c>
      <c r="H17" s="50">
        <v>2.0495068572052189E-2</v>
      </c>
      <c r="I17" s="50">
        <v>4.696861785256301E-3</v>
      </c>
      <c r="J17" s="51">
        <v>2.1339501708413477E-2</v>
      </c>
      <c r="K17" s="99"/>
      <c r="L17" s="323"/>
      <c r="M17" s="323"/>
    </row>
    <row r="18" spans="1:13">
      <c r="A18" s="324"/>
      <c r="D18" s="325"/>
      <c r="E18" s="325"/>
      <c r="F18" s="325"/>
      <c r="G18" s="325"/>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7" pageOrder="overThenDown" orientation="landscape" r:id="rId1"/>
  <headerFooter alignWithMargins="0">
    <oddHeader>&amp;C&amp;"Tahoma,Bold"Monthly follow-up of total service units - 2016</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N19"/>
  <sheetViews>
    <sheetView workbookViewId="0">
      <selection activeCell="L56" sqref="L56"/>
    </sheetView>
  </sheetViews>
  <sheetFormatPr defaultRowHeight="11.25"/>
  <cols>
    <col min="1" max="2" width="2.85546875" style="331" bestFit="1" customWidth="1"/>
    <col min="3" max="3" width="9.28515625" style="331" customWidth="1"/>
    <col min="4" max="4" width="10.5703125" style="331" customWidth="1"/>
    <col min="5" max="5" width="11.42578125" style="331" customWidth="1"/>
    <col min="6" max="10" width="9.7109375" style="331" customWidth="1"/>
    <col min="11" max="11" width="2.7109375" style="331" customWidth="1"/>
    <col min="12" max="12" width="34.28515625" style="331" customWidth="1"/>
    <col min="13" max="13" width="10.85546875" style="331" customWidth="1"/>
    <col min="14" max="16384" width="9.140625" style="331"/>
  </cols>
  <sheetData>
    <row r="1" spans="1:14" s="326" customFormat="1" ht="13.5" thickBot="1">
      <c r="B1" s="2" t="s">
        <v>0</v>
      </c>
      <c r="C1" s="2"/>
      <c r="D1" s="327" t="s">
        <v>69</v>
      </c>
      <c r="L1" s="328" t="s">
        <v>2</v>
      </c>
      <c r="M1" s="329">
        <v>42688</v>
      </c>
    </row>
    <row r="2" spans="1:14" ht="8.25" customHeight="1" thickBot="1">
      <c r="A2" s="330"/>
      <c r="C2" s="330"/>
      <c r="K2" s="332"/>
      <c r="L2" s="332"/>
      <c r="M2" s="332"/>
    </row>
    <row r="3" spans="1:14" s="336" customFormat="1" ht="33.75" customHeight="1">
      <c r="A3" s="333"/>
      <c r="B3" s="554" t="s">
        <v>3</v>
      </c>
      <c r="C3" s="555"/>
      <c r="D3" s="12" t="s">
        <v>4</v>
      </c>
      <c r="E3" s="12" t="s">
        <v>5</v>
      </c>
      <c r="F3" s="12" t="s">
        <v>6</v>
      </c>
      <c r="G3" s="12" t="s">
        <v>7</v>
      </c>
      <c r="H3" s="13" t="s">
        <v>8</v>
      </c>
      <c r="I3" s="12" t="s">
        <v>9</v>
      </c>
      <c r="J3" s="14" t="s">
        <v>10</v>
      </c>
      <c r="K3" s="334"/>
      <c r="L3" s="16" t="s">
        <v>11</v>
      </c>
      <c r="M3" s="17">
        <v>1146529</v>
      </c>
      <c r="N3" s="335"/>
    </row>
    <row r="4" spans="1:14" s="337" customFormat="1" ht="11.85" customHeight="1">
      <c r="B4" s="338"/>
      <c r="C4" s="339"/>
      <c r="D4" s="340" t="s">
        <v>12</v>
      </c>
      <c r="E4" s="340" t="s">
        <v>13</v>
      </c>
      <c r="F4" s="340" t="s">
        <v>14</v>
      </c>
      <c r="G4" s="340" t="s">
        <v>15</v>
      </c>
      <c r="H4" s="340" t="s">
        <v>16</v>
      </c>
      <c r="I4" s="340" t="s">
        <v>17</v>
      </c>
      <c r="J4" s="341" t="s">
        <v>18</v>
      </c>
      <c r="K4" s="336"/>
      <c r="L4" s="23" t="s">
        <v>19</v>
      </c>
      <c r="M4" s="24">
        <v>1132647</v>
      </c>
    </row>
    <row r="5" spans="1:14">
      <c r="B5" s="342">
        <v>1</v>
      </c>
      <c r="C5" s="343" t="s">
        <v>20</v>
      </c>
      <c r="D5" s="85">
        <v>74754.178899999999</v>
      </c>
      <c r="E5" s="86">
        <v>79403.772716775624</v>
      </c>
      <c r="F5" s="87">
        <v>75552.196400000001</v>
      </c>
      <c r="G5" s="87">
        <v>76545.435400000002</v>
      </c>
      <c r="H5" s="30">
        <v>-5.8556333757089907E-2</v>
      </c>
      <c r="I5" s="30">
        <v>-1.0562465924551234E-2</v>
      </c>
      <c r="J5" s="103">
        <v>-1.297580965879519E-2</v>
      </c>
      <c r="L5" s="23" t="s">
        <v>21</v>
      </c>
      <c r="M5" s="24">
        <v>1113916</v>
      </c>
    </row>
    <row r="6" spans="1:14">
      <c r="B6" s="342">
        <v>2</v>
      </c>
      <c r="C6" s="343" t="s">
        <v>22</v>
      </c>
      <c r="D6" s="85">
        <v>69626.11559999999</v>
      </c>
      <c r="E6" s="86">
        <v>69305.034467677571</v>
      </c>
      <c r="F6" s="87">
        <v>65943.309699999998</v>
      </c>
      <c r="G6" s="87">
        <v>63612.535100000001</v>
      </c>
      <c r="H6" s="30">
        <v>4.6328688065535584E-3</v>
      </c>
      <c r="I6" s="30">
        <v>5.5848059746385292E-2</v>
      </c>
      <c r="J6" s="103">
        <v>3.6640177857021117E-2</v>
      </c>
      <c r="L6" s="23" t="s">
        <v>23</v>
      </c>
      <c r="M6" s="24">
        <v>1121269</v>
      </c>
    </row>
    <row r="7" spans="1:14">
      <c r="B7" s="342">
        <v>3</v>
      </c>
      <c r="C7" s="343" t="s">
        <v>24</v>
      </c>
      <c r="D7" s="85">
        <v>79903.839599999992</v>
      </c>
      <c r="E7" s="86">
        <v>80386.2589009488</v>
      </c>
      <c r="F7" s="87">
        <v>76487.025900000008</v>
      </c>
      <c r="G7" s="87">
        <v>73035.886899999998</v>
      </c>
      <c r="H7" s="30">
        <v>-6.0012657330308361E-3</v>
      </c>
      <c r="I7" s="30">
        <v>4.4671807535923369E-2</v>
      </c>
      <c r="J7" s="103">
        <v>4.725264724621292E-2</v>
      </c>
      <c r="L7" s="23" t="s">
        <v>25</v>
      </c>
      <c r="M7" s="24">
        <v>1146529</v>
      </c>
    </row>
    <row r="8" spans="1:14" ht="12" thickBot="1">
      <c r="B8" s="342">
        <v>4</v>
      </c>
      <c r="C8" s="343" t="s">
        <v>26</v>
      </c>
      <c r="D8" s="85">
        <v>85241.662100000001</v>
      </c>
      <c r="E8" s="86">
        <v>84519.9861558884</v>
      </c>
      <c r="F8" s="87">
        <v>80420.241699999999</v>
      </c>
      <c r="G8" s="87">
        <v>78178.077499999999</v>
      </c>
      <c r="H8" s="30">
        <v>8.5385241637467857E-3</v>
      </c>
      <c r="I8" s="30">
        <v>5.9952821554377422E-2</v>
      </c>
      <c r="J8" s="103">
        <v>2.8680216650249557E-2</v>
      </c>
      <c r="L8" s="33"/>
      <c r="M8" s="34"/>
    </row>
    <row r="9" spans="1:14">
      <c r="B9" s="342">
        <v>5</v>
      </c>
      <c r="C9" s="343" t="s">
        <v>27</v>
      </c>
      <c r="D9" s="85">
        <v>96314.065000000002</v>
      </c>
      <c r="E9" s="86">
        <v>101215.66826959548</v>
      </c>
      <c r="F9" s="87">
        <v>96306.079500000007</v>
      </c>
      <c r="G9" s="87">
        <v>90457.2454</v>
      </c>
      <c r="H9" s="30">
        <v>-4.8427317167335171E-2</v>
      </c>
      <c r="I9" s="30">
        <v>8.2917922123337817E-5</v>
      </c>
      <c r="J9" s="103">
        <v>6.4658547517521647E-2</v>
      </c>
      <c r="L9" s="35"/>
    </row>
    <row r="10" spans="1:14" ht="12" thickBot="1">
      <c r="B10" s="342">
        <v>6</v>
      </c>
      <c r="C10" s="343" t="s">
        <v>28</v>
      </c>
      <c r="D10" s="85">
        <v>107533.0876</v>
      </c>
      <c r="E10" s="86">
        <v>108937.76409493078</v>
      </c>
      <c r="F10" s="87">
        <v>103653.6057</v>
      </c>
      <c r="G10" s="87">
        <v>101427.7758</v>
      </c>
      <c r="H10" s="30">
        <v>-1.2894302601132113E-2</v>
      </c>
      <c r="I10" s="30">
        <v>3.7427370459530485E-2</v>
      </c>
      <c r="J10" s="103">
        <v>2.1944973972306991E-2</v>
      </c>
      <c r="L10" s="35"/>
    </row>
    <row r="11" spans="1:14">
      <c r="B11" s="342">
        <v>7</v>
      </c>
      <c r="C11" s="343" t="s">
        <v>29</v>
      </c>
      <c r="D11" s="85">
        <v>125594.76640000001</v>
      </c>
      <c r="E11" s="86">
        <v>119405.34700157183</v>
      </c>
      <c r="F11" s="87">
        <v>113613.44579999999</v>
      </c>
      <c r="G11" s="87">
        <v>114288.4639</v>
      </c>
      <c r="H11" s="30">
        <v>5.1835362099376558E-2</v>
      </c>
      <c r="I11" s="30">
        <v>0.10545688950488663</v>
      </c>
      <c r="J11" s="103">
        <v>-5.9062662754015838E-3</v>
      </c>
      <c r="L11" s="36" t="s">
        <v>30</v>
      </c>
      <c r="M11" s="344">
        <v>1125999.9999999995</v>
      </c>
    </row>
    <row r="12" spans="1:14" ht="12" thickBot="1">
      <c r="B12" s="342">
        <v>8</v>
      </c>
      <c r="C12" s="343" t="s">
        <v>31</v>
      </c>
      <c r="D12" s="85">
        <v>124161.0192</v>
      </c>
      <c r="E12" s="86">
        <v>118315.5758288884</v>
      </c>
      <c r="F12" s="87">
        <v>112576.5353</v>
      </c>
      <c r="G12" s="87">
        <v>112553.22009999999</v>
      </c>
      <c r="H12" s="30">
        <v>4.9405526957544854E-2</v>
      </c>
      <c r="I12" s="30">
        <v>0.10290318376852725</v>
      </c>
      <c r="J12" s="103">
        <v>2.071482271168712E-4</v>
      </c>
      <c r="L12" s="38" t="s">
        <v>32</v>
      </c>
      <c r="M12" s="39">
        <v>1.8231793960924003E-2</v>
      </c>
    </row>
    <row r="13" spans="1:14" ht="12" thickBot="1">
      <c r="B13" s="342">
        <v>9</v>
      </c>
      <c r="C13" s="343" t="s">
        <v>33</v>
      </c>
      <c r="D13" s="85">
        <v>112592.7258</v>
      </c>
      <c r="E13" s="86">
        <v>110183.77738084688</v>
      </c>
      <c r="F13" s="87">
        <v>104839.1796</v>
      </c>
      <c r="G13" s="87">
        <v>101012.4608</v>
      </c>
      <c r="H13" s="30">
        <v>2.186300448592049E-2</v>
      </c>
      <c r="I13" s="30">
        <v>7.3956570717003123E-2</v>
      </c>
      <c r="J13" s="103">
        <v>3.788363108564119E-2</v>
      </c>
      <c r="L13" s="40"/>
    </row>
    <row r="14" spans="1:14">
      <c r="B14" s="342">
        <v>10</v>
      </c>
      <c r="C14" s="343" t="s">
        <v>34</v>
      </c>
      <c r="D14" s="85">
        <v>100675.4406</v>
      </c>
      <c r="E14" s="86">
        <v>98229.059277513385</v>
      </c>
      <c r="F14" s="87">
        <v>93464.339600000007</v>
      </c>
      <c r="G14" s="87">
        <v>90422.720700000005</v>
      </c>
      <c r="H14" s="30">
        <v>2.490486359617039E-2</v>
      </c>
      <c r="I14" s="30">
        <v>7.7153500798929242E-2</v>
      </c>
      <c r="J14" s="103">
        <v>3.3637772414428113E-2</v>
      </c>
      <c r="L14" s="36" t="s">
        <v>35</v>
      </c>
      <c r="M14" s="344">
        <v>1071382.0041000003</v>
      </c>
    </row>
    <row r="15" spans="1:14" ht="12" thickBot="1">
      <c r="B15" s="342">
        <v>11</v>
      </c>
      <c r="C15" s="343" t="s">
        <v>36</v>
      </c>
      <c r="D15" s="85" t="s">
        <v>41</v>
      </c>
      <c r="E15" s="86">
        <v>78792.269722238823</v>
      </c>
      <c r="F15" s="87">
        <v>74970.355100000001</v>
      </c>
      <c r="G15" s="87">
        <v>72461.903600000005</v>
      </c>
      <c r="H15" s="30" t="s">
        <v>41</v>
      </c>
      <c r="I15" s="30" t="s">
        <v>41</v>
      </c>
      <c r="J15" s="103">
        <v>3.4617521419903596E-2</v>
      </c>
      <c r="L15" s="38" t="s">
        <v>37</v>
      </c>
      <c r="M15" s="39">
        <v>7.0140244667564522E-2</v>
      </c>
    </row>
    <row r="16" spans="1:14" ht="12" thickBot="1">
      <c r="B16" s="345">
        <v>12</v>
      </c>
      <c r="C16" s="346" t="s">
        <v>38</v>
      </c>
      <c r="D16" s="85" t="s">
        <v>41</v>
      </c>
      <c r="E16" s="86">
        <v>77305.486183123736</v>
      </c>
      <c r="F16" s="87">
        <v>73555.689799999993</v>
      </c>
      <c r="G16" s="87">
        <v>70347.772299999997</v>
      </c>
      <c r="H16" s="30" t="s">
        <v>41</v>
      </c>
      <c r="I16" s="30" t="s">
        <v>41</v>
      </c>
      <c r="J16" s="104">
        <v>4.560083987194008E-2</v>
      </c>
      <c r="L16" s="38" t="s">
        <v>39</v>
      </c>
      <c r="M16" s="39">
        <v>5.097901186596876E-2</v>
      </c>
    </row>
    <row r="17" spans="1:13" ht="13.5" thickBot="1">
      <c r="B17" s="347" t="s">
        <v>40</v>
      </c>
      <c r="C17" s="348"/>
      <c r="D17" s="47">
        <v>976396.90079999994</v>
      </c>
      <c r="E17" s="349">
        <v>1125999.9999999995</v>
      </c>
      <c r="F17" s="350">
        <v>1071382.0041000003</v>
      </c>
      <c r="G17" s="350">
        <v>1044343.4975000001</v>
      </c>
      <c r="H17" s="50">
        <v>6.6961972146226678E-3</v>
      </c>
      <c r="I17" s="50">
        <v>5.8016574597852699E-2</v>
      </c>
      <c r="J17" s="51">
        <v>2.5890434195957823E-2</v>
      </c>
      <c r="K17" s="99"/>
      <c r="L17" s="351"/>
      <c r="M17" s="351"/>
    </row>
    <row r="18" spans="1:13" ht="17.100000000000001" customHeight="1">
      <c r="A18" s="352"/>
      <c r="D18" s="353"/>
      <c r="E18" s="101"/>
      <c r="F18" s="101"/>
      <c r="G18" s="101"/>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7" pageOrder="overThenDown" orientation="landscape" r:id="rId1"/>
  <headerFooter alignWithMargins="0">
    <oddHeader>&amp;C&amp;"Tahoma,Bold"Monthly follow-up of total service units - 2016</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N19"/>
  <sheetViews>
    <sheetView workbookViewId="0">
      <selection activeCell="O55" sqref="O55"/>
    </sheetView>
  </sheetViews>
  <sheetFormatPr defaultRowHeight="11.25"/>
  <cols>
    <col min="1" max="2" width="2.85546875" style="359" bestFit="1" customWidth="1"/>
    <col min="3" max="3" width="9.28515625" style="359" customWidth="1"/>
    <col min="4" max="4" width="11.42578125" style="359" customWidth="1"/>
    <col min="5" max="5" width="11.140625" style="359" customWidth="1"/>
    <col min="6" max="10" width="9.7109375" style="359" customWidth="1"/>
    <col min="11" max="11" width="2.7109375" style="359" customWidth="1"/>
    <col min="12" max="12" width="33.140625" style="359" customWidth="1"/>
    <col min="13" max="13" width="10.85546875" style="359" customWidth="1"/>
    <col min="14" max="16384" width="9.140625" style="359"/>
  </cols>
  <sheetData>
    <row r="1" spans="1:14" s="354" customFormat="1" ht="13.5" thickBot="1">
      <c r="B1" s="2" t="s">
        <v>0</v>
      </c>
      <c r="C1" s="2"/>
      <c r="D1" s="355" t="s">
        <v>70</v>
      </c>
      <c r="L1" s="356" t="s">
        <v>2</v>
      </c>
      <c r="M1" s="357">
        <v>42688</v>
      </c>
    </row>
    <row r="2" spans="1:14" ht="8.25" customHeight="1" thickBot="1">
      <c r="A2" s="358"/>
      <c r="C2" s="358"/>
      <c r="K2" s="360"/>
      <c r="L2" s="360"/>
      <c r="M2" s="360"/>
    </row>
    <row r="3" spans="1:14" s="364" customFormat="1" ht="33.75" customHeight="1">
      <c r="A3" s="361"/>
      <c r="B3" s="556" t="s">
        <v>3</v>
      </c>
      <c r="C3" s="557"/>
      <c r="D3" s="12" t="s">
        <v>4</v>
      </c>
      <c r="E3" s="12" t="s">
        <v>5</v>
      </c>
      <c r="F3" s="12" t="s">
        <v>6</v>
      </c>
      <c r="G3" s="12" t="s">
        <v>7</v>
      </c>
      <c r="H3" s="13" t="s">
        <v>8</v>
      </c>
      <c r="I3" s="12" t="s">
        <v>9</v>
      </c>
      <c r="J3" s="14" t="s">
        <v>10</v>
      </c>
      <c r="K3" s="362"/>
      <c r="L3" s="16" t="s">
        <v>11</v>
      </c>
      <c r="M3" s="17">
        <v>1781950</v>
      </c>
      <c r="N3" s="363"/>
    </row>
    <row r="4" spans="1:14" s="365" customFormat="1" ht="11.85" customHeight="1">
      <c r="B4" s="366"/>
      <c r="C4" s="367"/>
      <c r="D4" s="368" t="s">
        <v>12</v>
      </c>
      <c r="E4" s="368" t="s">
        <v>13</v>
      </c>
      <c r="F4" s="368" t="s">
        <v>14</v>
      </c>
      <c r="G4" s="368" t="s">
        <v>15</v>
      </c>
      <c r="H4" s="368" t="s">
        <v>16</v>
      </c>
      <c r="I4" s="368" t="s">
        <v>17</v>
      </c>
      <c r="J4" s="369" t="s">
        <v>18</v>
      </c>
      <c r="K4" s="364"/>
      <c r="L4" s="23" t="s">
        <v>19</v>
      </c>
      <c r="M4" s="24">
        <v>1825859</v>
      </c>
    </row>
    <row r="5" spans="1:14">
      <c r="B5" s="370">
        <v>1</v>
      </c>
      <c r="C5" s="371" t="s">
        <v>20</v>
      </c>
      <c r="D5" s="85">
        <v>99113.028999999995</v>
      </c>
      <c r="E5" s="86">
        <v>102375.98517881826</v>
      </c>
      <c r="F5" s="87">
        <v>102789.96860000001</v>
      </c>
      <c r="G5" s="87">
        <v>93033.308900000004</v>
      </c>
      <c r="H5" s="30">
        <v>-3.187228111279139E-2</v>
      </c>
      <c r="I5" s="30">
        <v>-3.5771385574681624E-2</v>
      </c>
      <c r="J5" s="103">
        <v>0.10487275810524244</v>
      </c>
      <c r="L5" s="23" t="s">
        <v>21</v>
      </c>
      <c r="M5" s="24">
        <v>1787179</v>
      </c>
    </row>
    <row r="6" spans="1:14">
      <c r="B6" s="370">
        <v>2</v>
      </c>
      <c r="C6" s="371" t="s">
        <v>22</v>
      </c>
      <c r="D6" s="85">
        <v>92284.575699999987</v>
      </c>
      <c r="E6" s="86">
        <v>96457.453073722892</v>
      </c>
      <c r="F6" s="87">
        <v>96847.503400000001</v>
      </c>
      <c r="G6" s="87">
        <v>82931.454899999997</v>
      </c>
      <c r="H6" s="30">
        <v>-4.3261326530502076E-2</v>
      </c>
      <c r="I6" s="30">
        <v>-4.7114561964020751E-2</v>
      </c>
      <c r="J6" s="103">
        <v>0.16780181315738618</v>
      </c>
      <c r="L6" s="23" t="s">
        <v>23</v>
      </c>
      <c r="M6" s="24">
        <v>1767172</v>
      </c>
    </row>
    <row r="7" spans="1:14">
      <c r="B7" s="370">
        <v>3</v>
      </c>
      <c r="C7" s="371" t="s">
        <v>24</v>
      </c>
      <c r="D7" s="85">
        <v>104352.6222</v>
      </c>
      <c r="E7" s="86">
        <v>112862.72018971395</v>
      </c>
      <c r="F7" s="87">
        <v>113319.10939999999</v>
      </c>
      <c r="G7" s="87">
        <v>99397.744699999996</v>
      </c>
      <c r="H7" s="30">
        <v>-7.5402205222495966E-2</v>
      </c>
      <c r="I7" s="30">
        <v>-7.9125994260593746E-2</v>
      </c>
      <c r="J7" s="103">
        <v>0.14005714860047513</v>
      </c>
      <c r="L7" s="23" t="s">
        <v>25</v>
      </c>
      <c r="M7" s="24">
        <v>1781950</v>
      </c>
    </row>
    <row r="8" spans="1:14" ht="12" thickBot="1">
      <c r="B8" s="370">
        <v>4</v>
      </c>
      <c r="C8" s="371" t="s">
        <v>26</v>
      </c>
      <c r="D8" s="85">
        <v>123383.7047</v>
      </c>
      <c r="E8" s="86">
        <v>137726.54108497806</v>
      </c>
      <c r="F8" s="87">
        <v>138283.47349999999</v>
      </c>
      <c r="G8" s="87">
        <v>128188.50200000001</v>
      </c>
      <c r="H8" s="30">
        <v>-0.10413995931349529</v>
      </c>
      <c r="I8" s="30">
        <v>-0.10774800793530825</v>
      </c>
      <c r="J8" s="103">
        <v>7.8750990474949045E-2</v>
      </c>
      <c r="L8" s="33"/>
      <c r="M8" s="34"/>
    </row>
    <row r="9" spans="1:14">
      <c r="B9" s="370">
        <v>5</v>
      </c>
      <c r="C9" s="371" t="s">
        <v>27</v>
      </c>
      <c r="D9" s="85">
        <v>169124.26879999999</v>
      </c>
      <c r="E9" s="86">
        <v>173260.44029569891</v>
      </c>
      <c r="F9" s="87">
        <v>173961.0631</v>
      </c>
      <c r="G9" s="87">
        <v>169511.64350000001</v>
      </c>
      <c r="H9" s="30">
        <v>-2.387256715173891E-2</v>
      </c>
      <c r="I9" s="30">
        <v>-2.7803890214326943E-2</v>
      </c>
      <c r="J9" s="103">
        <v>2.6248460035726007E-2</v>
      </c>
      <c r="L9" s="35"/>
      <c r="M9" s="372"/>
    </row>
    <row r="10" spans="1:14" ht="12" thickBot="1">
      <c r="B10" s="370">
        <v>6</v>
      </c>
      <c r="C10" s="371" t="s">
        <v>28</v>
      </c>
      <c r="D10" s="85">
        <v>185649.9523</v>
      </c>
      <c r="E10" s="86">
        <v>180554.35389474279</v>
      </c>
      <c r="F10" s="87">
        <v>181284.47150000001</v>
      </c>
      <c r="G10" s="87">
        <v>186335.90669999999</v>
      </c>
      <c r="H10" s="30">
        <v>2.8221963610070455E-2</v>
      </c>
      <c r="I10" s="30">
        <v>2.4080831435140171E-2</v>
      </c>
      <c r="J10" s="103">
        <v>-2.7109295730815663E-2</v>
      </c>
      <c r="L10" s="35"/>
    </row>
    <row r="11" spans="1:14">
      <c r="B11" s="370">
        <v>7</v>
      </c>
      <c r="C11" s="371" t="s">
        <v>29</v>
      </c>
      <c r="D11" s="85">
        <v>226455.47210000001</v>
      </c>
      <c r="E11" s="86">
        <v>210557.98724672029</v>
      </c>
      <c r="F11" s="87">
        <v>211409.43219999998</v>
      </c>
      <c r="G11" s="87">
        <v>210263.6145</v>
      </c>
      <c r="H11" s="30">
        <v>7.5501694621785687E-2</v>
      </c>
      <c r="I11" s="30">
        <v>7.117014479167616E-2</v>
      </c>
      <c r="J11" s="103">
        <v>5.4494340484192438E-3</v>
      </c>
      <c r="L11" s="36" t="s">
        <v>30</v>
      </c>
      <c r="M11" s="373">
        <v>1783000</v>
      </c>
    </row>
    <row r="12" spans="1:14" ht="12" thickBot="1">
      <c r="B12" s="370">
        <v>8</v>
      </c>
      <c r="C12" s="371" t="s">
        <v>31</v>
      </c>
      <c r="D12" s="85">
        <v>225708.38380000001</v>
      </c>
      <c r="E12" s="86">
        <v>217814.40068722484</v>
      </c>
      <c r="F12" s="87">
        <v>218695.1888</v>
      </c>
      <c r="G12" s="87">
        <v>225420.2732</v>
      </c>
      <c r="H12" s="30">
        <v>3.6241786988688185E-2</v>
      </c>
      <c r="I12" s="30">
        <v>3.2068355223002554E-2</v>
      </c>
      <c r="J12" s="103">
        <v>-2.983353850358117E-2</v>
      </c>
      <c r="L12" s="38" t="s">
        <v>32</v>
      </c>
      <c r="M12" s="39">
        <v>-5.8889512058324378E-4</v>
      </c>
    </row>
    <row r="13" spans="1:14" ht="12" thickBot="1">
      <c r="B13" s="370">
        <v>9</v>
      </c>
      <c r="C13" s="371" t="s">
        <v>33</v>
      </c>
      <c r="D13" s="85">
        <v>193979.7959</v>
      </c>
      <c r="E13" s="86">
        <v>182812.40429173544</v>
      </c>
      <c r="F13" s="87">
        <v>183551.65290000002</v>
      </c>
      <c r="G13" s="87">
        <v>192448.60579999999</v>
      </c>
      <c r="H13" s="30">
        <v>6.1086618555945549E-2</v>
      </c>
      <c r="I13" s="30">
        <v>5.6813124999104625E-2</v>
      </c>
      <c r="J13" s="103">
        <v>-4.62302798350539E-2</v>
      </c>
      <c r="L13" s="40"/>
    </row>
    <row r="14" spans="1:14">
      <c r="B14" s="370">
        <v>10</v>
      </c>
      <c r="C14" s="371" t="s">
        <v>34</v>
      </c>
      <c r="D14" s="85">
        <v>164779.77439999999</v>
      </c>
      <c r="E14" s="86">
        <v>156844.54256730192</v>
      </c>
      <c r="F14" s="87">
        <v>157478.78349999999</v>
      </c>
      <c r="G14" s="87">
        <v>162687.27249999999</v>
      </c>
      <c r="H14" s="30">
        <v>5.0592973799474583E-2</v>
      </c>
      <c r="I14" s="30">
        <v>4.6361743072520056E-2</v>
      </c>
      <c r="J14" s="103">
        <v>-3.2015344039897142E-2</v>
      </c>
      <c r="L14" s="36" t="s">
        <v>35</v>
      </c>
      <c r="M14" s="373">
        <v>1790210.0155000002</v>
      </c>
    </row>
    <row r="15" spans="1:14" ht="12" thickBot="1">
      <c r="B15" s="370">
        <v>11</v>
      </c>
      <c r="C15" s="371" t="s">
        <v>36</v>
      </c>
      <c r="D15" s="85" t="s">
        <v>41</v>
      </c>
      <c r="E15" s="86">
        <v>105071.31343121456</v>
      </c>
      <c r="F15" s="87">
        <v>105496.1961</v>
      </c>
      <c r="G15" s="87">
        <v>105030.2824</v>
      </c>
      <c r="H15" s="30" t="s">
        <v>41</v>
      </c>
      <c r="I15" s="30" t="s">
        <v>41</v>
      </c>
      <c r="J15" s="103">
        <v>4.4359939757716571E-3</v>
      </c>
      <c r="L15" s="38" t="s">
        <v>37</v>
      </c>
      <c r="M15" s="39">
        <v>-4.6139924525521181E-3</v>
      </c>
    </row>
    <row r="16" spans="1:14" ht="12" thickBot="1">
      <c r="B16" s="374">
        <v>12</v>
      </c>
      <c r="C16" s="375" t="s">
        <v>38</v>
      </c>
      <c r="D16" s="85" t="s">
        <v>41</v>
      </c>
      <c r="E16" s="86">
        <v>106661.85805812791</v>
      </c>
      <c r="F16" s="87">
        <v>107093.1725</v>
      </c>
      <c r="G16" s="87">
        <v>105174.92359999999</v>
      </c>
      <c r="H16" s="30" t="s">
        <v>41</v>
      </c>
      <c r="I16" s="30" t="s">
        <v>41</v>
      </c>
      <c r="J16" s="104">
        <v>1.8238652659216203E-2</v>
      </c>
      <c r="L16" s="38" t="s">
        <v>39</v>
      </c>
      <c r="M16" s="39">
        <v>-4.0274690888635334E-3</v>
      </c>
    </row>
    <row r="17" spans="1:13" ht="13.5" thickBot="1">
      <c r="B17" s="376" t="s">
        <v>40</v>
      </c>
      <c r="C17" s="377"/>
      <c r="D17" s="47">
        <v>1584831.5789000001</v>
      </c>
      <c r="E17" s="378">
        <v>1783000</v>
      </c>
      <c r="F17" s="379">
        <v>1790210.0155000002</v>
      </c>
      <c r="G17" s="379">
        <v>1760423.5327000001</v>
      </c>
      <c r="H17" s="50">
        <v>8.6330024558591845E-3</v>
      </c>
      <c r="I17" s="50">
        <v>4.5707642164607432E-3</v>
      </c>
      <c r="J17" s="51">
        <v>1.6920066249237253E-2</v>
      </c>
      <c r="K17" s="99"/>
      <c r="L17" s="380"/>
      <c r="M17" s="380"/>
    </row>
    <row r="18" spans="1:13">
      <c r="A18" s="381"/>
      <c r="D18" s="382"/>
      <c r="E18" s="382"/>
      <c r="F18" s="382"/>
      <c r="I18" s="382"/>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7" pageOrder="overThenDown" orientation="landscape" r:id="rId1"/>
  <headerFooter alignWithMargins="0">
    <oddHeader>&amp;C&amp;"Tahoma,Bold"Monthly follow-up of total service units - 2016</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N19"/>
  <sheetViews>
    <sheetView workbookViewId="0">
      <selection activeCell="P54" sqref="P54"/>
    </sheetView>
  </sheetViews>
  <sheetFormatPr defaultRowHeight="11.25"/>
  <cols>
    <col min="1" max="2" width="2.85546875" style="388" bestFit="1" customWidth="1"/>
    <col min="3" max="3" width="9.28515625" style="388" customWidth="1"/>
    <col min="4" max="4" width="10.85546875" style="388" customWidth="1"/>
    <col min="5" max="5" width="11.42578125" style="388" customWidth="1"/>
    <col min="6" max="10" width="9.7109375" style="388" customWidth="1"/>
    <col min="11" max="11" width="2.7109375" style="388" customWidth="1"/>
    <col min="12" max="12" width="33.42578125" style="388" customWidth="1"/>
    <col min="13" max="13" width="11.28515625" style="388" bestFit="1" customWidth="1"/>
    <col min="14" max="16384" width="9.140625" style="388"/>
  </cols>
  <sheetData>
    <row r="1" spans="1:14" s="383" customFormat="1" ht="13.5" thickBot="1">
      <c r="B1" s="2" t="s">
        <v>0</v>
      </c>
      <c r="C1" s="2"/>
      <c r="D1" s="384" t="s">
        <v>71</v>
      </c>
      <c r="L1" s="385" t="s">
        <v>2</v>
      </c>
      <c r="M1" s="386">
        <v>42688</v>
      </c>
    </row>
    <row r="2" spans="1:14" ht="8.25" customHeight="1" thickBot="1">
      <c r="A2" s="387"/>
      <c r="C2" s="387"/>
      <c r="K2" s="389"/>
      <c r="L2" s="389"/>
      <c r="M2" s="389"/>
    </row>
    <row r="3" spans="1:14" s="393" customFormat="1" ht="33.75" customHeight="1">
      <c r="A3" s="390"/>
      <c r="B3" s="558" t="s">
        <v>3</v>
      </c>
      <c r="C3" s="559"/>
      <c r="D3" s="12" t="s">
        <v>4</v>
      </c>
      <c r="E3" s="12" t="s">
        <v>5</v>
      </c>
      <c r="F3" s="12" t="s">
        <v>6</v>
      </c>
      <c r="G3" s="12" t="s">
        <v>7</v>
      </c>
      <c r="H3" s="13" t="s">
        <v>8</v>
      </c>
      <c r="I3" s="12" t="s">
        <v>9</v>
      </c>
      <c r="J3" s="14" t="s">
        <v>10</v>
      </c>
      <c r="K3" s="391"/>
      <c r="L3" s="16" t="s">
        <v>11</v>
      </c>
      <c r="M3" s="17">
        <v>3382640</v>
      </c>
      <c r="N3" s="392"/>
    </row>
    <row r="4" spans="1:14" s="394" customFormat="1" ht="11.85" customHeight="1">
      <c r="B4" s="395"/>
      <c r="C4" s="396"/>
      <c r="D4" s="397" t="s">
        <v>12</v>
      </c>
      <c r="E4" s="397" t="s">
        <v>13</v>
      </c>
      <c r="F4" s="397" t="s">
        <v>14</v>
      </c>
      <c r="G4" s="397" t="s">
        <v>15</v>
      </c>
      <c r="H4" s="397" t="s">
        <v>16</v>
      </c>
      <c r="I4" s="397" t="s">
        <v>17</v>
      </c>
      <c r="J4" s="398" t="s">
        <v>18</v>
      </c>
      <c r="K4" s="393"/>
      <c r="L4" s="23" t="s">
        <v>19</v>
      </c>
      <c r="M4" s="24">
        <v>3315962</v>
      </c>
    </row>
    <row r="5" spans="1:14">
      <c r="B5" s="399">
        <v>1</v>
      </c>
      <c r="C5" s="400" t="s">
        <v>20</v>
      </c>
      <c r="D5" s="85">
        <v>230860.6722</v>
      </c>
      <c r="E5" s="86">
        <v>175184.45657779477</v>
      </c>
      <c r="F5" s="87">
        <v>211689.40699999998</v>
      </c>
      <c r="G5" s="87">
        <v>128374.0254</v>
      </c>
      <c r="H5" s="30">
        <v>0.31781481479483253</v>
      </c>
      <c r="I5" s="30">
        <v>9.0563176833879266E-2</v>
      </c>
      <c r="J5" s="103">
        <v>0.64900497854139871</v>
      </c>
      <c r="L5" s="23" t="s">
        <v>21</v>
      </c>
      <c r="M5" s="24">
        <v>3355140</v>
      </c>
    </row>
    <row r="6" spans="1:14">
      <c r="B6" s="399">
        <v>2</v>
      </c>
      <c r="C6" s="400" t="s">
        <v>22</v>
      </c>
      <c r="D6" s="85">
        <v>216522.52679999999</v>
      </c>
      <c r="E6" s="86">
        <v>157125.24215625055</v>
      </c>
      <c r="F6" s="87">
        <v>189867.01209999999</v>
      </c>
      <c r="G6" s="87">
        <v>120021.2963</v>
      </c>
      <c r="H6" s="30">
        <v>0.37802509532289408</v>
      </c>
      <c r="I6" s="30">
        <v>0.14039044700382686</v>
      </c>
      <c r="J6" s="103">
        <v>0.5819443544870293</v>
      </c>
      <c r="L6" s="23" t="s">
        <v>23</v>
      </c>
      <c r="M6" s="24">
        <v>3421551</v>
      </c>
    </row>
    <row r="7" spans="1:14">
      <c r="B7" s="399">
        <v>3</v>
      </c>
      <c r="C7" s="400" t="s">
        <v>24</v>
      </c>
      <c r="D7" s="85">
        <v>247694.95629999999</v>
      </c>
      <c r="E7" s="86">
        <v>183421.22429309878</v>
      </c>
      <c r="F7" s="87">
        <v>221642.55299999999</v>
      </c>
      <c r="G7" s="87">
        <v>143858.09019999998</v>
      </c>
      <c r="H7" s="30">
        <v>0.3504160014993396</v>
      </c>
      <c r="I7" s="30">
        <v>0.117542425618965</v>
      </c>
      <c r="J7" s="103">
        <v>0.5407027348400042</v>
      </c>
      <c r="L7" s="23" t="s">
        <v>25</v>
      </c>
      <c r="M7" s="24">
        <v>3382640</v>
      </c>
    </row>
    <row r="8" spans="1:14" ht="12" thickBot="1">
      <c r="B8" s="399">
        <v>4</v>
      </c>
      <c r="C8" s="400" t="s">
        <v>26</v>
      </c>
      <c r="D8" s="85">
        <v>259215.7941</v>
      </c>
      <c r="E8" s="86">
        <v>201343.83169567407</v>
      </c>
      <c r="F8" s="87">
        <v>243299.87469999999</v>
      </c>
      <c r="G8" s="87">
        <v>209946.81579999998</v>
      </c>
      <c r="H8" s="30">
        <v>0.28742853414947356</v>
      </c>
      <c r="I8" s="30">
        <v>6.5416882847247892E-2</v>
      </c>
      <c r="J8" s="103">
        <v>0.15886432367601544</v>
      </c>
      <c r="L8" s="33"/>
      <c r="M8" s="34"/>
    </row>
    <row r="9" spans="1:14">
      <c r="B9" s="399">
        <v>5</v>
      </c>
      <c r="C9" s="400" t="s">
        <v>27</v>
      </c>
      <c r="D9" s="85">
        <v>298440.39400000003</v>
      </c>
      <c r="E9" s="86">
        <v>232969.65369541087</v>
      </c>
      <c r="F9" s="87">
        <v>281515.88789999997</v>
      </c>
      <c r="G9" s="87">
        <v>250288.44030000002</v>
      </c>
      <c r="H9" s="30">
        <v>0.2810269031441619</v>
      </c>
      <c r="I9" s="30">
        <v>6.011918626067736E-2</v>
      </c>
      <c r="J9" s="103">
        <v>0.12476584041424443</v>
      </c>
      <c r="L9" s="35"/>
    </row>
    <row r="10" spans="1:14" ht="12" thickBot="1">
      <c r="B10" s="399">
        <v>6</v>
      </c>
      <c r="C10" s="400" t="s">
        <v>28</v>
      </c>
      <c r="D10" s="85">
        <v>312406.7513</v>
      </c>
      <c r="E10" s="86">
        <v>254288.06179066375</v>
      </c>
      <c r="F10" s="87">
        <v>307276.6275</v>
      </c>
      <c r="G10" s="87">
        <v>273666.01770000003</v>
      </c>
      <c r="H10" s="30">
        <v>0.22855453417699567</v>
      </c>
      <c r="I10" s="30">
        <v>1.6695457255368362E-2</v>
      </c>
      <c r="J10" s="103">
        <v>0.1228161614016865</v>
      </c>
      <c r="L10" s="35"/>
    </row>
    <row r="11" spans="1:14">
      <c r="B11" s="399">
        <v>7</v>
      </c>
      <c r="C11" s="400" t="s">
        <v>29</v>
      </c>
      <c r="D11" s="85">
        <v>348142.99459999998</v>
      </c>
      <c r="E11" s="86">
        <v>282733.61429119058</v>
      </c>
      <c r="F11" s="87">
        <v>341649.66639999999</v>
      </c>
      <c r="G11" s="87">
        <v>308058.5246</v>
      </c>
      <c r="H11" s="30">
        <v>0.23134631682472517</v>
      </c>
      <c r="I11" s="30">
        <v>1.9005808694095627E-2</v>
      </c>
      <c r="J11" s="103">
        <v>0.10904142920120963</v>
      </c>
      <c r="L11" s="36" t="s">
        <v>30</v>
      </c>
      <c r="M11" s="401">
        <v>2667000</v>
      </c>
    </row>
    <row r="12" spans="1:14" ht="12" thickBot="1">
      <c r="B12" s="399">
        <v>8</v>
      </c>
      <c r="C12" s="400" t="s">
        <v>31</v>
      </c>
      <c r="D12" s="85">
        <v>356179.78629999998</v>
      </c>
      <c r="E12" s="86">
        <v>295477.89897651412</v>
      </c>
      <c r="F12" s="87">
        <v>357049.60610000003</v>
      </c>
      <c r="G12" s="87">
        <v>326986.81770000001</v>
      </c>
      <c r="H12" s="30">
        <v>0.20543630347226305</v>
      </c>
      <c r="I12" s="30">
        <v>-2.4361315210538192E-3</v>
      </c>
      <c r="J12" s="103">
        <v>9.1938839037791542E-2</v>
      </c>
      <c r="L12" s="38" t="s">
        <v>32</v>
      </c>
      <c r="M12" s="39">
        <v>0.26833145856767904</v>
      </c>
    </row>
    <row r="13" spans="1:14" ht="12" thickBot="1">
      <c r="B13" s="399">
        <v>9</v>
      </c>
      <c r="C13" s="400" t="s">
        <v>33</v>
      </c>
      <c r="D13" s="85">
        <v>330125.16110000003</v>
      </c>
      <c r="E13" s="86">
        <v>263836.56323208043</v>
      </c>
      <c r="F13" s="87">
        <v>318814.84639999998</v>
      </c>
      <c r="G13" s="87">
        <v>289743.56969999999</v>
      </c>
      <c r="H13" s="30">
        <v>0.25124871646243241</v>
      </c>
      <c r="I13" s="30">
        <v>3.5476122983964187E-2</v>
      </c>
      <c r="J13" s="103">
        <v>0.10033450174614855</v>
      </c>
      <c r="L13" s="40"/>
    </row>
    <row r="14" spans="1:14">
      <c r="B14" s="399">
        <v>10</v>
      </c>
      <c r="C14" s="400" t="s">
        <v>34</v>
      </c>
      <c r="D14" s="85">
        <v>317997.8567</v>
      </c>
      <c r="E14" s="86">
        <v>244545.09785800325</v>
      </c>
      <c r="F14" s="87">
        <v>295503.424</v>
      </c>
      <c r="G14" s="87">
        <v>270024.65269999998</v>
      </c>
      <c r="H14" s="30">
        <v>0.30036487946549473</v>
      </c>
      <c r="I14" s="30">
        <v>7.6122409667916502E-2</v>
      </c>
      <c r="J14" s="103">
        <v>9.4357204222783375E-2</v>
      </c>
      <c r="L14" s="36" t="s">
        <v>35</v>
      </c>
      <c r="M14" s="401">
        <v>3222749.6634</v>
      </c>
    </row>
    <row r="15" spans="1:14" ht="12" thickBot="1">
      <c r="B15" s="399">
        <v>11</v>
      </c>
      <c r="C15" s="400" t="s">
        <v>36</v>
      </c>
      <c r="D15" s="85" t="s">
        <v>41</v>
      </c>
      <c r="E15" s="86">
        <v>194772.9107942477</v>
      </c>
      <c r="F15" s="87">
        <v>235359.70480000001</v>
      </c>
      <c r="G15" s="87">
        <v>218499.40229999999</v>
      </c>
      <c r="H15" s="30" t="s">
        <v>41</v>
      </c>
      <c r="I15" s="30" t="s">
        <v>41</v>
      </c>
      <c r="J15" s="103">
        <v>7.7164066915161644E-2</v>
      </c>
      <c r="L15" s="38" t="s">
        <v>37</v>
      </c>
      <c r="M15" s="39">
        <v>4.9613017857339736E-2</v>
      </c>
    </row>
    <row r="16" spans="1:14" ht="12" thickBot="1">
      <c r="B16" s="402">
        <v>12</v>
      </c>
      <c r="C16" s="403" t="s">
        <v>38</v>
      </c>
      <c r="D16" s="85" t="s">
        <v>41</v>
      </c>
      <c r="E16" s="86">
        <v>181301.44463907107</v>
      </c>
      <c r="F16" s="87">
        <v>219081.05349999998</v>
      </c>
      <c r="G16" s="87">
        <v>204138.1151</v>
      </c>
      <c r="H16" s="30" t="s">
        <v>41</v>
      </c>
      <c r="I16" s="30" t="s">
        <v>41</v>
      </c>
      <c r="J16" s="104">
        <v>7.3200138997462361E-2</v>
      </c>
      <c r="L16" s="38" t="s">
        <v>39</v>
      </c>
      <c r="M16" s="39">
        <v>-0.17244580604926174</v>
      </c>
    </row>
    <row r="17" spans="1:13" ht="13.5" thickBot="1">
      <c r="B17" s="404" t="s">
        <v>40</v>
      </c>
      <c r="C17" s="405"/>
      <c r="D17" s="47">
        <v>2917586.8933999999</v>
      </c>
      <c r="E17" s="406">
        <v>2667000</v>
      </c>
      <c r="F17" s="407">
        <v>3222749.6634</v>
      </c>
      <c r="G17" s="407">
        <v>2743605.7678</v>
      </c>
      <c r="H17" s="50">
        <v>0.27354063206702151</v>
      </c>
      <c r="I17" s="50">
        <v>5.3923891233737642E-2</v>
      </c>
      <c r="J17" s="51">
        <v>0.17464021297207299</v>
      </c>
      <c r="K17" s="99"/>
      <c r="L17" s="408"/>
      <c r="M17" s="408"/>
    </row>
    <row r="18" spans="1:13">
      <c r="A18" s="409"/>
      <c r="D18" s="410"/>
      <c r="E18" s="410"/>
      <c r="F18" s="410"/>
      <c r="G18" s="410"/>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7" pageOrder="overThenDown" orientation="landscape" r:id="rId1"/>
  <headerFooter alignWithMargins="0">
    <oddHeader>&amp;C&amp;"Tahoma,Bold"Monthly follow-up of total service units - 2016</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N19"/>
  <sheetViews>
    <sheetView workbookViewId="0">
      <selection activeCell="G56" sqref="G56"/>
    </sheetView>
  </sheetViews>
  <sheetFormatPr defaultRowHeight="11.25"/>
  <cols>
    <col min="1" max="2" width="2.85546875" style="416" bestFit="1" customWidth="1"/>
    <col min="3" max="3" width="9.28515625" style="416" customWidth="1"/>
    <col min="4" max="10" width="9.7109375" style="416" customWidth="1"/>
    <col min="11" max="11" width="2.7109375" style="416" customWidth="1"/>
    <col min="12" max="12" width="32.42578125" style="416" customWidth="1"/>
    <col min="13" max="13" width="11.28515625" style="416" bestFit="1" customWidth="1"/>
    <col min="14" max="16384" width="9.140625" style="416"/>
  </cols>
  <sheetData>
    <row r="1" spans="1:14" s="411" customFormat="1" ht="13.5" thickBot="1">
      <c r="B1" s="2" t="s">
        <v>0</v>
      </c>
      <c r="C1" s="2"/>
      <c r="D1" s="412" t="s">
        <v>72</v>
      </c>
      <c r="L1" s="413" t="s">
        <v>2</v>
      </c>
      <c r="M1" s="414">
        <v>42688</v>
      </c>
    </row>
    <row r="2" spans="1:14" ht="8.25" customHeight="1" thickBot="1">
      <c r="A2" s="415"/>
      <c r="C2" s="415"/>
      <c r="K2" s="417"/>
      <c r="L2" s="417"/>
      <c r="M2" s="417"/>
    </row>
    <row r="3" spans="1:14" s="421" customFormat="1" ht="33.75" customHeight="1">
      <c r="A3" s="418"/>
      <c r="B3" s="560" t="s">
        <v>3</v>
      </c>
      <c r="C3" s="561"/>
      <c r="D3" s="12" t="s">
        <v>4</v>
      </c>
      <c r="E3" s="12" t="s">
        <v>5</v>
      </c>
      <c r="F3" s="12" t="s">
        <v>6</v>
      </c>
      <c r="G3" s="12" t="s">
        <v>7</v>
      </c>
      <c r="H3" s="13" t="s">
        <v>8</v>
      </c>
      <c r="I3" s="12" t="s">
        <v>9</v>
      </c>
      <c r="J3" s="14" t="s">
        <v>10</v>
      </c>
      <c r="K3" s="419"/>
      <c r="L3" s="16" t="s">
        <v>11</v>
      </c>
      <c r="M3" s="17">
        <v>250906</v>
      </c>
      <c r="N3" s="420"/>
    </row>
    <row r="4" spans="1:14" s="422" customFormat="1" ht="11.85" customHeight="1">
      <c r="B4" s="423"/>
      <c r="C4" s="424"/>
      <c r="D4" s="425" t="s">
        <v>12</v>
      </c>
      <c r="E4" s="425" t="s">
        <v>13</v>
      </c>
      <c r="F4" s="425" t="s">
        <v>14</v>
      </c>
      <c r="G4" s="425" t="s">
        <v>15</v>
      </c>
      <c r="H4" s="425" t="s">
        <v>16</v>
      </c>
      <c r="I4" s="425" t="s">
        <v>17</v>
      </c>
      <c r="J4" s="426" t="s">
        <v>18</v>
      </c>
      <c r="K4" s="421"/>
      <c r="L4" s="23" t="s">
        <v>19</v>
      </c>
      <c r="M4" s="24">
        <v>292992</v>
      </c>
    </row>
    <row r="5" spans="1:14">
      <c r="B5" s="427">
        <v>1</v>
      </c>
      <c r="C5" s="428" t="s">
        <v>20</v>
      </c>
      <c r="D5" s="85">
        <v>11631.634199999999</v>
      </c>
      <c r="E5" s="86">
        <v>12943.464391179628</v>
      </c>
      <c r="F5" s="87">
        <v>12116.752399999999</v>
      </c>
      <c r="G5" s="87">
        <v>7924.0812000000005</v>
      </c>
      <c r="H5" s="30">
        <v>-0.10135077839543338</v>
      </c>
      <c r="I5" s="30">
        <v>-4.0036982186745118E-2</v>
      </c>
      <c r="J5" s="103">
        <v>0.52910502734373788</v>
      </c>
      <c r="L5" s="23" t="s">
        <v>21</v>
      </c>
      <c r="M5" s="24">
        <v>273938</v>
      </c>
    </row>
    <row r="6" spans="1:14">
      <c r="B6" s="427">
        <v>2</v>
      </c>
      <c r="C6" s="428" t="s">
        <v>22</v>
      </c>
      <c r="D6" s="85">
        <v>10118.677</v>
      </c>
      <c r="E6" s="86">
        <v>11090.248331518884</v>
      </c>
      <c r="F6" s="87">
        <v>10381.903100000001</v>
      </c>
      <c r="G6" s="87">
        <v>6931.5022999999992</v>
      </c>
      <c r="H6" s="30">
        <v>-8.7605913093726118E-2</v>
      </c>
      <c r="I6" s="30">
        <v>-2.535432063510612E-2</v>
      </c>
      <c r="J6" s="103">
        <v>0.49778542236074896</v>
      </c>
      <c r="L6" s="23" t="s">
        <v>23</v>
      </c>
      <c r="M6" s="24">
        <v>268920</v>
      </c>
    </row>
    <row r="7" spans="1:14">
      <c r="B7" s="427">
        <v>3</v>
      </c>
      <c r="C7" s="428" t="s">
        <v>24</v>
      </c>
      <c r="D7" s="85">
        <v>12065.843999999999</v>
      </c>
      <c r="E7" s="86">
        <v>13821.70157691241</v>
      </c>
      <c r="F7" s="87">
        <v>12938.895700000001</v>
      </c>
      <c r="G7" s="87">
        <v>8374.4868999999999</v>
      </c>
      <c r="H7" s="30">
        <v>-0.12703628183127413</v>
      </c>
      <c r="I7" s="30">
        <v>-6.7474977791188273E-2</v>
      </c>
      <c r="J7" s="103">
        <v>0.5450374279049861</v>
      </c>
      <c r="L7" s="23" t="s">
        <v>25</v>
      </c>
      <c r="M7" s="24">
        <v>250906</v>
      </c>
    </row>
    <row r="8" spans="1:14" ht="12" thickBot="1">
      <c r="B8" s="427">
        <v>4</v>
      </c>
      <c r="C8" s="428" t="s">
        <v>26</v>
      </c>
      <c r="D8" s="85">
        <v>14650.693499999999</v>
      </c>
      <c r="E8" s="86">
        <v>17004.534706060935</v>
      </c>
      <c r="F8" s="87">
        <v>15918.438099999999</v>
      </c>
      <c r="G8" s="87">
        <v>14440.859899999999</v>
      </c>
      <c r="H8" s="30">
        <v>-0.13842432308494479</v>
      </c>
      <c r="I8" s="30">
        <v>-7.9640011918003406E-2</v>
      </c>
      <c r="J8" s="103">
        <v>0.10231926701262428</v>
      </c>
      <c r="L8" s="33"/>
      <c r="M8" s="34"/>
    </row>
    <row r="9" spans="1:14">
      <c r="B9" s="427">
        <v>5</v>
      </c>
      <c r="C9" s="428" t="s">
        <v>27</v>
      </c>
      <c r="D9" s="85">
        <v>22632.329300000001</v>
      </c>
      <c r="E9" s="86">
        <v>27046.149037200896</v>
      </c>
      <c r="F9" s="87">
        <v>25318.684499999999</v>
      </c>
      <c r="G9" s="87">
        <v>23985.912700000001</v>
      </c>
      <c r="H9" s="30">
        <v>-0.16319586685445908</v>
      </c>
      <c r="I9" s="30">
        <v>-0.10610168944598986</v>
      </c>
      <c r="J9" s="103">
        <v>5.5564773234582754E-2</v>
      </c>
      <c r="L9" s="35"/>
    </row>
    <row r="10" spans="1:14" ht="12" thickBot="1">
      <c r="B10" s="427">
        <v>6</v>
      </c>
      <c r="C10" s="428" t="s">
        <v>28</v>
      </c>
      <c r="D10" s="85">
        <v>27984.329599999997</v>
      </c>
      <c r="E10" s="86">
        <v>32972.881986924287</v>
      </c>
      <c r="F10" s="87">
        <v>30866.8711</v>
      </c>
      <c r="G10" s="87">
        <v>29136.926899999999</v>
      </c>
      <c r="H10" s="30">
        <v>-0.15129258003296608</v>
      </c>
      <c r="I10" s="30">
        <v>-9.338625514265364E-2</v>
      </c>
      <c r="J10" s="103">
        <v>5.937291211037099E-2</v>
      </c>
      <c r="L10" s="35"/>
    </row>
    <row r="11" spans="1:14">
      <c r="B11" s="427">
        <v>7</v>
      </c>
      <c r="C11" s="428" t="s">
        <v>29</v>
      </c>
      <c r="D11" s="85">
        <v>35025.198899999996</v>
      </c>
      <c r="E11" s="86">
        <v>39455.305657707198</v>
      </c>
      <c r="F11" s="87">
        <v>36935.255899999996</v>
      </c>
      <c r="G11" s="87">
        <v>33958.327700000002</v>
      </c>
      <c r="H11" s="30">
        <v>-0.11228164840846511</v>
      </c>
      <c r="I11" s="30">
        <v>-5.1713652808345723E-2</v>
      </c>
      <c r="J11" s="103">
        <v>8.7664157855452673E-2</v>
      </c>
      <c r="L11" s="36" t="s">
        <v>30</v>
      </c>
      <c r="M11" s="429">
        <v>282000</v>
      </c>
    </row>
    <row r="12" spans="1:14" ht="12" thickBot="1">
      <c r="B12" s="427">
        <v>8</v>
      </c>
      <c r="C12" s="428" t="s">
        <v>31</v>
      </c>
      <c r="D12" s="85">
        <v>35168.794099999999</v>
      </c>
      <c r="E12" s="86">
        <v>41220.94051878879</v>
      </c>
      <c r="F12" s="87">
        <v>38588.117900000005</v>
      </c>
      <c r="G12" s="87">
        <v>35164.3269</v>
      </c>
      <c r="H12" s="30">
        <v>-0.14682213318325865</v>
      </c>
      <c r="I12" s="30">
        <v>-8.8610794878907662E-2</v>
      </c>
      <c r="J12" s="103">
        <v>9.7365463861616153E-2</v>
      </c>
      <c r="L12" s="38" t="s">
        <v>32</v>
      </c>
      <c r="M12" s="39">
        <v>-0.11026241134751769</v>
      </c>
    </row>
    <row r="13" spans="1:14" ht="12" thickBot="1">
      <c r="B13" s="427">
        <v>9</v>
      </c>
      <c r="C13" s="428" t="s">
        <v>33</v>
      </c>
      <c r="D13" s="85">
        <v>31184.268699999997</v>
      </c>
      <c r="E13" s="86">
        <v>32805.656636888663</v>
      </c>
      <c r="F13" s="87">
        <v>30710.3266</v>
      </c>
      <c r="G13" s="87">
        <v>30882.947899999999</v>
      </c>
      <c r="H13" s="30">
        <v>-4.9424035459344484E-2</v>
      </c>
      <c r="I13" s="30">
        <v>1.5432662314962098E-2</v>
      </c>
      <c r="J13" s="103">
        <v>-5.5895344109944123E-3</v>
      </c>
      <c r="L13" s="40"/>
    </row>
    <row r="14" spans="1:14">
      <c r="B14" s="427">
        <v>10</v>
      </c>
      <c r="C14" s="428" t="s">
        <v>34</v>
      </c>
      <c r="D14" s="85">
        <v>23773.094100000002</v>
      </c>
      <c r="E14" s="86">
        <v>25210.843222782249</v>
      </c>
      <c r="F14" s="87">
        <v>23600.601500000001</v>
      </c>
      <c r="G14" s="87">
        <v>27238.164399999998</v>
      </c>
      <c r="H14" s="30">
        <v>-5.7028997803730608E-2</v>
      </c>
      <c r="I14" s="30">
        <v>7.3088221925192709E-3</v>
      </c>
      <c r="J14" s="103">
        <v>-0.13354655058914311</v>
      </c>
      <c r="L14" s="36" t="s">
        <v>35</v>
      </c>
      <c r="M14" s="429">
        <v>263988.37849999999</v>
      </c>
    </row>
    <row r="15" spans="1:14" ht="12" thickBot="1">
      <c r="B15" s="427">
        <v>11</v>
      </c>
      <c r="C15" s="428" t="s">
        <v>36</v>
      </c>
      <c r="D15" s="85" t="s">
        <v>41</v>
      </c>
      <c r="E15" s="86">
        <v>13175.320149936071</v>
      </c>
      <c r="F15" s="87">
        <v>12333.799300000001</v>
      </c>
      <c r="G15" s="87">
        <v>15024.0537</v>
      </c>
      <c r="H15" s="30" t="s">
        <v>41</v>
      </c>
      <c r="I15" s="30" t="s">
        <v>41</v>
      </c>
      <c r="J15" s="103">
        <v>-0.1790631512452594</v>
      </c>
      <c r="L15" s="38" t="s">
        <v>37</v>
      </c>
      <c r="M15" s="39">
        <v>-4.95566455399854E-2</v>
      </c>
    </row>
    <row r="16" spans="1:14" ht="12" thickBot="1">
      <c r="B16" s="430">
        <v>12</v>
      </c>
      <c r="C16" s="431" t="s">
        <v>38</v>
      </c>
      <c r="D16" s="85" t="s">
        <v>41</v>
      </c>
      <c r="E16" s="86">
        <v>15252.953784100009</v>
      </c>
      <c r="F16" s="87">
        <v>14278.732400000001</v>
      </c>
      <c r="G16" s="87">
        <v>13404.5476</v>
      </c>
      <c r="H16" s="30" t="s">
        <v>41</v>
      </c>
      <c r="I16" s="30" t="s">
        <v>41</v>
      </c>
      <c r="J16" s="104">
        <v>6.5215539239832365E-2</v>
      </c>
      <c r="L16" s="38" t="s">
        <v>39</v>
      </c>
      <c r="M16" s="39">
        <v>6.8228842505656084E-2</v>
      </c>
    </row>
    <row r="17" spans="1:13" ht="13.5" thickBot="1">
      <c r="B17" s="432" t="s">
        <v>40</v>
      </c>
      <c r="C17" s="433"/>
      <c r="D17" s="47">
        <v>224234.86339999997</v>
      </c>
      <c r="E17" s="434">
        <v>282000</v>
      </c>
      <c r="F17" s="435">
        <v>263988.37849999999</v>
      </c>
      <c r="G17" s="435">
        <v>246466.13810000001</v>
      </c>
      <c r="H17" s="50">
        <v>-0.11569453393369367</v>
      </c>
      <c r="I17" s="50">
        <v>-5.5359395562564973E-2</v>
      </c>
      <c r="J17" s="51">
        <v>7.1093905779830102E-2</v>
      </c>
      <c r="K17" s="99"/>
      <c r="L17" s="436"/>
      <c r="M17" s="436"/>
    </row>
    <row r="18" spans="1:13">
      <c r="A18" s="437"/>
      <c r="D18" s="438"/>
      <c r="E18" s="438"/>
      <c r="F18" s="438"/>
      <c r="G18" s="438"/>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pageOrder="overThenDown" orientation="landscape" r:id="rId1"/>
  <headerFooter alignWithMargins="0">
    <oddHeader>&amp;C&amp;"Tahoma,Bold"Monthly follow-up of total service units - 2016</oddHead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N19"/>
  <sheetViews>
    <sheetView workbookViewId="0">
      <selection activeCell="H57" sqref="H57"/>
    </sheetView>
  </sheetViews>
  <sheetFormatPr defaultRowHeight="11.25"/>
  <cols>
    <col min="1" max="2" width="2.85546875" style="444" bestFit="1" customWidth="1"/>
    <col min="3" max="3" width="9.28515625" style="444" customWidth="1"/>
    <col min="4" max="10" width="9.7109375" style="444" customWidth="1"/>
    <col min="11" max="11" width="2.7109375" style="444" customWidth="1"/>
    <col min="12" max="12" width="32.140625" style="444" customWidth="1"/>
    <col min="13" max="13" width="11.28515625" style="444" bestFit="1" customWidth="1"/>
    <col min="14" max="16384" width="9.140625" style="444"/>
  </cols>
  <sheetData>
    <row r="1" spans="1:14" s="439" customFormat="1" ht="13.5" thickBot="1">
      <c r="B1" s="2" t="s">
        <v>0</v>
      </c>
      <c r="C1" s="2"/>
      <c r="D1" s="440" t="s">
        <v>73</v>
      </c>
      <c r="L1" s="441" t="s">
        <v>2</v>
      </c>
      <c r="M1" s="442">
        <v>42688</v>
      </c>
    </row>
    <row r="2" spans="1:14" ht="8.25" customHeight="1" thickBot="1">
      <c r="A2" s="443"/>
      <c r="C2" s="443"/>
      <c r="K2" s="445"/>
      <c r="L2" s="445"/>
      <c r="M2" s="445"/>
    </row>
    <row r="3" spans="1:14" s="449" customFormat="1" ht="33.75" customHeight="1">
      <c r="A3" s="446"/>
      <c r="B3" s="562" t="s">
        <v>3</v>
      </c>
      <c r="C3" s="563"/>
      <c r="D3" s="12" t="s">
        <v>4</v>
      </c>
      <c r="E3" s="12" t="s">
        <v>5</v>
      </c>
      <c r="F3" s="12" t="s">
        <v>6</v>
      </c>
      <c r="G3" s="12" t="s">
        <v>7</v>
      </c>
      <c r="H3" s="13" t="s">
        <v>8</v>
      </c>
      <c r="I3" s="12" t="s">
        <v>9</v>
      </c>
      <c r="J3" s="14" t="s">
        <v>10</v>
      </c>
      <c r="K3" s="447"/>
      <c r="L3" s="16" t="s">
        <v>11</v>
      </c>
      <c r="M3" s="17">
        <v>61040</v>
      </c>
      <c r="N3" s="448"/>
    </row>
    <row r="4" spans="1:14" s="450" customFormat="1" ht="11.85" customHeight="1">
      <c r="B4" s="451"/>
      <c r="C4" s="452"/>
      <c r="D4" s="453" t="s">
        <v>12</v>
      </c>
      <c r="E4" s="453" t="s">
        <v>13</v>
      </c>
      <c r="F4" s="453" t="s">
        <v>14</v>
      </c>
      <c r="G4" s="453" t="s">
        <v>15</v>
      </c>
      <c r="H4" s="453" t="s">
        <v>16</v>
      </c>
      <c r="I4" s="453" t="s">
        <v>17</v>
      </c>
      <c r="J4" s="454" t="s">
        <v>18</v>
      </c>
      <c r="K4" s="449"/>
      <c r="L4" s="23" t="s">
        <v>19</v>
      </c>
      <c r="M4" s="24">
        <v>91822</v>
      </c>
    </row>
    <row r="5" spans="1:14">
      <c r="B5" s="455">
        <v>1</v>
      </c>
      <c r="C5" s="456" t="s">
        <v>20</v>
      </c>
      <c r="D5" s="85">
        <v>3995.1624999999999</v>
      </c>
      <c r="E5" s="86">
        <v>4366.3244536433576</v>
      </c>
      <c r="F5" s="87">
        <v>4185.7918</v>
      </c>
      <c r="G5" s="87">
        <v>18034.796300000002</v>
      </c>
      <c r="H5" s="30">
        <v>-8.5005582517728828E-2</v>
      </c>
      <c r="I5" s="30">
        <v>-4.5541992795723907E-2</v>
      </c>
      <c r="J5" s="103">
        <v>-0.76790468101932485</v>
      </c>
      <c r="L5" s="23" t="s">
        <v>21</v>
      </c>
      <c r="M5" s="24">
        <v>67442</v>
      </c>
    </row>
    <row r="6" spans="1:14">
      <c r="B6" s="455">
        <v>2</v>
      </c>
      <c r="C6" s="456" t="s">
        <v>22</v>
      </c>
      <c r="D6" s="85">
        <v>3310.9092000000001</v>
      </c>
      <c r="E6" s="86">
        <v>3777.6885632301864</v>
      </c>
      <c r="F6" s="87">
        <v>3621.4940000000001</v>
      </c>
      <c r="G6" s="87">
        <v>15418.9452</v>
      </c>
      <c r="H6" s="30">
        <v>-0.12356216120448471</v>
      </c>
      <c r="I6" s="30">
        <v>-8.5761511685508829E-2</v>
      </c>
      <c r="J6" s="103">
        <v>-0.76512699454953637</v>
      </c>
      <c r="L6" s="23" t="s">
        <v>23</v>
      </c>
      <c r="M6" s="24">
        <v>66797</v>
      </c>
    </row>
    <row r="7" spans="1:14">
      <c r="B7" s="455">
        <v>3</v>
      </c>
      <c r="C7" s="456" t="s">
        <v>24</v>
      </c>
      <c r="D7" s="85">
        <v>3969.2273</v>
      </c>
      <c r="E7" s="86">
        <v>4855.1677604061715</v>
      </c>
      <c r="F7" s="87">
        <v>4654.4231</v>
      </c>
      <c r="G7" s="87">
        <v>16826.667300000001</v>
      </c>
      <c r="H7" s="30">
        <v>-0.1824737072179059</v>
      </c>
      <c r="I7" s="30">
        <v>-0.14721390498427178</v>
      </c>
      <c r="J7" s="103">
        <v>-0.72339007974561897</v>
      </c>
      <c r="L7" s="23" t="s">
        <v>25</v>
      </c>
      <c r="M7" s="24">
        <v>61040</v>
      </c>
    </row>
    <row r="8" spans="1:14" ht="12" thickBot="1">
      <c r="B8" s="455">
        <v>4</v>
      </c>
      <c r="C8" s="456" t="s">
        <v>26</v>
      </c>
      <c r="D8" s="85">
        <v>3908.9796999999999</v>
      </c>
      <c r="E8" s="86">
        <v>5485.693034236534</v>
      </c>
      <c r="F8" s="87">
        <v>5258.8782999999994</v>
      </c>
      <c r="G8" s="87">
        <v>8510.5020000000004</v>
      </c>
      <c r="H8" s="30">
        <v>-0.28742281502012113</v>
      </c>
      <c r="I8" s="30">
        <v>-0.25668945409898525</v>
      </c>
      <c r="J8" s="103">
        <v>-0.38207190363153676</v>
      </c>
      <c r="L8" s="33"/>
      <c r="M8" s="34"/>
    </row>
    <row r="9" spans="1:14">
      <c r="B9" s="455">
        <v>5</v>
      </c>
      <c r="C9" s="456" t="s">
        <v>27</v>
      </c>
      <c r="D9" s="85">
        <v>4660.8872999999994</v>
      </c>
      <c r="E9" s="86">
        <v>7014.8941970781552</v>
      </c>
      <c r="F9" s="87">
        <v>6724.8521999999994</v>
      </c>
      <c r="G9" s="87">
        <v>11310.415300000001</v>
      </c>
      <c r="H9" s="30">
        <v>-0.33557268733413648</v>
      </c>
      <c r="I9" s="30">
        <v>-0.30691602411722896</v>
      </c>
      <c r="J9" s="103">
        <v>-0.40542835770141894</v>
      </c>
      <c r="L9" s="35"/>
    </row>
    <row r="10" spans="1:14" ht="12" thickBot="1">
      <c r="B10" s="455">
        <v>6</v>
      </c>
      <c r="C10" s="456" t="s">
        <v>28</v>
      </c>
      <c r="D10" s="85">
        <v>6228.6208999999999</v>
      </c>
      <c r="E10" s="86">
        <v>8552.9036528499255</v>
      </c>
      <c r="F10" s="87">
        <v>8199.2702000000008</v>
      </c>
      <c r="G10" s="87">
        <v>14469.7081</v>
      </c>
      <c r="H10" s="30">
        <v>-0.27175364615214015</v>
      </c>
      <c r="I10" s="30">
        <v>-0.24034447602421993</v>
      </c>
      <c r="J10" s="103">
        <v>-0.43334930163518637</v>
      </c>
      <c r="L10" s="35"/>
    </row>
    <row r="11" spans="1:14">
      <c r="B11" s="455">
        <v>7</v>
      </c>
      <c r="C11" s="456" t="s">
        <v>29</v>
      </c>
      <c r="D11" s="85">
        <v>7224.7864</v>
      </c>
      <c r="E11" s="86">
        <v>8943.6836766598644</v>
      </c>
      <c r="F11" s="87">
        <v>8573.8927999999996</v>
      </c>
      <c r="G11" s="87">
        <v>12394.450700000001</v>
      </c>
      <c r="H11" s="30">
        <v>-0.19219119758736913</v>
      </c>
      <c r="I11" s="30">
        <v>-0.15735050944420481</v>
      </c>
      <c r="J11" s="103">
        <v>-0.3082474562587918</v>
      </c>
      <c r="L11" s="36" t="s">
        <v>30</v>
      </c>
      <c r="M11" s="457">
        <v>77000</v>
      </c>
    </row>
    <row r="12" spans="1:14" ht="12" thickBot="1">
      <c r="B12" s="455">
        <v>8</v>
      </c>
      <c r="C12" s="456" t="s">
        <v>31</v>
      </c>
      <c r="D12" s="85">
        <v>7098.9389000000001</v>
      </c>
      <c r="E12" s="86">
        <v>8863.297898351655</v>
      </c>
      <c r="F12" s="87">
        <v>8496.8306999999986</v>
      </c>
      <c r="G12" s="87">
        <v>10210.528999999999</v>
      </c>
      <c r="H12" s="30">
        <v>-0.19906348839744858</v>
      </c>
      <c r="I12" s="30">
        <v>-0.16451920125935882</v>
      </c>
      <c r="J12" s="103">
        <v>-0.16783638732136208</v>
      </c>
      <c r="L12" s="38" t="s">
        <v>32</v>
      </c>
      <c r="M12" s="39">
        <v>-0.20727272727272728</v>
      </c>
    </row>
    <row r="13" spans="1:14" ht="12" thickBot="1">
      <c r="B13" s="455">
        <v>9</v>
      </c>
      <c r="C13" s="456" t="s">
        <v>33</v>
      </c>
      <c r="D13" s="85">
        <v>6058.0596999999998</v>
      </c>
      <c r="E13" s="86">
        <v>8359.5291764785961</v>
      </c>
      <c r="F13" s="87">
        <v>8013.8910999999998</v>
      </c>
      <c r="G13" s="87">
        <v>8506.1031000000003</v>
      </c>
      <c r="H13" s="30">
        <v>-0.27531089704840017</v>
      </c>
      <c r="I13" s="30">
        <v>-0.24405515068703643</v>
      </c>
      <c r="J13" s="103">
        <v>-5.7865745831366722E-2</v>
      </c>
      <c r="L13" s="40"/>
    </row>
    <row r="14" spans="1:14">
      <c r="B14" s="455">
        <v>10</v>
      </c>
      <c r="C14" s="456" t="s">
        <v>34</v>
      </c>
      <c r="D14" s="85">
        <v>5363.5504000000001</v>
      </c>
      <c r="E14" s="86">
        <v>7434.8856124986496</v>
      </c>
      <c r="F14" s="87">
        <v>7127.4784</v>
      </c>
      <c r="G14" s="87">
        <v>6043.527</v>
      </c>
      <c r="H14" s="30">
        <v>-0.27859678284983513</v>
      </c>
      <c r="I14" s="30">
        <v>-0.24748275631393002</v>
      </c>
      <c r="J14" s="103">
        <v>0.17935741827578489</v>
      </c>
      <c r="L14" s="36" t="s">
        <v>35</v>
      </c>
      <c r="M14" s="457">
        <v>73816.312099999996</v>
      </c>
    </row>
    <row r="15" spans="1:14" ht="12" thickBot="1">
      <c r="B15" s="455">
        <v>11</v>
      </c>
      <c r="C15" s="456" t="s">
        <v>36</v>
      </c>
      <c r="D15" s="85" t="s">
        <v>41</v>
      </c>
      <c r="E15" s="86">
        <v>5293.6416637915454</v>
      </c>
      <c r="F15" s="87">
        <v>5074.7676000000001</v>
      </c>
      <c r="G15" s="87">
        <v>4765.5178999999998</v>
      </c>
      <c r="H15" s="30" t="s">
        <v>41</v>
      </c>
      <c r="I15" s="30" t="s">
        <v>41</v>
      </c>
      <c r="J15" s="103">
        <v>6.4893198701446497E-2</v>
      </c>
      <c r="L15" s="38" t="s">
        <v>37</v>
      </c>
      <c r="M15" s="39">
        <v>-0.17308250353515009</v>
      </c>
    </row>
    <row r="16" spans="1:14" ht="12" thickBot="1">
      <c r="B16" s="458">
        <v>12</v>
      </c>
      <c r="C16" s="459" t="s">
        <v>38</v>
      </c>
      <c r="D16" s="85" t="s">
        <v>41</v>
      </c>
      <c r="E16" s="86">
        <v>4052.2903107753609</v>
      </c>
      <c r="F16" s="87">
        <v>3884.7419</v>
      </c>
      <c r="G16" s="87">
        <v>4576.0171</v>
      </c>
      <c r="H16" s="30" t="s">
        <v>41</v>
      </c>
      <c r="I16" s="30" t="s">
        <v>41</v>
      </c>
      <c r="J16" s="104">
        <v>-0.15106482010305422</v>
      </c>
      <c r="L16" s="38" t="s">
        <v>39</v>
      </c>
      <c r="M16" s="39">
        <v>4.3129869393732534E-2</v>
      </c>
    </row>
    <row r="17" spans="1:13" ht="13.5" thickBot="1">
      <c r="B17" s="460" t="s">
        <v>40</v>
      </c>
      <c r="C17" s="461"/>
      <c r="D17" s="47">
        <v>51819.122299999995</v>
      </c>
      <c r="E17" s="462">
        <v>77000</v>
      </c>
      <c r="F17" s="463">
        <v>73816.312099999996</v>
      </c>
      <c r="G17" s="463">
        <v>131067.179</v>
      </c>
      <c r="H17" s="50">
        <v>-0.23405755466885292</v>
      </c>
      <c r="I17" s="50">
        <v>-0.20102255703860428</v>
      </c>
      <c r="J17" s="51">
        <v>-0.43680551711576865</v>
      </c>
      <c r="K17" s="99"/>
      <c r="L17" s="464"/>
      <c r="M17" s="464"/>
    </row>
    <row r="18" spans="1:13">
      <c r="A18" s="465"/>
      <c r="D18" s="466"/>
      <c r="E18" s="466"/>
      <c r="F18" s="466"/>
      <c r="G18" s="466"/>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pageOrder="overThenDown" orientation="landscape" r:id="rId1"/>
  <headerFooter alignWithMargins="0">
    <oddHeader>&amp;C&amp;"Tahoma,Bold"Monthly follow-up of total service units - 2016</oddHead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S19"/>
  <sheetViews>
    <sheetView workbookViewId="0">
      <selection activeCell="L54" sqref="L54"/>
    </sheetView>
  </sheetViews>
  <sheetFormatPr defaultRowHeight="11.25"/>
  <cols>
    <col min="1" max="2" width="2.85546875" style="472" bestFit="1" customWidth="1"/>
    <col min="3" max="3" width="9.28515625" style="472" customWidth="1"/>
    <col min="4" max="10" width="9.7109375" style="472" customWidth="1"/>
    <col min="11" max="11" width="2.7109375" style="472" customWidth="1"/>
    <col min="12" max="12" width="33.140625" style="472" customWidth="1"/>
    <col min="13" max="13" width="11.28515625" style="472" bestFit="1" customWidth="1"/>
    <col min="14" max="16384" width="9.140625" style="472"/>
  </cols>
  <sheetData>
    <row r="1" spans="1:19" s="467" customFormat="1" ht="13.5" thickBot="1">
      <c r="B1" s="2" t="s">
        <v>0</v>
      </c>
      <c r="C1" s="2"/>
      <c r="D1" s="468" t="s">
        <v>74</v>
      </c>
      <c r="L1" s="469" t="s">
        <v>2</v>
      </c>
      <c r="M1" s="470">
        <v>42688</v>
      </c>
    </row>
    <row r="2" spans="1:19" ht="8.25" customHeight="1" thickBot="1">
      <c r="A2" s="471"/>
      <c r="C2" s="471"/>
      <c r="K2" s="473"/>
      <c r="L2" s="473"/>
      <c r="M2" s="473"/>
    </row>
    <row r="3" spans="1:19" s="477" customFormat="1" ht="33.75" customHeight="1">
      <c r="A3" s="474"/>
      <c r="B3" s="564" t="s">
        <v>3</v>
      </c>
      <c r="C3" s="565"/>
      <c r="D3" s="12" t="s">
        <v>4</v>
      </c>
      <c r="E3" s="12" t="s">
        <v>5</v>
      </c>
      <c r="F3" s="12" t="s">
        <v>6</v>
      </c>
      <c r="G3" s="12" t="s">
        <v>7</v>
      </c>
      <c r="H3" s="13" t="s">
        <v>8</v>
      </c>
      <c r="I3" s="12" t="s">
        <v>9</v>
      </c>
      <c r="J3" s="14" t="s">
        <v>10</v>
      </c>
      <c r="K3" s="475"/>
      <c r="L3" s="16" t="s">
        <v>11</v>
      </c>
      <c r="M3" s="17">
        <v>758321</v>
      </c>
      <c r="N3" s="476"/>
    </row>
    <row r="4" spans="1:19" s="478" customFormat="1" ht="11.85" customHeight="1">
      <c r="B4" s="479"/>
      <c r="C4" s="480"/>
      <c r="D4" s="481" t="s">
        <v>12</v>
      </c>
      <c r="E4" s="481" t="s">
        <v>13</v>
      </c>
      <c r="F4" s="481" t="s">
        <v>14</v>
      </c>
      <c r="G4" s="481" t="s">
        <v>15</v>
      </c>
      <c r="H4" s="481" t="s">
        <v>16</v>
      </c>
      <c r="I4" s="481" t="s">
        <v>17</v>
      </c>
      <c r="J4" s="482" t="s">
        <v>18</v>
      </c>
      <c r="K4" s="477"/>
      <c r="L4" s="23" t="s">
        <v>19</v>
      </c>
      <c r="M4" s="24">
        <v>817180</v>
      </c>
    </row>
    <row r="5" spans="1:19">
      <c r="B5" s="483">
        <v>1</v>
      </c>
      <c r="C5" s="484" t="s">
        <v>20</v>
      </c>
      <c r="D5" s="85">
        <v>58625.866800000003</v>
      </c>
      <c r="E5" s="86">
        <v>67457.418544868677</v>
      </c>
      <c r="F5" s="87">
        <v>63169.268000000004</v>
      </c>
      <c r="G5" s="87">
        <v>63388.3289</v>
      </c>
      <c r="H5" s="30">
        <v>-0.1309203929734496</v>
      </c>
      <c r="I5" s="30">
        <v>-7.1924233790393144E-2</v>
      </c>
      <c r="J5" s="103">
        <v>-3.455855420097631E-3</v>
      </c>
      <c r="L5" s="23" t="s">
        <v>21</v>
      </c>
      <c r="M5" s="24">
        <v>756154</v>
      </c>
    </row>
    <row r="6" spans="1:19">
      <c r="B6" s="483">
        <v>2</v>
      </c>
      <c r="C6" s="484" t="s">
        <v>22</v>
      </c>
      <c r="D6" s="85">
        <v>60380.986599999997</v>
      </c>
      <c r="E6" s="86">
        <v>61350.769827412209</v>
      </c>
      <c r="F6" s="87">
        <v>57450.808300000004</v>
      </c>
      <c r="G6" s="87">
        <v>58659.4202</v>
      </c>
      <c r="H6" s="30">
        <v>-1.580718921930957E-2</v>
      </c>
      <c r="I6" s="30">
        <v>5.1003256293610688E-2</v>
      </c>
      <c r="J6" s="103">
        <v>-2.0603884182271437E-2</v>
      </c>
      <c r="L6" s="23" t="s">
        <v>23</v>
      </c>
      <c r="M6" s="24">
        <v>753230</v>
      </c>
    </row>
    <row r="7" spans="1:19">
      <c r="B7" s="483">
        <v>3</v>
      </c>
      <c r="C7" s="484" t="s">
        <v>24</v>
      </c>
      <c r="D7" s="85">
        <v>65369.893099999994</v>
      </c>
      <c r="E7" s="86">
        <v>71992.257131352584</v>
      </c>
      <c r="F7" s="87">
        <v>67415.834799999997</v>
      </c>
      <c r="G7" s="87">
        <v>68893.018299999996</v>
      </c>
      <c r="H7" s="30">
        <v>-9.1987170499041815E-2</v>
      </c>
      <c r="I7" s="30">
        <v>-3.0348088191292422E-2</v>
      </c>
      <c r="J7" s="103">
        <v>-2.1441701009055625E-2</v>
      </c>
      <c r="L7" s="23" t="s">
        <v>25</v>
      </c>
      <c r="M7" s="24">
        <v>758321</v>
      </c>
    </row>
    <row r="8" spans="1:19" ht="12" thickBot="1">
      <c r="B8" s="483">
        <v>4</v>
      </c>
      <c r="C8" s="484" t="s">
        <v>26</v>
      </c>
      <c r="D8" s="85">
        <v>61944.589899999999</v>
      </c>
      <c r="E8" s="86">
        <v>67790.161430251072</v>
      </c>
      <c r="F8" s="87">
        <v>63480.858999999997</v>
      </c>
      <c r="G8" s="87">
        <v>66247.931799999991</v>
      </c>
      <c r="H8" s="30">
        <v>-8.6230382210633172E-2</v>
      </c>
      <c r="I8" s="30">
        <v>-2.4200509006974791E-2</v>
      </c>
      <c r="J8" s="103">
        <v>-4.176844053567863E-2</v>
      </c>
      <c r="L8" s="33"/>
      <c r="M8" s="34"/>
    </row>
    <row r="9" spans="1:19">
      <c r="B9" s="483">
        <v>5</v>
      </c>
      <c r="C9" s="484" t="s">
        <v>27</v>
      </c>
      <c r="D9" s="85">
        <v>63872.157499999994</v>
      </c>
      <c r="E9" s="86">
        <v>73440.076271079728</v>
      </c>
      <c r="F9" s="87">
        <v>68771.618600000002</v>
      </c>
      <c r="G9" s="87">
        <v>67417.333200000008</v>
      </c>
      <c r="H9" s="30">
        <v>-0.13028198303829275</v>
      </c>
      <c r="I9" s="30">
        <v>-7.1242486359045953E-2</v>
      </c>
      <c r="J9" s="103">
        <v>2.0088089156276467E-2</v>
      </c>
      <c r="L9" s="35"/>
    </row>
    <row r="10" spans="1:19" ht="12" thickBot="1">
      <c r="B10" s="483">
        <v>6</v>
      </c>
      <c r="C10" s="484" t="s">
        <v>28</v>
      </c>
      <c r="D10" s="85">
        <v>58643.1682</v>
      </c>
      <c r="E10" s="86">
        <v>70179.306413485334</v>
      </c>
      <c r="F10" s="87">
        <v>65718.1302</v>
      </c>
      <c r="G10" s="87">
        <v>65196.712500000001</v>
      </c>
      <c r="H10" s="30">
        <v>-0.16438090945949568</v>
      </c>
      <c r="I10" s="30">
        <v>-0.1076561670039724</v>
      </c>
      <c r="J10" s="103">
        <v>7.9976072413159294E-3</v>
      </c>
      <c r="L10" s="35"/>
      <c r="S10" s="485"/>
    </row>
    <row r="11" spans="1:19">
      <c r="B11" s="483">
        <v>7</v>
      </c>
      <c r="C11" s="484" t="s">
        <v>29</v>
      </c>
      <c r="D11" s="85">
        <v>61768.681299999997</v>
      </c>
      <c r="E11" s="86">
        <v>64200.852731008454</v>
      </c>
      <c r="F11" s="87">
        <v>60119.716399999998</v>
      </c>
      <c r="G11" s="87">
        <v>60354.514300000003</v>
      </c>
      <c r="H11" s="30">
        <v>-3.7883787014463377E-2</v>
      </c>
      <c r="I11" s="30">
        <v>2.7428021932585089E-2</v>
      </c>
      <c r="J11" s="103">
        <v>-3.8903121452177336E-3</v>
      </c>
      <c r="L11" s="36" t="s">
        <v>30</v>
      </c>
      <c r="M11" s="486">
        <v>811999.99999999988</v>
      </c>
      <c r="S11" s="485"/>
    </row>
    <row r="12" spans="1:19" ht="12" thickBot="1">
      <c r="B12" s="483">
        <v>8</v>
      </c>
      <c r="C12" s="484" t="s">
        <v>31</v>
      </c>
      <c r="D12" s="85">
        <v>66574.163499999995</v>
      </c>
      <c r="E12" s="86">
        <v>66722.608020311352</v>
      </c>
      <c r="F12" s="87">
        <v>62481.168100000003</v>
      </c>
      <c r="G12" s="87">
        <v>68617.064799999993</v>
      </c>
      <c r="H12" s="30">
        <v>-2.2248009290369852E-3</v>
      </c>
      <c r="I12" s="30">
        <v>6.5507664540605637E-2</v>
      </c>
      <c r="J12" s="103">
        <v>-8.9422313791539421E-2</v>
      </c>
      <c r="L12" s="38" t="s">
        <v>32</v>
      </c>
      <c r="M12" s="39">
        <v>-6.6107142857142698E-2</v>
      </c>
      <c r="S12" s="485"/>
    </row>
    <row r="13" spans="1:19" ht="12" thickBot="1">
      <c r="B13" s="483">
        <v>9</v>
      </c>
      <c r="C13" s="484" t="s">
        <v>33</v>
      </c>
      <c r="D13" s="85">
        <v>66013.990900000004</v>
      </c>
      <c r="E13" s="86">
        <v>72790.0779078216</v>
      </c>
      <c r="F13" s="87">
        <v>68162.939500000008</v>
      </c>
      <c r="G13" s="87">
        <v>68070.411099999998</v>
      </c>
      <c r="H13" s="30">
        <v>-9.3090805815629896E-2</v>
      </c>
      <c r="I13" s="30">
        <v>-3.1526642127867821E-2</v>
      </c>
      <c r="J13" s="103">
        <v>1.3593042631119268E-3</v>
      </c>
      <c r="L13" s="40"/>
      <c r="S13" s="485"/>
    </row>
    <row r="14" spans="1:19">
      <c r="B14" s="483">
        <v>10</v>
      </c>
      <c r="C14" s="484" t="s">
        <v>34</v>
      </c>
      <c r="D14" s="85">
        <v>66533.398300000001</v>
      </c>
      <c r="E14" s="86">
        <v>68717.512096065577</v>
      </c>
      <c r="F14" s="87">
        <v>64349.259599999998</v>
      </c>
      <c r="G14" s="87">
        <v>71796.412800000006</v>
      </c>
      <c r="H14" s="30">
        <v>-3.1783947489429365E-2</v>
      </c>
      <c r="I14" s="30">
        <v>3.3941939869654769E-2</v>
      </c>
      <c r="J14" s="103">
        <v>-0.10372597891130309</v>
      </c>
      <c r="L14" s="36" t="s">
        <v>35</v>
      </c>
      <c r="M14" s="486">
        <v>760382.57500000007</v>
      </c>
    </row>
    <row r="15" spans="1:19" ht="12" thickBot="1">
      <c r="B15" s="483">
        <v>11</v>
      </c>
      <c r="C15" s="484" t="s">
        <v>36</v>
      </c>
      <c r="D15" s="85" t="s">
        <v>41</v>
      </c>
      <c r="E15" s="86">
        <v>63955.927244650484</v>
      </c>
      <c r="F15" s="87">
        <v>59890.360399999998</v>
      </c>
      <c r="G15" s="87">
        <v>69489.663400000005</v>
      </c>
      <c r="H15" s="30" t="s">
        <v>41</v>
      </c>
      <c r="I15" s="30" t="s">
        <v>41</v>
      </c>
      <c r="J15" s="103">
        <v>-0.13814001292169165</v>
      </c>
      <c r="L15" s="38" t="s">
        <v>37</v>
      </c>
      <c r="M15" s="39">
        <v>-2.7112338811815517E-3</v>
      </c>
      <c r="S15" s="485"/>
    </row>
    <row r="16" spans="1:19" ht="12" thickBot="1">
      <c r="B16" s="487">
        <v>12</v>
      </c>
      <c r="C16" s="488" t="s">
        <v>38</v>
      </c>
      <c r="D16" s="85" t="s">
        <v>41</v>
      </c>
      <c r="E16" s="86">
        <v>63403.03238169285</v>
      </c>
      <c r="F16" s="87">
        <v>59372.612099999998</v>
      </c>
      <c r="G16" s="87">
        <v>67633.614200000011</v>
      </c>
      <c r="H16" s="30" t="s">
        <v>41</v>
      </c>
      <c r="I16" s="30" t="s">
        <v>41</v>
      </c>
      <c r="J16" s="104">
        <v>-0.12214343707215358</v>
      </c>
      <c r="L16" s="38" t="s">
        <v>39</v>
      </c>
      <c r="M16" s="39">
        <v>6.7883492727328409E-2</v>
      </c>
    </row>
    <row r="17" spans="1:13" ht="13.5" thickBot="1">
      <c r="B17" s="489" t="s">
        <v>40</v>
      </c>
      <c r="C17" s="490"/>
      <c r="D17" s="47">
        <v>629726.8960999999</v>
      </c>
      <c r="E17" s="491">
        <v>811999.99999999988</v>
      </c>
      <c r="F17" s="492">
        <v>760382.57500000007</v>
      </c>
      <c r="G17" s="492">
        <v>795764.42550000013</v>
      </c>
      <c r="H17" s="50">
        <v>-8.0208665615029706E-2</v>
      </c>
      <c r="I17" s="50">
        <v>-1.777001725664773E-2</v>
      </c>
      <c r="J17" s="51">
        <v>-4.4462719576548904E-2</v>
      </c>
      <c r="K17" s="99"/>
      <c r="L17" s="493"/>
      <c r="M17" s="493"/>
    </row>
    <row r="18" spans="1:13">
      <c r="A18" s="494"/>
      <c r="C18" s="495"/>
      <c r="D18" s="496"/>
      <c r="E18" s="496"/>
      <c r="F18" s="496"/>
      <c r="G18" s="496"/>
      <c r="H18" s="59"/>
      <c r="I18" s="59"/>
      <c r="J18" s="59"/>
    </row>
    <row r="19" spans="1:13" ht="12" customHeight="1"/>
  </sheetData>
  <mergeCells count="1">
    <mergeCell ref="B3:C3"/>
  </mergeCells>
  <printOptions horizontalCentered="1" verticalCentered="1"/>
  <pageMargins left="0.39370078740157483" right="0.39370078740157483" top="0" bottom="0.15748031496062992" header="0.19685039370078741" footer="0.19685039370078741"/>
  <pageSetup paperSize="9" scale="99" pageOrder="overThenDown" orientation="landscape" r:id="rId1"/>
  <headerFooter alignWithMargins="0">
    <oddHeader>&amp;C&amp;"Tahoma,Bold"Monthly follow-up of total service units - 2016</oddHead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N19"/>
  <sheetViews>
    <sheetView workbookViewId="0">
      <selection activeCell="I57" sqref="I57"/>
    </sheetView>
  </sheetViews>
  <sheetFormatPr defaultRowHeight="11.25"/>
  <cols>
    <col min="1" max="2" width="2.85546875" style="472" bestFit="1" customWidth="1"/>
    <col min="3" max="3" width="15.140625" style="472" customWidth="1"/>
    <col min="4" max="10" width="9.7109375" style="472" customWidth="1"/>
    <col min="11" max="11" width="5.42578125" style="472" customWidth="1"/>
    <col min="12" max="12" width="33" style="472" customWidth="1"/>
    <col min="13" max="13" width="11.28515625" style="472" bestFit="1" customWidth="1"/>
    <col min="14" max="16384" width="9.140625" style="472"/>
  </cols>
  <sheetData>
    <row r="1" spans="1:14" s="467" customFormat="1" ht="13.5" thickBot="1">
      <c r="B1" s="2" t="s">
        <v>0</v>
      </c>
      <c r="C1" s="2"/>
      <c r="D1" s="468" t="s">
        <v>75</v>
      </c>
      <c r="L1" s="469" t="s">
        <v>2</v>
      </c>
      <c r="M1" s="470">
        <v>42688</v>
      </c>
    </row>
    <row r="2" spans="1:14" ht="8.25" customHeight="1" thickBot="1">
      <c r="A2" s="471"/>
      <c r="C2" s="471"/>
      <c r="K2" s="473"/>
      <c r="L2" s="473"/>
      <c r="M2" s="473"/>
    </row>
    <row r="3" spans="1:14" s="477" customFormat="1" ht="33.75" customHeight="1">
      <c r="A3" s="497"/>
      <c r="B3" s="564" t="s">
        <v>3</v>
      </c>
      <c r="C3" s="565"/>
      <c r="D3" s="12" t="s">
        <v>4</v>
      </c>
      <c r="E3" s="12" t="s">
        <v>76</v>
      </c>
      <c r="F3" s="12" t="s">
        <v>6</v>
      </c>
      <c r="G3" s="12" t="s">
        <v>7</v>
      </c>
      <c r="H3" s="13" t="s">
        <v>8</v>
      </c>
      <c r="I3" s="12" t="s">
        <v>9</v>
      </c>
      <c r="J3" s="14" t="s">
        <v>10</v>
      </c>
      <c r="K3" s="498"/>
      <c r="L3" s="16" t="s">
        <v>11</v>
      </c>
      <c r="M3" s="17">
        <v>447503</v>
      </c>
      <c r="N3" s="476"/>
    </row>
    <row r="4" spans="1:14" s="478" customFormat="1" ht="11.85" customHeight="1">
      <c r="B4" s="479"/>
      <c r="C4" s="480"/>
      <c r="D4" s="481" t="s">
        <v>12</v>
      </c>
      <c r="E4" s="481" t="s">
        <v>13</v>
      </c>
      <c r="F4" s="481" t="s">
        <v>14</v>
      </c>
      <c r="G4" s="499" t="s">
        <v>15</v>
      </c>
      <c r="H4" s="499" t="s">
        <v>16</v>
      </c>
      <c r="I4" s="499" t="s">
        <v>17</v>
      </c>
      <c r="J4" s="500" t="s">
        <v>18</v>
      </c>
      <c r="K4" s="501"/>
      <c r="L4" s="23" t="s">
        <v>19</v>
      </c>
      <c r="M4" s="24">
        <v>540638</v>
      </c>
    </row>
    <row r="5" spans="1:14">
      <c r="B5" s="483">
        <v>1</v>
      </c>
      <c r="C5" s="484" t="s">
        <v>20</v>
      </c>
      <c r="D5" s="85">
        <v>25844.762999999999</v>
      </c>
      <c r="E5" s="86">
        <v>26132.608520640901</v>
      </c>
      <c r="F5" s="87">
        <v>28194.462299999999</v>
      </c>
      <c r="G5" s="87">
        <v>26420.519499999999</v>
      </c>
      <c r="H5" s="30">
        <v>-1.1014802460823869E-2</v>
      </c>
      <c r="I5" s="30">
        <v>-8.3339035694254049E-2</v>
      </c>
      <c r="J5" s="31">
        <v>6.7142616177551018E-2</v>
      </c>
      <c r="K5" s="502"/>
      <c r="L5" s="23" t="s">
        <v>21</v>
      </c>
      <c r="M5" s="24">
        <v>454266</v>
      </c>
    </row>
    <row r="6" spans="1:14">
      <c r="B6" s="483">
        <v>2</v>
      </c>
      <c r="C6" s="484" t="s">
        <v>22</v>
      </c>
      <c r="D6" s="85">
        <v>23940.481400000001</v>
      </c>
      <c r="E6" s="86">
        <v>23987.153388940453</v>
      </c>
      <c r="F6" s="87">
        <v>25879.731500000002</v>
      </c>
      <c r="G6" s="87">
        <v>22921.839899999999</v>
      </c>
      <c r="H6" s="30">
        <v>-1.9457076954354502E-3</v>
      </c>
      <c r="I6" s="30">
        <v>-7.4933161497444445E-2</v>
      </c>
      <c r="J6" s="31">
        <v>0.12904250325908628</v>
      </c>
      <c r="K6" s="502"/>
      <c r="L6" s="23" t="s">
        <v>23</v>
      </c>
      <c r="M6" s="24">
        <v>452356</v>
      </c>
    </row>
    <row r="7" spans="1:14">
      <c r="B7" s="483">
        <v>3</v>
      </c>
      <c r="C7" s="484" t="s">
        <v>24</v>
      </c>
      <c r="D7" s="85">
        <v>25865.022300000001</v>
      </c>
      <c r="E7" s="86">
        <v>27852.607032578577</v>
      </c>
      <c r="F7" s="87">
        <v>30050.168100000003</v>
      </c>
      <c r="G7" s="87">
        <v>27230.041299999997</v>
      </c>
      <c r="H7" s="30">
        <v>-7.1360814815422557E-2</v>
      </c>
      <c r="I7" s="30">
        <v>-0.13927195967998596</v>
      </c>
      <c r="J7" s="31">
        <v>0.10356674706916458</v>
      </c>
      <c r="K7" s="502"/>
      <c r="L7" s="23" t="s">
        <v>25</v>
      </c>
      <c r="M7" s="24">
        <v>447503</v>
      </c>
    </row>
    <row r="8" spans="1:14" ht="12" thickBot="1">
      <c r="B8" s="483">
        <v>4</v>
      </c>
      <c r="C8" s="484" t="s">
        <v>26</v>
      </c>
      <c r="D8" s="85">
        <v>30196.1325</v>
      </c>
      <c r="E8" s="86">
        <v>34589.850640675264</v>
      </c>
      <c r="F8" s="87">
        <v>37318.977899999998</v>
      </c>
      <c r="G8" s="87">
        <v>32757.516900000002</v>
      </c>
      <c r="H8" s="30">
        <v>-0.12702333370322672</v>
      </c>
      <c r="I8" s="30">
        <v>-0.19086389287204997</v>
      </c>
      <c r="J8" s="31">
        <v>0.13924929090092286</v>
      </c>
      <c r="K8" s="502"/>
      <c r="L8" s="33"/>
      <c r="M8" s="34"/>
    </row>
    <row r="9" spans="1:14">
      <c r="B9" s="483">
        <v>5</v>
      </c>
      <c r="C9" s="484" t="s">
        <v>27</v>
      </c>
      <c r="D9" s="85">
        <v>41497.3122</v>
      </c>
      <c r="E9" s="86">
        <v>41591.008319792207</v>
      </c>
      <c r="F9" s="87">
        <v>44872.5245</v>
      </c>
      <c r="G9" s="87">
        <v>42727.846300000005</v>
      </c>
      <c r="H9" s="30">
        <v>-2.2527975054554839E-3</v>
      </c>
      <c r="I9" s="30">
        <v>-7.5217793908608832E-2</v>
      </c>
      <c r="J9" s="31">
        <v>5.0193922364862864E-2</v>
      </c>
      <c r="K9" s="502"/>
      <c r="L9" s="35"/>
    </row>
    <row r="10" spans="1:14" ht="12" thickBot="1">
      <c r="B10" s="483">
        <v>6</v>
      </c>
      <c r="C10" s="484" t="s">
        <v>28</v>
      </c>
      <c r="D10" s="85">
        <v>47401.957399999999</v>
      </c>
      <c r="E10" s="86">
        <v>44303.973319102042</v>
      </c>
      <c r="F10" s="87">
        <v>47799.541499999999</v>
      </c>
      <c r="G10" s="87">
        <v>48264.784400000004</v>
      </c>
      <c r="H10" s="30">
        <v>6.9925648848344624E-2</v>
      </c>
      <c r="I10" s="30">
        <v>-8.3177387799838742E-3</v>
      </c>
      <c r="J10" s="31">
        <v>-9.6393862685524301E-3</v>
      </c>
      <c r="K10" s="502"/>
      <c r="L10" s="35"/>
    </row>
    <row r="11" spans="1:14">
      <c r="B11" s="483">
        <v>7</v>
      </c>
      <c r="C11" s="484" t="s">
        <v>29</v>
      </c>
      <c r="D11" s="85">
        <v>57830.530199999994</v>
      </c>
      <c r="E11" s="86">
        <v>54781.831620840145</v>
      </c>
      <c r="F11" s="87">
        <v>59104.099200000004</v>
      </c>
      <c r="G11" s="87">
        <v>55180.029199999997</v>
      </c>
      <c r="H11" s="30">
        <v>5.5651636481611533E-2</v>
      </c>
      <c r="I11" s="30">
        <v>-2.1547896292107072E-2</v>
      </c>
      <c r="J11" s="31">
        <v>7.1113952944410697E-2</v>
      </c>
      <c r="K11" s="502"/>
      <c r="L11" s="36" t="s">
        <v>77</v>
      </c>
      <c r="M11" s="486">
        <v>449000</v>
      </c>
    </row>
    <row r="12" spans="1:14" ht="12" thickBot="1">
      <c r="B12" s="483">
        <v>8</v>
      </c>
      <c r="C12" s="484" t="s">
        <v>31</v>
      </c>
      <c r="D12" s="85">
        <v>56096.132000000005</v>
      </c>
      <c r="E12" s="86">
        <v>56065.12427407872</v>
      </c>
      <c r="F12" s="87">
        <v>60488.643199999999</v>
      </c>
      <c r="G12" s="87">
        <v>60596.857600000003</v>
      </c>
      <c r="H12" s="30">
        <v>5.5306621224460173E-4</v>
      </c>
      <c r="I12" s="30">
        <v>-7.2617122283212265E-2</v>
      </c>
      <c r="J12" s="31">
        <v>-1.7858087743480855E-3</v>
      </c>
      <c r="K12" s="502"/>
      <c r="L12" s="38" t="s">
        <v>32</v>
      </c>
      <c r="M12" s="39">
        <v>-3.3340757238307095E-3</v>
      </c>
    </row>
    <row r="13" spans="1:14" ht="12" thickBot="1">
      <c r="B13" s="483">
        <v>9</v>
      </c>
      <c r="C13" s="484" t="s">
        <v>33</v>
      </c>
      <c r="D13" s="85">
        <v>46889.957699999999</v>
      </c>
      <c r="E13" s="86">
        <v>46446.846282953265</v>
      </c>
      <c r="F13" s="87">
        <v>50111.486400000002</v>
      </c>
      <c r="G13" s="87">
        <v>50627.391099999993</v>
      </c>
      <c r="H13" s="30">
        <v>9.5401830804036081E-3</v>
      </c>
      <c r="I13" s="30">
        <v>-6.4287230961083686E-2</v>
      </c>
      <c r="J13" s="31">
        <v>-1.0190228822594682E-2</v>
      </c>
      <c r="K13" s="502"/>
      <c r="L13" s="40"/>
    </row>
    <row r="14" spans="1:14">
      <c r="B14" s="483">
        <v>10</v>
      </c>
      <c r="C14" s="484" t="s">
        <v>34</v>
      </c>
      <c r="D14" s="85">
        <v>37803.54</v>
      </c>
      <c r="E14" s="86">
        <v>38939.76490852065</v>
      </c>
      <c r="F14" s="87">
        <v>42012.098900000005</v>
      </c>
      <c r="G14" s="87">
        <v>42714.889799999997</v>
      </c>
      <c r="H14" s="30">
        <v>-2.9179038733025964E-2</v>
      </c>
      <c r="I14" s="30">
        <v>-0.10017492603779443</v>
      </c>
      <c r="J14" s="31">
        <v>-1.6453065975134296E-2</v>
      </c>
      <c r="K14" s="502"/>
      <c r="L14" s="36" t="s">
        <v>35</v>
      </c>
      <c r="M14" s="503">
        <v>484425.9448</v>
      </c>
    </row>
    <row r="15" spans="1:14" ht="12" thickBot="1">
      <c r="B15" s="483">
        <v>11</v>
      </c>
      <c r="C15" s="484" t="s">
        <v>36</v>
      </c>
      <c r="D15" s="85" t="s">
        <v>41</v>
      </c>
      <c r="E15" s="86">
        <v>26835.481579268213</v>
      </c>
      <c r="F15" s="87">
        <v>28952.791800000003</v>
      </c>
      <c r="G15" s="87">
        <v>29969.303600000003</v>
      </c>
      <c r="H15" s="30" t="s">
        <v>41</v>
      </c>
      <c r="I15" s="30" t="s">
        <v>41</v>
      </c>
      <c r="J15" s="31">
        <v>-3.3918432459004499E-2</v>
      </c>
      <c r="K15" s="502"/>
      <c r="L15" s="38" t="s">
        <v>37</v>
      </c>
      <c r="M15" s="504">
        <v>-7.6219998528864963E-2</v>
      </c>
    </row>
    <row r="16" spans="1:14" ht="12" thickBot="1">
      <c r="B16" s="487">
        <v>12</v>
      </c>
      <c r="C16" s="488" t="s">
        <v>38</v>
      </c>
      <c r="D16" s="85" t="s">
        <v>41</v>
      </c>
      <c r="E16" s="86">
        <v>27473.750112609574</v>
      </c>
      <c r="F16" s="87">
        <v>29641.4195</v>
      </c>
      <c r="G16" s="87">
        <v>29388.2412</v>
      </c>
      <c r="H16" s="30" t="s">
        <v>41</v>
      </c>
      <c r="I16" s="30" t="s">
        <v>41</v>
      </c>
      <c r="J16" s="31">
        <v>8.6149524320631166E-3</v>
      </c>
      <c r="K16" s="502"/>
      <c r="L16" s="38" t="s">
        <v>78</v>
      </c>
      <c r="M16" s="504">
        <v>-7.3129742905545525E-2</v>
      </c>
    </row>
    <row r="17" spans="1:13" ht="13.5" thickBot="1">
      <c r="B17" s="489" t="s">
        <v>40</v>
      </c>
      <c r="C17" s="490"/>
      <c r="D17" s="47">
        <v>393365.8286999999</v>
      </c>
      <c r="E17" s="491">
        <v>449000</v>
      </c>
      <c r="F17" s="492">
        <v>484425.9448</v>
      </c>
      <c r="G17" s="492">
        <v>468799.26079999999</v>
      </c>
      <c r="H17" s="50">
        <v>-3.3569054928792585E-3</v>
      </c>
      <c r="I17" s="50">
        <v>-7.6241158762772376E-2</v>
      </c>
      <c r="J17" s="505">
        <v>3.3333422867035445E-2</v>
      </c>
      <c r="K17" s="99"/>
      <c r="L17" s="493"/>
      <c r="M17" s="493"/>
    </row>
    <row r="18" spans="1:13">
      <c r="A18" s="494"/>
      <c r="B18" s="472" t="s">
        <v>79</v>
      </c>
      <c r="C18" s="506" t="s">
        <v>80</v>
      </c>
      <c r="D18" s="496"/>
      <c r="E18" s="496"/>
      <c r="F18" s="496"/>
      <c r="G18" s="496"/>
      <c r="H18" s="59"/>
      <c r="I18" s="59"/>
      <c r="J18" s="59"/>
      <c r="K18" s="502"/>
    </row>
    <row r="19" spans="1:13" ht="12" customHeight="1">
      <c r="C19" s="506"/>
    </row>
  </sheetData>
  <mergeCells count="1">
    <mergeCell ref="B3:C3"/>
  </mergeCells>
  <printOptions horizontalCentered="1" verticalCentered="1"/>
  <pageMargins left="0.39370078740157483" right="0.39370078740157483" top="0" bottom="0.15748031496062992" header="0.19685039370078741" footer="0.19685039370078741"/>
  <pageSetup paperSize="9" scale="94" pageOrder="overThenDown" orientation="landscape" r:id="rId1"/>
  <headerFooter alignWithMargins="0">
    <oddHeader>&amp;C&amp;"Tahoma,Bold"Monthly follow-up of total service units - 2016</oddHead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O19"/>
  <sheetViews>
    <sheetView workbookViewId="0">
      <selection activeCell="J53" sqref="J53"/>
    </sheetView>
  </sheetViews>
  <sheetFormatPr defaultRowHeight="11.25"/>
  <cols>
    <col min="1" max="2" width="2.85546875" style="472" bestFit="1" customWidth="1"/>
    <col min="3" max="3" width="15.140625" style="472" customWidth="1"/>
    <col min="4" max="10" width="9.7109375" style="472" customWidth="1"/>
    <col min="11" max="11" width="2.7109375" style="472" customWidth="1"/>
    <col min="12" max="12" width="32.42578125" style="472" customWidth="1"/>
    <col min="13" max="13" width="11.28515625" style="472" bestFit="1" customWidth="1"/>
    <col min="14" max="16384" width="9.140625" style="472"/>
  </cols>
  <sheetData>
    <row r="1" spans="1:15" s="467" customFormat="1" ht="13.5" thickBot="1">
      <c r="B1" s="2" t="s">
        <v>0</v>
      </c>
      <c r="C1" s="2"/>
      <c r="D1" s="468" t="s">
        <v>81</v>
      </c>
      <c r="L1" s="469" t="s">
        <v>2</v>
      </c>
      <c r="M1" s="470">
        <v>42688</v>
      </c>
    </row>
    <row r="2" spans="1:15" ht="8.25" customHeight="1" thickBot="1">
      <c r="A2" s="471"/>
      <c r="C2" s="471"/>
      <c r="J2" s="467"/>
      <c r="K2" s="467"/>
      <c r="L2" s="473"/>
      <c r="M2" s="473"/>
    </row>
    <row r="3" spans="1:15" s="477" customFormat="1" ht="33.75" customHeight="1">
      <c r="A3" s="497"/>
      <c r="B3" s="564" t="s">
        <v>3</v>
      </c>
      <c r="C3" s="565"/>
      <c r="D3" s="12" t="s">
        <v>4</v>
      </c>
      <c r="E3" s="12" t="s">
        <v>5</v>
      </c>
      <c r="F3" s="12" t="s">
        <v>6</v>
      </c>
      <c r="G3" s="12" t="s">
        <v>7</v>
      </c>
      <c r="H3" s="13" t="s">
        <v>8</v>
      </c>
      <c r="I3" s="12" t="s">
        <v>9</v>
      </c>
      <c r="J3" s="14" t="s">
        <v>10</v>
      </c>
      <c r="K3" s="501"/>
      <c r="L3" s="16" t="s">
        <v>11</v>
      </c>
      <c r="M3" s="17">
        <v>871450</v>
      </c>
      <c r="O3" s="476"/>
    </row>
    <row r="4" spans="1:15" s="478" customFormat="1" ht="11.85" customHeight="1">
      <c r="B4" s="479"/>
      <c r="C4" s="480"/>
      <c r="D4" s="481" t="s">
        <v>12</v>
      </c>
      <c r="E4" s="481" t="s">
        <v>13</v>
      </c>
      <c r="F4" s="481" t="s">
        <v>14</v>
      </c>
      <c r="G4" s="499" t="s">
        <v>15</v>
      </c>
      <c r="H4" s="499" t="s">
        <v>16</v>
      </c>
      <c r="I4" s="507" t="s">
        <v>17</v>
      </c>
      <c r="J4" s="508" t="s">
        <v>18</v>
      </c>
      <c r="K4" s="509"/>
      <c r="L4" s="23" t="s">
        <v>19</v>
      </c>
      <c r="M4" s="24">
        <v>917937</v>
      </c>
    </row>
    <row r="5" spans="1:15">
      <c r="B5" s="483">
        <v>1</v>
      </c>
      <c r="C5" s="484" t="s">
        <v>20</v>
      </c>
      <c r="D5" s="85">
        <v>52842.648099999999</v>
      </c>
      <c r="E5" s="86">
        <v>54575.375587982096</v>
      </c>
      <c r="F5" s="87">
        <v>51735.742600000005</v>
      </c>
      <c r="G5" s="87">
        <v>38964.1518</v>
      </c>
      <c r="H5" s="30">
        <v>-3.1749254481789668E-2</v>
      </c>
      <c r="I5" s="510">
        <v>2.1395372799770884E-2</v>
      </c>
      <c r="J5" s="103">
        <v>0.32777797565196853</v>
      </c>
      <c r="K5" s="509"/>
      <c r="L5" s="23" t="s">
        <v>21</v>
      </c>
      <c r="M5" s="24">
        <v>894929</v>
      </c>
    </row>
    <row r="6" spans="1:15">
      <c r="B6" s="483">
        <v>2</v>
      </c>
      <c r="C6" s="484" t="s">
        <v>22</v>
      </c>
      <c r="D6" s="85">
        <v>48196.067000000003</v>
      </c>
      <c r="E6" s="86">
        <v>47514.74987431302</v>
      </c>
      <c r="F6" s="87">
        <v>45042.491099999999</v>
      </c>
      <c r="G6" s="87">
        <v>34594.244700000003</v>
      </c>
      <c r="H6" s="30">
        <v>1.4339065816177499E-2</v>
      </c>
      <c r="I6" s="510">
        <v>7.0013354567771691E-2</v>
      </c>
      <c r="J6" s="103">
        <v>0.30202267719982911</v>
      </c>
      <c r="K6" s="509"/>
      <c r="L6" s="23" t="s">
        <v>23</v>
      </c>
      <c r="M6" s="24">
        <v>886150</v>
      </c>
    </row>
    <row r="7" spans="1:15">
      <c r="B7" s="483">
        <v>3</v>
      </c>
      <c r="C7" s="484" t="s">
        <v>24</v>
      </c>
      <c r="D7" s="85">
        <v>54271.1106</v>
      </c>
      <c r="E7" s="86">
        <v>56192.867447727498</v>
      </c>
      <c r="F7" s="87">
        <v>53269.074099999998</v>
      </c>
      <c r="G7" s="87">
        <v>40954.808800000006</v>
      </c>
      <c r="H7" s="30">
        <v>-3.4199302064718107E-2</v>
      </c>
      <c r="I7" s="510">
        <v>1.8810848826073423E-2</v>
      </c>
      <c r="J7" s="103">
        <v>0.30067935025984038</v>
      </c>
      <c r="K7" s="509"/>
      <c r="L7" s="23" t="s">
        <v>25</v>
      </c>
      <c r="M7" s="24">
        <v>871450</v>
      </c>
    </row>
    <row r="8" spans="1:15" ht="12" thickBot="1">
      <c r="B8" s="483">
        <v>4</v>
      </c>
      <c r="C8" s="484" t="s">
        <v>26</v>
      </c>
      <c r="D8" s="85">
        <v>62286.268100000001</v>
      </c>
      <c r="E8" s="86">
        <v>67766.707715849538</v>
      </c>
      <c r="F8" s="87">
        <v>64240.711300000003</v>
      </c>
      <c r="G8" s="87">
        <v>54512.0236</v>
      </c>
      <c r="H8" s="30">
        <v>-8.0872153902317279E-2</v>
      </c>
      <c r="I8" s="510">
        <v>-3.0423747814261826E-2</v>
      </c>
      <c r="J8" s="103">
        <v>0.17846865805950385</v>
      </c>
      <c r="K8" s="509"/>
      <c r="L8" s="33"/>
      <c r="M8" s="34"/>
    </row>
    <row r="9" spans="1:15">
      <c r="B9" s="483">
        <v>5</v>
      </c>
      <c r="C9" s="484" t="s">
        <v>27</v>
      </c>
      <c r="D9" s="85">
        <v>80014.520399999994</v>
      </c>
      <c r="E9" s="86">
        <v>87398.851570275088</v>
      </c>
      <c r="F9" s="87">
        <v>82851.367299999998</v>
      </c>
      <c r="G9" s="87">
        <v>73070.362899999993</v>
      </c>
      <c r="H9" s="30">
        <v>-8.4490025184570605E-2</v>
      </c>
      <c r="I9" s="510">
        <v>-3.4240194126524792E-2</v>
      </c>
      <c r="J9" s="103">
        <v>0.13385733985454196</v>
      </c>
      <c r="K9" s="509"/>
      <c r="L9" s="35"/>
    </row>
    <row r="10" spans="1:15" ht="12" thickBot="1">
      <c r="B10" s="483">
        <v>6</v>
      </c>
      <c r="C10" s="484" t="s">
        <v>28</v>
      </c>
      <c r="D10" s="85">
        <v>86508.202399999995</v>
      </c>
      <c r="E10" s="86">
        <v>90428.434921850829</v>
      </c>
      <c r="F10" s="87">
        <v>85723.317200000005</v>
      </c>
      <c r="G10" s="87">
        <v>80706.307799999995</v>
      </c>
      <c r="H10" s="30">
        <v>-4.3351767895117743E-2</v>
      </c>
      <c r="I10" s="510">
        <v>9.1560292536134735E-3</v>
      </c>
      <c r="J10" s="103">
        <v>6.2163782940396262E-2</v>
      </c>
      <c r="K10" s="509"/>
      <c r="L10" s="35"/>
    </row>
    <row r="11" spans="1:15">
      <c r="B11" s="483">
        <v>7</v>
      </c>
      <c r="C11" s="484" t="s">
        <v>29</v>
      </c>
      <c r="D11" s="85">
        <v>97661.848400000003</v>
      </c>
      <c r="E11" s="86">
        <v>104431.44350913462</v>
      </c>
      <c r="F11" s="87">
        <v>98997.729700000011</v>
      </c>
      <c r="G11" s="87">
        <v>90078.376300000004</v>
      </c>
      <c r="H11" s="30">
        <v>-6.4823341339167451E-2</v>
      </c>
      <c r="I11" s="510">
        <v>-1.3494059955195148E-2</v>
      </c>
      <c r="J11" s="103">
        <v>9.901769732499055E-2</v>
      </c>
      <c r="K11" s="509"/>
      <c r="L11" s="36" t="s">
        <v>30</v>
      </c>
      <c r="M11" s="486">
        <v>917937</v>
      </c>
    </row>
    <row r="12" spans="1:15" ht="12" thickBot="1">
      <c r="B12" s="483">
        <v>8</v>
      </c>
      <c r="C12" s="484" t="s">
        <v>31</v>
      </c>
      <c r="D12" s="85">
        <v>98999.059800000003</v>
      </c>
      <c r="E12" s="86">
        <v>109018.23866501014</v>
      </c>
      <c r="F12" s="87">
        <v>103345.86750000001</v>
      </c>
      <c r="G12" s="87">
        <v>92706.682499999995</v>
      </c>
      <c r="H12" s="30">
        <v>-9.190369416806432E-2</v>
      </c>
      <c r="I12" s="510">
        <v>-4.2060779063081588E-2</v>
      </c>
      <c r="J12" s="103">
        <v>0.1147617918481767</v>
      </c>
      <c r="K12" s="509"/>
      <c r="L12" s="38" t="s">
        <v>32</v>
      </c>
      <c r="M12" s="39">
        <v>-5.0642909044956275E-2</v>
      </c>
    </row>
    <row r="13" spans="1:15" ht="12" thickBot="1">
      <c r="B13" s="483">
        <v>9</v>
      </c>
      <c r="C13" s="484" t="s">
        <v>33</v>
      </c>
      <c r="D13" s="85">
        <v>91341.061700000006</v>
      </c>
      <c r="E13" s="86">
        <v>94607.14114056711</v>
      </c>
      <c r="F13" s="87">
        <v>89684.599499999997</v>
      </c>
      <c r="G13" s="87">
        <v>80761.622400000007</v>
      </c>
      <c r="H13" s="30">
        <v>-3.4522546619545014E-2</v>
      </c>
      <c r="I13" s="510">
        <v>1.8469862264367976E-2</v>
      </c>
      <c r="J13" s="103">
        <v>0.11048536216627558</v>
      </c>
      <c r="K13" s="509"/>
      <c r="L13" s="40"/>
    </row>
    <row r="14" spans="1:15">
      <c r="B14" s="483">
        <v>10</v>
      </c>
      <c r="C14" s="484" t="s">
        <v>34</v>
      </c>
      <c r="D14" s="85">
        <v>83639.541600000011</v>
      </c>
      <c r="E14" s="86">
        <v>85028.498384625491</v>
      </c>
      <c r="F14" s="87">
        <v>80604.346900000004</v>
      </c>
      <c r="G14" s="87">
        <v>83949.626600000003</v>
      </c>
      <c r="H14" s="30">
        <v>-1.6335191271314109E-2</v>
      </c>
      <c r="I14" s="510">
        <v>3.7655471655462458E-2</v>
      </c>
      <c r="J14" s="103">
        <v>-3.9848654907537084E-2</v>
      </c>
      <c r="K14" s="509"/>
      <c r="L14" s="36" t="s">
        <v>35</v>
      </c>
      <c r="M14" s="503">
        <v>870175.45630000008</v>
      </c>
    </row>
    <row r="15" spans="1:15" ht="12" thickBot="1">
      <c r="B15" s="483">
        <v>11</v>
      </c>
      <c r="C15" s="484" t="s">
        <v>36</v>
      </c>
      <c r="D15" s="85" t="s">
        <v>41</v>
      </c>
      <c r="E15" s="86">
        <v>59544.850506174407</v>
      </c>
      <c r="F15" s="87">
        <v>56446.648800000003</v>
      </c>
      <c r="G15" s="87">
        <v>57761.988699999994</v>
      </c>
      <c r="H15" s="30" t="s">
        <v>41</v>
      </c>
      <c r="I15" s="510" t="s">
        <v>41</v>
      </c>
      <c r="J15" s="103">
        <v>-2.2771721154399849E-2</v>
      </c>
      <c r="K15" s="509"/>
      <c r="L15" s="38" t="s">
        <v>37</v>
      </c>
      <c r="M15" s="504">
        <v>1.4646973673784203E-3</v>
      </c>
    </row>
    <row r="16" spans="1:15" ht="12" thickBot="1">
      <c r="B16" s="487">
        <v>12</v>
      </c>
      <c r="C16" s="488" t="s">
        <v>38</v>
      </c>
      <c r="D16" s="85" t="s">
        <v>41</v>
      </c>
      <c r="E16" s="86">
        <v>61429.840676490123</v>
      </c>
      <c r="F16" s="87">
        <v>58233.560299999997</v>
      </c>
      <c r="G16" s="87">
        <v>54809.525600000001</v>
      </c>
      <c r="H16" s="30" t="s">
        <v>41</v>
      </c>
      <c r="I16" s="510" t="s">
        <v>41</v>
      </c>
      <c r="J16" s="103">
        <v>6.2471525934900463E-2</v>
      </c>
      <c r="K16" s="509"/>
      <c r="L16" s="38" t="s">
        <v>39</v>
      </c>
      <c r="M16" s="504">
        <v>5.4887256764380332E-2</v>
      </c>
    </row>
    <row r="17" spans="1:14" ht="13.5" thickBot="1">
      <c r="B17" s="489" t="s">
        <v>40</v>
      </c>
      <c r="C17" s="490"/>
      <c r="D17" s="47">
        <v>755760.32809999993</v>
      </c>
      <c r="E17" s="491">
        <v>917937</v>
      </c>
      <c r="F17" s="492">
        <v>870175.45630000008</v>
      </c>
      <c r="G17" s="492">
        <v>782869.72169999999</v>
      </c>
      <c r="H17" s="50">
        <v>-5.1698782064710125E-2</v>
      </c>
      <c r="I17" s="511">
        <v>3.5087037407888211E-4</v>
      </c>
      <c r="J17" s="505">
        <v>0.11152013186870469</v>
      </c>
      <c r="K17" s="509"/>
      <c r="L17" s="467"/>
      <c r="M17" s="493"/>
      <c r="N17" s="493"/>
    </row>
    <row r="18" spans="1:14">
      <c r="A18" s="494"/>
      <c r="B18" s="506"/>
      <c r="D18" s="496"/>
      <c r="E18" s="496"/>
      <c r="F18" s="496"/>
      <c r="G18" s="59"/>
      <c r="H18" s="59"/>
      <c r="I18" s="59"/>
      <c r="J18" s="59"/>
      <c r="K18" s="502"/>
    </row>
    <row r="19" spans="1:14">
      <c r="G19" s="512"/>
      <c r="H19" s="512"/>
      <c r="I19" s="512"/>
      <c r="J19" s="512"/>
    </row>
  </sheetData>
  <mergeCells count="1">
    <mergeCell ref="B3:C3"/>
  </mergeCells>
  <printOptions horizontalCentered="1" verticalCentered="1"/>
  <pageMargins left="0.39370078740157483" right="0.39370078740157483" top="0" bottom="0.15748031496062992" header="0.19685039370078741" footer="0.19685039370078741"/>
  <pageSetup paperSize="9" scale="96" pageOrder="overThenDown" orientation="landscape" r:id="rId1"/>
  <headerFooter alignWithMargins="0">
    <oddHeader>&amp;C&amp;"Tahoma,Bold"Monthly follow-up of total service units - 2016</oddHead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N19"/>
  <sheetViews>
    <sheetView workbookViewId="0">
      <selection activeCell="L55" sqref="L55"/>
    </sheetView>
  </sheetViews>
  <sheetFormatPr defaultRowHeight="11.25"/>
  <cols>
    <col min="1" max="2" width="2.85546875" style="472" bestFit="1" customWidth="1"/>
    <col min="3" max="3" width="14" style="472" customWidth="1"/>
    <col min="4" max="10" width="9.7109375" style="472" customWidth="1"/>
    <col min="11" max="11" width="2.42578125" style="472" customWidth="1"/>
    <col min="12" max="12" width="33.7109375" style="472" customWidth="1"/>
    <col min="13" max="13" width="12.28515625" style="472" customWidth="1"/>
    <col min="14" max="14" width="31.42578125" style="472" customWidth="1"/>
    <col min="15" max="15" width="12.5703125" style="472" customWidth="1"/>
    <col min="16" max="16384" width="9.140625" style="472"/>
  </cols>
  <sheetData>
    <row r="1" spans="1:14" s="467" customFormat="1" ht="13.5" thickBot="1">
      <c r="B1" s="2" t="s">
        <v>0</v>
      </c>
      <c r="C1" s="2"/>
      <c r="D1" s="468" t="s">
        <v>82</v>
      </c>
      <c r="K1" s="470"/>
      <c r="L1" s="469" t="s">
        <v>2</v>
      </c>
      <c r="M1" s="470">
        <v>42688</v>
      </c>
    </row>
    <row r="2" spans="1:14" ht="8.25" customHeight="1" thickBot="1">
      <c r="A2" s="471"/>
      <c r="C2" s="471"/>
      <c r="K2" s="467"/>
      <c r="L2" s="467"/>
      <c r="M2" s="473"/>
      <c r="N2" s="473"/>
    </row>
    <row r="3" spans="1:14" s="477" customFormat="1" ht="33.75" customHeight="1">
      <c r="A3" s="497"/>
      <c r="B3" s="564" t="s">
        <v>3</v>
      </c>
      <c r="C3" s="565"/>
      <c r="D3" s="12" t="s">
        <v>4</v>
      </c>
      <c r="E3" s="12" t="s">
        <v>5</v>
      </c>
      <c r="F3" s="12" t="s">
        <v>6</v>
      </c>
      <c r="G3" s="12" t="s">
        <v>7</v>
      </c>
      <c r="H3" s="13" t="s">
        <v>8</v>
      </c>
      <c r="I3" s="12" t="s">
        <v>9</v>
      </c>
      <c r="J3" s="14" t="s">
        <v>10</v>
      </c>
      <c r="K3" s="476"/>
      <c r="L3" s="16" t="s">
        <v>11</v>
      </c>
      <c r="M3" s="513">
        <v>106332</v>
      </c>
    </row>
    <row r="4" spans="1:14" s="478" customFormat="1" ht="11.85" customHeight="1">
      <c r="B4" s="479"/>
      <c r="C4" s="480"/>
      <c r="D4" s="481" t="s">
        <v>12</v>
      </c>
      <c r="E4" s="481" t="s">
        <v>13</v>
      </c>
      <c r="F4" s="481" t="s">
        <v>14</v>
      </c>
      <c r="G4" s="481" t="s">
        <v>15</v>
      </c>
      <c r="H4" s="481" t="s">
        <v>16</v>
      </c>
      <c r="I4" s="481" t="s">
        <v>17</v>
      </c>
      <c r="J4" s="482" t="s">
        <v>18</v>
      </c>
      <c r="L4" s="23" t="s">
        <v>19</v>
      </c>
      <c r="M4" s="24">
        <v>147317</v>
      </c>
    </row>
    <row r="5" spans="1:14">
      <c r="B5" s="483">
        <v>1</v>
      </c>
      <c r="C5" s="484" t="s">
        <v>20</v>
      </c>
      <c r="D5" s="85">
        <v>8306.6864000000005</v>
      </c>
      <c r="E5" s="86">
        <v>11515.455260670571</v>
      </c>
      <c r="F5" s="514">
        <v>10719.672500000001</v>
      </c>
      <c r="G5" s="515">
        <v>14097.859700000001</v>
      </c>
      <c r="H5" s="516">
        <v>-0.278648892990768</v>
      </c>
      <c r="I5" s="516">
        <v>-0.22509886379457955</v>
      </c>
      <c r="J5" s="103">
        <v>-0.23962411826243379</v>
      </c>
      <c r="L5" s="23" t="s">
        <v>21</v>
      </c>
      <c r="M5" s="24">
        <v>112631</v>
      </c>
    </row>
    <row r="6" spans="1:14">
      <c r="B6" s="483">
        <v>2</v>
      </c>
      <c r="C6" s="484" t="s">
        <v>22</v>
      </c>
      <c r="D6" s="85">
        <v>7752.8139000000001</v>
      </c>
      <c r="E6" s="86">
        <v>10534.851201954767</v>
      </c>
      <c r="F6" s="514">
        <v>9806.833700000001</v>
      </c>
      <c r="G6" s="515">
        <v>12126.347299999999</v>
      </c>
      <c r="H6" s="516">
        <v>-0.26407941114902056</v>
      </c>
      <c r="I6" s="516">
        <v>-0.20944780576833899</v>
      </c>
      <c r="J6" s="103">
        <v>-0.19127883629062792</v>
      </c>
      <c r="L6" s="23" t="s">
        <v>23</v>
      </c>
      <c r="M6" s="24">
        <v>107060</v>
      </c>
    </row>
    <row r="7" spans="1:14">
      <c r="B7" s="483">
        <v>3</v>
      </c>
      <c r="C7" s="484" t="s">
        <v>24</v>
      </c>
      <c r="D7" s="85">
        <v>9118.8153000000002</v>
      </c>
      <c r="E7" s="86">
        <v>11939.279930381694</v>
      </c>
      <c r="F7" s="514">
        <v>11114.208499999999</v>
      </c>
      <c r="G7" s="515">
        <v>13693.184300000001</v>
      </c>
      <c r="H7" s="516">
        <v>-0.23623406493757659</v>
      </c>
      <c r="I7" s="516">
        <v>-0.1795353398309919</v>
      </c>
      <c r="J7" s="103">
        <v>-0.18834010727512096</v>
      </c>
      <c r="L7" s="23" t="s">
        <v>25</v>
      </c>
      <c r="M7" s="24">
        <v>106332</v>
      </c>
    </row>
    <row r="8" spans="1:14" ht="12" thickBot="1">
      <c r="B8" s="483">
        <v>4</v>
      </c>
      <c r="C8" s="484" t="s">
        <v>26</v>
      </c>
      <c r="D8" s="85">
        <v>4173.7564999999995</v>
      </c>
      <c r="E8" s="86">
        <v>10412.104407727438</v>
      </c>
      <c r="F8" s="514">
        <v>9692.5694000000003</v>
      </c>
      <c r="G8" s="515">
        <v>11793.313399999999</v>
      </c>
      <c r="H8" s="516">
        <v>-0.59914381026544372</v>
      </c>
      <c r="I8" s="516">
        <v>-0.56938595662776481</v>
      </c>
      <c r="J8" s="103">
        <v>-0.17813009192141027</v>
      </c>
      <c r="L8" s="33"/>
      <c r="M8" s="34"/>
    </row>
    <row r="9" spans="1:14">
      <c r="B9" s="483">
        <v>5</v>
      </c>
      <c r="C9" s="484" t="s">
        <v>27</v>
      </c>
      <c r="D9" s="85">
        <v>5033.4596000000001</v>
      </c>
      <c r="E9" s="86">
        <v>9617.7032148827093</v>
      </c>
      <c r="F9" s="514">
        <v>8953.0658000000003</v>
      </c>
      <c r="G9" s="515">
        <v>11049.9452</v>
      </c>
      <c r="H9" s="516">
        <v>-0.47664640012897463</v>
      </c>
      <c r="I9" s="516">
        <v>-0.43779486128651035</v>
      </c>
      <c r="J9" s="103">
        <v>-0.18976378271993599</v>
      </c>
      <c r="L9" s="35"/>
      <c r="M9" s="467"/>
    </row>
    <row r="10" spans="1:14" ht="12" thickBot="1">
      <c r="B10" s="483">
        <v>6</v>
      </c>
      <c r="C10" s="484" t="s">
        <v>28</v>
      </c>
      <c r="D10" s="85">
        <v>6981.4447</v>
      </c>
      <c r="E10" s="86">
        <v>10663.84328047123</v>
      </c>
      <c r="F10" s="514">
        <v>9926.9117000000006</v>
      </c>
      <c r="G10" s="515">
        <v>11472.4732</v>
      </c>
      <c r="H10" s="516">
        <v>-0.34531626953059524</v>
      </c>
      <c r="I10" s="516">
        <v>-0.29671534199301886</v>
      </c>
      <c r="J10" s="103">
        <v>-0.13471912054673618</v>
      </c>
      <c r="L10" s="35"/>
      <c r="M10" s="467"/>
    </row>
    <row r="11" spans="1:14">
      <c r="B11" s="483">
        <v>7</v>
      </c>
      <c r="C11" s="484" t="s">
        <v>29</v>
      </c>
      <c r="D11" s="85">
        <v>9571.7823000000008</v>
      </c>
      <c r="E11" s="86">
        <v>12926.241745868032</v>
      </c>
      <c r="F11" s="514">
        <v>12032.965700000001</v>
      </c>
      <c r="G11" s="515">
        <v>11387.536100000001</v>
      </c>
      <c r="H11" s="516">
        <v>-0.25950771398347927</v>
      </c>
      <c r="I11" s="516">
        <v>-0.20453672530621436</v>
      </c>
      <c r="J11" s="103">
        <v>5.6678599684087949E-2</v>
      </c>
      <c r="L11" s="36" t="s">
        <v>30</v>
      </c>
      <c r="M11" s="486">
        <v>135000.00000000003</v>
      </c>
    </row>
    <row r="12" spans="1:14" ht="12" thickBot="1">
      <c r="B12" s="483">
        <v>8</v>
      </c>
      <c r="C12" s="484" t="s">
        <v>31</v>
      </c>
      <c r="D12" s="85">
        <v>12909.008699999998</v>
      </c>
      <c r="E12" s="86">
        <v>13854.416547906658</v>
      </c>
      <c r="F12" s="514">
        <v>12896.9984</v>
      </c>
      <c r="G12" s="515">
        <v>11429.2212</v>
      </c>
      <c r="H12" s="516">
        <v>-6.8238734170982251E-2</v>
      </c>
      <c r="I12" s="516">
        <v>9.312476924860924E-4</v>
      </c>
      <c r="J12" s="103">
        <v>0.12842320349876513</v>
      </c>
      <c r="L12" s="38" t="s">
        <v>32</v>
      </c>
      <c r="M12" s="39">
        <v>-0.21235555555555574</v>
      </c>
    </row>
    <row r="13" spans="1:14" ht="12" thickBot="1">
      <c r="B13" s="483">
        <v>9</v>
      </c>
      <c r="C13" s="484" t="s">
        <v>33</v>
      </c>
      <c r="D13" s="85">
        <v>12921.2178</v>
      </c>
      <c r="E13" s="86">
        <v>11314.095358281264</v>
      </c>
      <c r="F13" s="514">
        <v>10532.227699999999</v>
      </c>
      <c r="G13" s="515">
        <v>10635.0996</v>
      </c>
      <c r="H13" s="516">
        <v>0.14204603999049881</v>
      </c>
      <c r="I13" s="516">
        <v>0.22682666649905414</v>
      </c>
      <c r="J13" s="103">
        <v>-9.6728666274079611E-3</v>
      </c>
      <c r="L13" s="40"/>
    </row>
    <row r="14" spans="1:14">
      <c r="B14" s="483">
        <v>10</v>
      </c>
      <c r="C14" s="484" t="s">
        <v>34</v>
      </c>
      <c r="D14" s="85">
        <v>11766.697700000001</v>
      </c>
      <c r="E14" s="86">
        <v>10728.06861232439</v>
      </c>
      <c r="F14" s="514">
        <v>9986.698699999999</v>
      </c>
      <c r="G14" s="515">
        <v>11503.460200000001</v>
      </c>
      <c r="H14" s="516">
        <v>9.6814172728391545E-2</v>
      </c>
      <c r="I14" s="516">
        <v>0.17823697835201546</v>
      </c>
      <c r="J14" s="103">
        <v>-0.13185263161079153</v>
      </c>
      <c r="L14" s="36" t="s">
        <v>35</v>
      </c>
      <c r="M14" s="503">
        <v>125670.74029999999</v>
      </c>
    </row>
    <row r="15" spans="1:14" ht="12" thickBot="1">
      <c r="B15" s="483">
        <v>11</v>
      </c>
      <c r="C15" s="484" t="s">
        <v>36</v>
      </c>
      <c r="D15" s="85" t="s">
        <v>41</v>
      </c>
      <c r="E15" s="86">
        <v>10406.726461370263</v>
      </c>
      <c r="F15" s="514">
        <v>9687.5631000000012</v>
      </c>
      <c r="G15" s="515">
        <v>11311.1468</v>
      </c>
      <c r="H15" s="516" t="s">
        <v>41</v>
      </c>
      <c r="I15" s="516" t="s">
        <v>41</v>
      </c>
      <c r="J15" s="103">
        <v>-0.14353838109500971</v>
      </c>
      <c r="L15" s="38" t="s">
        <v>37</v>
      </c>
      <c r="M15" s="504">
        <v>-0.15388419176838408</v>
      </c>
    </row>
    <row r="16" spans="1:14" ht="12" thickBot="1">
      <c r="B16" s="487">
        <v>12</v>
      </c>
      <c r="C16" s="488" t="s">
        <v>38</v>
      </c>
      <c r="D16" s="517" t="s">
        <v>41</v>
      </c>
      <c r="E16" s="518">
        <v>11087.213978160993</v>
      </c>
      <c r="F16" s="514">
        <v>10321.025100000001</v>
      </c>
      <c r="G16" s="515">
        <v>11978.030700000001</v>
      </c>
      <c r="H16" s="519" t="s">
        <v>41</v>
      </c>
      <c r="I16" s="519" t="s">
        <v>41</v>
      </c>
      <c r="J16" s="520">
        <v>-0.13833706403841495</v>
      </c>
      <c r="L16" s="38" t="s">
        <v>39</v>
      </c>
      <c r="M16" s="504">
        <v>7.4235734409850096E-2</v>
      </c>
    </row>
    <row r="17" spans="1:14" ht="13.5" thickBot="1">
      <c r="B17" s="521" t="s">
        <v>40</v>
      </c>
      <c r="C17" s="522"/>
      <c r="D17" s="47">
        <v>88535.6829</v>
      </c>
      <c r="E17" s="491">
        <v>135000.00000000003</v>
      </c>
      <c r="F17" s="492">
        <v>125670.74029999999</v>
      </c>
      <c r="G17" s="523">
        <v>142477.6177</v>
      </c>
      <c r="H17" s="511">
        <v>-0.21999157364075483</v>
      </c>
      <c r="I17" s="524">
        <v>-0.16208707526410482</v>
      </c>
      <c r="J17" s="525">
        <v>-0.11796152737048471</v>
      </c>
      <c r="L17" s="493"/>
      <c r="M17" s="467"/>
      <c r="N17" s="493"/>
    </row>
    <row r="18" spans="1:14">
      <c r="A18" s="494"/>
      <c r="B18" s="506"/>
      <c r="D18" s="496"/>
      <c r="E18" s="496"/>
      <c r="F18" s="496"/>
      <c r="G18" s="59"/>
      <c r="H18" s="59"/>
      <c r="I18" s="59"/>
      <c r="J18" s="59"/>
      <c r="K18" s="59"/>
      <c r="L18" s="502"/>
    </row>
    <row r="19" spans="1:14">
      <c r="G19" s="502"/>
      <c r="H19" s="502"/>
      <c r="I19" s="502"/>
      <c r="J19" s="502"/>
      <c r="K19" s="502"/>
      <c r="L19" s="502"/>
    </row>
  </sheetData>
  <mergeCells count="1">
    <mergeCell ref="B3:C3"/>
  </mergeCells>
  <printOptions horizontalCentered="1" verticalCentered="1"/>
  <pageMargins left="0.39370078740157483" right="0.39370078740157483" top="0" bottom="0.15748031496062992" header="0.19685039370078741" footer="0.19685039370078741"/>
  <pageSetup paperSize="9" pageOrder="overThenDown" orientation="landscape" r:id="rId1"/>
  <headerFooter alignWithMargins="0">
    <oddHeader>&amp;C&amp;"Tahoma,Bold"Monthly follow-up of total service units - 2016</oddHead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N19"/>
  <sheetViews>
    <sheetView workbookViewId="0">
      <selection activeCell="M54" sqref="M54"/>
    </sheetView>
  </sheetViews>
  <sheetFormatPr defaultRowHeight="11.25"/>
  <cols>
    <col min="1" max="2" width="2.85546875" style="472" bestFit="1" customWidth="1"/>
    <col min="3" max="3" width="14" style="472" customWidth="1"/>
    <col min="4" max="5" width="11.42578125" style="472" customWidth="1"/>
    <col min="6" max="10" width="9.7109375" style="472" customWidth="1"/>
    <col min="11" max="11" width="2.42578125" style="472" customWidth="1"/>
    <col min="12" max="12" width="32.28515625" style="472" customWidth="1"/>
    <col min="13" max="13" width="12.28515625" style="472" customWidth="1"/>
    <col min="14" max="14" width="31.42578125" style="472" customWidth="1"/>
    <col min="15" max="15" width="12.5703125" style="472" customWidth="1"/>
    <col min="16" max="16384" width="9.140625" style="472"/>
  </cols>
  <sheetData>
    <row r="1" spans="1:14" s="467" customFormat="1" ht="13.5" thickBot="1">
      <c r="B1" s="2" t="s">
        <v>0</v>
      </c>
      <c r="C1" s="2"/>
      <c r="D1" s="468" t="s">
        <v>83</v>
      </c>
      <c r="K1" s="470"/>
      <c r="L1" s="469" t="s">
        <v>2</v>
      </c>
      <c r="M1" s="470">
        <v>42688</v>
      </c>
    </row>
    <row r="2" spans="1:14" ht="8.25" customHeight="1" thickBot="1">
      <c r="A2" s="471"/>
      <c r="C2" s="471"/>
      <c r="K2" s="467"/>
      <c r="L2" s="467"/>
      <c r="M2" s="473"/>
      <c r="N2" s="473"/>
    </row>
    <row r="3" spans="1:14" s="477" customFormat="1" ht="33.75" customHeight="1">
      <c r="A3" s="497"/>
      <c r="B3" s="564" t="s">
        <v>3</v>
      </c>
      <c r="C3" s="565"/>
      <c r="D3" s="12" t="s">
        <v>4</v>
      </c>
      <c r="E3" s="12" t="s">
        <v>5</v>
      </c>
      <c r="F3" s="12" t="s">
        <v>6</v>
      </c>
      <c r="G3" s="12" t="s">
        <v>7</v>
      </c>
      <c r="H3" s="13" t="s">
        <v>8</v>
      </c>
      <c r="I3" s="12" t="s">
        <v>9</v>
      </c>
      <c r="J3" s="14" t="s">
        <v>10</v>
      </c>
      <c r="K3" s="476"/>
      <c r="L3" s="16" t="s">
        <v>11</v>
      </c>
      <c r="M3" s="513">
        <v>2116910</v>
      </c>
    </row>
    <row r="4" spans="1:14" s="478" customFormat="1" ht="11.85" customHeight="1">
      <c r="B4" s="479"/>
      <c r="C4" s="480"/>
      <c r="D4" s="481" t="s">
        <v>12</v>
      </c>
      <c r="E4" s="481" t="s">
        <v>13</v>
      </c>
      <c r="F4" s="481" t="s">
        <v>14</v>
      </c>
      <c r="G4" s="481" t="s">
        <v>15</v>
      </c>
      <c r="H4" s="507" t="s">
        <v>16</v>
      </c>
      <c r="I4" s="526" t="s">
        <v>17</v>
      </c>
      <c r="J4" s="508" t="s">
        <v>18</v>
      </c>
      <c r="L4" s="23" t="s">
        <v>19</v>
      </c>
      <c r="M4" s="24">
        <v>2135510</v>
      </c>
    </row>
    <row r="5" spans="1:14">
      <c r="B5" s="483">
        <v>1</v>
      </c>
      <c r="C5" s="484" t="s">
        <v>20</v>
      </c>
      <c r="D5" s="85">
        <v>114866.5594</v>
      </c>
      <c r="E5" s="86">
        <v>105072.6350252273</v>
      </c>
      <c r="F5" s="87">
        <v>102829.49010000001</v>
      </c>
      <c r="G5" s="515">
        <v>85911.651899999997</v>
      </c>
      <c r="H5" s="30">
        <v>9.3210990401270788E-2</v>
      </c>
      <c r="I5" s="30">
        <v>0.11705853338662031</v>
      </c>
      <c r="J5" s="103">
        <v>0.19692134682373652</v>
      </c>
      <c r="L5" s="23" t="s">
        <v>21</v>
      </c>
      <c r="M5" s="24">
        <v>2036465</v>
      </c>
    </row>
    <row r="6" spans="1:14">
      <c r="B6" s="483">
        <v>2</v>
      </c>
      <c r="C6" s="484" t="s">
        <v>22</v>
      </c>
      <c r="D6" s="85">
        <v>107242.64939999999</v>
      </c>
      <c r="E6" s="86">
        <v>95163.608505035838</v>
      </c>
      <c r="F6" s="87">
        <v>93132.006599999993</v>
      </c>
      <c r="G6" s="515">
        <v>79392.852599999998</v>
      </c>
      <c r="H6" s="30">
        <v>0.12692920208385083</v>
      </c>
      <c r="I6" s="510">
        <v>0.15151228149313822</v>
      </c>
      <c r="J6" s="103">
        <v>0.17305278183190009</v>
      </c>
      <c r="L6" s="23" t="s">
        <v>23</v>
      </c>
      <c r="M6" s="24">
        <v>2083295</v>
      </c>
    </row>
    <row r="7" spans="1:14">
      <c r="B7" s="483">
        <v>3</v>
      </c>
      <c r="C7" s="484" t="s">
        <v>24</v>
      </c>
      <c r="D7" s="85">
        <v>125019.45080000001</v>
      </c>
      <c r="E7" s="86">
        <v>114364.16776909535</v>
      </c>
      <c r="F7" s="87">
        <v>111922.6624</v>
      </c>
      <c r="G7" s="515">
        <v>95269.689499999993</v>
      </c>
      <c r="H7" s="30">
        <v>9.3169768457704194E-2</v>
      </c>
      <c r="I7" s="510">
        <v>0.11701641221858572</v>
      </c>
      <c r="J7" s="103">
        <v>0.17479822792956634</v>
      </c>
      <c r="L7" s="23" t="s">
        <v>25</v>
      </c>
      <c r="M7" s="24">
        <v>2116910</v>
      </c>
    </row>
    <row r="8" spans="1:14" ht="12" thickBot="1">
      <c r="B8" s="483">
        <v>4</v>
      </c>
      <c r="C8" s="484" t="s">
        <v>26</v>
      </c>
      <c r="D8" s="85">
        <v>143844.0735</v>
      </c>
      <c r="E8" s="86">
        <v>138656.60436240322</v>
      </c>
      <c r="F8" s="87">
        <v>135696.4915</v>
      </c>
      <c r="G8" s="515">
        <v>118786.1845</v>
      </c>
      <c r="H8" s="30">
        <v>3.7412348019416619E-2</v>
      </c>
      <c r="I8" s="510">
        <v>6.0042687249581395E-2</v>
      </c>
      <c r="J8" s="103">
        <v>0.14235920676448699</v>
      </c>
      <c r="L8" s="33"/>
      <c r="M8" s="34"/>
    </row>
    <row r="9" spans="1:14">
      <c r="B9" s="483">
        <v>5</v>
      </c>
      <c r="C9" s="484" t="s">
        <v>27</v>
      </c>
      <c r="D9" s="85">
        <v>195936.02540000001</v>
      </c>
      <c r="E9" s="86">
        <v>186660.07414869775</v>
      </c>
      <c r="F9" s="87">
        <v>182675.15839999999</v>
      </c>
      <c r="G9" s="515">
        <v>161799.8443</v>
      </c>
      <c r="H9" s="30">
        <v>4.9694351047524066E-2</v>
      </c>
      <c r="I9" s="510">
        <v>7.2592612570577142E-2</v>
      </c>
      <c r="J9" s="103">
        <v>0.12901937075597036</v>
      </c>
      <c r="L9" s="35"/>
      <c r="M9" s="467"/>
    </row>
    <row r="10" spans="1:14" ht="12" thickBot="1">
      <c r="B10" s="483">
        <v>6</v>
      </c>
      <c r="C10" s="484" t="s">
        <v>28</v>
      </c>
      <c r="D10" s="85">
        <v>223854.315</v>
      </c>
      <c r="E10" s="86">
        <v>219828.23509337666</v>
      </c>
      <c r="F10" s="87">
        <v>215135.22829999999</v>
      </c>
      <c r="G10" s="515">
        <v>188208.42140000002</v>
      </c>
      <c r="H10" s="30">
        <v>1.8314662376801571E-2</v>
      </c>
      <c r="I10" s="510">
        <v>4.0528400526953723E-2</v>
      </c>
      <c r="J10" s="103">
        <v>0.14306908638680049</v>
      </c>
      <c r="L10" s="35"/>
      <c r="M10" s="467"/>
    </row>
    <row r="11" spans="1:14">
      <c r="B11" s="483">
        <v>7</v>
      </c>
      <c r="C11" s="484" t="s">
        <v>29</v>
      </c>
      <c r="D11" s="85">
        <v>262208.38660000003</v>
      </c>
      <c r="E11" s="86">
        <v>254430.72319562818</v>
      </c>
      <c r="F11" s="87">
        <v>248999.00459999999</v>
      </c>
      <c r="G11" s="515">
        <v>216451.03340000001</v>
      </c>
      <c r="H11" s="30">
        <v>3.056888455405482E-2</v>
      </c>
      <c r="I11" s="510">
        <v>5.3049938979555344E-2</v>
      </c>
      <c r="J11" s="103">
        <v>0.15037105939730733</v>
      </c>
      <c r="L11" s="36" t="s">
        <v>30</v>
      </c>
      <c r="M11" s="486">
        <v>2017943.9999999998</v>
      </c>
    </row>
    <row r="12" spans="1:14" ht="12" thickBot="1">
      <c r="B12" s="483">
        <v>8</v>
      </c>
      <c r="C12" s="484" t="s">
        <v>31</v>
      </c>
      <c r="D12" s="85">
        <v>263222.33590000001</v>
      </c>
      <c r="E12" s="86">
        <v>259284.56553078082</v>
      </c>
      <c r="F12" s="87">
        <v>253749.22460000002</v>
      </c>
      <c r="G12" s="515">
        <v>230322.7708</v>
      </c>
      <c r="H12" s="30">
        <v>1.5187060445183809E-2</v>
      </c>
      <c r="I12" s="510">
        <v>3.7332572404636943E-2</v>
      </c>
      <c r="J12" s="103">
        <v>0.10171141011646778</v>
      </c>
      <c r="L12" s="38" t="s">
        <v>32</v>
      </c>
      <c r="M12" s="39">
        <v>4.9042986326677251E-2</v>
      </c>
    </row>
    <row r="13" spans="1:14" ht="12" thickBot="1">
      <c r="B13" s="483">
        <v>9</v>
      </c>
      <c r="C13" s="484" t="s">
        <v>33</v>
      </c>
      <c r="D13" s="85">
        <v>239173.6519</v>
      </c>
      <c r="E13" s="86">
        <v>221592.24549935153</v>
      </c>
      <c r="F13" s="87">
        <v>216861.5797</v>
      </c>
      <c r="G13" s="515">
        <v>199676.8002</v>
      </c>
      <c r="H13" s="30">
        <v>7.9341252944250318E-2</v>
      </c>
      <c r="I13" s="510">
        <v>0.10288623845157763</v>
      </c>
      <c r="J13" s="103">
        <v>8.6062975181830925E-2</v>
      </c>
      <c r="L13" s="40"/>
    </row>
    <row r="14" spans="1:14">
      <c r="B14" s="483">
        <v>10</v>
      </c>
      <c r="C14" s="484" t="s">
        <v>34</v>
      </c>
      <c r="D14" s="85">
        <v>206787.3475</v>
      </c>
      <c r="E14" s="86">
        <v>186308.56729876937</v>
      </c>
      <c r="F14" s="87">
        <v>182331.1557</v>
      </c>
      <c r="G14" s="515">
        <v>165903.8602</v>
      </c>
      <c r="H14" s="30">
        <v>0.10991861779705658</v>
      </c>
      <c r="I14" s="510">
        <v>0.13413062461052561</v>
      </c>
      <c r="J14" s="103">
        <v>9.9016957653647264E-2</v>
      </c>
      <c r="L14" s="36" t="s">
        <v>35</v>
      </c>
      <c r="M14" s="503">
        <v>1974863.8884000001</v>
      </c>
    </row>
    <row r="15" spans="1:14" ht="12" thickBot="1">
      <c r="B15" s="483">
        <v>11</v>
      </c>
      <c r="C15" s="484" t="s">
        <v>36</v>
      </c>
      <c r="D15" s="85" t="s">
        <v>41</v>
      </c>
      <c r="E15" s="86">
        <v>120014.83104967265</v>
      </c>
      <c r="F15" s="87">
        <v>117452.6924</v>
      </c>
      <c r="G15" s="515">
        <v>107397.45079999999</v>
      </c>
      <c r="H15" s="30" t="s">
        <v>41</v>
      </c>
      <c r="I15" s="510" t="s">
        <v>41</v>
      </c>
      <c r="J15" s="103">
        <v>9.362644574055401E-2</v>
      </c>
      <c r="L15" s="38" t="s">
        <v>37</v>
      </c>
      <c r="M15" s="504">
        <v>7.1927038837640289E-2</v>
      </c>
    </row>
    <row r="16" spans="1:14" ht="12" thickBot="1">
      <c r="B16" s="487">
        <v>12</v>
      </c>
      <c r="C16" s="488" t="s">
        <v>38</v>
      </c>
      <c r="D16" s="85" t="s">
        <v>41</v>
      </c>
      <c r="E16" s="86">
        <v>116567.74252196125</v>
      </c>
      <c r="F16" s="87">
        <v>114079.19410000001</v>
      </c>
      <c r="G16" s="515">
        <v>102585.88099999999</v>
      </c>
      <c r="H16" s="30" t="s">
        <v>41</v>
      </c>
      <c r="I16" s="510" t="s">
        <v>41</v>
      </c>
      <c r="J16" s="103">
        <v>0.11203601302600319</v>
      </c>
      <c r="L16" s="38" t="s">
        <v>39</v>
      </c>
      <c r="M16" s="504">
        <v>2.181421811044526E-2</v>
      </c>
    </row>
    <row r="17" spans="1:14" ht="13.5" thickBot="1">
      <c r="B17" s="489" t="s">
        <v>40</v>
      </c>
      <c r="C17" s="490"/>
      <c r="D17" s="47">
        <v>1882154.7953999999</v>
      </c>
      <c r="E17" s="491">
        <v>2017943.9999999998</v>
      </c>
      <c r="F17" s="492">
        <v>1974863.8884000001</v>
      </c>
      <c r="G17" s="523">
        <v>1751706.4406000001</v>
      </c>
      <c r="H17" s="50">
        <v>5.6582211490749934E-2</v>
      </c>
      <c r="I17" s="50">
        <v>7.963072630382606E-2</v>
      </c>
      <c r="J17" s="505">
        <v>0.12739431826463088</v>
      </c>
      <c r="L17" s="493"/>
      <c r="M17" s="467"/>
      <c r="N17" s="493"/>
    </row>
    <row r="18" spans="1:14">
      <c r="A18" s="494"/>
      <c r="B18" s="506"/>
      <c r="D18" s="496"/>
      <c r="E18" s="496"/>
      <c r="F18" s="496"/>
      <c r="G18" s="59"/>
      <c r="H18" s="59"/>
      <c r="I18" s="59"/>
      <c r="J18" s="59"/>
      <c r="K18" s="59"/>
      <c r="L18" s="502"/>
    </row>
    <row r="19" spans="1:14">
      <c r="G19" s="502"/>
      <c r="H19" s="502"/>
      <c r="I19" s="502"/>
      <c r="J19" s="502"/>
      <c r="K19" s="502"/>
      <c r="L19" s="502"/>
    </row>
  </sheetData>
  <mergeCells count="1">
    <mergeCell ref="B3:C3"/>
  </mergeCells>
  <printOptions horizontalCentered="1" verticalCentered="1"/>
  <pageMargins left="0.39370078740157483" right="0.39370078740157483" top="0" bottom="0.15748031496062992" header="0.19685039370078741" footer="0.19685039370078741"/>
  <pageSetup paperSize="9" pageOrder="overThenDown" orientation="landscape" r:id="rId1"/>
  <headerFooter alignWithMargins="0">
    <oddHeader>&amp;C&amp;"Tahoma,Bold"Monthly follow-up of total service units - 2016</oddHead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M19"/>
  <sheetViews>
    <sheetView workbookViewId="0">
      <selection activeCell="O52" sqref="O52"/>
    </sheetView>
  </sheetViews>
  <sheetFormatPr defaultRowHeight="11.25"/>
  <cols>
    <col min="1" max="2" width="2.85546875" style="472" bestFit="1" customWidth="1"/>
    <col min="3" max="3" width="13.85546875" style="472" customWidth="1"/>
    <col min="4" max="4" width="10.5703125" style="472" customWidth="1"/>
    <col min="5" max="5" width="11.28515625" style="472" customWidth="1"/>
    <col min="6" max="10" width="9.7109375" style="472" customWidth="1"/>
    <col min="11" max="11" width="2.85546875" style="472" customWidth="1"/>
    <col min="12" max="12" width="32.85546875" style="472" customWidth="1"/>
    <col min="13" max="13" width="13.7109375" style="472" customWidth="1"/>
    <col min="14" max="16384" width="9.140625" style="472"/>
  </cols>
  <sheetData>
    <row r="1" spans="1:13" s="467" customFormat="1" ht="13.5" thickBot="1">
      <c r="B1" s="2" t="s">
        <v>0</v>
      </c>
      <c r="C1" s="2"/>
      <c r="D1" s="468" t="s">
        <v>84</v>
      </c>
      <c r="L1" s="469" t="s">
        <v>2</v>
      </c>
      <c r="M1" s="470">
        <v>42688</v>
      </c>
    </row>
    <row r="2" spans="1:13" ht="8.25" customHeight="1" thickBot="1">
      <c r="A2" s="471"/>
      <c r="C2" s="471"/>
      <c r="J2" s="473"/>
      <c r="K2" s="473"/>
    </row>
    <row r="3" spans="1:13" s="477" customFormat="1" ht="33.75" customHeight="1">
      <c r="A3" s="497"/>
      <c r="B3" s="566" t="s">
        <v>3</v>
      </c>
      <c r="C3" s="567"/>
      <c r="D3" s="12" t="s">
        <v>4</v>
      </c>
      <c r="E3" s="12" t="s">
        <v>5</v>
      </c>
      <c r="F3" s="12" t="s">
        <v>6</v>
      </c>
      <c r="G3" s="12" t="s">
        <v>7</v>
      </c>
      <c r="H3" s="13" t="s">
        <v>8</v>
      </c>
      <c r="I3" s="12" t="s">
        <v>9</v>
      </c>
      <c r="J3" s="14" t="s">
        <v>10</v>
      </c>
      <c r="L3" s="16" t="s">
        <v>11</v>
      </c>
      <c r="M3" s="527">
        <v>4137738</v>
      </c>
    </row>
    <row r="4" spans="1:13" s="478" customFormat="1" ht="11.85" customHeight="1">
      <c r="B4" s="479"/>
      <c r="C4" s="528"/>
      <c r="D4" s="481" t="s">
        <v>12</v>
      </c>
      <c r="E4" s="481" t="s">
        <v>13</v>
      </c>
      <c r="F4" s="481" t="s">
        <v>14</v>
      </c>
      <c r="G4" s="481" t="s">
        <v>15</v>
      </c>
      <c r="H4" s="507" t="s">
        <v>16</v>
      </c>
      <c r="I4" s="526" t="s">
        <v>17</v>
      </c>
      <c r="J4" s="508" t="s">
        <v>18</v>
      </c>
      <c r="L4" s="23" t="s">
        <v>19</v>
      </c>
      <c r="M4" s="24">
        <v>3975631</v>
      </c>
    </row>
    <row r="5" spans="1:13">
      <c r="B5" s="483">
        <v>1</v>
      </c>
      <c r="C5" s="529" t="s">
        <v>20</v>
      </c>
      <c r="D5" s="85">
        <v>295549.51510000002</v>
      </c>
      <c r="E5" s="86">
        <v>321442.20781216613</v>
      </c>
      <c r="F5" s="530">
        <v>274471.80959999998</v>
      </c>
      <c r="G5" s="530">
        <v>287298.2548</v>
      </c>
      <c r="H5" s="30">
        <v>-8.0551626646667485E-2</v>
      </c>
      <c r="I5" s="510">
        <v>7.6793698889213946E-2</v>
      </c>
      <c r="J5" s="531">
        <v>-4.4645050868579172E-2</v>
      </c>
      <c r="L5" s="23" t="s">
        <v>21</v>
      </c>
      <c r="M5" s="24">
        <v>3996085</v>
      </c>
    </row>
    <row r="6" spans="1:13">
      <c r="B6" s="483">
        <v>2</v>
      </c>
      <c r="C6" s="529" t="s">
        <v>22</v>
      </c>
      <c r="D6" s="85">
        <v>264839.0122</v>
      </c>
      <c r="E6" s="86">
        <v>286468.54898856452</v>
      </c>
      <c r="F6" s="530">
        <v>244608.63919999998</v>
      </c>
      <c r="G6" s="530">
        <v>262560.53990000003</v>
      </c>
      <c r="H6" s="30">
        <v>-7.550405398753901E-2</v>
      </c>
      <c r="I6" s="510">
        <v>8.2705063345939411E-2</v>
      </c>
      <c r="J6" s="103">
        <v>-6.8372424534308585E-2</v>
      </c>
      <c r="L6" s="23" t="s">
        <v>23</v>
      </c>
      <c r="M6" s="24">
        <v>3996783</v>
      </c>
    </row>
    <row r="7" spans="1:13">
      <c r="B7" s="483">
        <v>3</v>
      </c>
      <c r="C7" s="529" t="s">
        <v>24</v>
      </c>
      <c r="D7" s="85">
        <v>304607.75070000003</v>
      </c>
      <c r="E7" s="86">
        <v>338005.86531838193</v>
      </c>
      <c r="F7" s="530">
        <v>288615.12040000001</v>
      </c>
      <c r="G7" s="530">
        <v>309804.04859999998</v>
      </c>
      <c r="H7" s="30">
        <v>-9.8809275356576465E-2</v>
      </c>
      <c r="I7" s="510">
        <v>5.5411616265410357E-2</v>
      </c>
      <c r="J7" s="103">
        <v>-6.8394613613838917E-2</v>
      </c>
      <c r="L7" s="23" t="s">
        <v>25</v>
      </c>
      <c r="M7" s="24">
        <v>4137738</v>
      </c>
    </row>
    <row r="8" spans="1:13" ht="12" thickBot="1">
      <c r="B8" s="483">
        <v>4</v>
      </c>
      <c r="C8" s="529" t="s">
        <v>26</v>
      </c>
      <c r="D8" s="85">
        <v>323218.25829999999</v>
      </c>
      <c r="E8" s="86">
        <v>364652.79917819292</v>
      </c>
      <c r="F8" s="530">
        <v>311368.29959999997</v>
      </c>
      <c r="G8" s="530">
        <v>317288.45179999998</v>
      </c>
      <c r="H8" s="30">
        <v>-0.11362737642922993</v>
      </c>
      <c r="I8" s="510">
        <v>3.8057691535146931E-2</v>
      </c>
      <c r="J8" s="103">
        <v>-1.8658580753300513E-2</v>
      </c>
      <c r="L8" s="33"/>
      <c r="M8" s="34"/>
    </row>
    <row r="9" spans="1:13">
      <c r="B9" s="483">
        <v>5</v>
      </c>
      <c r="C9" s="529" t="s">
        <v>27</v>
      </c>
      <c r="D9" s="85">
        <v>366252.40710000001</v>
      </c>
      <c r="E9" s="86">
        <v>402044.40548746486</v>
      </c>
      <c r="F9" s="530">
        <v>343296.09749999997</v>
      </c>
      <c r="G9" s="530">
        <v>356625.05050000001</v>
      </c>
      <c r="H9" s="30">
        <v>-8.9024988033519104E-2</v>
      </c>
      <c r="I9" s="510">
        <v>6.6870290012545297E-2</v>
      </c>
      <c r="J9" s="103">
        <v>-3.7375257238134063E-2</v>
      </c>
      <c r="L9" s="35"/>
    </row>
    <row r="10" spans="1:13" ht="12" thickBot="1">
      <c r="B10" s="483">
        <v>6</v>
      </c>
      <c r="C10" s="529" t="s">
        <v>28</v>
      </c>
      <c r="D10" s="85">
        <v>399628.0037</v>
      </c>
      <c r="E10" s="86">
        <v>427333.76599585026</v>
      </c>
      <c r="F10" s="530">
        <v>364890.0773</v>
      </c>
      <c r="G10" s="530">
        <v>379987.6372</v>
      </c>
      <c r="H10" s="30">
        <v>-6.48340114928323E-2</v>
      </c>
      <c r="I10" s="510">
        <v>9.5201071668056469E-2</v>
      </c>
      <c r="J10" s="103">
        <v>-3.9731713408490799E-2</v>
      </c>
      <c r="L10" s="35"/>
    </row>
    <row r="11" spans="1:13">
      <c r="B11" s="483">
        <v>7</v>
      </c>
      <c r="C11" s="529" t="s">
        <v>29</v>
      </c>
      <c r="D11" s="85">
        <v>436416.98990000004</v>
      </c>
      <c r="E11" s="86">
        <v>466799.0790867451</v>
      </c>
      <c r="F11" s="530">
        <v>398588.5638</v>
      </c>
      <c r="G11" s="530">
        <v>410812.07980000001</v>
      </c>
      <c r="H11" s="30">
        <v>-6.5086009265881928E-2</v>
      </c>
      <c r="I11" s="510">
        <v>9.4905949481734808E-2</v>
      </c>
      <c r="J11" s="103">
        <v>-2.9754519404470603E-2</v>
      </c>
      <c r="L11" s="36" t="s">
        <v>30</v>
      </c>
      <c r="M11" s="486">
        <v>4544000.0000000009</v>
      </c>
    </row>
    <row r="12" spans="1:13" ht="12" thickBot="1">
      <c r="B12" s="483">
        <v>8</v>
      </c>
      <c r="C12" s="529" t="s">
        <v>31</v>
      </c>
      <c r="D12" s="85">
        <v>411761.76499999996</v>
      </c>
      <c r="E12" s="86">
        <v>453117.42118483345</v>
      </c>
      <c r="F12" s="530">
        <v>386906.12349999999</v>
      </c>
      <c r="G12" s="530">
        <v>389877.29800000001</v>
      </c>
      <c r="H12" s="30">
        <v>-9.1269181565993951E-2</v>
      </c>
      <c r="I12" s="510">
        <v>6.4242047334771568E-2</v>
      </c>
      <c r="J12" s="103">
        <v>-7.6207938119033924E-3</v>
      </c>
      <c r="L12" s="38" t="s">
        <v>32</v>
      </c>
      <c r="M12" s="39">
        <v>-8.9406250000000131E-2</v>
      </c>
    </row>
    <row r="13" spans="1:13" ht="12" thickBot="1">
      <c r="B13" s="483">
        <v>9</v>
      </c>
      <c r="C13" s="529" t="s">
        <v>33</v>
      </c>
      <c r="D13" s="85">
        <v>396374.27160000004</v>
      </c>
      <c r="E13" s="86">
        <v>416729.53149050288</v>
      </c>
      <c r="F13" s="530">
        <v>355835.37520000001</v>
      </c>
      <c r="G13" s="530">
        <v>353231.07689999999</v>
      </c>
      <c r="H13" s="30">
        <v>-4.8845254181288378E-2</v>
      </c>
      <c r="I13" s="510">
        <v>0.1139259871990379</v>
      </c>
      <c r="J13" s="103">
        <v>7.3727892881216839E-3</v>
      </c>
      <c r="L13" s="40"/>
    </row>
    <row r="14" spans="1:13">
      <c r="B14" s="483">
        <v>10</v>
      </c>
      <c r="C14" s="529" t="s">
        <v>34</v>
      </c>
      <c r="D14" s="85">
        <v>366070.61479999998</v>
      </c>
      <c r="E14" s="86">
        <v>398793.49637680739</v>
      </c>
      <c r="F14" s="530">
        <v>340520.22399999999</v>
      </c>
      <c r="G14" s="530">
        <v>323641.12359999999</v>
      </c>
      <c r="H14" s="30">
        <v>-8.2054702180721084E-2</v>
      </c>
      <c r="I14" s="510">
        <v>7.5033401834012636E-2</v>
      </c>
      <c r="J14" s="103">
        <v>5.215375664330435E-2</v>
      </c>
      <c r="L14" s="36" t="s">
        <v>35</v>
      </c>
      <c r="M14" s="503">
        <v>3880012.8685999997</v>
      </c>
    </row>
    <row r="15" spans="1:13" ht="12" thickBot="1">
      <c r="B15" s="483">
        <v>11</v>
      </c>
      <c r="C15" s="529" t="s">
        <v>36</v>
      </c>
      <c r="D15" s="85" t="s">
        <v>41</v>
      </c>
      <c r="E15" s="86">
        <v>330479.60557766695</v>
      </c>
      <c r="F15" s="530">
        <v>282188.62729999999</v>
      </c>
      <c r="G15" s="530">
        <v>272593.22820000001</v>
      </c>
      <c r="H15" s="30" t="s">
        <v>41</v>
      </c>
      <c r="I15" s="510" t="s">
        <v>41</v>
      </c>
      <c r="J15" s="103">
        <v>3.5200430925451665E-2</v>
      </c>
      <c r="L15" s="38" t="s">
        <v>37</v>
      </c>
      <c r="M15" s="504">
        <v>6.6423782633739936E-2</v>
      </c>
    </row>
    <row r="16" spans="1:13" ht="12" thickBot="1">
      <c r="B16" s="487">
        <v>12</v>
      </c>
      <c r="C16" s="532" t="s">
        <v>38</v>
      </c>
      <c r="D16" s="85" t="s">
        <v>41</v>
      </c>
      <c r="E16" s="86">
        <v>338133.27350282384</v>
      </c>
      <c r="F16" s="530">
        <v>288723.91119999997</v>
      </c>
      <c r="G16" s="530">
        <v>266968.92290000001</v>
      </c>
      <c r="H16" s="30" t="s">
        <v>41</v>
      </c>
      <c r="I16" s="510" t="s">
        <v>41</v>
      </c>
      <c r="J16" s="103">
        <v>8.1488841711171212E-2</v>
      </c>
      <c r="L16" s="38" t="s">
        <v>39</v>
      </c>
      <c r="M16" s="504">
        <v>0.17113013639039387</v>
      </c>
    </row>
    <row r="17" spans="1:13" ht="13.5" thickBot="1">
      <c r="B17" s="489" t="s">
        <v>40</v>
      </c>
      <c r="C17" s="533"/>
      <c r="D17" s="47">
        <v>3564718.5884000002</v>
      </c>
      <c r="E17" s="491">
        <v>4544000.0000000009</v>
      </c>
      <c r="F17" s="492">
        <v>3880012.8685999997</v>
      </c>
      <c r="G17" s="492">
        <v>3930687.7122000004</v>
      </c>
      <c r="H17" s="50">
        <v>-8.0164515911844592E-2</v>
      </c>
      <c r="I17" s="511">
        <v>7.7247055936885411E-2</v>
      </c>
      <c r="J17" s="505">
        <v>-1.2892106244593582E-2</v>
      </c>
      <c r="K17" s="467"/>
      <c r="L17" s="493"/>
      <c r="M17" s="493"/>
    </row>
    <row r="18" spans="1:13">
      <c r="A18" s="494"/>
      <c r="B18" s="506"/>
      <c r="D18" s="496"/>
      <c r="E18" s="496"/>
      <c r="F18" s="496"/>
      <c r="G18" s="59"/>
      <c r="H18" s="59"/>
      <c r="I18" s="59"/>
    </row>
    <row r="19" spans="1:13">
      <c r="G19" s="502"/>
      <c r="H19" s="502"/>
      <c r="I19" s="502"/>
    </row>
  </sheetData>
  <mergeCells count="1">
    <mergeCell ref="B3:C3"/>
  </mergeCells>
  <printOptions horizontalCentered="1" verticalCentered="1"/>
  <pageMargins left="0.39370078740157483" right="0.39370078740157483" top="0" bottom="0.15748031496062992" header="0.19685039370078741" footer="0.19685039370078741"/>
  <pageSetup paperSize="9" scale="99" pageOrder="overThenDown" orientation="landscape" r:id="rId1"/>
  <headerFooter alignWithMargins="0">
    <oddHeader>&amp;C&amp;"Tahoma,Bold"Monthly follow-up of total service units - 2016</oddHead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N19"/>
  <sheetViews>
    <sheetView workbookViewId="0">
      <selection activeCell="N56" sqref="N56"/>
    </sheetView>
  </sheetViews>
  <sheetFormatPr defaultRowHeight="11.25"/>
  <cols>
    <col min="1" max="2" width="2.85546875" style="472" bestFit="1" customWidth="1"/>
    <col min="3" max="3" width="15.140625" style="472" customWidth="1"/>
    <col min="4" max="10" width="9.7109375" style="472" customWidth="1"/>
    <col min="11" max="11" width="5.28515625" style="472" customWidth="1"/>
    <col min="12" max="12" width="33.42578125" style="472" customWidth="1"/>
    <col min="13" max="13" width="17.140625" style="472" customWidth="1"/>
    <col min="14" max="14" width="12.5703125" style="472" customWidth="1"/>
    <col min="15" max="16384" width="9.140625" style="472"/>
  </cols>
  <sheetData>
    <row r="1" spans="1:14" s="467" customFormat="1" ht="13.5" thickBot="1">
      <c r="B1" s="2" t="s">
        <v>0</v>
      </c>
      <c r="C1" s="2"/>
      <c r="D1" s="468" t="s">
        <v>85</v>
      </c>
      <c r="L1" s="469" t="s">
        <v>2</v>
      </c>
      <c r="M1" s="470">
        <v>42688</v>
      </c>
    </row>
    <row r="2" spans="1:14" ht="8.25" customHeight="1" thickBot="1">
      <c r="A2" s="471"/>
      <c r="C2" s="471"/>
      <c r="J2" s="467"/>
      <c r="K2" s="467"/>
      <c r="L2" s="473"/>
      <c r="M2" s="473"/>
    </row>
    <row r="3" spans="1:14" s="477" customFormat="1" ht="33.75" customHeight="1">
      <c r="A3" s="497"/>
      <c r="B3" s="566" t="s">
        <v>3</v>
      </c>
      <c r="C3" s="567"/>
      <c r="D3" s="12" t="s">
        <v>4</v>
      </c>
      <c r="E3" s="12" t="s">
        <v>5</v>
      </c>
      <c r="F3" s="12" t="s">
        <v>6</v>
      </c>
      <c r="G3" s="12" t="s">
        <v>7</v>
      </c>
      <c r="H3" s="13" t="s">
        <v>8</v>
      </c>
      <c r="I3" s="12" t="s">
        <v>9</v>
      </c>
      <c r="J3" s="14" t="s">
        <v>10</v>
      </c>
      <c r="K3" s="501"/>
      <c r="L3" s="16" t="s">
        <v>11</v>
      </c>
      <c r="M3" s="527">
        <v>507161</v>
      </c>
      <c r="N3" s="476"/>
    </row>
    <row r="4" spans="1:14" s="478" customFormat="1" ht="11.85" customHeight="1">
      <c r="B4" s="479"/>
      <c r="C4" s="528"/>
      <c r="D4" s="481" t="s">
        <v>12</v>
      </c>
      <c r="E4" s="481" t="s">
        <v>13</v>
      </c>
      <c r="F4" s="481" t="s">
        <v>14</v>
      </c>
      <c r="G4" s="481" t="s">
        <v>15</v>
      </c>
      <c r="H4" s="507" t="s">
        <v>16</v>
      </c>
      <c r="I4" s="526" t="s">
        <v>17</v>
      </c>
      <c r="J4" s="508" t="s">
        <v>18</v>
      </c>
      <c r="K4" s="509"/>
      <c r="L4" s="23" t="s">
        <v>19</v>
      </c>
      <c r="M4" s="24">
        <v>516643</v>
      </c>
    </row>
    <row r="5" spans="1:14">
      <c r="B5" s="483">
        <v>1</v>
      </c>
      <c r="C5" s="529" t="s">
        <v>20</v>
      </c>
      <c r="D5" s="85">
        <v>37155.891200000005</v>
      </c>
      <c r="E5" s="86">
        <v>36803.404245046215</v>
      </c>
      <c r="F5" s="530">
        <v>35622.578300000001</v>
      </c>
      <c r="G5" s="530">
        <v>33217.339899999999</v>
      </c>
      <c r="H5" s="30">
        <v>9.5775638744406422E-3</v>
      </c>
      <c r="I5" s="510">
        <v>4.3043288082266651E-2</v>
      </c>
      <c r="J5" s="531">
        <v>7.2409121478147043E-2</v>
      </c>
      <c r="K5" s="509"/>
      <c r="L5" s="23" t="s">
        <v>21</v>
      </c>
      <c r="M5" s="24">
        <v>497659</v>
      </c>
    </row>
    <row r="6" spans="1:14">
      <c r="B6" s="483">
        <v>2</v>
      </c>
      <c r="C6" s="529" t="s">
        <v>22</v>
      </c>
      <c r="D6" s="85">
        <v>33040.494000000006</v>
      </c>
      <c r="E6" s="86">
        <v>31278.839581068449</v>
      </c>
      <c r="F6" s="530">
        <v>30275.267599999999</v>
      </c>
      <c r="G6" s="530">
        <v>28761.032200000001</v>
      </c>
      <c r="H6" s="30">
        <v>5.6320964668964191E-2</v>
      </c>
      <c r="I6" s="510">
        <v>9.1336150567997265E-2</v>
      </c>
      <c r="J6" s="103">
        <v>5.264885451503365E-2</v>
      </c>
      <c r="K6" s="509"/>
      <c r="L6" s="23" t="s">
        <v>23</v>
      </c>
      <c r="M6" s="24">
        <v>502851</v>
      </c>
    </row>
    <row r="7" spans="1:14">
      <c r="B7" s="483">
        <v>3</v>
      </c>
      <c r="C7" s="529" t="s">
        <v>24</v>
      </c>
      <c r="D7" s="85">
        <v>37380.794099999999</v>
      </c>
      <c r="E7" s="86">
        <v>38378.599502074343</v>
      </c>
      <c r="F7" s="530">
        <v>37147.233899999999</v>
      </c>
      <c r="G7" s="530">
        <v>34494.741299999994</v>
      </c>
      <c r="H7" s="30">
        <v>-2.5999005044996859E-2</v>
      </c>
      <c r="I7" s="510">
        <v>6.2874183479917356E-3</v>
      </c>
      <c r="J7" s="103">
        <v>7.6895564368242075E-2</v>
      </c>
      <c r="K7" s="509"/>
      <c r="L7" s="23" t="s">
        <v>25</v>
      </c>
      <c r="M7" s="24">
        <v>507161</v>
      </c>
    </row>
    <row r="8" spans="1:14" ht="12" thickBot="1">
      <c r="B8" s="483">
        <v>4</v>
      </c>
      <c r="C8" s="529" t="s">
        <v>26</v>
      </c>
      <c r="D8" s="85">
        <v>40379.8171</v>
      </c>
      <c r="E8" s="86">
        <v>41090.000471128486</v>
      </c>
      <c r="F8" s="530">
        <v>39771.640399999997</v>
      </c>
      <c r="G8" s="530">
        <v>37688.966999999997</v>
      </c>
      <c r="H8" s="30">
        <v>-1.7283605816151959E-2</v>
      </c>
      <c r="I8" s="510">
        <v>1.5291717763796342E-2</v>
      </c>
      <c r="J8" s="103">
        <v>5.5259498091311476E-2</v>
      </c>
      <c r="K8" s="509"/>
      <c r="L8" s="33"/>
      <c r="M8" s="34"/>
    </row>
    <row r="9" spans="1:14">
      <c r="B9" s="483">
        <v>5</v>
      </c>
      <c r="C9" s="529" t="s">
        <v>27</v>
      </c>
      <c r="D9" s="85">
        <v>45799.571499999998</v>
      </c>
      <c r="E9" s="86">
        <v>45683.652901410518</v>
      </c>
      <c r="F9" s="530">
        <v>44217.906900000002</v>
      </c>
      <c r="G9" s="530">
        <v>42785.967199999999</v>
      </c>
      <c r="H9" s="30">
        <v>2.5374196507368385E-3</v>
      </c>
      <c r="I9" s="510">
        <v>3.5769775434576268E-2</v>
      </c>
      <c r="J9" s="103">
        <v>3.346750801043008E-2</v>
      </c>
      <c r="K9" s="509"/>
      <c r="L9" s="35"/>
    </row>
    <row r="10" spans="1:14" ht="12" thickBot="1">
      <c r="B10" s="483">
        <v>6</v>
      </c>
      <c r="C10" s="529" t="s">
        <v>28</v>
      </c>
      <c r="D10" s="85">
        <v>48565.289499999999</v>
      </c>
      <c r="E10" s="86">
        <v>48430.53961985762</v>
      </c>
      <c r="F10" s="530">
        <v>46876.660599999996</v>
      </c>
      <c r="G10" s="530">
        <v>45466.722200000004</v>
      </c>
      <c r="H10" s="30">
        <v>2.7823328255283108E-3</v>
      </c>
      <c r="I10" s="510">
        <v>3.6022807051234507E-2</v>
      </c>
      <c r="J10" s="103">
        <v>3.1010337490306128E-2</v>
      </c>
      <c r="K10" s="509"/>
      <c r="L10" s="35"/>
    </row>
    <row r="11" spans="1:14">
      <c r="B11" s="483">
        <v>7</v>
      </c>
      <c r="C11" s="529" t="s">
        <v>29</v>
      </c>
      <c r="D11" s="85">
        <v>50462.490599999997</v>
      </c>
      <c r="E11" s="86">
        <v>51237.516616461886</v>
      </c>
      <c r="F11" s="530">
        <v>49593.5766</v>
      </c>
      <c r="G11" s="530">
        <v>49691.602800000001</v>
      </c>
      <c r="H11" s="30">
        <v>-1.5126143256772973E-2</v>
      </c>
      <c r="I11" s="510">
        <v>1.7520696420189052E-2</v>
      </c>
      <c r="J11" s="103">
        <v>-1.9726914503953585E-3</v>
      </c>
      <c r="K11" s="509"/>
      <c r="L11" s="36" t="s">
        <v>30</v>
      </c>
      <c r="M11" s="486">
        <v>508601.00000000006</v>
      </c>
    </row>
    <row r="12" spans="1:14" ht="12" thickBot="1">
      <c r="B12" s="483">
        <v>8</v>
      </c>
      <c r="C12" s="529" t="s">
        <v>31</v>
      </c>
      <c r="D12" s="85">
        <v>48984.427000000003</v>
      </c>
      <c r="E12" s="86">
        <v>49962.009563611042</v>
      </c>
      <c r="F12" s="530">
        <v>48358.993799999997</v>
      </c>
      <c r="G12" s="530">
        <v>50536.907800000001</v>
      </c>
      <c r="H12" s="30">
        <v>-1.9566518083432793E-2</v>
      </c>
      <c r="I12" s="510">
        <v>1.2933130961877204E-2</v>
      </c>
      <c r="J12" s="103">
        <v>-4.3095513651509987E-2</v>
      </c>
      <c r="K12" s="509"/>
      <c r="L12" s="38" t="s">
        <v>32</v>
      </c>
      <c r="M12" s="39">
        <v>-2.8312960454266456E-3</v>
      </c>
    </row>
    <row r="13" spans="1:14" ht="12" thickBot="1">
      <c r="B13" s="483">
        <v>9</v>
      </c>
      <c r="C13" s="529" t="s">
        <v>33</v>
      </c>
      <c r="D13" s="85">
        <v>46874.581699999995</v>
      </c>
      <c r="E13" s="86">
        <v>46140.907164287572</v>
      </c>
      <c r="F13" s="530">
        <v>44660.490299999998</v>
      </c>
      <c r="G13" s="530">
        <v>46779.020400000001</v>
      </c>
      <c r="H13" s="30">
        <v>1.5900739296263344E-2</v>
      </c>
      <c r="I13" s="510">
        <v>4.957606567073447E-2</v>
      </c>
      <c r="J13" s="103">
        <v>-4.5288038994506286E-2</v>
      </c>
      <c r="K13" s="509"/>
      <c r="L13" s="40"/>
    </row>
    <row r="14" spans="1:14">
      <c r="B14" s="483">
        <v>10</v>
      </c>
      <c r="C14" s="529" t="s">
        <v>34</v>
      </c>
      <c r="D14" s="85">
        <v>43631.885399999999</v>
      </c>
      <c r="E14" s="86">
        <v>44160.988066888014</v>
      </c>
      <c r="F14" s="530">
        <v>42744.096299999997</v>
      </c>
      <c r="G14" s="530">
        <v>43714.721900000004</v>
      </c>
      <c r="H14" s="30">
        <v>-1.1981223474588409E-2</v>
      </c>
      <c r="I14" s="510">
        <v>2.0769864773114932E-2</v>
      </c>
      <c r="J14" s="103">
        <v>-2.2203632044608956E-2</v>
      </c>
      <c r="K14" s="509"/>
      <c r="L14" s="36" t="s">
        <v>35</v>
      </c>
      <c r="M14" s="503">
        <v>492282.69280000002</v>
      </c>
    </row>
    <row r="15" spans="1:14" ht="12" thickBot="1">
      <c r="B15" s="483">
        <v>11</v>
      </c>
      <c r="C15" s="529" t="s">
        <v>36</v>
      </c>
      <c r="D15" s="85" t="s">
        <v>41</v>
      </c>
      <c r="E15" s="86">
        <v>38349.480941999107</v>
      </c>
      <c r="F15" s="530">
        <v>37119.049599999998</v>
      </c>
      <c r="G15" s="530">
        <v>37385.467700000001</v>
      </c>
      <c r="H15" s="30" t="s">
        <v>41</v>
      </c>
      <c r="I15" s="510" t="s">
        <v>41</v>
      </c>
      <c r="J15" s="103">
        <v>-7.1262476141231712E-3</v>
      </c>
      <c r="K15" s="509"/>
      <c r="L15" s="38" t="s">
        <v>37</v>
      </c>
      <c r="M15" s="504">
        <v>3.022309623638253E-2</v>
      </c>
    </row>
    <row r="16" spans="1:14" ht="12" thickBot="1">
      <c r="B16" s="487">
        <v>12</v>
      </c>
      <c r="C16" s="532" t="s">
        <v>38</v>
      </c>
      <c r="D16" s="85" t="s">
        <v>41</v>
      </c>
      <c r="E16" s="86">
        <v>37085.061326166731</v>
      </c>
      <c r="F16" s="530">
        <v>35895.198499999999</v>
      </c>
      <c r="G16" s="530">
        <v>36695.008600000001</v>
      </c>
      <c r="H16" s="30" t="s">
        <v>41</v>
      </c>
      <c r="I16" s="510" t="s">
        <v>41</v>
      </c>
      <c r="J16" s="103">
        <v>-2.1796155131572958E-2</v>
      </c>
      <c r="K16" s="509"/>
      <c r="L16" s="38" t="s">
        <v>39</v>
      </c>
      <c r="M16" s="504">
        <v>3.3148244776156854E-2</v>
      </c>
    </row>
    <row r="17" spans="1:14" ht="13.5" thickBot="1">
      <c r="B17" s="489" t="s">
        <v>40</v>
      </c>
      <c r="C17" s="533"/>
      <c r="D17" s="47">
        <v>432275.24210000003</v>
      </c>
      <c r="E17" s="491">
        <v>508601.00000000006</v>
      </c>
      <c r="F17" s="492">
        <v>492282.69280000002</v>
      </c>
      <c r="G17" s="492">
        <v>487217.49899999995</v>
      </c>
      <c r="H17" s="50">
        <v>-2.0574437746191387E-3</v>
      </c>
      <c r="I17" s="511">
        <v>3.1022600351683582E-2</v>
      </c>
      <c r="J17" s="505">
        <v>1.0396165594208417E-2</v>
      </c>
      <c r="K17" s="509"/>
      <c r="L17" s="467"/>
      <c r="M17" s="493"/>
      <c r="N17" s="493"/>
    </row>
    <row r="18" spans="1:14">
      <c r="A18" s="494"/>
      <c r="B18" s="506"/>
      <c r="D18" s="496"/>
      <c r="E18" s="496"/>
      <c r="F18" s="496"/>
      <c r="G18" s="59"/>
      <c r="H18" s="59"/>
      <c r="I18" s="59"/>
      <c r="J18" s="59"/>
      <c r="K18" s="502"/>
    </row>
    <row r="19" spans="1:14">
      <c r="G19" s="512"/>
      <c r="H19" s="512"/>
      <c r="I19" s="512"/>
      <c r="J19" s="512"/>
    </row>
  </sheetData>
  <mergeCells count="1">
    <mergeCell ref="B3:C3"/>
  </mergeCells>
  <printOptions horizontalCentered="1" verticalCentered="1"/>
  <pageMargins left="0.39370078740157483" right="0.39370078740157483" top="0" bottom="0.15748031496062992" header="0.19685039370078741" footer="0.19685039370078741"/>
  <pageSetup paperSize="9" scale="88" pageOrder="overThenDown" orientation="landscape" r:id="rId1"/>
  <headerFooter alignWithMargins="0">
    <oddHeader>&amp;C&amp;"Tahoma,Bold"Monthly follow-up of total service units - 2016</oddHead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pageSetUpPr fitToPage="1"/>
  </sheetPr>
  <dimension ref="A1:N19"/>
  <sheetViews>
    <sheetView workbookViewId="0">
      <selection activeCell="M55" sqref="M55"/>
    </sheetView>
  </sheetViews>
  <sheetFormatPr defaultRowHeight="11.25"/>
  <cols>
    <col min="1" max="2" width="2.85546875" style="472" bestFit="1" customWidth="1"/>
    <col min="3" max="3" width="15.140625" style="472" customWidth="1"/>
    <col min="4" max="10" width="9.7109375" style="472" customWidth="1"/>
    <col min="11" max="11" width="5.28515625" style="472" customWidth="1"/>
    <col min="12" max="12" width="32.85546875" style="472" customWidth="1"/>
    <col min="13" max="13" width="12.7109375" style="472" customWidth="1"/>
    <col min="14" max="14" width="12.5703125" style="472" customWidth="1"/>
    <col min="15" max="16384" width="9.140625" style="472"/>
  </cols>
  <sheetData>
    <row r="1" spans="1:14" s="467" customFormat="1" ht="13.5" thickBot="1">
      <c r="B1" s="2" t="s">
        <v>0</v>
      </c>
      <c r="C1" s="2"/>
      <c r="D1" s="468" t="s">
        <v>86</v>
      </c>
      <c r="L1" s="469" t="s">
        <v>2</v>
      </c>
      <c r="M1" s="470">
        <v>42688</v>
      </c>
    </row>
    <row r="2" spans="1:14" ht="8.25" customHeight="1" thickBot="1">
      <c r="A2" s="471"/>
      <c r="C2" s="471"/>
      <c r="J2" s="467"/>
      <c r="K2" s="467"/>
      <c r="L2" s="473"/>
      <c r="M2" s="473"/>
    </row>
    <row r="3" spans="1:14" s="477" customFormat="1" ht="33.75" customHeight="1">
      <c r="A3" s="497"/>
      <c r="B3" s="566" t="s">
        <v>3</v>
      </c>
      <c r="C3" s="567"/>
      <c r="D3" s="12" t="s">
        <v>4</v>
      </c>
      <c r="E3" s="12" t="s">
        <v>5</v>
      </c>
      <c r="F3" s="12" t="s">
        <v>6</v>
      </c>
      <c r="G3" s="12" t="s">
        <v>7</v>
      </c>
      <c r="H3" s="13" t="s">
        <v>8</v>
      </c>
      <c r="I3" s="12" t="s">
        <v>9</v>
      </c>
      <c r="J3" s="14" t="s">
        <v>10</v>
      </c>
      <c r="K3" s="501"/>
      <c r="L3" s="16" t="s">
        <v>11</v>
      </c>
      <c r="M3" s="527">
        <v>791331</v>
      </c>
      <c r="N3" s="476"/>
    </row>
    <row r="4" spans="1:14" s="478" customFormat="1" ht="11.85" customHeight="1">
      <c r="B4" s="479"/>
      <c r="C4" s="528"/>
      <c r="D4" s="481" t="s">
        <v>12</v>
      </c>
      <c r="E4" s="481" t="s">
        <v>13</v>
      </c>
      <c r="F4" s="481" t="s">
        <v>14</v>
      </c>
      <c r="G4" s="481" t="s">
        <v>15</v>
      </c>
      <c r="H4" s="507" t="s">
        <v>16</v>
      </c>
      <c r="I4" s="526" t="s">
        <v>17</v>
      </c>
      <c r="J4" s="508" t="s">
        <v>18</v>
      </c>
      <c r="K4" s="509"/>
      <c r="L4" s="23" t="s">
        <v>19</v>
      </c>
      <c r="M4" s="24">
        <v>820422</v>
      </c>
    </row>
    <row r="5" spans="1:14">
      <c r="B5" s="483">
        <v>1</v>
      </c>
      <c r="C5" s="529" t="s">
        <v>20</v>
      </c>
      <c r="D5" s="85">
        <v>57246.578200000004</v>
      </c>
      <c r="E5" s="86">
        <v>62445.422676471739</v>
      </c>
      <c r="F5" s="530">
        <v>60765.787000000004</v>
      </c>
      <c r="G5" s="530">
        <v>59857.8586</v>
      </c>
      <c r="H5" s="30">
        <v>-8.3254212296821617E-2</v>
      </c>
      <c r="I5" s="510">
        <v>-5.7914312868193374E-2</v>
      </c>
      <c r="J5" s="531">
        <v>1.5168073520090974E-2</v>
      </c>
      <c r="K5" s="509"/>
      <c r="L5" s="23" t="s">
        <v>21</v>
      </c>
      <c r="M5" s="24">
        <v>802817</v>
      </c>
    </row>
    <row r="6" spans="1:14">
      <c r="B6" s="483">
        <v>2</v>
      </c>
      <c r="C6" s="529" t="s">
        <v>22</v>
      </c>
      <c r="D6" s="85">
        <v>52451.3344</v>
      </c>
      <c r="E6" s="86">
        <v>56737.650877784348</v>
      </c>
      <c r="F6" s="530">
        <v>55211.5409</v>
      </c>
      <c r="G6" s="530">
        <v>51220.806300000004</v>
      </c>
      <c r="H6" s="30">
        <v>-7.55462450677995E-2</v>
      </c>
      <c r="I6" s="510">
        <v>-4.9993288631435373E-2</v>
      </c>
      <c r="J6" s="531">
        <v>7.7912373667573309E-2</v>
      </c>
      <c r="K6" s="509"/>
      <c r="L6" s="23" t="s">
        <v>23</v>
      </c>
      <c r="M6" s="24">
        <v>805634</v>
      </c>
    </row>
    <row r="7" spans="1:14">
      <c r="B7" s="483">
        <v>3</v>
      </c>
      <c r="C7" s="529" t="s">
        <v>24</v>
      </c>
      <c r="D7" s="85">
        <v>59203.612399999998</v>
      </c>
      <c r="E7" s="86">
        <v>64715.578554845488</v>
      </c>
      <c r="F7" s="530">
        <v>62974.880999999994</v>
      </c>
      <c r="G7" s="530">
        <v>58263.775800000003</v>
      </c>
      <c r="H7" s="30">
        <v>-8.5172168401062565E-2</v>
      </c>
      <c r="I7" s="510">
        <v>-5.9885283467228767E-2</v>
      </c>
      <c r="J7" s="531">
        <v>8.0858219971387202E-2</v>
      </c>
      <c r="K7" s="509"/>
      <c r="L7" s="23" t="s">
        <v>25</v>
      </c>
      <c r="M7" s="24">
        <v>791331</v>
      </c>
    </row>
    <row r="8" spans="1:14" ht="12" thickBot="1">
      <c r="B8" s="483">
        <v>4</v>
      </c>
      <c r="C8" s="529" t="s">
        <v>26</v>
      </c>
      <c r="D8" s="85">
        <v>65625.666700000002</v>
      </c>
      <c r="E8" s="86">
        <v>69409.445280770073</v>
      </c>
      <c r="F8" s="530">
        <v>67542.493700000006</v>
      </c>
      <c r="G8" s="530">
        <v>59918.341799999995</v>
      </c>
      <c r="H8" s="30">
        <v>-5.4513885905069559E-2</v>
      </c>
      <c r="I8" s="510">
        <v>-2.8379571066977083E-2</v>
      </c>
      <c r="J8" s="531">
        <v>0.12724237138351535</v>
      </c>
      <c r="K8" s="509"/>
      <c r="L8" s="33"/>
      <c r="M8" s="34"/>
    </row>
    <row r="9" spans="1:14">
      <c r="B9" s="483">
        <v>5</v>
      </c>
      <c r="C9" s="529" t="s">
        <v>27</v>
      </c>
      <c r="D9" s="85">
        <v>69708.551299999992</v>
      </c>
      <c r="E9" s="86">
        <v>74492.687084711419</v>
      </c>
      <c r="F9" s="530">
        <v>72489.008199999997</v>
      </c>
      <c r="G9" s="530">
        <v>67326.633899999986</v>
      </c>
      <c r="H9" s="30">
        <v>-6.4222891829247786E-2</v>
      </c>
      <c r="I9" s="510">
        <v>-3.8356944991282171E-2</v>
      </c>
      <c r="J9" s="531">
        <v>7.6676554298966915E-2</v>
      </c>
      <c r="K9" s="509"/>
      <c r="L9" s="35"/>
    </row>
    <row r="10" spans="1:14" ht="12" thickBot="1">
      <c r="B10" s="483">
        <v>6</v>
      </c>
      <c r="C10" s="529" t="s">
        <v>28</v>
      </c>
      <c r="D10" s="85">
        <v>71787.584400000007</v>
      </c>
      <c r="E10" s="86">
        <v>75451.139511109475</v>
      </c>
      <c r="F10" s="530">
        <v>73421.680500000002</v>
      </c>
      <c r="G10" s="530">
        <v>69425.7788</v>
      </c>
      <c r="H10" s="30">
        <v>-4.8555331766328647E-2</v>
      </c>
      <c r="I10" s="510">
        <v>-2.2256315694108797E-2</v>
      </c>
      <c r="J10" s="531">
        <v>5.7556454807821344E-2</v>
      </c>
      <c r="K10" s="509"/>
      <c r="L10" s="35"/>
    </row>
    <row r="11" spans="1:14">
      <c r="B11" s="483">
        <v>7</v>
      </c>
      <c r="C11" s="529" t="s">
        <v>29</v>
      </c>
      <c r="D11" s="85">
        <v>75143.133600000001</v>
      </c>
      <c r="E11" s="86">
        <v>77326.312473760903</v>
      </c>
      <c r="F11" s="530">
        <v>75246.415699999998</v>
      </c>
      <c r="G11" s="530">
        <v>73037.814100000003</v>
      </c>
      <c r="H11" s="30">
        <v>-2.8233324516822367E-2</v>
      </c>
      <c r="I11" s="510">
        <v>-1.3725849801506929E-3</v>
      </c>
      <c r="J11" s="531">
        <v>3.0239152515929346E-2</v>
      </c>
      <c r="K11" s="509"/>
      <c r="L11" s="36" t="s">
        <v>30</v>
      </c>
      <c r="M11" s="486">
        <v>824000</v>
      </c>
    </row>
    <row r="12" spans="1:14" ht="12" thickBot="1">
      <c r="B12" s="483">
        <v>8</v>
      </c>
      <c r="C12" s="529" t="s">
        <v>31</v>
      </c>
      <c r="D12" s="85">
        <v>75797.987200000003</v>
      </c>
      <c r="E12" s="86">
        <v>77094.117369045489</v>
      </c>
      <c r="F12" s="530">
        <v>75020.466099999991</v>
      </c>
      <c r="G12" s="530">
        <v>74444.517299999992</v>
      </c>
      <c r="H12" s="30">
        <v>-1.6812309593493113E-2</v>
      </c>
      <c r="I12" s="510">
        <v>1.0364119825163387E-2</v>
      </c>
      <c r="J12" s="531">
        <v>7.7366181001485845E-3</v>
      </c>
      <c r="K12" s="509"/>
      <c r="L12" s="38" t="s">
        <v>32</v>
      </c>
      <c r="M12" s="39">
        <v>-3.9646844660194192E-2</v>
      </c>
    </row>
    <row r="13" spans="1:14" ht="12" thickBot="1">
      <c r="B13" s="483">
        <v>9</v>
      </c>
      <c r="C13" s="529" t="s">
        <v>33</v>
      </c>
      <c r="D13" s="85">
        <v>70833.9277</v>
      </c>
      <c r="E13" s="86">
        <v>75634.618979251245</v>
      </c>
      <c r="F13" s="530">
        <v>73600.224800000011</v>
      </c>
      <c r="G13" s="530">
        <v>68389.307400000005</v>
      </c>
      <c r="H13" s="30">
        <v>-6.3472142043423441E-2</v>
      </c>
      <c r="I13" s="510">
        <v>-3.7585443624895132E-2</v>
      </c>
      <c r="J13" s="531">
        <v>7.6194914060498276E-2</v>
      </c>
      <c r="K13" s="509"/>
      <c r="L13" s="40"/>
    </row>
    <row r="14" spans="1:14">
      <c r="B14" s="483">
        <v>10</v>
      </c>
      <c r="C14" s="529" t="s">
        <v>34</v>
      </c>
      <c r="D14" s="85">
        <v>69598.527300000002</v>
      </c>
      <c r="E14" s="86">
        <v>70857.577959546703</v>
      </c>
      <c r="F14" s="530">
        <v>68951.675000000003</v>
      </c>
      <c r="G14" s="530">
        <v>68073.954400000002</v>
      </c>
      <c r="H14" s="30">
        <v>-1.7768751004522132E-2</v>
      </c>
      <c r="I14" s="510">
        <v>9.3812412823908176E-3</v>
      </c>
      <c r="J14" s="531">
        <v>1.2893633221930267E-2</v>
      </c>
      <c r="K14" s="509"/>
      <c r="L14" s="36" t="s">
        <v>35</v>
      </c>
      <c r="M14" s="503">
        <v>801836.32910000009</v>
      </c>
    </row>
    <row r="15" spans="1:14" ht="12" thickBot="1">
      <c r="B15" s="483">
        <v>11</v>
      </c>
      <c r="C15" s="529" t="s">
        <v>36</v>
      </c>
      <c r="D15" s="85" t="s">
        <v>41</v>
      </c>
      <c r="E15" s="86">
        <v>58389.684206689308</v>
      </c>
      <c r="F15" s="530">
        <v>56819.138400000003</v>
      </c>
      <c r="G15" s="530">
        <v>58513.244900000005</v>
      </c>
      <c r="H15" s="30" t="s">
        <v>41</v>
      </c>
      <c r="I15" s="510" t="s">
        <v>41</v>
      </c>
      <c r="J15" s="531">
        <v>-2.8952530369752205E-2</v>
      </c>
      <c r="K15" s="509"/>
      <c r="L15" s="38" t="s">
        <v>37</v>
      </c>
      <c r="M15" s="504">
        <v>-1.3101587841238715E-2</v>
      </c>
    </row>
    <row r="16" spans="1:14" ht="12" thickBot="1">
      <c r="B16" s="487">
        <v>12</v>
      </c>
      <c r="C16" s="532" t="s">
        <v>38</v>
      </c>
      <c r="D16" s="85" t="s">
        <v>41</v>
      </c>
      <c r="E16" s="86">
        <v>61445.765026013709</v>
      </c>
      <c r="F16" s="530">
        <v>59793.017800000001</v>
      </c>
      <c r="G16" s="530">
        <v>58388.690999999999</v>
      </c>
      <c r="H16" s="30" t="s">
        <v>41</v>
      </c>
      <c r="I16" s="510" t="s">
        <v>41</v>
      </c>
      <c r="J16" s="531">
        <v>2.4051349258711774E-2</v>
      </c>
      <c r="K16" s="509"/>
      <c r="L16" s="38" t="s">
        <v>39</v>
      </c>
      <c r="M16" s="504">
        <v>2.7641140835907185E-2</v>
      </c>
    </row>
    <row r="17" spans="1:14" ht="13.5" thickBot="1">
      <c r="B17" s="489" t="s">
        <v>40</v>
      </c>
      <c r="C17" s="533"/>
      <c r="D17" s="47">
        <v>667396.90319999994</v>
      </c>
      <c r="E17" s="491">
        <v>824000</v>
      </c>
      <c r="F17" s="492">
        <v>801836.32910000009</v>
      </c>
      <c r="G17" s="492">
        <v>766860.72430000012</v>
      </c>
      <c r="H17" s="50">
        <v>-5.2214567642226428E-2</v>
      </c>
      <c r="I17" s="511">
        <v>-2.601669702420395E-2</v>
      </c>
      <c r="J17" s="505">
        <v>4.5608809646531467E-2</v>
      </c>
      <c r="K17" s="509"/>
      <c r="L17" s="467"/>
      <c r="M17" s="493"/>
      <c r="N17" s="493"/>
    </row>
    <row r="18" spans="1:14">
      <c r="A18" s="494"/>
      <c r="B18" s="506"/>
      <c r="D18" s="496"/>
      <c r="E18" s="496"/>
      <c r="F18" s="496"/>
      <c r="G18" s="59"/>
      <c r="H18" s="59"/>
      <c r="I18" s="59"/>
      <c r="J18" s="59"/>
      <c r="K18" s="502"/>
    </row>
    <row r="19" spans="1:14">
      <c r="G19" s="512"/>
      <c r="H19" s="512"/>
      <c r="I19" s="512"/>
      <c r="J19" s="512"/>
    </row>
  </sheetData>
  <mergeCells count="1">
    <mergeCell ref="B3:C3"/>
  </mergeCells>
  <printOptions horizontalCentered="1" verticalCentered="1"/>
  <pageMargins left="0.39370078740157483" right="0.39370078740157483" top="0" bottom="0.15748031496062992" header="0.19685039370078741" footer="0.19685039370078741"/>
  <pageSetup paperSize="9" scale="91" pageOrder="overThenDown" orientation="landscape" r:id="rId1"/>
  <headerFooter alignWithMargins="0">
    <oddHeader>&amp;C&amp;"Tahoma,Bold"Monthly follow-up of total service units - 2016</oddHead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N19"/>
  <sheetViews>
    <sheetView workbookViewId="0">
      <selection activeCell="O53" sqref="O53"/>
    </sheetView>
  </sheetViews>
  <sheetFormatPr defaultRowHeight="11.25"/>
  <cols>
    <col min="1" max="2" width="2.85546875" style="472" bestFit="1" customWidth="1"/>
    <col min="3" max="3" width="15.140625" style="472" customWidth="1"/>
    <col min="4" max="10" width="9.7109375" style="472" customWidth="1"/>
    <col min="11" max="11" width="5.28515625" style="472" customWidth="1"/>
    <col min="12" max="12" width="31.140625" style="472" customWidth="1"/>
    <col min="13" max="13" width="17.140625" style="472" customWidth="1"/>
    <col min="14" max="14" width="12.5703125" style="472" customWidth="1"/>
    <col min="15" max="16384" width="9.140625" style="472"/>
  </cols>
  <sheetData>
    <row r="1" spans="1:14" s="467" customFormat="1" ht="13.5" thickBot="1">
      <c r="B1" s="2" t="s">
        <v>0</v>
      </c>
      <c r="C1" s="2"/>
      <c r="D1" s="468" t="s">
        <v>87</v>
      </c>
      <c r="L1" s="469" t="s">
        <v>2</v>
      </c>
      <c r="M1" s="470">
        <v>42688</v>
      </c>
    </row>
    <row r="2" spans="1:14" ht="8.25" customHeight="1" thickBot="1">
      <c r="A2" s="471"/>
      <c r="C2" s="471"/>
      <c r="J2" s="467"/>
      <c r="K2" s="467"/>
      <c r="L2" s="473"/>
      <c r="M2" s="473"/>
    </row>
    <row r="3" spans="1:14" s="477" customFormat="1" ht="33.75" customHeight="1">
      <c r="A3" s="497"/>
      <c r="B3" s="566" t="s">
        <v>3</v>
      </c>
      <c r="C3" s="567"/>
      <c r="D3" s="12" t="s">
        <v>4</v>
      </c>
      <c r="E3" s="12" t="s">
        <v>5</v>
      </c>
      <c r="F3" s="12" t="s">
        <v>6</v>
      </c>
      <c r="G3" s="12" t="s">
        <v>7</v>
      </c>
      <c r="H3" s="13" t="s">
        <v>8</v>
      </c>
      <c r="I3" s="12" t="s">
        <v>9</v>
      </c>
      <c r="J3" s="14" t="s">
        <v>10</v>
      </c>
      <c r="K3" s="501"/>
      <c r="L3" s="16" t="s">
        <v>11</v>
      </c>
      <c r="M3" s="527">
        <v>769835</v>
      </c>
      <c r="N3" s="476"/>
    </row>
    <row r="4" spans="1:14" s="478" customFormat="1" ht="11.85" customHeight="1">
      <c r="B4" s="479"/>
      <c r="C4" s="528"/>
      <c r="D4" s="481" t="s">
        <v>12</v>
      </c>
      <c r="E4" s="481" t="s">
        <v>13</v>
      </c>
      <c r="F4" s="481" t="s">
        <v>14</v>
      </c>
      <c r="G4" s="481" t="s">
        <v>15</v>
      </c>
      <c r="H4" s="507" t="s">
        <v>16</v>
      </c>
      <c r="I4" s="526" t="s">
        <v>17</v>
      </c>
      <c r="J4" s="508" t="s">
        <v>18</v>
      </c>
      <c r="K4" s="509"/>
      <c r="L4" s="23" t="s">
        <v>19</v>
      </c>
      <c r="M4" s="24">
        <v>917286</v>
      </c>
    </row>
    <row r="5" spans="1:14">
      <c r="B5" s="483">
        <v>1</v>
      </c>
      <c r="C5" s="529" t="s">
        <v>20</v>
      </c>
      <c r="D5" s="85">
        <v>62061.501700000001</v>
      </c>
      <c r="E5" s="87">
        <v>68876.863704421863</v>
      </c>
      <c r="F5" s="534">
        <v>65982.879700000005</v>
      </c>
      <c r="G5" s="534">
        <v>65133.464899999999</v>
      </c>
      <c r="H5" s="30">
        <v>-9.8949946874313355E-2</v>
      </c>
      <c r="I5" s="510">
        <v>-5.9430234294548412E-2</v>
      </c>
      <c r="J5" s="531">
        <v>1.3041142541765804E-2</v>
      </c>
      <c r="K5" s="509"/>
      <c r="L5" s="23" t="s">
        <v>88</v>
      </c>
      <c r="M5" s="24">
        <v>815599</v>
      </c>
    </row>
    <row r="6" spans="1:14">
      <c r="B6" s="483">
        <v>2</v>
      </c>
      <c r="C6" s="529" t="s">
        <v>22</v>
      </c>
      <c r="D6" s="85">
        <v>58923.069199999998</v>
      </c>
      <c r="E6" s="87">
        <v>63766.587870832795</v>
      </c>
      <c r="F6" s="534">
        <v>61087.321199999998</v>
      </c>
      <c r="G6" s="534">
        <v>56326.898699999998</v>
      </c>
      <c r="H6" s="30">
        <v>-7.5956999308853579E-2</v>
      </c>
      <c r="I6" s="510">
        <v>-3.5428824795152414E-2</v>
      </c>
      <c r="J6" s="531">
        <v>8.4514194991530678E-2</v>
      </c>
      <c r="K6" s="509"/>
      <c r="L6" s="23" t="s">
        <v>89</v>
      </c>
      <c r="M6" s="24">
        <v>804679</v>
      </c>
    </row>
    <row r="7" spans="1:14">
      <c r="B7" s="483">
        <v>3</v>
      </c>
      <c r="C7" s="529" t="s">
        <v>24</v>
      </c>
      <c r="D7" s="85">
        <v>63970.3436</v>
      </c>
      <c r="E7" s="87">
        <v>72466.129598557774</v>
      </c>
      <c r="F7" s="534">
        <v>69421.336200000005</v>
      </c>
      <c r="G7" s="534">
        <v>65223.454700000002</v>
      </c>
      <c r="H7" s="30">
        <v>-0.11723802617335943</v>
      </c>
      <c r="I7" s="510">
        <v>-7.8520421795050477E-2</v>
      </c>
      <c r="J7" s="531">
        <v>6.4361532508642183E-2</v>
      </c>
      <c r="K7" s="509"/>
      <c r="L7" s="23" t="s">
        <v>90</v>
      </c>
      <c r="M7" s="24">
        <v>769835</v>
      </c>
    </row>
    <row r="8" spans="1:14" ht="12" thickBot="1">
      <c r="B8" s="483">
        <v>4</v>
      </c>
      <c r="C8" s="529" t="s">
        <v>26</v>
      </c>
      <c r="D8" s="85">
        <v>61233.255799999999</v>
      </c>
      <c r="E8" s="87">
        <v>71726.187828249836</v>
      </c>
      <c r="F8" s="534">
        <v>68712.484400000001</v>
      </c>
      <c r="G8" s="534">
        <v>50126.268499999998</v>
      </c>
      <c r="H8" s="30">
        <v>-0.14629150587753847</v>
      </c>
      <c r="I8" s="510">
        <v>-0.10884817606740471</v>
      </c>
      <c r="J8" s="531">
        <v>0.37078794125678849</v>
      </c>
      <c r="K8" s="509"/>
      <c r="L8" s="33"/>
      <c r="M8" s="34"/>
    </row>
    <row r="9" spans="1:14">
      <c r="B9" s="483">
        <v>5</v>
      </c>
      <c r="C9" s="529" t="s">
        <v>27</v>
      </c>
      <c r="D9" s="85">
        <v>63749.850700000003</v>
      </c>
      <c r="E9" s="87">
        <v>69843.839409539025</v>
      </c>
      <c r="F9" s="534">
        <v>66909.226200000005</v>
      </c>
      <c r="G9" s="534">
        <v>47907.734700000001</v>
      </c>
      <c r="H9" s="30">
        <v>-8.7251628218862343E-2</v>
      </c>
      <c r="I9" s="510">
        <v>-4.7218831832791408E-2</v>
      </c>
      <c r="J9" s="531">
        <v>0.39662679980566895</v>
      </c>
      <c r="K9" s="509"/>
      <c r="L9" s="35"/>
    </row>
    <row r="10" spans="1:14" ht="12" thickBot="1">
      <c r="B10" s="483">
        <v>6</v>
      </c>
      <c r="C10" s="529" t="s">
        <v>28</v>
      </c>
      <c r="D10" s="85">
        <v>65415.493300000002</v>
      </c>
      <c r="E10" s="87">
        <v>68453.442196217671</v>
      </c>
      <c r="F10" s="534">
        <v>65577.248999999996</v>
      </c>
      <c r="G10" s="534">
        <v>48481.227699999996</v>
      </c>
      <c r="H10" s="30">
        <v>-4.4379782794699674E-2</v>
      </c>
      <c r="I10" s="510">
        <v>-2.4666435763414096E-3</v>
      </c>
      <c r="J10" s="531">
        <v>0.35263177339050755</v>
      </c>
      <c r="K10" s="509"/>
      <c r="L10" s="35"/>
    </row>
    <row r="11" spans="1:14">
      <c r="B11" s="483">
        <v>7</v>
      </c>
      <c r="C11" s="529" t="s">
        <v>29</v>
      </c>
      <c r="D11" s="85">
        <v>68259.465899999996</v>
      </c>
      <c r="E11" s="87">
        <v>75761.23981855411</v>
      </c>
      <c r="F11" s="534">
        <v>72577.996499999994</v>
      </c>
      <c r="G11" s="534">
        <v>60633.583399999996</v>
      </c>
      <c r="H11" s="30">
        <v>-9.9018626629139628E-2</v>
      </c>
      <c r="I11" s="510">
        <v>-5.950192631729645E-2</v>
      </c>
      <c r="J11" s="531">
        <v>0.19699335632536608</v>
      </c>
      <c r="K11" s="509"/>
      <c r="L11" s="36" t="s">
        <v>30</v>
      </c>
      <c r="M11" s="486">
        <v>840510.39286021481</v>
      </c>
    </row>
    <row r="12" spans="1:14" ht="12" thickBot="1">
      <c r="B12" s="483">
        <v>8</v>
      </c>
      <c r="C12" s="529" t="s">
        <v>31</v>
      </c>
      <c r="D12" s="85">
        <v>75435.455799999996</v>
      </c>
      <c r="E12" s="87">
        <v>74332.87158525367</v>
      </c>
      <c r="F12" s="534">
        <v>71209.643699999986</v>
      </c>
      <c r="G12" s="534">
        <v>73397.531600000002</v>
      </c>
      <c r="H12" s="30">
        <v>1.4833063639708266E-2</v>
      </c>
      <c r="I12" s="510">
        <v>5.9343255778711468E-2</v>
      </c>
      <c r="J12" s="531">
        <v>-2.9808739508073834E-2</v>
      </c>
      <c r="K12" s="509"/>
      <c r="L12" s="38" t="s">
        <v>32</v>
      </c>
      <c r="M12" s="39">
        <v>-8.4086280741526576E-2</v>
      </c>
    </row>
    <row r="13" spans="1:14" ht="12" thickBot="1">
      <c r="B13" s="483">
        <v>9</v>
      </c>
      <c r="C13" s="529" t="s">
        <v>33</v>
      </c>
      <c r="D13" s="85">
        <v>69964.049700000003</v>
      </c>
      <c r="E13" s="87">
        <v>67273.499086595359</v>
      </c>
      <c r="F13" s="534">
        <v>64446.883300000001</v>
      </c>
      <c r="G13" s="534">
        <v>70245.835500000001</v>
      </c>
      <c r="H13" s="30">
        <v>3.9994212430385589E-2</v>
      </c>
      <c r="I13" s="510">
        <v>8.5607962984301622E-2</v>
      </c>
      <c r="J13" s="531">
        <v>-8.2552256069329588E-2</v>
      </c>
      <c r="K13" s="509"/>
      <c r="L13" s="40"/>
    </row>
    <row r="14" spans="1:14">
      <c r="B14" s="483">
        <v>10</v>
      </c>
      <c r="C14" s="529" t="s">
        <v>34</v>
      </c>
      <c r="D14" s="85">
        <v>69491.713300000003</v>
      </c>
      <c r="E14" s="87">
        <v>70135.165806565594</v>
      </c>
      <c r="F14" s="534">
        <v>67188.311999999991</v>
      </c>
      <c r="G14" s="534">
        <v>73594.598800000007</v>
      </c>
      <c r="H14" s="30">
        <v>-9.1744633261472419E-3</v>
      </c>
      <c r="I14" s="510">
        <v>3.4282767812354287E-2</v>
      </c>
      <c r="J14" s="531">
        <v>-8.7048328334660585E-2</v>
      </c>
      <c r="K14" s="509"/>
      <c r="L14" s="36" t="s">
        <v>35</v>
      </c>
      <c r="M14" s="503">
        <v>805194.85290000006</v>
      </c>
    </row>
    <row r="15" spans="1:14" ht="12" thickBot="1">
      <c r="B15" s="483">
        <v>11</v>
      </c>
      <c r="C15" s="529" t="s">
        <v>36</v>
      </c>
      <c r="D15" s="85" t="s">
        <v>41</v>
      </c>
      <c r="E15" s="87">
        <v>68047.721728741104</v>
      </c>
      <c r="F15" s="534">
        <v>65188.575599999996</v>
      </c>
      <c r="G15" s="534">
        <v>72701.91750000001</v>
      </c>
      <c r="H15" s="30" t="s">
        <v>41</v>
      </c>
      <c r="I15" s="510" t="s">
        <v>41</v>
      </c>
      <c r="J15" s="531">
        <v>-0.10334448056339107</v>
      </c>
      <c r="K15" s="509"/>
      <c r="L15" s="38" t="s">
        <v>37</v>
      </c>
      <c r="M15" s="504">
        <v>-4.3914653419166227E-2</v>
      </c>
    </row>
    <row r="16" spans="1:14" ht="12" thickBot="1">
      <c r="B16" s="487">
        <v>12</v>
      </c>
      <c r="C16" s="532" t="s">
        <v>38</v>
      </c>
      <c r="D16" s="85" t="s">
        <v>41</v>
      </c>
      <c r="E16" s="87">
        <v>69826.844226686182</v>
      </c>
      <c r="F16" s="534">
        <v>66892.945099999997</v>
      </c>
      <c r="G16" s="534">
        <v>67763.04389999999</v>
      </c>
      <c r="H16" s="30" t="s">
        <v>41</v>
      </c>
      <c r="I16" s="510" t="s">
        <v>41</v>
      </c>
      <c r="J16" s="531">
        <v>-1.2840314571524014E-2</v>
      </c>
      <c r="K16" s="509"/>
      <c r="L16" s="38" t="s">
        <v>39</v>
      </c>
      <c r="M16" s="504">
        <v>4.3859619610112865E-2</v>
      </c>
    </row>
    <row r="17" spans="1:14" ht="13.5" thickBot="1">
      <c r="B17" s="489" t="s">
        <v>40</v>
      </c>
      <c r="C17" s="533"/>
      <c r="D17" s="47">
        <v>658504.19900000002</v>
      </c>
      <c r="E17" s="535">
        <v>840510.39286021481</v>
      </c>
      <c r="F17" s="536">
        <v>805194.85290000006</v>
      </c>
      <c r="G17" s="536">
        <v>751535.55989999999</v>
      </c>
      <c r="H17" s="50">
        <v>-6.2808678713685451E-2</v>
      </c>
      <c r="I17" s="511">
        <v>-2.1703823860168781E-2</v>
      </c>
      <c r="J17" s="505">
        <v>7.1399539640067067E-2</v>
      </c>
      <c r="K17" s="509"/>
      <c r="L17" s="467"/>
      <c r="M17" s="493"/>
      <c r="N17" s="493"/>
    </row>
    <row r="18" spans="1:14">
      <c r="A18" s="494"/>
      <c r="B18" s="506"/>
      <c r="C18" s="506" t="s">
        <v>91</v>
      </c>
      <c r="D18" s="496"/>
      <c r="E18" s="496"/>
      <c r="F18" s="496"/>
      <c r="G18" s="59"/>
      <c r="H18" s="59"/>
      <c r="I18" s="59"/>
      <c r="J18" s="59"/>
      <c r="K18" s="502"/>
    </row>
    <row r="19" spans="1:14" s="502" customFormat="1"/>
  </sheetData>
  <mergeCells count="1">
    <mergeCell ref="B3:C3"/>
  </mergeCells>
  <printOptions horizontalCentered="1" verticalCentered="1"/>
  <pageMargins left="0.39370078740157483" right="0.39370078740157483" top="0" bottom="0.15748031496062992" header="0.19685039370078741" footer="0.19685039370078741"/>
  <pageSetup paperSize="9" scale="89" pageOrder="overThenDown" orientation="landscape" r:id="rId1"/>
  <headerFooter alignWithMargins="0">
    <oddHeader>&amp;C&amp;"Tahoma,Bold"Monthly follow-up of total service units - 2016</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41</vt:i4>
      </vt:variant>
      <vt:variant>
        <vt:lpstr>Named Ranges</vt:lpstr>
      </vt:variant>
      <vt:variant>
        <vt:i4>4</vt:i4>
      </vt:variant>
    </vt:vector>
  </HeadingPairs>
  <TitlesOfParts>
    <vt:vector size="45" baseType="lpstr">
      <vt:lpstr>Explanatory note</vt:lpstr>
      <vt:lpstr>crco_total</vt:lpstr>
      <vt:lpstr>esra_02</vt:lpstr>
      <vt:lpstr>belgium_luxembourg_eb</vt:lpstr>
      <vt:lpstr>germany_ed</vt:lpstr>
      <vt:lpstr>france_lf</vt:lpstr>
      <vt:lpstr>united_kingdom_eg</vt:lpstr>
      <vt:lpstr>netherlands_eh</vt:lpstr>
      <vt:lpstr>ireland_ei</vt:lpstr>
      <vt:lpstr>switzerland_ls</vt:lpstr>
      <vt:lpstr>portugal_lisbon_lp</vt:lpstr>
      <vt:lpstr>austria_lo</vt:lpstr>
      <vt:lpstr>spain_continental_le</vt:lpstr>
      <vt:lpstr>spain_canaries_gc</vt:lpstr>
      <vt:lpstr>portugal_santa_maria_az</vt:lpstr>
      <vt:lpstr>greece_lg</vt:lpstr>
      <vt:lpstr>turkey_lt</vt:lpstr>
      <vt:lpstr>malta_lm</vt:lpstr>
      <vt:lpstr>italy_li</vt:lpstr>
      <vt:lpstr>cyprus_lc</vt:lpstr>
      <vt:lpstr>hungary_lh</vt:lpstr>
      <vt:lpstr>norway_en</vt:lpstr>
      <vt:lpstr>denmark_ek</vt:lpstr>
      <vt:lpstr>slovenia_lj</vt:lpstr>
      <vt:lpstr>romania_lr</vt:lpstr>
      <vt:lpstr>czech_republic_lk</vt:lpstr>
      <vt:lpstr>sweden_es</vt:lpstr>
      <vt:lpstr>slovak_republic_lz</vt:lpstr>
      <vt:lpstr>croatia_ld</vt:lpstr>
      <vt:lpstr>bulgaria_lb</vt:lpstr>
      <vt:lpstr>fyrom_lw</vt:lpstr>
      <vt:lpstr>moldova_lu</vt:lpstr>
      <vt:lpstr>finland_ef</vt:lpstr>
      <vt:lpstr>albania_la</vt:lpstr>
      <vt:lpstr>bosnia_herzegovina_lq</vt:lpstr>
      <vt:lpstr>armenia_ud</vt:lpstr>
      <vt:lpstr>serbia_montenegro_kfor</vt:lpstr>
      <vt:lpstr>poland_ep</vt:lpstr>
      <vt:lpstr>lithuania_ey</vt:lpstr>
      <vt:lpstr>latvia_ev</vt:lpstr>
      <vt:lpstr>georgia_ug</vt:lpstr>
      <vt:lpstr>crco_total!Print_Area</vt:lpstr>
      <vt:lpstr>esra_02!Print_Area</vt:lpstr>
      <vt:lpstr>portugal_santa_maria_az!Print_Area</vt:lpstr>
      <vt:lpstr>united_kingdom_eg!Print_Area</vt:lpstr>
    </vt:vector>
  </TitlesOfParts>
  <Company>Eurocontrol/CRCO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HOGGER</dc:creator>
  <cp:lastModifiedBy>xlParse</cp:lastModifiedBy>
  <cp:lastPrinted>2016-11-14T10:31:17Z</cp:lastPrinted>
  <dcterms:created xsi:type="dcterms:W3CDTF">2016-11-14T10:10:16Z</dcterms:created>
  <dcterms:modified xsi:type="dcterms:W3CDTF">2017-10-01T22:35:38Z</dcterms:modified>
</cp:coreProperties>
</file>