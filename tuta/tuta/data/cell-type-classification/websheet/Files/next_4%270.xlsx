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0" yWindow="0" windowWidth="16380" windowHeight="8190" tabRatio="468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E2" i="1" l="1"/>
  <c r="F2" i="1"/>
  <c r="G2" i="1"/>
  <c r="H2" i="1"/>
  <c r="E3" i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B10" i="1"/>
  <c r="C10" i="1"/>
  <c r="D10" i="1"/>
  <c r="E10" i="1"/>
  <c r="F10" i="1"/>
  <c r="G10" i="1"/>
  <c r="H10" i="1"/>
  <c r="G14" i="1"/>
  <c r="G15" i="1"/>
  <c r="G16" i="1"/>
  <c r="G17" i="1"/>
  <c r="G18" i="1"/>
  <c r="G19" i="1"/>
  <c r="G20" i="1"/>
  <c r="G21" i="1"/>
  <c r="B26" i="1"/>
  <c r="C26" i="1"/>
  <c r="D26" i="1"/>
  <c r="E26" i="1"/>
  <c r="F26" i="1"/>
  <c r="G26" i="1"/>
  <c r="B27" i="1"/>
  <c r="C27" i="1"/>
  <c r="D27" i="1"/>
  <c r="E27" i="1"/>
  <c r="F27" i="1"/>
  <c r="G27" i="1"/>
</calcChain>
</file>

<file path=xl/sharedStrings.xml><?xml version="1.0" encoding="utf-8"?>
<sst xmlns="http://schemas.openxmlformats.org/spreadsheetml/2006/main" count="27" uniqueCount="27">
  <si>
    <t>Test</t>
  </si>
  <si>
    <t>factor 1</t>
  </si>
  <si>
    <t>factor 2</t>
  </si>
  <si>
    <t>factor 3</t>
  </si>
  <si>
    <t>factor 1+2</t>
  </si>
  <si>
    <t>factor 1+3</t>
  </si>
  <si>
    <t>factor 2+3</t>
  </si>
  <si>
    <t>factor 1+2+3</t>
  </si>
  <si>
    <t>Effect</t>
  </si>
  <si>
    <t>&lt;-- I'm calculated based on the stuff below.  This is out of order and confusing</t>
  </si>
  <si>
    <t>runs</t>
  </si>
  <si>
    <t>test</t>
  </si>
  <si>
    <t>Average</t>
  </si>
  <si>
    <t>the cols 1-5 were copy and pasted from the</t>
  </si>
  <si>
    <t>generator file.  The random numbers were updated</t>
  </si>
  <si>
    <t xml:space="preserve">each time.  This is in to way dependent on the </t>
  </si>
  <si>
    <t>20/80 yet</t>
  </si>
  <si>
    <t>Factor 2</t>
  </si>
  <si>
    <t>Factor 1</t>
  </si>
  <si>
    <t xml:space="preserve">Factor 3 </t>
  </si>
  <si>
    <t>X/Y</t>
  </si>
  <si>
    <t>Factor 3-</t>
  </si>
  <si>
    <t>Factor 3+</t>
  </si>
  <si>
    <t>Factor 2-</t>
  </si>
  <si>
    <t>Factor 2+</t>
  </si>
  <si>
    <t>Factor 1-</t>
  </si>
  <si>
    <t>Factor 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</si>
</sst>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11"/>
        <bgColor indexed="49"/>
      </patternFill>
    </fill>
    <fill>
      <patternFill patternType="solid">
        <fgColor indexed="53"/>
        <bgColor indexed="52"/>
      </patternFill>
    </fill>
    <fill>
      <patternFill patternType="solid">
        <fgColor indexed="49"/>
        <bgColor indexed="57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7">
    <cellStyle name="Normal" xfId="0" builtinId="0"/>
    <cellStyle name="Untitled1" xfId="1"/>
    <cellStyle name="Untitled2" xfId="2"/>
    <cellStyle name="Untitled3" xfId="3"/>
    <cellStyle name="Untitled4" xfId="4"/>
    <cellStyle name="Untitled5" xfId="5"/>
    <cellStyle name="Untitled6" xfId="6"/>
  </cellStyles>
  <dxfs count="6">
    <dxf>
      <fill>
        <patternFill patternType="solid">
          <fgColor indexed="57"/>
          <bgColor indexed="49"/>
        </patternFill>
      </fill>
    </dxf>
    <dxf>
      <fill>
        <patternFill patternType="solid">
          <fgColor indexed="52"/>
          <bgColor indexed="53"/>
        </patternFill>
      </fill>
    </dxf>
    <dxf>
      <fill>
        <patternFill patternType="solid">
          <fgColor indexed="57"/>
          <bgColor indexed="49"/>
        </patternFill>
      </fill>
    </dxf>
    <dxf>
      <fill>
        <patternFill patternType="solid">
          <fgColor indexed="52"/>
          <bgColor indexed="53"/>
        </patternFill>
      </fill>
    </dxf>
    <dxf>
      <fill>
        <patternFill patternType="solid">
          <fgColor indexed="49"/>
          <bgColor indexed="11"/>
        </patternFill>
      </fill>
    </dxf>
    <dxf>
      <fill>
        <patternFill patternType="solid">
          <fgColor indexed="60"/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CC00"/>
      <rgbColor rgb="00FF9900"/>
      <rgbColor rgb="00FF6309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96416876429509"/>
          <c:y val="0.11403557615292692"/>
          <c:w val="0.79501492573651444"/>
          <c:h val="0.574563864462824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Sheet1!$D$25:$D$25</c:f>
              <c:strCache>
                <c:ptCount val="1"/>
                <c:pt idx="0">
                  <c:v>Factor 2-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Sheet1!$A$26:$A$27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xVal>
          <c:yVal>
            <c:numRef>
              <c:f>Sheet1!$D$26:$D$27</c:f>
              <c:numCache>
                <c:formatCode>General</c:formatCode>
                <c:ptCount val="2"/>
                <c:pt idx="0">
                  <c:v>44.276254796563798</c:v>
                </c:pt>
                <c:pt idx="1">
                  <c:v>54.053720782757374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A-4990-BAD5-9F815DF7BC98}"/>
            </c:ext>
          </c:extLst>
        </c:ser>
        <c:ser>
          <c:idx val="1"/>
          <c:order val="1"/>
          <c:tx>
            <c:strRef>
              <c:f>Sheet1!$E$25:$E$25</c:f>
              <c:strCache>
                <c:ptCount val="1"/>
                <c:pt idx="0">
                  <c:v>Factor 2+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Sheet1!$A$26:$A$27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xVal>
          <c:yVal>
            <c:numRef>
              <c:f>Sheet1!$E$26:$E$27</c:f>
              <c:numCache>
                <c:formatCode>General</c:formatCode>
                <c:ptCount val="2"/>
                <c:pt idx="0">
                  <c:v>66.442583618915734</c:v>
                </c:pt>
                <c:pt idx="1">
                  <c:v>78.049766509190107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0A-4990-BAD5-9F815DF7B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1400"/>
        <c:axId val="1"/>
      </c:scatterChart>
      <c:valAx>
        <c:axId val="131641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Factor 1</a:t>
                </a:r>
              </a:p>
            </c:rich>
          </c:tx>
          <c:layout>
            <c:manualLayout>
              <c:xMode val="edge"/>
              <c:yMode val="edge"/>
              <c:x val="0.44875406957949593"/>
              <c:y val="0.824564935259625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641400"/>
        <c:crossesAt val="0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3462676190643654"/>
          <c:y val="0.53070402748092915"/>
          <c:w val="0.29916937971966395"/>
          <c:h val="0.188597299022148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96416876429509"/>
          <c:y val="0.11453744493392071"/>
          <c:w val="0.79501492573651444"/>
          <c:h val="0.5726872246696035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Sheet1!$F$25:$F$25</c:f>
              <c:strCache>
                <c:ptCount val="1"/>
                <c:pt idx="0">
                  <c:v>Factor 1-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Sheet1!$A$26:$A$27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xVal>
          <c:yVal>
            <c:numRef>
              <c:f>Sheet1!$F$26:$F$27</c:f>
              <c:numCache>
                <c:formatCode>General</c:formatCode>
                <c:ptCount val="2"/>
                <c:pt idx="0">
                  <c:v>62.457478009002308</c:v>
                </c:pt>
                <c:pt idx="1">
                  <c:v>48.261360406477223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2-46EB-B00C-E9F2EC1B0353}"/>
            </c:ext>
          </c:extLst>
        </c:ser>
        <c:ser>
          <c:idx val="1"/>
          <c:order val="1"/>
          <c:tx>
            <c:strRef>
              <c:f>Sheet1!$G$25:$G$25</c:f>
              <c:strCache>
                <c:ptCount val="1"/>
                <c:pt idx="0">
                  <c:v>Factor 1+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Sheet1!$A$26:$A$27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xVal>
          <c:yVal>
            <c:numRef>
              <c:f>Sheet1!$G$26:$G$27</c:f>
              <c:numCache>
                <c:formatCode>General</c:formatCode>
                <c:ptCount val="2"/>
                <c:pt idx="0">
                  <c:v>79.626045719595027</c:v>
                </c:pt>
                <c:pt idx="1">
                  <c:v>52.477441572352461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82-46EB-B00C-E9F2EC1B0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15168"/>
        <c:axId val="1"/>
      </c:scatterChart>
      <c:valAx>
        <c:axId val="13181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Factor 3</a:t>
                </a:r>
              </a:p>
            </c:rich>
          </c:tx>
          <c:layout>
            <c:manualLayout>
              <c:xMode val="edge"/>
              <c:yMode val="edge"/>
              <c:x val="0.44875406957949593"/>
              <c:y val="0.82378854625550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15168"/>
        <c:crossesAt val="0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66503725685657"/>
          <c:y val="0.5506607929515418"/>
          <c:w val="0.29916937971966395"/>
          <c:h val="0.18942731277533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96416876429509"/>
          <c:y val="0.11403557615292692"/>
          <c:w val="0.79501492573651444"/>
          <c:h val="0.574563864462824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Sheet1!$B$25:$B$25</c:f>
              <c:strCache>
                <c:ptCount val="1"/>
                <c:pt idx="0">
                  <c:v>Factor 3-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Sheet1!$A$26:$A$27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xVal>
          <c:yVal>
            <c:numRef>
              <c:f>Sheet1!$B$26:$B$27</c:f>
              <c:numCache>
                <c:formatCode>General</c:formatCode>
                <c:ptCount val="2"/>
                <c:pt idx="0">
                  <c:v>52.309081130245794</c:v>
                </c:pt>
                <c:pt idx="1">
                  <c:v>89.774442598351527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6-487C-BFC0-CC01EE91F10A}"/>
            </c:ext>
          </c:extLst>
        </c:ser>
        <c:ser>
          <c:idx val="1"/>
          <c:order val="1"/>
          <c:tx>
            <c:strRef>
              <c:f>Sheet1!$C$25:$C$25</c:f>
              <c:strCache>
                <c:ptCount val="1"/>
                <c:pt idx="0">
                  <c:v>Factor 3+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Sheet1!$A$26:$A$27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xVal>
          <c:yVal>
            <c:numRef>
              <c:f>Sheet1!$C$26:$C$27</c:f>
              <c:numCache>
                <c:formatCode>General</c:formatCode>
                <c:ptCount val="2"/>
                <c:pt idx="0">
                  <c:v>46.020894449075378</c:v>
                </c:pt>
                <c:pt idx="1">
                  <c:v>54.717907529754314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6-487C-BFC0-CC01EE91F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01872"/>
        <c:axId val="1"/>
      </c:scatterChart>
      <c:valAx>
        <c:axId val="131801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Factor 2</a:t>
                </a:r>
              </a:p>
            </c:rich>
          </c:tx>
          <c:layout>
            <c:manualLayout>
              <c:xMode val="edge"/>
              <c:yMode val="edge"/>
              <c:x val="0.44875406957949593"/>
              <c:y val="0.824564935259625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01872"/>
        <c:crossesAt val="0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0969598026313123"/>
          <c:y val="0.49561615789541313"/>
          <c:w val="0.29916937971966395"/>
          <c:h val="0.188597299022148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27</xdr:row>
      <xdr:rowOff>104775</xdr:rowOff>
    </xdr:from>
    <xdr:to>
      <xdr:col>6</xdr:col>
      <xdr:colOff>142875</xdr:colOff>
      <xdr:row>41</xdr:row>
      <xdr:rowOff>9525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3E5E8445-6D60-405E-A7BD-70DED1DA0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504825</xdr:colOff>
      <xdr:row>56</xdr:row>
      <xdr:rowOff>161925</xdr:rowOff>
    </xdr:from>
    <xdr:to>
      <xdr:col>6</xdr:col>
      <xdr:colOff>190500</xdr:colOff>
      <xdr:row>70</xdr:row>
      <xdr:rowOff>57150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51D3B298-97EA-4031-9B17-C411CB944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42</xdr:row>
      <xdr:rowOff>66675</xdr:rowOff>
    </xdr:from>
    <xdr:to>
      <xdr:col>6</xdr:col>
      <xdr:colOff>200025</xdr:colOff>
      <xdr:row>55</xdr:row>
      <xdr:rowOff>133350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CB3A15FE-C6E5-40FA-A68B-4FE6BF15C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topLeftCell="A43" workbookViewId="0">
      <selection activeCell="K61" sqref="K61"/>
    </sheetView>
  </sheetViews>
  <sheetFormatPr defaultRowHeight="12.75" x14ac:dyDescent="0.2"/>
  <cols>
    <col min="5" max="5" width="9.7109375" customWidth="1"/>
    <col min="6" max="6" width="10" customWidth="1"/>
    <col min="7" max="7" width="9.85546875" customWidth="1"/>
    <col min="8" max="8" width="12.2851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">
      <c r="A2">
        <v>1</v>
      </c>
      <c r="B2">
        <v>-1</v>
      </c>
      <c r="C2">
        <v>-1</v>
      </c>
      <c r="D2">
        <v>-1</v>
      </c>
      <c r="E2">
        <f t="shared" ref="E2:E9" ca="1" si="0">B2*C2</f>
        <v>1</v>
      </c>
      <c r="F2">
        <f t="shared" ref="F2:F9" ca="1" si="1">B2*D2</f>
        <v>1</v>
      </c>
      <c r="G2">
        <f t="shared" ref="G2:G9" ca="1" si="2">C2*D2</f>
        <v>1</v>
      </c>
      <c r="H2">
        <f t="shared" ref="H2:H9" ca="1" si="3">B2*C2*D2</f>
        <v>-1</v>
      </c>
    </row>
    <row r="3" spans="1:9" x14ac:dyDescent="0.2">
      <c r="A3">
        <v>2</v>
      </c>
      <c r="B3">
        <v>1</v>
      </c>
      <c r="C3">
        <v>-1</v>
      </c>
      <c r="D3">
        <v>-1</v>
      </c>
      <c r="E3">
        <f t="shared" ca="1" si="0"/>
        <v>-1</v>
      </c>
      <c r="F3">
        <f t="shared" ca="1" si="1"/>
        <v>-1</v>
      </c>
      <c r="G3">
        <f t="shared" ca="1" si="2"/>
        <v>1</v>
      </c>
      <c r="H3">
        <f t="shared" ca="1" si="3"/>
        <v>1</v>
      </c>
    </row>
    <row r="4" spans="1:9" x14ac:dyDescent="0.2">
      <c r="A4">
        <v>3</v>
      </c>
      <c r="B4">
        <v>-1</v>
      </c>
      <c r="C4">
        <v>1</v>
      </c>
      <c r="D4">
        <v>-1</v>
      </c>
      <c r="E4">
        <f t="shared" ca="1" si="0"/>
        <v>-1</v>
      </c>
      <c r="F4">
        <f t="shared" ca="1" si="1"/>
        <v>1</v>
      </c>
      <c r="G4">
        <f t="shared" ca="1" si="2"/>
        <v>-1</v>
      </c>
      <c r="H4">
        <f t="shared" ca="1" si="3"/>
        <v>1</v>
      </c>
    </row>
    <row r="5" spans="1:9" x14ac:dyDescent="0.2">
      <c r="A5">
        <v>4</v>
      </c>
      <c r="B5">
        <v>1</v>
      </c>
      <c r="C5">
        <v>1</v>
      </c>
      <c r="D5">
        <v>-1</v>
      </c>
      <c r="E5">
        <f t="shared" ca="1" si="0"/>
        <v>1</v>
      </c>
      <c r="F5">
        <f t="shared" ca="1" si="1"/>
        <v>-1</v>
      </c>
      <c r="G5">
        <f t="shared" ca="1" si="2"/>
        <v>-1</v>
      </c>
      <c r="H5">
        <f t="shared" ca="1" si="3"/>
        <v>-1</v>
      </c>
    </row>
    <row r="6" spans="1:9" x14ac:dyDescent="0.2">
      <c r="A6">
        <v>5</v>
      </c>
      <c r="B6">
        <v>-1</v>
      </c>
      <c r="C6">
        <v>-1</v>
      </c>
      <c r="D6">
        <v>1</v>
      </c>
      <c r="E6">
        <f t="shared" ca="1" si="0"/>
        <v>1</v>
      </c>
      <c r="F6">
        <f t="shared" ca="1" si="1"/>
        <v>-1</v>
      </c>
      <c r="G6">
        <f t="shared" ca="1" si="2"/>
        <v>-1</v>
      </c>
      <c r="H6">
        <f t="shared" ca="1" si="3"/>
        <v>1</v>
      </c>
    </row>
    <row r="7" spans="1:9" x14ac:dyDescent="0.2">
      <c r="A7">
        <v>6</v>
      </c>
      <c r="B7">
        <v>1</v>
      </c>
      <c r="C7">
        <v>-1</v>
      </c>
      <c r="D7">
        <v>1</v>
      </c>
      <c r="E7">
        <f t="shared" ca="1" si="0"/>
        <v>-1</v>
      </c>
      <c r="F7">
        <f t="shared" ca="1" si="1"/>
        <v>1</v>
      </c>
      <c r="G7">
        <f t="shared" ca="1" si="2"/>
        <v>-1</v>
      </c>
      <c r="H7">
        <f t="shared" ca="1" si="3"/>
        <v>-1</v>
      </c>
    </row>
    <row r="8" spans="1:9" x14ac:dyDescent="0.2">
      <c r="A8">
        <v>7</v>
      </c>
      <c r="B8">
        <v>-1</v>
      </c>
      <c r="C8">
        <v>1</v>
      </c>
      <c r="D8">
        <v>1</v>
      </c>
      <c r="E8">
        <f t="shared" ca="1" si="0"/>
        <v>-1</v>
      </c>
      <c r="F8">
        <f t="shared" ca="1" si="1"/>
        <v>-1</v>
      </c>
      <c r="G8">
        <f t="shared" ca="1" si="2"/>
        <v>1</v>
      </c>
      <c r="H8">
        <f t="shared" ca="1" si="3"/>
        <v>-1</v>
      </c>
    </row>
    <row r="9" spans="1:9" x14ac:dyDescent="0.2">
      <c r="A9">
        <v>8</v>
      </c>
      <c r="B9">
        <v>1</v>
      </c>
      <c r="C9">
        <v>1</v>
      </c>
      <c r="D9">
        <v>1</v>
      </c>
      <c r="E9">
        <f t="shared" ca="1" si="0"/>
        <v>1</v>
      </c>
      <c r="F9">
        <f t="shared" ca="1" si="1"/>
        <v>1</v>
      </c>
      <c r="G9">
        <f t="shared" ca="1" si="2"/>
        <v>1</v>
      </c>
      <c r="H9">
        <f t="shared" ca="1" si="3"/>
        <v>1</v>
      </c>
    </row>
    <row r="10" spans="1:9" x14ac:dyDescent="0.2">
      <c r="A10" s="2" t="s">
        <v>8</v>
      </c>
      <c r="B10" s="3">
        <f t="shared" ref="B10:H10" ca="1" si="4">B2*$G14+B3*$G15+B4*$G16+B5*$G17+B6*$G18+B7*$G19+B8*$G20+B9*$G21</f>
        <v>42.769297752935891</v>
      </c>
      <c r="C10" s="3">
        <f t="shared" ca="1" si="4"/>
        <v>92.324749097569338</v>
      </c>
      <c r="D10" s="3">
        <f t="shared" ca="1" si="4"/>
        <v>-82.689443499535301</v>
      </c>
      <c r="E10" s="3">
        <f t="shared" ca="1" si="4"/>
        <v>3.6594338081615803</v>
      </c>
      <c r="F10" s="3">
        <f t="shared" ca="1" si="4"/>
        <v>-25.904973089434961</v>
      </c>
      <c r="G10" s="3">
        <f t="shared" ca="1" si="4"/>
        <v>-57.536696774853638</v>
      </c>
      <c r="H10" s="3">
        <f t="shared" ca="1" si="4"/>
        <v>213.76446005954273</v>
      </c>
      <c r="I10" t="s">
        <v>9</v>
      </c>
    </row>
    <row r="11" spans="1:9" x14ac:dyDescent="0.2">
      <c r="A11" s="2"/>
      <c r="B11" s="3"/>
      <c r="C11" s="3"/>
      <c r="D11" s="3"/>
      <c r="E11" s="3"/>
      <c r="F11" s="3"/>
      <c r="G11" s="3"/>
      <c r="H11" s="3"/>
    </row>
    <row r="12" spans="1:9" x14ac:dyDescent="0.2">
      <c r="B12" s="5" t="s">
        <v>10</v>
      </c>
      <c r="C12" s="5"/>
      <c r="D12" s="5"/>
      <c r="E12" s="5"/>
      <c r="F12" s="5"/>
    </row>
    <row r="13" spans="1:9" x14ac:dyDescent="0.2">
      <c r="A13" s="2" t="s">
        <v>11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 t="s">
        <v>12</v>
      </c>
    </row>
    <row r="14" spans="1:9" x14ac:dyDescent="0.2">
      <c r="A14" s="2">
        <v>1</v>
      </c>
      <c r="B14" s="4">
        <v>10.774781044497445</v>
      </c>
      <c r="C14" s="4">
        <v>32.229079242617729</v>
      </c>
      <c r="D14" s="4">
        <v>6.9172779579819519</v>
      </c>
      <c r="E14" s="4">
        <v>33.68275318436546</v>
      </c>
      <c r="F14" s="4">
        <v>3.7044535381714425</v>
      </c>
      <c r="G14" s="4">
        <f t="shared" ref="G14:G21" ca="1" si="5">AVERAGE(B14:F14)</f>
        <v>17.461668993526803</v>
      </c>
    </row>
    <row r="15" spans="1:9" x14ac:dyDescent="0.2">
      <c r="A15" s="2">
        <v>2</v>
      </c>
      <c r="B15" s="4">
        <v>116.16490258847392</v>
      </c>
      <c r="C15" s="4">
        <v>67.873961160411312</v>
      </c>
      <c r="D15" s="4">
        <v>67.716596000066573</v>
      </c>
      <c r="E15" s="4">
        <v>118.60474345623945</v>
      </c>
      <c r="F15" s="4">
        <v>65.422263129632654</v>
      </c>
      <c r="G15" s="4">
        <f t="shared" ca="1" si="5"/>
        <v>87.156493266964787</v>
      </c>
      <c r="I15" t="s">
        <v>13</v>
      </c>
    </row>
    <row r="16" spans="1:9" x14ac:dyDescent="0.2">
      <c r="A16" s="2">
        <v>3</v>
      </c>
      <c r="B16" s="4">
        <v>33.471806445003416</v>
      </c>
      <c r="C16" s="4">
        <v>95.169446820999269</v>
      </c>
      <c r="D16" s="4">
        <v>146.37501535585855</v>
      </c>
      <c r="E16" s="4">
        <v>147.94753001100037</v>
      </c>
      <c r="F16" s="4">
        <v>114.30263648952753</v>
      </c>
      <c r="G16" s="4">
        <f t="shared" ca="1" si="5"/>
        <v>107.45328702447782</v>
      </c>
      <c r="I16" t="s">
        <v>14</v>
      </c>
    </row>
    <row r="17" spans="1:9" x14ac:dyDescent="0.2">
      <c r="A17" s="2">
        <v>4</v>
      </c>
      <c r="B17" s="4">
        <v>94.309793208439203</v>
      </c>
      <c r="C17" s="4">
        <v>25.08227554365406</v>
      </c>
      <c r="D17" s="4">
        <v>62.868227659113685</v>
      </c>
      <c r="E17" s="4">
        <v>103.30105546465794</v>
      </c>
      <c r="F17" s="4">
        <v>74.9166389852614</v>
      </c>
      <c r="G17" s="4">
        <f t="shared" ca="1" si="5"/>
        <v>72.095598172225252</v>
      </c>
      <c r="I17" t="s">
        <v>15</v>
      </c>
    </row>
    <row r="18" spans="1:9" x14ac:dyDescent="0.2">
      <c r="A18" s="2">
        <v>5</v>
      </c>
      <c r="B18" s="4">
        <v>58.295641632103639</v>
      </c>
      <c r="C18" s="4">
        <v>117.65216019094015</v>
      </c>
      <c r="D18" s="4">
        <v>53.612540229060741</v>
      </c>
      <c r="E18" s="4">
        <v>47.642763687912435</v>
      </c>
      <c r="F18" s="4">
        <v>78.251097257987027</v>
      </c>
      <c r="G18" s="4">
        <f t="shared" ca="1" si="5"/>
        <v>71.090840599600796</v>
      </c>
      <c r="I18" t="s">
        <v>16</v>
      </c>
    </row>
    <row r="19" spans="1:9" x14ac:dyDescent="0.2">
      <c r="A19" s="2">
        <v>6</v>
      </c>
      <c r="B19" s="4">
        <v>45.456101806037452</v>
      </c>
      <c r="C19" s="4">
        <v>15.583178926313849</v>
      </c>
      <c r="D19" s="4">
        <v>8.7634988224672696</v>
      </c>
      <c r="E19" s="4">
        <v>27.713821464960887</v>
      </c>
      <c r="F19" s="4">
        <v>7.2381404729703434</v>
      </c>
      <c r="G19" s="4">
        <f t="shared" ca="1" si="5"/>
        <v>20.95094829854996</v>
      </c>
    </row>
    <row r="20" spans="1:9" x14ac:dyDescent="0.2">
      <c r="A20" s="2">
        <v>7</v>
      </c>
      <c r="B20" s="4">
        <v>5.0516368529708302</v>
      </c>
      <c r="C20" s="4">
        <v>43.829609258571423</v>
      </c>
      <c r="D20" s="4">
        <v>8.3641642112903583</v>
      </c>
      <c r="E20" s="4">
        <v>20.081839984332277</v>
      </c>
      <c r="F20" s="4">
        <v>49.832150759603394</v>
      </c>
      <c r="G20" s="4">
        <f t="shared" ca="1" si="5"/>
        <v>25.431880213353658</v>
      </c>
    </row>
    <row r="21" spans="1:9" x14ac:dyDescent="0.2">
      <c r="A21" s="2">
        <v>8</v>
      </c>
      <c r="B21" s="4">
        <v>38.496096935181839</v>
      </c>
      <c r="C21" s="4">
        <v>85.179878763919703</v>
      </c>
      <c r="D21" s="4">
        <v>77.115351582743244</v>
      </c>
      <c r="E21" s="4">
        <v>97.395261583196344</v>
      </c>
      <c r="F21" s="4">
        <v>121.83308536573369</v>
      </c>
      <c r="G21" s="4">
        <f t="shared" ca="1" si="5"/>
        <v>84.003934846154962</v>
      </c>
    </row>
    <row r="24" spans="1:9" x14ac:dyDescent="0.2">
      <c r="B24" t="s">
        <v>17</v>
      </c>
      <c r="D24" t="s">
        <v>18</v>
      </c>
      <c r="F24" t="s">
        <v>19</v>
      </c>
    </row>
    <row r="25" spans="1:9" x14ac:dyDescent="0.2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</row>
    <row r="26" spans="1:9" x14ac:dyDescent="0.2">
      <c r="A26">
        <v>20</v>
      </c>
      <c r="B26">
        <f ca="1">AVERAGE(G14:G15)</f>
        <v>52.309081130245794</v>
      </c>
      <c r="C26">
        <f ca="1">AVERAGE(G18:G19)</f>
        <v>46.020894449075378</v>
      </c>
      <c r="D26">
        <f ca="1">AVERAGE(G14,G18)</f>
        <v>44.276254796563798</v>
      </c>
      <c r="E26">
        <f ca="1">AVERAGE(G16,G20)</f>
        <v>66.442583618915734</v>
      </c>
      <c r="F26">
        <f ca="1">AVERAGE(G14,G16)</f>
        <v>62.457478009002308</v>
      </c>
      <c r="G26">
        <f ca="1">AVERAGE(G15,G17)</f>
        <v>79.626045719595027</v>
      </c>
    </row>
    <row r="27" spans="1:9" x14ac:dyDescent="0.2">
      <c r="A27">
        <v>80</v>
      </c>
      <c r="B27">
        <f ca="1">AVERAGE(G16:G17)</f>
        <v>89.774442598351527</v>
      </c>
      <c r="C27">
        <f ca="1">AVERAGE(G20:G21)</f>
        <v>54.717907529754314</v>
      </c>
      <c r="D27">
        <f ca="1">AVERAGE(G15,G19)</f>
        <v>54.053720782757374</v>
      </c>
      <c r="E27">
        <f ca="1">AVERAGE(G17,G21)</f>
        <v>78.049766509190107</v>
      </c>
      <c r="F27">
        <f ca="1">AVERAGE(G18,G20)</f>
        <v>48.261360406477223</v>
      </c>
      <c r="G27">
        <f ca="1">AVERAGE(G19,G21)</f>
        <v>52.477441572352461</v>
      </c>
    </row>
  </sheetData>
  <sheetProtection selectLockedCells="1" selectUnlockedCells="1"/>
  <mergeCells count="1">
    <mergeCell ref="B12:F12"/>
  </mergeCells>
  <conditionalFormatting sqref="B2:D9">
    <cfRule type="cellIs" dxfId="5" priority="1" stopIfTrue="1" operator="equal">
      <formula>-1</formula>
    </cfRule>
    <cfRule type="cellIs" dxfId="4" priority="2" stopIfTrue="1" operator="equal">
      <formula>1</formula>
    </cfRule>
  </conditionalFormatting>
  <conditionalFormatting sqref="E2:G9">
    <cfRule type="cellIs" dxfId="3" priority="3" stopIfTrue="1" operator="equal">
      <formula>-1</formula>
    </cfRule>
    <cfRule type="cellIs" dxfId="2" priority="4" stopIfTrue="1" operator="equal">
      <formula>1</formula>
    </cfRule>
  </conditionalFormatting>
  <conditionalFormatting sqref="H2:H9">
    <cfRule type="cellIs" dxfId="1" priority="5" stopIfTrue="1" operator="lessThan">
      <formula>0</formula>
    </cfRule>
    <cfRule type="cellIs" dxfId="0" priority="6" stopIfTrue="1" operator="greaterThan">
      <formula>0</formula>
    </cfRule>
  </conditionalFormatting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xlParse</cp:lastModifiedBy>
  <dcterms:created xsi:type="dcterms:W3CDTF">2017-10-09T12:50:36Z</dcterms:created>
  <dcterms:modified xsi:type="dcterms:W3CDTF">2017-10-09T12:50:37Z</dcterms:modified>
</cp:coreProperties>
</file>