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drawings/drawing17.xml" ContentType="application/vnd.openxmlformats-officedocument.drawing+xml"/>
  <Override PartName="/xl/charts/chart18.xml" ContentType="application/vnd.openxmlformats-officedocument.drawingml.chart+xml"/>
  <Override PartName="/xl/drawings/drawing18.xml" ContentType="application/vnd.openxmlformats-officedocument.drawing+xml"/>
  <Override PartName="/xl/charts/chart19.xml" ContentType="application/vnd.openxmlformats-officedocument.drawingml.chart+xml"/>
  <Override PartName="/xl/drawings/drawing19.xml" ContentType="application/vnd.openxmlformats-officedocument.drawing+xml"/>
  <Override PartName="/xl/charts/chart20.xml" ContentType="application/vnd.openxmlformats-officedocument.drawingml.chart+xml"/>
  <Override PartName="/xl/drawings/drawing20.xml" ContentType="application/vnd.openxmlformats-officedocument.drawing+xml"/>
  <Override PartName="/xl/charts/chart21.xml" ContentType="application/vnd.openxmlformats-officedocument.drawingml.chart+xml"/>
  <Override PartName="/xl/drawings/drawing21.xml" ContentType="application/vnd.openxmlformats-officedocument.drawing+xml"/>
  <Override PartName="/xl/charts/chart22.xml" ContentType="application/vnd.openxmlformats-officedocument.drawingml.chart+xml"/>
  <Override PartName="/xl/drawings/drawing22.xml" ContentType="application/vnd.openxmlformats-officedocument.drawing+xml"/>
  <Override PartName="/xl/charts/chart23.xml" ContentType="application/vnd.openxmlformats-officedocument.drawingml.chart+xml"/>
  <Override PartName="/xl/drawings/drawing23.xml" ContentType="application/vnd.openxmlformats-officedocument.drawing+xml"/>
  <Override PartName="/xl/charts/chart24.xml" ContentType="application/vnd.openxmlformats-officedocument.drawingml.chart+xml"/>
  <Override PartName="/xl/drawings/drawing24.xml" ContentType="application/vnd.openxmlformats-officedocument.drawing+xml"/>
  <Override PartName="/xl/charts/chart25.xml" ContentType="application/vnd.openxmlformats-officedocument.drawingml.chart+xml"/>
  <Override PartName="/xl/drawings/drawing25.xml" ContentType="application/vnd.openxmlformats-officedocument.drawing+xml"/>
  <Override PartName="/xl/charts/chart26.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7.xml" ContentType="application/vnd.openxmlformats-officedocument.drawing+xml"/>
  <Override PartName="/xl/charts/chart28.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29.xml" ContentType="application/vnd.openxmlformats-officedocument.drawing+xml"/>
  <Override PartName="/xl/charts/chart3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360" yWindow="300" windowWidth="9555" windowHeight="7785" tabRatio="859" firstSheet="15" activeTab="28"/>
  </bookViews>
  <sheets>
    <sheet name="SOSC-jb" sheetId="1" r:id="rId1"/>
    <sheet name="sosc sum-jb " sheetId="22" r:id="rId2"/>
    <sheet name="sosc sum (COOP)" sheetId="2" r:id="rId3"/>
    <sheet name="APLS-jb" sheetId="30" r:id="rId4"/>
    <sheet name="APLS (COOP)-jb" sheetId="31" r:id="rId5"/>
    <sheet name="BECO-jb" sheetId="3" r:id="rId6"/>
    <sheet name="BECO (COOP)-jb" sheetId="23" r:id="rId7"/>
    <sheet name="CHYS-jb" sheetId="4" r:id="rId8"/>
    <sheet name="CPCF-jb" sheetId="8" r:id="rId9"/>
    <sheet name="CPCF (COOP)-jb" sheetId="32" r:id="rId10"/>
    <sheet name="COMM-jb" sheetId="5" r:id="rId11"/>
    <sheet name="FILM-jb" sheetId="6" r:id="rId12"/>
    <sheet name="PCUL-jb" sheetId="7" r:id="rId13"/>
    <sheet name="ECON-jb" sheetId="9" r:id="rId14"/>
    <sheet name="ECON (COOP)-jb" sheetId="25" r:id="rId15"/>
    <sheet name="GEOG-jb" sheetId="11" r:id="rId16"/>
    <sheet name="GEOG (COOP)-jb" sheetId="26" r:id="rId17"/>
    <sheet name="LABR-jb" sheetId="12" r:id="rId18"/>
    <sheet name="NEUR-jb" sheetId="21" r:id="rId19"/>
    <sheet name="NEUR (COOP)-jb" sheetId="27" r:id="rId20"/>
    <sheet name="POLI-jb" sheetId="14" r:id="rId21"/>
    <sheet name="POLI (COOP)-jb" sheetId="28" r:id="rId22"/>
    <sheet name="PSYC-jb" sheetId="15" r:id="rId23"/>
    <sheet name="PSYC (COOP)-jb" sheetId="29" r:id="rId24"/>
    <sheet name="SOCI-jb" sheetId="16" r:id="rId25"/>
    <sheet name="TREN-jb" sheetId="10" r:id="rId26"/>
    <sheet name="TREN(COOP)-hide" sheetId="33" state="hidden" r:id="rId27"/>
    <sheet name="WGST-jb" sheetId="17" r:id="rId28"/>
    <sheet name="GeneralStudies" sheetId="18" r:id="rId29"/>
  </sheets>
  <definedNames>
    <definedName name="BB" localSheetId="26">#REF!</definedName>
    <definedName name="BB">#REF!</definedName>
    <definedName name="_xlnm.Print_Area" localSheetId="4">'APLS (COOP)-jb'!$A$1:$M$35</definedName>
    <definedName name="_xlnm.Print_Area" localSheetId="3">'APLS-jb'!$A$1:$U$54</definedName>
    <definedName name="_xlnm.Print_Area" localSheetId="6">'BECO (COOP)-jb'!$A$1:$O$53</definedName>
    <definedName name="_xlnm.Print_Area" localSheetId="5">'BECO-jb'!$B$1:$O$53</definedName>
    <definedName name="_xlnm.Print_Area" localSheetId="7">'CHYS-jb'!$A$1:$S$53</definedName>
    <definedName name="_xlnm.Print_Area" localSheetId="10">'COMM-jb'!$A$1:$S$53</definedName>
    <definedName name="_xlnm.Print_Area" localSheetId="9">'CPCF (COOP)-jb'!$A$1:$O$35</definedName>
    <definedName name="_xlnm.Print_Area" localSheetId="8">'CPCF-jb'!$A$1:$O$55</definedName>
    <definedName name="_xlnm.Print_Area" localSheetId="14">'ECON (COOP)-jb'!$A$1:$O$53</definedName>
    <definedName name="_xlnm.Print_Area" localSheetId="13">'ECON-jb'!$A$1:$O$53</definedName>
    <definedName name="_xlnm.Print_Area" localSheetId="11">'FILM-jb'!$A$1:$S$53</definedName>
    <definedName name="_xlnm.Print_Area" localSheetId="28">GeneralStudies!$A$1:$S$54</definedName>
    <definedName name="_xlnm.Print_Area" localSheetId="16">'GEOG (COOP)-jb'!$A$1:$O$55</definedName>
    <definedName name="_xlnm.Print_Area" localSheetId="15">'GEOG-jb'!$A$1:$O$55</definedName>
    <definedName name="_xlnm.Print_Area" localSheetId="17">'LABR-jb'!$A$1:$S$53</definedName>
    <definedName name="_xlnm.Print_Area" localSheetId="19">'NEUR (COOP)-jb'!$A$1:$O$53</definedName>
    <definedName name="_xlnm.Print_Area" localSheetId="18">'NEUR-jb'!$A$1:$O$53</definedName>
    <definedName name="_xlnm.Print_Area" localSheetId="12">'PCUL-jb'!$A$1:$S$52</definedName>
    <definedName name="_xlnm.Print_Area" localSheetId="21">'POLI (COOP)-jb'!$A$1:$O$53</definedName>
    <definedName name="_xlnm.Print_Area" localSheetId="20">'POLI-jb'!$A$1:$O$53</definedName>
    <definedName name="_xlnm.Print_Area" localSheetId="23">'PSYC (COOP)-jb'!$A$1:$O$54</definedName>
    <definedName name="_xlnm.Print_Area" localSheetId="22">'PSYC-jb'!$A$1:$O$54</definedName>
    <definedName name="_xlnm.Print_Area" localSheetId="24">'SOCI-jb'!$A$1:$S$53</definedName>
    <definedName name="_xlnm.Print_Area" localSheetId="2">'sosc sum (COOP)'!$A$1:$L$50</definedName>
    <definedName name="_xlnm.Print_Area" localSheetId="1">'sosc sum-jb '!$A$1:$L$50</definedName>
    <definedName name="_xlnm.Print_Area" localSheetId="0">'SOSC-jb'!$A$1:$S$59</definedName>
    <definedName name="_xlnm.Print_Area" localSheetId="26">'TREN(COOP)-hide'!$A$1:$S$53</definedName>
    <definedName name="_xlnm.Print_Area" localSheetId="25">'TREN-jb'!$A$1:$S$53</definedName>
    <definedName name="_xlnm.Print_Area" localSheetId="27">'WGST-jb'!$A$1:$S$53</definedName>
    <definedName name="_xlnm.Print_Area">'CPCF-jb'!$B$1:$D$55</definedName>
  </definedNames>
  <calcPr calcId="145621"/>
</workbook>
</file>

<file path=xl/calcChain.xml><?xml version="1.0" encoding="utf-8"?>
<calcChain xmlns="http://schemas.openxmlformats.org/spreadsheetml/2006/main">
  <c r="S34" i="33" l="1"/>
  <c r="S33" i="33"/>
  <c r="S32" i="33"/>
  <c r="S31" i="33"/>
  <c r="G30" i="32" l="1"/>
  <c r="F30" i="32"/>
  <c r="E30" i="32"/>
  <c r="G28" i="32"/>
  <c r="F28" i="32"/>
  <c r="E28" i="32"/>
  <c r="I26" i="32"/>
  <c r="H26" i="32"/>
  <c r="G26" i="32"/>
  <c r="F26" i="32"/>
  <c r="E26" i="32"/>
  <c r="I25" i="32"/>
  <c r="I23" i="32"/>
  <c r="H23" i="32"/>
  <c r="H25" i="32" s="1"/>
  <c r="I20" i="32"/>
  <c r="I18" i="32"/>
  <c r="H18" i="32"/>
  <c r="H20" i="32" s="1"/>
  <c r="I15" i="32"/>
  <c r="I30" i="32" s="1"/>
  <c r="I13" i="32"/>
  <c r="I28" i="32" s="1"/>
  <c r="H13" i="32"/>
  <c r="H15" i="32" s="1"/>
  <c r="H10" i="32"/>
  <c r="H8" i="32"/>
  <c r="H30" i="32" l="1"/>
  <c r="H28" i="32"/>
  <c r="U30" i="1" l="1"/>
  <c r="F26" i="31" l="1"/>
  <c r="F28" i="31" s="1"/>
  <c r="F30" i="31" s="1"/>
  <c r="F15" i="31"/>
  <c r="F13" i="31"/>
  <c r="G11" i="31"/>
  <c r="G26" i="31" s="1"/>
  <c r="G28" i="31" s="1"/>
  <c r="G30" i="31" s="1"/>
  <c r="O30" i="30"/>
  <c r="J29" i="30"/>
  <c r="H29" i="30"/>
  <c r="G29" i="30"/>
  <c r="F29" i="30"/>
  <c r="E29" i="30"/>
  <c r="D29" i="30"/>
  <c r="O27" i="30"/>
  <c r="N27" i="30"/>
  <c r="M27" i="30"/>
  <c r="L27" i="30"/>
  <c r="J27" i="30"/>
  <c r="H27" i="30"/>
  <c r="G27" i="30"/>
  <c r="F27" i="30"/>
  <c r="E27" i="30"/>
  <c r="D27" i="30"/>
  <c r="N26" i="30"/>
  <c r="N28" i="30" s="1"/>
  <c r="N30" i="30" s="1"/>
  <c r="M26" i="30"/>
  <c r="M28" i="30" s="1"/>
  <c r="M30" i="30" s="1"/>
  <c r="L26" i="30"/>
  <c r="L28" i="30" s="1"/>
  <c r="L30" i="30" s="1"/>
  <c r="J26" i="30"/>
  <c r="J28" i="30" s="1"/>
  <c r="J30" i="30" s="1"/>
  <c r="H26" i="30"/>
  <c r="H28" i="30" s="1"/>
  <c r="H30" i="30" s="1"/>
  <c r="G26" i="30"/>
  <c r="G28" i="30" s="1"/>
  <c r="G30" i="30" s="1"/>
  <c r="F26" i="30"/>
  <c r="F28" i="30" s="1"/>
  <c r="F30" i="30" s="1"/>
  <c r="E26" i="30"/>
  <c r="E28" i="30" s="1"/>
  <c r="E30" i="30" s="1"/>
  <c r="D26" i="30"/>
  <c r="D28" i="30" s="1"/>
  <c r="D30" i="30" s="1"/>
  <c r="N25" i="30"/>
  <c r="H25" i="30"/>
  <c r="D25" i="30"/>
  <c r="N23" i="30"/>
  <c r="M23" i="30"/>
  <c r="M25" i="30" s="1"/>
  <c r="L23" i="30"/>
  <c r="L25" i="30" s="1"/>
  <c r="J23" i="30"/>
  <c r="J25" i="30" s="1"/>
  <c r="H23" i="30"/>
  <c r="F23" i="30"/>
  <c r="F25" i="30" s="1"/>
  <c r="E23" i="30"/>
  <c r="E25" i="30" s="1"/>
  <c r="D23" i="30"/>
  <c r="O21" i="30"/>
  <c r="G21" i="30"/>
  <c r="G23" i="30" s="1"/>
  <c r="G25" i="30" s="1"/>
  <c r="N20" i="30"/>
  <c r="H20" i="30"/>
  <c r="D20" i="30"/>
  <c r="N18" i="30"/>
  <c r="M18" i="30"/>
  <c r="M20" i="30" s="1"/>
  <c r="L18" i="30"/>
  <c r="L20" i="30" s="1"/>
  <c r="J18" i="30"/>
  <c r="J20" i="30" s="1"/>
  <c r="H18" i="30"/>
  <c r="F18" i="30"/>
  <c r="F20" i="30" s="1"/>
  <c r="E18" i="30"/>
  <c r="E20" i="30" s="1"/>
  <c r="D18" i="30"/>
  <c r="O16" i="30"/>
  <c r="G16" i="30"/>
  <c r="G18" i="30" s="1"/>
  <c r="G20" i="30" s="1"/>
  <c r="N15" i="30"/>
  <c r="H15" i="30"/>
  <c r="D15" i="30"/>
  <c r="N13" i="30"/>
  <c r="M13" i="30"/>
  <c r="M15" i="30" s="1"/>
  <c r="L13" i="30"/>
  <c r="L15" i="30" s="1"/>
  <c r="J13" i="30"/>
  <c r="J15" i="30" s="1"/>
  <c r="H13" i="30"/>
  <c r="G13" i="30"/>
  <c r="G15" i="30" s="1"/>
  <c r="F13" i="30"/>
  <c r="F15" i="30" s="1"/>
  <c r="E13" i="30"/>
  <c r="E15" i="30" s="1"/>
  <c r="D13" i="30"/>
  <c r="O11" i="30"/>
  <c r="O26" i="30" s="1"/>
  <c r="O28" i="30" s="1"/>
  <c r="M10" i="30"/>
  <c r="G10" i="30"/>
  <c r="N8" i="30"/>
  <c r="N10" i="30" s="1"/>
  <c r="M8" i="30"/>
  <c r="L8" i="30"/>
  <c r="L10" i="30" s="1"/>
  <c r="J8" i="30"/>
  <c r="J10" i="30" s="1"/>
  <c r="H8" i="30"/>
  <c r="H10" i="30" s="1"/>
  <c r="G8" i="30"/>
  <c r="F8" i="30"/>
  <c r="F10" i="30" s="1"/>
  <c r="E8" i="30"/>
  <c r="E10" i="30" s="1"/>
  <c r="D8" i="30"/>
  <c r="D10" i="30" s="1"/>
  <c r="O33" i="21" l="1"/>
  <c r="G30" i="29"/>
  <c r="F30" i="29"/>
  <c r="E30" i="29"/>
  <c r="G28" i="29"/>
  <c r="F28" i="29"/>
  <c r="E28" i="29"/>
  <c r="I26" i="29"/>
  <c r="H26" i="29"/>
  <c r="G26" i="29"/>
  <c r="F26" i="29"/>
  <c r="E26" i="29"/>
  <c r="I23" i="29"/>
  <c r="I25" i="29" s="1"/>
  <c r="H23" i="29"/>
  <c r="H25" i="29" s="1"/>
  <c r="I18" i="29"/>
  <c r="I20" i="29" s="1"/>
  <c r="H18" i="29"/>
  <c r="H20" i="29" s="1"/>
  <c r="I15" i="29"/>
  <c r="H13" i="29"/>
  <c r="I8" i="29"/>
  <c r="H8" i="29"/>
  <c r="H28" i="29" s="1"/>
  <c r="F30" i="28"/>
  <c r="E30" i="28"/>
  <c r="G28" i="28"/>
  <c r="F28" i="28"/>
  <c r="E28" i="28"/>
  <c r="I26" i="28"/>
  <c r="H26" i="28"/>
  <c r="G26" i="28"/>
  <c r="F26" i="28"/>
  <c r="E26" i="28"/>
  <c r="I23" i="28"/>
  <c r="I25" i="28" s="1"/>
  <c r="H23" i="28"/>
  <c r="H25" i="28" s="1"/>
  <c r="I18" i="28"/>
  <c r="I20" i="28" s="1"/>
  <c r="H18" i="28"/>
  <c r="H20" i="28" s="1"/>
  <c r="I13" i="28"/>
  <c r="I15" i="28" s="1"/>
  <c r="H13" i="28"/>
  <c r="H15" i="28" s="1"/>
  <c r="G10" i="28"/>
  <c r="G30" i="28" s="1"/>
  <c r="I8" i="28"/>
  <c r="H8" i="28"/>
  <c r="G30" i="27"/>
  <c r="F30" i="27"/>
  <c r="E30" i="27"/>
  <c r="G28" i="27"/>
  <c r="F28" i="27"/>
  <c r="E28" i="27"/>
  <c r="I26" i="27"/>
  <c r="H26" i="27"/>
  <c r="G26" i="27"/>
  <c r="F26" i="27"/>
  <c r="E26" i="27"/>
  <c r="I23" i="27"/>
  <c r="I25" i="27" s="1"/>
  <c r="H23" i="27"/>
  <c r="H25" i="27" s="1"/>
  <c r="I18" i="27"/>
  <c r="I20" i="27" s="1"/>
  <c r="H18" i="27"/>
  <c r="H20" i="27" s="1"/>
  <c r="I13" i="27"/>
  <c r="I15" i="27" s="1"/>
  <c r="H13" i="27"/>
  <c r="H15" i="27" s="1"/>
  <c r="I8" i="27"/>
  <c r="H8" i="27"/>
  <c r="E29" i="26"/>
  <c r="D29" i="26"/>
  <c r="E27" i="26"/>
  <c r="D27" i="26"/>
  <c r="I26" i="26"/>
  <c r="H26" i="26"/>
  <c r="H28" i="26" s="1"/>
  <c r="H30" i="26" s="1"/>
  <c r="E26" i="26"/>
  <c r="E23" i="26"/>
  <c r="E25" i="26" s="1"/>
  <c r="D21" i="26"/>
  <c r="D23" i="26" s="1"/>
  <c r="D25" i="26" s="1"/>
  <c r="E18" i="26"/>
  <c r="E20" i="26" s="1"/>
  <c r="D16" i="26"/>
  <c r="D18" i="26" s="1"/>
  <c r="D20" i="26" s="1"/>
  <c r="I13" i="26"/>
  <c r="I15" i="26" s="1"/>
  <c r="E13" i="26"/>
  <c r="E15" i="26" s="1"/>
  <c r="D11" i="26"/>
  <c r="D13" i="26" s="1"/>
  <c r="D15" i="26" s="1"/>
  <c r="I8" i="26"/>
  <c r="I10" i="26" s="1"/>
  <c r="H8" i="26"/>
  <c r="H10" i="26" s="1"/>
  <c r="E8" i="26"/>
  <c r="E10" i="26" s="1"/>
  <c r="D6" i="26"/>
  <c r="I28" i="25"/>
  <c r="I30" i="25" s="1"/>
  <c r="H28" i="25"/>
  <c r="H30" i="25" s="1"/>
  <c r="G28" i="25"/>
  <c r="G30" i="25" s="1"/>
  <c r="F28" i="25"/>
  <c r="F30" i="25" s="1"/>
  <c r="E28" i="25"/>
  <c r="E30" i="25" s="1"/>
  <c r="I26" i="25"/>
  <c r="H26" i="25"/>
  <c r="G26" i="25"/>
  <c r="F26" i="25"/>
  <c r="E26" i="25"/>
  <c r="E6" i="8"/>
  <c r="D7" i="8"/>
  <c r="E7" i="8"/>
  <c r="D9" i="8"/>
  <c r="E9" i="8"/>
  <c r="E11" i="8"/>
  <c r="E12" i="8"/>
  <c r="D14" i="8"/>
  <c r="E14" i="8"/>
  <c r="E16" i="8"/>
  <c r="D17" i="8"/>
  <c r="E17" i="8"/>
  <c r="D19" i="8"/>
  <c r="E19" i="8"/>
  <c r="E21" i="8"/>
  <c r="D22" i="8"/>
  <c r="E22" i="8"/>
  <c r="D24" i="8"/>
  <c r="E24" i="8"/>
  <c r="G30" i="23"/>
  <c r="F30" i="23"/>
  <c r="E30" i="23"/>
  <c r="G28" i="23"/>
  <c r="F28" i="23"/>
  <c r="E28" i="23"/>
  <c r="I26" i="23"/>
  <c r="H26" i="23"/>
  <c r="G26" i="23"/>
  <c r="F26" i="23"/>
  <c r="E26" i="23"/>
  <c r="I23" i="23"/>
  <c r="I25" i="23" s="1"/>
  <c r="H23" i="23"/>
  <c r="H25" i="23" s="1"/>
  <c r="I18" i="23"/>
  <c r="I20" i="23" s="1"/>
  <c r="H18" i="23"/>
  <c r="H20" i="23" s="1"/>
  <c r="I13" i="23"/>
  <c r="I15" i="23" s="1"/>
  <c r="H13" i="23"/>
  <c r="H15" i="23" s="1"/>
  <c r="I8" i="23"/>
  <c r="I10" i="23" s="1"/>
  <c r="H8" i="23"/>
  <c r="I29" i="21"/>
  <c r="E29" i="21"/>
  <c r="D29" i="21"/>
  <c r="E27" i="21"/>
  <c r="D27" i="21"/>
  <c r="I26" i="21"/>
  <c r="I28" i="21" s="1"/>
  <c r="I30" i="21" s="1"/>
  <c r="H26" i="21"/>
  <c r="G26" i="21"/>
  <c r="G28" i="21" s="1"/>
  <c r="G30" i="21" s="1"/>
  <c r="F26" i="21"/>
  <c r="F28" i="21" s="1"/>
  <c r="F30" i="21" s="1"/>
  <c r="E26" i="21"/>
  <c r="E28" i="21" s="1"/>
  <c r="E30" i="21" s="1"/>
  <c r="D26" i="21"/>
  <c r="I23" i="21"/>
  <c r="I25" i="21"/>
  <c r="H23" i="21"/>
  <c r="H25" i="21" s="1"/>
  <c r="G23" i="21"/>
  <c r="G25" i="21" s="1"/>
  <c r="F23" i="21"/>
  <c r="F25" i="21" s="1"/>
  <c r="E23" i="21"/>
  <c r="E25" i="21" s="1"/>
  <c r="D23" i="21"/>
  <c r="D25" i="21" s="1"/>
  <c r="I18" i="21"/>
  <c r="I20" i="21" s="1"/>
  <c r="H18" i="21"/>
  <c r="H20" i="21"/>
  <c r="G18" i="21"/>
  <c r="G20" i="21" s="1"/>
  <c r="F18" i="21"/>
  <c r="F20" i="21"/>
  <c r="E18" i="21"/>
  <c r="E20" i="21" s="1"/>
  <c r="D18" i="21"/>
  <c r="D20" i="21" s="1"/>
  <c r="I13" i="21"/>
  <c r="I15" i="21" s="1"/>
  <c r="H13" i="21"/>
  <c r="H15" i="21" s="1"/>
  <c r="G13" i="21"/>
  <c r="G15" i="21" s="1"/>
  <c r="F13" i="21"/>
  <c r="F15" i="21" s="1"/>
  <c r="E13" i="21"/>
  <c r="E15" i="21" s="1"/>
  <c r="D13" i="21"/>
  <c r="D15" i="21" s="1"/>
  <c r="I8" i="21"/>
  <c r="I10" i="21" s="1"/>
  <c r="H8" i="21"/>
  <c r="H10" i="21" s="1"/>
  <c r="G8" i="21"/>
  <c r="G10" i="21" s="1"/>
  <c r="F8" i="21"/>
  <c r="F10" i="21" s="1"/>
  <c r="E8" i="21"/>
  <c r="E10" i="21" s="1"/>
  <c r="D8" i="21"/>
  <c r="D10" i="21"/>
  <c r="I6" i="15"/>
  <c r="I8" i="15" s="1"/>
  <c r="I10" i="15" s="1"/>
  <c r="I11" i="15"/>
  <c r="I13" i="15" s="1"/>
  <c r="I15" i="15" s="1"/>
  <c r="I16" i="15"/>
  <c r="I21" i="15"/>
  <c r="I17" i="15"/>
  <c r="I22" i="15"/>
  <c r="I29" i="15"/>
  <c r="I8" i="8"/>
  <c r="I10" i="8" s="1"/>
  <c r="I13" i="8"/>
  <c r="I15" i="8" s="1"/>
  <c r="I23" i="8"/>
  <c r="I25" i="8" s="1"/>
  <c r="I18" i="8"/>
  <c r="I20" i="8" s="1"/>
  <c r="M34" i="18"/>
  <c r="M33" i="18"/>
  <c r="M32" i="18"/>
  <c r="M31" i="18"/>
  <c r="M24" i="18"/>
  <c r="M25" i="18" s="1"/>
  <c r="M19" i="18"/>
  <c r="M14" i="18"/>
  <c r="M9" i="18"/>
  <c r="M10" i="18" s="1"/>
  <c r="M21" i="16"/>
  <c r="M22" i="16"/>
  <c r="M17" i="16"/>
  <c r="M16" i="16"/>
  <c r="M11" i="16"/>
  <c r="M13" i="16" s="1"/>
  <c r="M15" i="16" s="1"/>
  <c r="M12" i="16"/>
  <c r="M7" i="16"/>
  <c r="M6" i="16"/>
  <c r="I22" i="14"/>
  <c r="I21" i="14"/>
  <c r="I17" i="14"/>
  <c r="I16" i="14"/>
  <c r="I12" i="14"/>
  <c r="I11" i="14"/>
  <c r="I7" i="14"/>
  <c r="I6" i="14"/>
  <c r="I16" i="11"/>
  <c r="I6" i="11"/>
  <c r="I11" i="11"/>
  <c r="I13" i="11" s="1"/>
  <c r="I15" i="11" s="1"/>
  <c r="I21" i="11"/>
  <c r="I22" i="11"/>
  <c r="I17" i="11"/>
  <c r="I23" i="9"/>
  <c r="I25" i="9" s="1"/>
  <c r="I18" i="9"/>
  <c r="I20" i="9" s="1"/>
  <c r="I13" i="9"/>
  <c r="I15" i="9" s="1"/>
  <c r="M33" i="6"/>
  <c r="M32" i="6"/>
  <c r="M31" i="6"/>
  <c r="M26" i="6"/>
  <c r="M27" i="6"/>
  <c r="M23" i="6"/>
  <c r="M25" i="6"/>
  <c r="M31" i="7"/>
  <c r="M34" i="5"/>
  <c r="M33" i="5"/>
  <c r="M31" i="5"/>
  <c r="M32" i="5"/>
  <c r="M21" i="5"/>
  <c r="M23" i="5" s="1"/>
  <c r="M25" i="5" s="1"/>
  <c r="M16" i="5"/>
  <c r="M18" i="5"/>
  <c r="M20" i="5" s="1"/>
  <c r="M11" i="5"/>
  <c r="M13" i="5" s="1"/>
  <c r="M6" i="5"/>
  <c r="M8" i="5" s="1"/>
  <c r="M10" i="5" s="1"/>
  <c r="M6" i="4"/>
  <c r="M8" i="4" s="1"/>
  <c r="M10" i="4" s="1"/>
  <c r="M11" i="4"/>
  <c r="M16" i="4"/>
  <c r="M21" i="4"/>
  <c r="M22" i="4"/>
  <c r="M17" i="4"/>
  <c r="M12" i="4"/>
  <c r="M26" i="17"/>
  <c r="M27" i="17"/>
  <c r="M28" i="17" s="1"/>
  <c r="M29" i="17"/>
  <c r="M23" i="17"/>
  <c r="M25" i="17" s="1"/>
  <c r="M18" i="17"/>
  <c r="M20" i="17" s="1"/>
  <c r="M13" i="17"/>
  <c r="M15" i="17" s="1"/>
  <c r="M8" i="17"/>
  <c r="M10" i="17" s="1"/>
  <c r="M29" i="16"/>
  <c r="M27" i="12"/>
  <c r="M23" i="12"/>
  <c r="M25" i="12" s="1"/>
  <c r="M18" i="12"/>
  <c r="M20" i="12" s="1"/>
  <c r="M13" i="12"/>
  <c r="M15" i="12" s="1"/>
  <c r="M8" i="12"/>
  <c r="M10" i="12" s="1"/>
  <c r="I29" i="11"/>
  <c r="I26" i="9"/>
  <c r="I28" i="9" s="1"/>
  <c r="I27" i="9"/>
  <c r="I29" i="9"/>
  <c r="I8" i="9"/>
  <c r="I10" i="9" s="1"/>
  <c r="M8" i="7"/>
  <c r="M10" i="7" s="1"/>
  <c r="M13" i="7"/>
  <c r="M18" i="7"/>
  <c r="M20" i="7" s="1"/>
  <c r="M23" i="7"/>
  <c r="M25" i="7" s="1"/>
  <c r="M26" i="7"/>
  <c r="M8" i="6"/>
  <c r="M10" i="6" s="1"/>
  <c r="M13" i="6"/>
  <c r="M15" i="6" s="1"/>
  <c r="M18" i="6"/>
  <c r="M20" i="6" s="1"/>
  <c r="M15" i="5"/>
  <c r="M27" i="5"/>
  <c r="I27" i="8"/>
  <c r="I26" i="8"/>
  <c r="M29" i="4"/>
  <c r="I26" i="3"/>
  <c r="I23" i="3"/>
  <c r="I25" i="3" s="1"/>
  <c r="I18" i="3"/>
  <c r="I20" i="3" s="1"/>
  <c r="I13" i="3"/>
  <c r="I15" i="3" s="1"/>
  <c r="I8" i="3"/>
  <c r="I10" i="3" s="1"/>
  <c r="L29" i="18"/>
  <c r="L30" i="18" s="1"/>
  <c r="L27" i="17"/>
  <c r="H26" i="15"/>
  <c r="H28" i="15" s="1"/>
  <c r="H27" i="15"/>
  <c r="H29" i="15"/>
  <c r="L26" i="12"/>
  <c r="H29" i="11"/>
  <c r="H26" i="11"/>
  <c r="H27" i="11"/>
  <c r="H8" i="8"/>
  <c r="H10" i="8" s="1"/>
  <c r="H13" i="8"/>
  <c r="H15" i="8" s="1"/>
  <c r="H23" i="8"/>
  <c r="H25" i="8" s="1"/>
  <c r="H18" i="8"/>
  <c r="H20" i="8" s="1"/>
  <c r="L27" i="4"/>
  <c r="L26" i="4"/>
  <c r="H23" i="11"/>
  <c r="H25" i="11" s="1"/>
  <c r="H18" i="11"/>
  <c r="H20" i="11" s="1"/>
  <c r="H13" i="11"/>
  <c r="H15" i="11" s="1"/>
  <c r="H8" i="11"/>
  <c r="H10" i="11" s="1"/>
  <c r="L25" i="18"/>
  <c r="L20" i="18"/>
  <c r="L15" i="18"/>
  <c r="L10" i="18"/>
  <c r="H26" i="9"/>
  <c r="H27" i="9"/>
  <c r="H23" i="9"/>
  <c r="H25" i="9" s="1"/>
  <c r="H18" i="9"/>
  <c r="H20" i="9" s="1"/>
  <c r="H13" i="9"/>
  <c r="H15" i="9" s="1"/>
  <c r="H8" i="9"/>
  <c r="H10" i="9" s="1"/>
  <c r="H27" i="8"/>
  <c r="H26" i="8"/>
  <c r="K29" i="18"/>
  <c r="K30" i="18" s="1"/>
  <c r="K25" i="18"/>
  <c r="K20" i="18"/>
  <c r="K15" i="18"/>
  <c r="K10" i="18"/>
  <c r="K26" i="17"/>
  <c r="K27" i="17"/>
  <c r="K28" i="17" s="1"/>
  <c r="K30" i="17" s="1"/>
  <c r="K23" i="17"/>
  <c r="K25" i="17" s="1"/>
  <c r="K18" i="17"/>
  <c r="K20" i="17"/>
  <c r="K13" i="17"/>
  <c r="K15" i="17" s="1"/>
  <c r="K8" i="17"/>
  <c r="K10" i="17" s="1"/>
  <c r="K26" i="16"/>
  <c r="K27" i="16"/>
  <c r="K29" i="16"/>
  <c r="K23" i="16"/>
  <c r="K25" i="16"/>
  <c r="K18" i="16"/>
  <c r="K20" i="16" s="1"/>
  <c r="K13" i="16"/>
  <c r="K15" i="16" s="1"/>
  <c r="K8" i="16"/>
  <c r="K10" i="16"/>
  <c r="H23" i="15"/>
  <c r="H25" i="15" s="1"/>
  <c r="H18" i="15"/>
  <c r="H20" i="15" s="1"/>
  <c r="H13" i="15"/>
  <c r="H15" i="15" s="1"/>
  <c r="H8" i="15"/>
  <c r="H10" i="15" s="1"/>
  <c r="G26" i="15"/>
  <c r="G27" i="15"/>
  <c r="G29" i="15"/>
  <c r="G23" i="15"/>
  <c r="G25" i="15" s="1"/>
  <c r="G18" i="15"/>
  <c r="G20" i="15" s="1"/>
  <c r="G13" i="15"/>
  <c r="G15" i="15" s="1"/>
  <c r="G8" i="15"/>
  <c r="G10" i="15" s="1"/>
  <c r="H26" i="14"/>
  <c r="H27" i="14"/>
  <c r="H23" i="14"/>
  <c r="H25" i="14" s="1"/>
  <c r="H18" i="14"/>
  <c r="H20" i="14" s="1"/>
  <c r="H13" i="14"/>
  <c r="H15" i="14" s="1"/>
  <c r="H8" i="14"/>
  <c r="H10" i="14" s="1"/>
  <c r="G26" i="14"/>
  <c r="G27" i="14"/>
  <c r="G23" i="14"/>
  <c r="G25" i="14" s="1"/>
  <c r="G18" i="14"/>
  <c r="G20" i="14" s="1"/>
  <c r="G13" i="14"/>
  <c r="G15" i="14" s="1"/>
  <c r="G8" i="14"/>
  <c r="G10" i="14" s="1"/>
  <c r="K27" i="12"/>
  <c r="K28" i="12" s="1"/>
  <c r="K30" i="12" s="1"/>
  <c r="K23" i="12"/>
  <c r="K25" i="12" s="1"/>
  <c r="K18" i="12"/>
  <c r="K20" i="12" s="1"/>
  <c r="K13" i="12"/>
  <c r="K15" i="12" s="1"/>
  <c r="K8" i="12"/>
  <c r="K10" i="12" s="1"/>
  <c r="G26" i="11"/>
  <c r="G27" i="11"/>
  <c r="G29" i="11"/>
  <c r="G23" i="11"/>
  <c r="G25" i="11" s="1"/>
  <c r="G18" i="11"/>
  <c r="G20" i="11" s="1"/>
  <c r="G13" i="11"/>
  <c r="G15" i="11" s="1"/>
  <c r="G8" i="11"/>
  <c r="G10" i="11" s="1"/>
  <c r="G26" i="9"/>
  <c r="G27" i="9"/>
  <c r="G29" i="9"/>
  <c r="G23" i="9"/>
  <c r="G25" i="9" s="1"/>
  <c r="G18" i="9"/>
  <c r="G20" i="9" s="1"/>
  <c r="G13" i="9"/>
  <c r="G15" i="9" s="1"/>
  <c r="G8" i="9"/>
  <c r="G10" i="9" s="1"/>
  <c r="K8" i="7"/>
  <c r="K10" i="7" s="1"/>
  <c r="K13" i="7"/>
  <c r="K15" i="7" s="1"/>
  <c r="K18" i="7"/>
  <c r="K20" i="7" s="1"/>
  <c r="K23" i="7"/>
  <c r="K25" i="7" s="1"/>
  <c r="K27" i="7"/>
  <c r="K26" i="7"/>
  <c r="K8" i="6"/>
  <c r="K10" i="6" s="1"/>
  <c r="K13" i="6"/>
  <c r="K15" i="6" s="1"/>
  <c r="K18" i="6"/>
  <c r="K20" i="6" s="1"/>
  <c r="K23" i="6"/>
  <c r="K25" i="6" s="1"/>
  <c r="K27" i="6"/>
  <c r="K26" i="6"/>
  <c r="K8" i="5"/>
  <c r="K10" i="5" s="1"/>
  <c r="K13" i="5"/>
  <c r="K15" i="5" s="1"/>
  <c r="K18" i="5"/>
  <c r="K23" i="5"/>
  <c r="K25" i="5" s="1"/>
  <c r="K27" i="5"/>
  <c r="K26" i="5"/>
  <c r="G8" i="8"/>
  <c r="G10" i="8" s="1"/>
  <c r="G13" i="8"/>
  <c r="G15" i="8" s="1"/>
  <c r="G18" i="8"/>
  <c r="G20" i="8"/>
  <c r="G23" i="8"/>
  <c r="G25" i="8" s="1"/>
  <c r="G27" i="8"/>
  <c r="G26" i="8"/>
  <c r="K26" i="4"/>
  <c r="K27" i="4"/>
  <c r="K29" i="4"/>
  <c r="K23" i="4"/>
  <c r="K25" i="4" s="1"/>
  <c r="K18" i="4"/>
  <c r="K20" i="4" s="1"/>
  <c r="K13" i="4"/>
  <c r="K15" i="4" s="1"/>
  <c r="K8" i="4"/>
  <c r="K10" i="4" s="1"/>
  <c r="H26" i="3"/>
  <c r="H28" i="3" s="1"/>
  <c r="H30" i="3" s="1"/>
  <c r="H23" i="3"/>
  <c r="H25" i="3" s="1"/>
  <c r="H18" i="3"/>
  <c r="H20" i="3" s="1"/>
  <c r="H13" i="3"/>
  <c r="H15" i="3" s="1"/>
  <c r="H8" i="3"/>
  <c r="H10" i="3" s="1"/>
  <c r="G26" i="3"/>
  <c r="G28" i="3" s="1"/>
  <c r="G30" i="3" s="1"/>
  <c r="G23" i="3"/>
  <c r="G25" i="3" s="1"/>
  <c r="G18" i="3"/>
  <c r="G20" i="3" s="1"/>
  <c r="G13" i="3"/>
  <c r="G15" i="3" s="1"/>
  <c r="G8" i="3"/>
  <c r="G10" i="3" s="1"/>
  <c r="L26" i="17"/>
  <c r="L28" i="17" s="1"/>
  <c r="L30" i="17" s="1"/>
  <c r="L29" i="17"/>
  <c r="L23" i="17"/>
  <c r="L25" i="17"/>
  <c r="L18" i="17"/>
  <c r="L20" i="17" s="1"/>
  <c r="L13" i="17"/>
  <c r="L15" i="17"/>
  <c r="L8" i="17"/>
  <c r="L10" i="17" s="1"/>
  <c r="L26" i="16"/>
  <c r="L27" i="16"/>
  <c r="L28" i="16"/>
  <c r="L29" i="16"/>
  <c r="L23" i="16"/>
  <c r="L25" i="16" s="1"/>
  <c r="L18" i="16"/>
  <c r="L20" i="16" s="1"/>
  <c r="L13" i="16"/>
  <c r="L15" i="16" s="1"/>
  <c r="L8" i="16"/>
  <c r="L10" i="16" s="1"/>
  <c r="L27" i="12"/>
  <c r="L23" i="12"/>
  <c r="L25" i="12" s="1"/>
  <c r="L18" i="12"/>
  <c r="L20" i="12" s="1"/>
  <c r="L13" i="12"/>
  <c r="L15" i="12" s="1"/>
  <c r="L8" i="12"/>
  <c r="L10" i="12"/>
  <c r="L8" i="7"/>
  <c r="L10" i="7" s="1"/>
  <c r="L13" i="7"/>
  <c r="L15" i="7" s="1"/>
  <c r="L18" i="7"/>
  <c r="L20" i="7" s="1"/>
  <c r="L23" i="7"/>
  <c r="L25" i="7" s="1"/>
  <c r="L27" i="7"/>
  <c r="L26" i="7"/>
  <c r="L8" i="6"/>
  <c r="L10" i="6" s="1"/>
  <c r="L13" i="6"/>
  <c r="L15" i="6" s="1"/>
  <c r="L18" i="6"/>
  <c r="L20" i="6" s="1"/>
  <c r="L23" i="6"/>
  <c r="L25" i="6"/>
  <c r="L27" i="6"/>
  <c r="L26" i="6"/>
  <c r="L8" i="5"/>
  <c r="L10" i="5" s="1"/>
  <c r="L13" i="5"/>
  <c r="L15" i="5" s="1"/>
  <c r="L18" i="5"/>
  <c r="L20" i="5" s="1"/>
  <c r="L23" i="5"/>
  <c r="L25" i="5" s="1"/>
  <c r="L27" i="5"/>
  <c r="L26" i="5"/>
  <c r="L23" i="4"/>
  <c r="L25" i="4" s="1"/>
  <c r="L18" i="4"/>
  <c r="L20" i="4" s="1"/>
  <c r="L13" i="4"/>
  <c r="L15" i="4" s="1"/>
  <c r="L8" i="4"/>
  <c r="L10" i="4" s="1"/>
  <c r="E26" i="18"/>
  <c r="E27" i="18"/>
  <c r="E29" i="18"/>
  <c r="D26" i="18"/>
  <c r="D27" i="18"/>
  <c r="D29" i="18"/>
  <c r="F26" i="3"/>
  <c r="F23" i="3"/>
  <c r="F25" i="3" s="1"/>
  <c r="F18" i="3"/>
  <c r="F20" i="3" s="1"/>
  <c r="F13" i="3"/>
  <c r="F15" i="3" s="1"/>
  <c r="F8" i="3"/>
  <c r="F10" i="3" s="1"/>
  <c r="E26" i="3"/>
  <c r="E27" i="3"/>
  <c r="E29" i="3"/>
  <c r="E23" i="3"/>
  <c r="E25" i="3" s="1"/>
  <c r="E18" i="3"/>
  <c r="E20" i="3" s="1"/>
  <c r="E13" i="3"/>
  <c r="E15" i="3" s="1"/>
  <c r="E8" i="3"/>
  <c r="E10" i="3" s="1"/>
  <c r="D8" i="3"/>
  <c r="D10" i="3" s="1"/>
  <c r="D13" i="3"/>
  <c r="D15" i="3" s="1"/>
  <c r="D18" i="3"/>
  <c r="D20" i="3" s="1"/>
  <c r="D23" i="3"/>
  <c r="D25" i="3" s="1"/>
  <c r="D26" i="3"/>
  <c r="D27" i="3"/>
  <c r="D28" i="3" s="1"/>
  <c r="D29" i="3"/>
  <c r="J26" i="4"/>
  <c r="J27" i="4"/>
  <c r="J28" i="4" s="1"/>
  <c r="J29" i="4"/>
  <c r="J23" i="4"/>
  <c r="J25" i="4" s="1"/>
  <c r="J18" i="4"/>
  <c r="J20" i="4" s="1"/>
  <c r="J13" i="4"/>
  <c r="J15" i="4" s="1"/>
  <c r="J8" i="4"/>
  <c r="J10" i="4" s="1"/>
  <c r="I26" i="4"/>
  <c r="I27" i="4"/>
  <c r="I29" i="4"/>
  <c r="I23" i="4"/>
  <c r="I25" i="4" s="1"/>
  <c r="I18" i="4"/>
  <c r="I20" i="4" s="1"/>
  <c r="I13" i="4"/>
  <c r="I15" i="4" s="1"/>
  <c r="I8" i="4"/>
  <c r="I10" i="4" s="1"/>
  <c r="D8" i="4"/>
  <c r="D10" i="4" s="1"/>
  <c r="E8" i="4"/>
  <c r="E10" i="4" s="1"/>
  <c r="F8" i="4"/>
  <c r="F10" i="4" s="1"/>
  <c r="G8" i="4"/>
  <c r="G10" i="4" s="1"/>
  <c r="H8" i="4"/>
  <c r="H10" i="4" s="1"/>
  <c r="G11" i="4"/>
  <c r="G13" i="4" s="1"/>
  <c r="G15" i="4" s="1"/>
  <c r="H11" i="4"/>
  <c r="H13" i="4" s="1"/>
  <c r="H15" i="4" s="1"/>
  <c r="D13" i="4"/>
  <c r="D15" i="4" s="1"/>
  <c r="E13" i="4"/>
  <c r="E15" i="4" s="1"/>
  <c r="F13" i="4"/>
  <c r="F15" i="4"/>
  <c r="G16" i="4"/>
  <c r="G17" i="4"/>
  <c r="G27" i="4" s="1"/>
  <c r="D18" i="4"/>
  <c r="D20" i="4" s="1"/>
  <c r="E18" i="4"/>
  <c r="E20" i="4" s="1"/>
  <c r="F18" i="4"/>
  <c r="F20" i="4" s="1"/>
  <c r="H18" i="4"/>
  <c r="H20" i="4" s="1"/>
  <c r="G21" i="4"/>
  <c r="G23" i="4" s="1"/>
  <c r="G25" i="4" s="1"/>
  <c r="H21" i="4"/>
  <c r="H23" i="4" s="1"/>
  <c r="H25" i="4" s="1"/>
  <c r="D23" i="4"/>
  <c r="D25" i="4" s="1"/>
  <c r="E23" i="4"/>
  <c r="E25" i="4" s="1"/>
  <c r="F23" i="4"/>
  <c r="F25" i="4" s="1"/>
  <c r="D26" i="4"/>
  <c r="E26" i="4"/>
  <c r="F26" i="4"/>
  <c r="D27" i="4"/>
  <c r="E27" i="4"/>
  <c r="F27" i="4"/>
  <c r="H27" i="4"/>
  <c r="D29" i="4"/>
  <c r="E29" i="4"/>
  <c r="F29" i="4"/>
  <c r="G29" i="4"/>
  <c r="H29" i="4"/>
  <c r="J8" i="5"/>
  <c r="J13" i="5"/>
  <c r="J15" i="5" s="1"/>
  <c r="J18" i="5"/>
  <c r="J20" i="5" s="1"/>
  <c r="J23" i="5"/>
  <c r="J25" i="5"/>
  <c r="J27" i="5"/>
  <c r="J26" i="5"/>
  <c r="I8" i="5"/>
  <c r="I10" i="5" s="1"/>
  <c r="I13" i="5"/>
  <c r="I15" i="5" s="1"/>
  <c r="I18" i="5"/>
  <c r="I20" i="5" s="1"/>
  <c r="I23" i="5"/>
  <c r="I25" i="5" s="1"/>
  <c r="I29" i="5"/>
  <c r="I27" i="5"/>
  <c r="I26" i="5"/>
  <c r="D6" i="5"/>
  <c r="D8" i="5" s="1"/>
  <c r="D10" i="5" s="1"/>
  <c r="E6" i="5"/>
  <c r="F6" i="5"/>
  <c r="G6" i="5"/>
  <c r="H6" i="5"/>
  <c r="H8" i="5" s="1"/>
  <c r="D11" i="5"/>
  <c r="D13" i="5" s="1"/>
  <c r="D15" i="5" s="1"/>
  <c r="E11" i="5"/>
  <c r="F11" i="5"/>
  <c r="F13" i="5" s="1"/>
  <c r="F15" i="5" s="1"/>
  <c r="G11" i="5"/>
  <c r="H11" i="5"/>
  <c r="D11" i="8"/>
  <c r="D13" i="8" s="1"/>
  <c r="E16" i="5"/>
  <c r="F16" i="5"/>
  <c r="F18" i="5"/>
  <c r="F20" i="5" s="1"/>
  <c r="G16" i="5"/>
  <c r="H16" i="5"/>
  <c r="H18" i="5" s="1"/>
  <c r="H20" i="5" s="1"/>
  <c r="D18" i="5"/>
  <c r="D20" i="5" s="1"/>
  <c r="E21" i="5"/>
  <c r="E23" i="5" s="1"/>
  <c r="E25" i="5" s="1"/>
  <c r="F21" i="5"/>
  <c r="F23" i="5" s="1"/>
  <c r="F25" i="5" s="1"/>
  <c r="G21" i="5"/>
  <c r="G23" i="5" s="1"/>
  <c r="G25" i="5" s="1"/>
  <c r="H21" i="5"/>
  <c r="D21" i="8" s="1"/>
  <c r="D23" i="5"/>
  <c r="D25" i="5"/>
  <c r="D27" i="5"/>
  <c r="E27" i="5"/>
  <c r="F27" i="5"/>
  <c r="G27" i="5"/>
  <c r="H27" i="5"/>
  <c r="D29" i="5"/>
  <c r="E29" i="5"/>
  <c r="F29" i="5"/>
  <c r="G29" i="5"/>
  <c r="H29" i="5"/>
  <c r="D31" i="5"/>
  <c r="E31" i="5"/>
  <c r="F31" i="5"/>
  <c r="H31" i="5"/>
  <c r="D32" i="5"/>
  <c r="E32" i="5"/>
  <c r="F32" i="5"/>
  <c r="H32" i="5"/>
  <c r="D33" i="5"/>
  <c r="E33" i="5"/>
  <c r="F33" i="5"/>
  <c r="G33" i="5"/>
  <c r="H33" i="5"/>
  <c r="H34" i="5"/>
  <c r="F8" i="8"/>
  <c r="F10" i="8" s="1"/>
  <c r="F13" i="8"/>
  <c r="F15" i="8"/>
  <c r="F18" i="8"/>
  <c r="F20" i="8" s="1"/>
  <c r="F23" i="8"/>
  <c r="F27" i="8"/>
  <c r="F26" i="8"/>
  <c r="F26" i="9"/>
  <c r="F28" i="9" s="1"/>
  <c r="F30" i="9" s="1"/>
  <c r="F27" i="9"/>
  <c r="F29" i="9"/>
  <c r="F23" i="9"/>
  <c r="F25" i="9" s="1"/>
  <c r="F18" i="9"/>
  <c r="F20" i="9" s="1"/>
  <c r="F13" i="9"/>
  <c r="F15" i="9" s="1"/>
  <c r="F8" i="9"/>
  <c r="F10" i="9"/>
  <c r="E26" i="9"/>
  <c r="E27" i="9"/>
  <c r="E29" i="9"/>
  <c r="E23" i="9"/>
  <c r="E25" i="9" s="1"/>
  <c r="E18" i="9"/>
  <c r="E20" i="9" s="1"/>
  <c r="E13" i="9"/>
  <c r="E15" i="9" s="1"/>
  <c r="E8" i="9"/>
  <c r="E10" i="9" s="1"/>
  <c r="D8" i="9"/>
  <c r="D10" i="9" s="1"/>
  <c r="D13" i="9"/>
  <c r="D15" i="9" s="1"/>
  <c r="D18" i="9"/>
  <c r="D20" i="9" s="1"/>
  <c r="D23" i="9"/>
  <c r="D25" i="9" s="1"/>
  <c r="D26" i="9"/>
  <c r="D27" i="9"/>
  <c r="D29" i="9"/>
  <c r="J8" i="6"/>
  <c r="J10" i="6" s="1"/>
  <c r="J13" i="6"/>
  <c r="J15" i="6" s="1"/>
  <c r="J18" i="6"/>
  <c r="J20" i="6" s="1"/>
  <c r="J23" i="6"/>
  <c r="J25" i="6"/>
  <c r="J27" i="6"/>
  <c r="J26" i="6"/>
  <c r="I8" i="6"/>
  <c r="I10" i="6" s="1"/>
  <c r="I13" i="6"/>
  <c r="I15" i="6" s="1"/>
  <c r="I18" i="6"/>
  <c r="I20" i="6" s="1"/>
  <c r="I23" i="6"/>
  <c r="I29" i="6"/>
  <c r="I27" i="6"/>
  <c r="I26" i="6"/>
  <c r="D8" i="6"/>
  <c r="D10" i="6" s="1"/>
  <c r="E8" i="6"/>
  <c r="E10" i="6" s="1"/>
  <c r="F8" i="6"/>
  <c r="F10" i="6" s="1"/>
  <c r="G8" i="6"/>
  <c r="G10" i="6" s="1"/>
  <c r="H8" i="6"/>
  <c r="D13" i="6"/>
  <c r="D15" i="6" s="1"/>
  <c r="E13" i="6"/>
  <c r="E15" i="6" s="1"/>
  <c r="F13" i="6"/>
  <c r="F15" i="6" s="1"/>
  <c r="G13" i="6"/>
  <c r="G15" i="6" s="1"/>
  <c r="H13" i="6"/>
  <c r="H15" i="6" s="1"/>
  <c r="D18" i="6"/>
  <c r="D20" i="6" s="1"/>
  <c r="E18" i="6"/>
  <c r="E20" i="6"/>
  <c r="F18" i="6"/>
  <c r="F20" i="6" s="1"/>
  <c r="G18" i="6"/>
  <c r="G20" i="6" s="1"/>
  <c r="H18" i="6"/>
  <c r="H20" i="6"/>
  <c r="D23" i="6"/>
  <c r="D25" i="6" s="1"/>
  <c r="E23" i="6"/>
  <c r="E25" i="6" s="1"/>
  <c r="F23" i="6"/>
  <c r="F25" i="6" s="1"/>
  <c r="G23" i="6"/>
  <c r="G25" i="6" s="1"/>
  <c r="H23" i="6"/>
  <c r="H25" i="6" s="1"/>
  <c r="D26" i="6"/>
  <c r="E26" i="6"/>
  <c r="F26" i="6"/>
  <c r="G26" i="6"/>
  <c r="H26" i="6"/>
  <c r="D27" i="6"/>
  <c r="D28" i="6" s="1"/>
  <c r="E27" i="6"/>
  <c r="F27" i="6"/>
  <c r="G27" i="6"/>
  <c r="H27" i="6"/>
  <c r="F28" i="6"/>
  <c r="D29" i="6"/>
  <c r="E29" i="6"/>
  <c r="F29" i="6"/>
  <c r="G29" i="6"/>
  <c r="H29" i="6"/>
  <c r="F31" i="6"/>
  <c r="H31" i="6"/>
  <c r="F32" i="6"/>
  <c r="H32" i="6"/>
  <c r="E33" i="6"/>
  <c r="F33" i="6"/>
  <c r="H33" i="6"/>
  <c r="H34" i="6"/>
  <c r="F26" i="11"/>
  <c r="F27" i="11"/>
  <c r="F29" i="11"/>
  <c r="F23" i="11"/>
  <c r="F25" i="11" s="1"/>
  <c r="F18" i="11"/>
  <c r="F20" i="11" s="1"/>
  <c r="F13" i="11"/>
  <c r="F15" i="11" s="1"/>
  <c r="F8" i="11"/>
  <c r="F10" i="11" s="1"/>
  <c r="E26" i="11"/>
  <c r="E27" i="11"/>
  <c r="E29" i="11"/>
  <c r="E23" i="11"/>
  <c r="E25" i="11" s="1"/>
  <c r="E18" i="11"/>
  <c r="E20" i="11" s="1"/>
  <c r="E13" i="11"/>
  <c r="E15" i="11" s="1"/>
  <c r="E8" i="11"/>
  <c r="E10" i="11" s="1"/>
  <c r="D6" i="11"/>
  <c r="D8" i="11" s="1"/>
  <c r="D10" i="11" s="1"/>
  <c r="D11" i="11"/>
  <c r="D13" i="11" s="1"/>
  <c r="D15" i="11" s="1"/>
  <c r="D16" i="11"/>
  <c r="D18" i="11" s="1"/>
  <c r="D20" i="11" s="1"/>
  <c r="D21" i="11"/>
  <c r="D23" i="11" s="1"/>
  <c r="D25" i="11" s="1"/>
  <c r="D27" i="11"/>
  <c r="D29" i="11"/>
  <c r="J27" i="12"/>
  <c r="J28" i="12" s="1"/>
  <c r="J30" i="12" s="1"/>
  <c r="J23" i="12"/>
  <c r="J25" i="12" s="1"/>
  <c r="J18" i="12"/>
  <c r="J20" i="12" s="1"/>
  <c r="J13" i="12"/>
  <c r="J15" i="12" s="1"/>
  <c r="J8" i="12"/>
  <c r="J10" i="12" s="1"/>
  <c r="I26" i="12"/>
  <c r="I27" i="12"/>
  <c r="I28" i="12" s="1"/>
  <c r="I30" i="12" s="1"/>
  <c r="I29" i="12"/>
  <c r="I23" i="12"/>
  <c r="I25" i="12" s="1"/>
  <c r="I18" i="12"/>
  <c r="I20" i="12" s="1"/>
  <c r="I13" i="12"/>
  <c r="I15" i="12" s="1"/>
  <c r="I8" i="12"/>
  <c r="I10" i="12" s="1"/>
  <c r="D8" i="12"/>
  <c r="D10" i="12"/>
  <c r="E8" i="12"/>
  <c r="E10" i="12" s="1"/>
  <c r="F8" i="12"/>
  <c r="F10" i="12" s="1"/>
  <c r="G8" i="12"/>
  <c r="G10" i="12" s="1"/>
  <c r="H8" i="12"/>
  <c r="H10" i="12" s="1"/>
  <c r="D13" i="12"/>
  <c r="D15" i="12" s="1"/>
  <c r="E13" i="12"/>
  <c r="E15" i="12" s="1"/>
  <c r="F13" i="12"/>
  <c r="F15" i="12" s="1"/>
  <c r="G13" i="12"/>
  <c r="G15" i="12" s="1"/>
  <c r="H13" i="12"/>
  <c r="H15" i="12" s="1"/>
  <c r="D18" i="12"/>
  <c r="D20" i="12" s="1"/>
  <c r="E18" i="12"/>
  <c r="E20" i="12" s="1"/>
  <c r="F18" i="12"/>
  <c r="F20" i="12" s="1"/>
  <c r="G18" i="12"/>
  <c r="G20" i="12" s="1"/>
  <c r="H18" i="12"/>
  <c r="H20" i="12"/>
  <c r="D23" i="12"/>
  <c r="D25" i="12" s="1"/>
  <c r="E23" i="12"/>
  <c r="E25" i="12"/>
  <c r="F23" i="12"/>
  <c r="F25" i="12" s="1"/>
  <c r="G23" i="12"/>
  <c r="G25" i="12" s="1"/>
  <c r="H23" i="12"/>
  <c r="H25" i="12" s="1"/>
  <c r="D26" i="12"/>
  <c r="E26" i="12"/>
  <c r="E28" i="12" s="1"/>
  <c r="E30" i="12" s="1"/>
  <c r="F26" i="12"/>
  <c r="G26" i="12"/>
  <c r="H26" i="12"/>
  <c r="D27" i="12"/>
  <c r="E27" i="12"/>
  <c r="F27" i="12"/>
  <c r="G27" i="12"/>
  <c r="H27" i="12"/>
  <c r="D29" i="12"/>
  <c r="E29" i="12"/>
  <c r="F29" i="12"/>
  <c r="G29" i="12"/>
  <c r="H29" i="12"/>
  <c r="J8" i="7"/>
  <c r="J13" i="7"/>
  <c r="J15" i="7" s="1"/>
  <c r="J18" i="7"/>
  <c r="J20" i="7" s="1"/>
  <c r="J23" i="7"/>
  <c r="J25" i="7" s="1"/>
  <c r="J27" i="7"/>
  <c r="J26" i="7"/>
  <c r="I8" i="7"/>
  <c r="I10" i="7" s="1"/>
  <c r="I13" i="7"/>
  <c r="I15" i="7"/>
  <c r="I18" i="7"/>
  <c r="I20" i="7" s="1"/>
  <c r="I23" i="7"/>
  <c r="I25" i="7" s="1"/>
  <c r="I29" i="7"/>
  <c r="I27" i="7"/>
  <c r="I26" i="7"/>
  <c r="D8" i="7"/>
  <c r="D10" i="7" s="1"/>
  <c r="E8" i="7"/>
  <c r="E10" i="7" s="1"/>
  <c r="F8" i="7"/>
  <c r="F10" i="7" s="1"/>
  <c r="G8" i="7"/>
  <c r="H8" i="7"/>
  <c r="H10" i="7" s="1"/>
  <c r="D13" i="7"/>
  <c r="D15" i="7" s="1"/>
  <c r="E13" i="7"/>
  <c r="E15" i="7" s="1"/>
  <c r="F13" i="7"/>
  <c r="F15" i="7" s="1"/>
  <c r="G13" i="7"/>
  <c r="G15" i="7" s="1"/>
  <c r="H13" i="7"/>
  <c r="H15" i="7" s="1"/>
  <c r="D18" i="7"/>
  <c r="D20" i="7" s="1"/>
  <c r="E18" i="7"/>
  <c r="E20" i="7" s="1"/>
  <c r="F18" i="7"/>
  <c r="F20" i="7" s="1"/>
  <c r="G18" i="7"/>
  <c r="G20" i="7" s="1"/>
  <c r="H18" i="7"/>
  <c r="H20" i="7" s="1"/>
  <c r="D23" i="7"/>
  <c r="D25" i="7" s="1"/>
  <c r="E23" i="7"/>
  <c r="E25" i="7" s="1"/>
  <c r="F23" i="7"/>
  <c r="F25" i="7" s="1"/>
  <c r="G23" i="7"/>
  <c r="G25" i="7" s="1"/>
  <c r="H23" i="7"/>
  <c r="H25" i="7" s="1"/>
  <c r="D26" i="7"/>
  <c r="E26" i="7"/>
  <c r="F26" i="7"/>
  <c r="G26" i="7"/>
  <c r="H26" i="7"/>
  <c r="D27" i="7"/>
  <c r="E27" i="7"/>
  <c r="F27" i="7"/>
  <c r="G27" i="7"/>
  <c r="H27" i="7"/>
  <c r="D29" i="7"/>
  <c r="E29" i="7"/>
  <c r="F29" i="7"/>
  <c r="G29" i="7"/>
  <c r="H29" i="7"/>
  <c r="F16" i="14"/>
  <c r="F18" i="14" s="1"/>
  <c r="F20" i="14" s="1"/>
  <c r="F27" i="14"/>
  <c r="F29" i="14"/>
  <c r="F23" i="14"/>
  <c r="F25" i="14" s="1"/>
  <c r="F13" i="14"/>
  <c r="F15" i="14"/>
  <c r="F8" i="14"/>
  <c r="F10" i="14" s="1"/>
  <c r="E26" i="14"/>
  <c r="E27" i="14"/>
  <c r="E29" i="14"/>
  <c r="E23" i="14"/>
  <c r="E25" i="14" s="1"/>
  <c r="E18" i="14"/>
  <c r="E20" i="14"/>
  <c r="E13" i="14"/>
  <c r="E15" i="14" s="1"/>
  <c r="E8" i="14"/>
  <c r="E10" i="14" s="1"/>
  <c r="D8" i="14"/>
  <c r="D10" i="14" s="1"/>
  <c r="D11" i="14"/>
  <c r="D13" i="14" s="1"/>
  <c r="D15" i="14" s="1"/>
  <c r="D18" i="14"/>
  <c r="D20" i="14" s="1"/>
  <c r="D21" i="14"/>
  <c r="D23" i="14" s="1"/>
  <c r="D25" i="14" s="1"/>
  <c r="D27" i="14"/>
  <c r="D29" i="14"/>
  <c r="F26" i="15"/>
  <c r="F27" i="15"/>
  <c r="F23" i="15"/>
  <c r="F25" i="15" s="1"/>
  <c r="F18" i="15"/>
  <c r="F20" i="15" s="1"/>
  <c r="F13" i="15"/>
  <c r="F15" i="15" s="1"/>
  <c r="F8" i="15"/>
  <c r="F10" i="15"/>
  <c r="E26" i="15"/>
  <c r="E27" i="15"/>
  <c r="E29" i="15"/>
  <c r="E23" i="15"/>
  <c r="E25" i="15" s="1"/>
  <c r="E18" i="15"/>
  <c r="E20" i="15" s="1"/>
  <c r="E13" i="15"/>
  <c r="E15" i="15" s="1"/>
  <c r="E8" i="15"/>
  <c r="E10" i="15" s="1"/>
  <c r="D8" i="15"/>
  <c r="D10" i="15" s="1"/>
  <c r="D11" i="15"/>
  <c r="D13" i="15" s="1"/>
  <c r="D15" i="15" s="1"/>
  <c r="D17" i="15"/>
  <c r="D18" i="15" s="1"/>
  <c r="D20" i="15" s="1"/>
  <c r="D23" i="15"/>
  <c r="D25" i="15" s="1"/>
  <c r="D29" i="15"/>
  <c r="J11" i="16"/>
  <c r="J13" i="16" s="1"/>
  <c r="J15" i="16" s="1"/>
  <c r="J27" i="16"/>
  <c r="J23" i="16"/>
  <c r="J25" i="16" s="1"/>
  <c r="J18" i="16"/>
  <c r="J20" i="16" s="1"/>
  <c r="J8" i="16"/>
  <c r="J10" i="16" s="1"/>
  <c r="I26" i="16"/>
  <c r="I27" i="16"/>
  <c r="I28" i="16" s="1"/>
  <c r="I29" i="16"/>
  <c r="I23" i="16"/>
  <c r="I25" i="16" s="1"/>
  <c r="I18" i="16"/>
  <c r="I20" i="16" s="1"/>
  <c r="I13" i="16"/>
  <c r="I15" i="16" s="1"/>
  <c r="I8" i="16"/>
  <c r="I10" i="16" s="1"/>
  <c r="D8" i="16"/>
  <c r="D10" i="16" s="1"/>
  <c r="E8" i="16"/>
  <c r="E10" i="16" s="1"/>
  <c r="F8" i="16"/>
  <c r="F10" i="16" s="1"/>
  <c r="G8" i="16"/>
  <c r="G10" i="16" s="1"/>
  <c r="H8" i="16"/>
  <c r="H10" i="16" s="1"/>
  <c r="D13" i="16"/>
  <c r="D15" i="16" s="1"/>
  <c r="E13" i="16"/>
  <c r="E15" i="16" s="1"/>
  <c r="F13" i="16"/>
  <c r="F15" i="16" s="1"/>
  <c r="G13" i="16"/>
  <c r="G15" i="16" s="1"/>
  <c r="H13" i="16"/>
  <c r="H15" i="16" s="1"/>
  <c r="G16" i="16"/>
  <c r="G18" i="16" s="1"/>
  <c r="G20" i="16" s="1"/>
  <c r="H16" i="16"/>
  <c r="H17" i="16"/>
  <c r="H27" i="16" s="1"/>
  <c r="D18" i="16"/>
  <c r="D20" i="16" s="1"/>
  <c r="E18" i="16"/>
  <c r="E20" i="16" s="1"/>
  <c r="F18" i="16"/>
  <c r="F20" i="16"/>
  <c r="G21" i="16"/>
  <c r="G23" i="16" s="1"/>
  <c r="G25" i="16" s="1"/>
  <c r="H21" i="16"/>
  <c r="H23" i="16" s="1"/>
  <c r="H25" i="16" s="1"/>
  <c r="D23" i="16"/>
  <c r="D25" i="16" s="1"/>
  <c r="E23" i="16"/>
  <c r="E25" i="16" s="1"/>
  <c r="F23" i="16"/>
  <c r="F25" i="16" s="1"/>
  <c r="D26" i="16"/>
  <c r="D28" i="16" s="1"/>
  <c r="E26" i="16"/>
  <c r="F26" i="16"/>
  <c r="D27" i="16"/>
  <c r="E27" i="16"/>
  <c r="F27" i="16"/>
  <c r="G27" i="16"/>
  <c r="D29" i="16"/>
  <c r="E29" i="16"/>
  <c r="F29" i="16"/>
  <c r="G29" i="16"/>
  <c r="H29" i="16"/>
  <c r="D26" i="17"/>
  <c r="D28" i="17" s="1"/>
  <c r="D30" i="17" s="1"/>
  <c r="D27" i="17"/>
  <c r="D29" i="17"/>
  <c r="E26" i="17"/>
  <c r="E27" i="17"/>
  <c r="E29" i="17"/>
  <c r="F26" i="17"/>
  <c r="F28" i="17" s="1"/>
  <c r="F30" i="17" s="1"/>
  <c r="F27" i="17"/>
  <c r="F29" i="17"/>
  <c r="G26" i="17"/>
  <c r="G27" i="17"/>
  <c r="G29" i="17"/>
  <c r="H26" i="17"/>
  <c r="H27" i="17"/>
  <c r="H29" i="17"/>
  <c r="I26" i="17"/>
  <c r="I27" i="17"/>
  <c r="I28" i="17" s="1"/>
  <c r="I29" i="17"/>
  <c r="J26" i="17"/>
  <c r="J27" i="17"/>
  <c r="J23" i="17"/>
  <c r="J25" i="17" s="1"/>
  <c r="J18" i="17"/>
  <c r="J20" i="17" s="1"/>
  <c r="J13" i="17"/>
  <c r="J15" i="17" s="1"/>
  <c r="J8" i="17"/>
  <c r="J10" i="17" s="1"/>
  <c r="I23" i="17"/>
  <c r="I25" i="17" s="1"/>
  <c r="I18" i="17"/>
  <c r="I20" i="17" s="1"/>
  <c r="I13" i="17"/>
  <c r="I15" i="17" s="1"/>
  <c r="I8" i="17"/>
  <c r="I10" i="17" s="1"/>
  <c r="D8" i="17"/>
  <c r="E8" i="17"/>
  <c r="E10" i="17" s="1"/>
  <c r="F8" i="17"/>
  <c r="F10" i="17" s="1"/>
  <c r="G8" i="17"/>
  <c r="G10" i="17" s="1"/>
  <c r="H8" i="17"/>
  <c r="H10" i="17" s="1"/>
  <c r="D10" i="17"/>
  <c r="D13" i="17"/>
  <c r="D15" i="17" s="1"/>
  <c r="E13" i="17"/>
  <c r="E15" i="17" s="1"/>
  <c r="F13" i="17"/>
  <c r="F15" i="17" s="1"/>
  <c r="G13" i="17"/>
  <c r="G15" i="17" s="1"/>
  <c r="H13" i="17"/>
  <c r="H15" i="17" s="1"/>
  <c r="D18" i="17"/>
  <c r="D20" i="17" s="1"/>
  <c r="E18" i="17"/>
  <c r="E20" i="17" s="1"/>
  <c r="F18" i="17"/>
  <c r="F20" i="17" s="1"/>
  <c r="G18" i="17"/>
  <c r="G20" i="17" s="1"/>
  <c r="H18" i="17"/>
  <c r="H20" i="17" s="1"/>
  <c r="D23" i="17"/>
  <c r="D25" i="17" s="1"/>
  <c r="E23" i="17"/>
  <c r="E25" i="17" s="1"/>
  <c r="F23" i="17"/>
  <c r="F25" i="17" s="1"/>
  <c r="G23" i="17"/>
  <c r="G25" i="17" s="1"/>
  <c r="H23" i="17"/>
  <c r="H25" i="17" s="1"/>
  <c r="G18" i="5"/>
  <c r="G20" i="5" s="1"/>
  <c r="E18" i="5"/>
  <c r="E20" i="5" s="1"/>
  <c r="G13" i="5"/>
  <c r="G15" i="5" s="1"/>
  <c r="E13" i="5"/>
  <c r="E15" i="5" s="1"/>
  <c r="J28" i="6"/>
  <c r="I23" i="15"/>
  <c r="I25" i="15" s="1"/>
  <c r="I18" i="15"/>
  <c r="I20" i="15" s="1"/>
  <c r="I27" i="15"/>
  <c r="G28" i="15"/>
  <c r="G30" i="15"/>
  <c r="I26" i="15"/>
  <c r="I28" i="15" s="1"/>
  <c r="I30" i="15" s="1"/>
  <c r="I28" i="29"/>
  <c r="H10" i="29"/>
  <c r="I10" i="29"/>
  <c r="I23" i="14"/>
  <c r="I25" i="14" s="1"/>
  <c r="G28" i="14"/>
  <c r="G30" i="14" s="1"/>
  <c r="H28" i="14"/>
  <c r="H30" i="14" s="1"/>
  <c r="H28" i="28"/>
  <c r="I28" i="28"/>
  <c r="H10" i="28"/>
  <c r="H30" i="28" s="1"/>
  <c r="I10" i="28"/>
  <c r="I30" i="28" s="1"/>
  <c r="D28" i="21"/>
  <c r="D30" i="21" s="1"/>
  <c r="H28" i="21"/>
  <c r="H30" i="21"/>
  <c r="I28" i="27"/>
  <c r="H10" i="27"/>
  <c r="I10" i="27"/>
  <c r="D26" i="26"/>
  <c r="D28" i="26" s="1"/>
  <c r="D30" i="26" s="1"/>
  <c r="E28" i="26"/>
  <c r="E30" i="26" s="1"/>
  <c r="I28" i="26"/>
  <c r="I30" i="26"/>
  <c r="D8" i="26"/>
  <c r="D10" i="26"/>
  <c r="G28" i="9"/>
  <c r="G30" i="9" s="1"/>
  <c r="I28" i="3"/>
  <c r="I30" i="3" s="1"/>
  <c r="F28" i="3"/>
  <c r="F30" i="3" s="1"/>
  <c r="H10" i="23"/>
  <c r="G26" i="16"/>
  <c r="G28" i="16" s="1"/>
  <c r="G30" i="16" s="1"/>
  <c r="H13" i="5"/>
  <c r="H15" i="5" s="1"/>
  <c r="K28" i="7"/>
  <c r="K28" i="16"/>
  <c r="M28" i="12"/>
  <c r="M30" i="12" s="1"/>
  <c r="D26" i="15"/>
  <c r="G10" i="7"/>
  <c r="F28" i="11"/>
  <c r="G28" i="11"/>
  <c r="G30" i="11" s="1"/>
  <c r="M8" i="16"/>
  <c r="M10" i="16" s="1"/>
  <c r="H15" i="29"/>
  <c r="F30" i="26"/>
  <c r="G30" i="26"/>
  <c r="S33" i="4"/>
  <c r="S32" i="4"/>
  <c r="F28" i="8"/>
  <c r="F25" i="8"/>
  <c r="H28" i="8"/>
  <c r="I18" i="11" l="1"/>
  <c r="I20" i="11" s="1"/>
  <c r="I23" i="11"/>
  <c r="I25" i="11" s="1"/>
  <c r="H28" i="23"/>
  <c r="D30" i="3"/>
  <c r="E28" i="3"/>
  <c r="I30" i="16"/>
  <c r="G28" i="12"/>
  <c r="G30" i="12" s="1"/>
  <c r="F30" i="6"/>
  <c r="I30" i="5"/>
  <c r="K30" i="6"/>
  <c r="H28" i="11"/>
  <c r="H30" i="11" s="1"/>
  <c r="I27" i="11"/>
  <c r="M23" i="16"/>
  <c r="M25" i="16" s="1"/>
  <c r="I30" i="7"/>
  <c r="G28" i="6"/>
  <c r="K28" i="4"/>
  <c r="K30" i="4" s="1"/>
  <c r="M30" i="6"/>
  <c r="I30" i="27"/>
  <c r="H30" i="7"/>
  <c r="G28" i="7"/>
  <c r="L28" i="12"/>
  <c r="L30" i="12" s="1"/>
  <c r="I30" i="23"/>
  <c r="I30" i="17"/>
  <c r="G30" i="7"/>
  <c r="D30" i="6"/>
  <c r="E28" i="6"/>
  <c r="E30" i="6" s="1"/>
  <c r="H28" i="6"/>
  <c r="K30" i="7"/>
  <c r="M30" i="17"/>
  <c r="M29" i="18"/>
  <c r="M30" i="18" s="1"/>
  <c r="O31" i="11"/>
  <c r="G30" i="6"/>
  <c r="L30" i="6"/>
  <c r="H30" i="8"/>
  <c r="F28" i="16"/>
  <c r="F30" i="16" s="1"/>
  <c r="E30" i="3"/>
  <c r="I30" i="29"/>
  <c r="F30" i="11"/>
  <c r="D26" i="11"/>
  <c r="D28" i="11" s="1"/>
  <c r="D30" i="11" s="1"/>
  <c r="D26" i="14"/>
  <c r="H30" i="23"/>
  <c r="D26" i="5"/>
  <c r="D28" i="5" s="1"/>
  <c r="D30" i="5" s="1"/>
  <c r="E28" i="16"/>
  <c r="E30" i="16" s="1"/>
  <c r="J26" i="16"/>
  <c r="F28" i="15"/>
  <c r="F30" i="15" s="1"/>
  <c r="E28" i="7"/>
  <c r="E30" i="7" s="1"/>
  <c r="D28" i="12"/>
  <c r="D30" i="12" s="1"/>
  <c r="H10" i="6"/>
  <c r="H30" i="6" s="1"/>
  <c r="D6" i="8"/>
  <c r="I28" i="4"/>
  <c r="I30" i="4" s="1"/>
  <c r="L28" i="5"/>
  <c r="I26" i="14"/>
  <c r="E8" i="8"/>
  <c r="E28" i="17"/>
  <c r="E30" i="17" s="1"/>
  <c r="D30" i="16"/>
  <c r="D28" i="7"/>
  <c r="D30" i="7" s="1"/>
  <c r="E28" i="11"/>
  <c r="L30" i="16"/>
  <c r="K30" i="16"/>
  <c r="J30" i="6"/>
  <c r="D28" i="14"/>
  <c r="D30" i="14" s="1"/>
  <c r="H28" i="12"/>
  <c r="H30" i="12" s="1"/>
  <c r="H28" i="9"/>
  <c r="H30" i="9" s="1"/>
  <c r="I13" i="14"/>
  <c r="I15" i="14" s="1"/>
  <c r="L30" i="5"/>
  <c r="I30" i="9"/>
  <c r="I30" i="8"/>
  <c r="H30" i="27"/>
  <c r="F28" i="12"/>
  <c r="F30" i="12" s="1"/>
  <c r="E28" i="18"/>
  <c r="E30" i="18" s="1"/>
  <c r="L28" i="6"/>
  <c r="D16" i="8"/>
  <c r="F28" i="7"/>
  <c r="H30" i="15"/>
  <c r="O32" i="8"/>
  <c r="O32" i="3"/>
  <c r="J30" i="4"/>
  <c r="M18" i="4"/>
  <c r="M20" i="4" s="1"/>
  <c r="L28" i="4"/>
  <c r="L30" i="4" s="1"/>
  <c r="H26" i="4"/>
  <c r="H28" i="4" s="1"/>
  <c r="H30" i="4" s="1"/>
  <c r="D28" i="4"/>
  <c r="D30" i="4" s="1"/>
  <c r="G18" i="4"/>
  <c r="G20" i="4" s="1"/>
  <c r="M23" i="4"/>
  <c r="M25" i="4" s="1"/>
  <c r="F28" i="4"/>
  <c r="F30" i="4" s="1"/>
  <c r="E27" i="8"/>
  <c r="E13" i="8"/>
  <c r="E15" i="8" s="1"/>
  <c r="D15" i="8"/>
  <c r="S33" i="6"/>
  <c r="E23" i="8"/>
  <c r="E25" i="8" s="1"/>
  <c r="E26" i="8"/>
  <c r="D18" i="8"/>
  <c r="D20" i="8" s="1"/>
  <c r="E18" i="8"/>
  <c r="E20" i="8" s="1"/>
  <c r="D8" i="8"/>
  <c r="D10" i="8" s="1"/>
  <c r="D23" i="8"/>
  <c r="D25" i="8" s="1"/>
  <c r="E29" i="8"/>
  <c r="D28" i="9"/>
  <c r="S31" i="18"/>
  <c r="O33" i="29"/>
  <c r="O33" i="28"/>
  <c r="O31" i="27"/>
  <c r="O31" i="21"/>
  <c r="S31" i="12"/>
  <c r="O34" i="26"/>
  <c r="O31" i="26"/>
  <c r="O32" i="26"/>
  <c r="O33" i="26"/>
  <c r="O33" i="14"/>
  <c r="O31" i="14"/>
  <c r="O34" i="14"/>
  <c r="O32" i="14"/>
  <c r="L30" i="7"/>
  <c r="O33" i="9"/>
  <c r="E8" i="5"/>
  <c r="E10" i="5" s="1"/>
  <c r="E26" i="5"/>
  <c r="E28" i="5" s="1"/>
  <c r="E30" i="5" s="1"/>
  <c r="G30" i="8"/>
  <c r="M30" i="5"/>
  <c r="M26" i="16"/>
  <c r="S31" i="4"/>
  <c r="M28" i="6"/>
  <c r="L28" i="7"/>
  <c r="J28" i="17"/>
  <c r="J30" i="17" s="1"/>
  <c r="E28" i="14"/>
  <c r="E30" i="14" s="1"/>
  <c r="I25" i="6"/>
  <c r="I30" i="6" s="1"/>
  <c r="I28" i="6"/>
  <c r="E28" i="9"/>
  <c r="E30" i="9" s="1"/>
  <c r="F30" i="8"/>
  <c r="H26" i="5"/>
  <c r="E28" i="4"/>
  <c r="E30" i="4" s="1"/>
  <c r="D28" i="18"/>
  <c r="D30" i="18" s="1"/>
  <c r="S34" i="4"/>
  <c r="I28" i="5"/>
  <c r="D27" i="15"/>
  <c r="D28" i="15" s="1"/>
  <c r="D30" i="15" s="1"/>
  <c r="F26" i="14"/>
  <c r="F28" i="14" s="1"/>
  <c r="F30" i="14" s="1"/>
  <c r="M15" i="7"/>
  <c r="M28" i="7"/>
  <c r="I26" i="11"/>
  <c r="I8" i="11"/>
  <c r="I10" i="11" s="1"/>
  <c r="M27" i="16"/>
  <c r="M15" i="18"/>
  <c r="D27" i="8"/>
  <c r="K28" i="6"/>
  <c r="G28" i="8"/>
  <c r="O32" i="21"/>
  <c r="H23" i="5"/>
  <c r="H25" i="5" s="1"/>
  <c r="H18" i="16"/>
  <c r="H20" i="16" s="1"/>
  <c r="H26" i="16"/>
  <c r="H28" i="16" s="1"/>
  <c r="H30" i="16" s="1"/>
  <c r="D30" i="9"/>
  <c r="H10" i="5"/>
  <c r="M30" i="7"/>
  <c r="I18" i="14"/>
  <c r="I20" i="14" s="1"/>
  <c r="O34" i="21"/>
  <c r="O33" i="3"/>
  <c r="H30" i="29"/>
  <c r="O34" i="3"/>
  <c r="O32" i="9"/>
  <c r="S33" i="12"/>
  <c r="I28" i="7"/>
  <c r="G28" i="17"/>
  <c r="G30" i="17" s="1"/>
  <c r="E30" i="11"/>
  <c r="G26" i="5"/>
  <c r="G8" i="5"/>
  <c r="K20" i="5"/>
  <c r="K30" i="5" s="1"/>
  <c r="K28" i="5"/>
  <c r="M26" i="5"/>
  <c r="M13" i="4"/>
  <c r="M15" i="4" s="1"/>
  <c r="M26" i="4"/>
  <c r="O31" i="9"/>
  <c r="S32" i="12"/>
  <c r="J28" i="16"/>
  <c r="J30" i="16" s="1"/>
  <c r="J28" i="7"/>
  <c r="J10" i="7"/>
  <c r="J30" i="7" s="1"/>
  <c r="J10" i="5"/>
  <c r="J30" i="5" s="1"/>
  <c r="J28" i="5"/>
  <c r="D26" i="8"/>
  <c r="I28" i="8"/>
  <c r="O31" i="3"/>
  <c r="O34" i="9"/>
  <c r="S34" i="12"/>
  <c r="M28" i="5"/>
  <c r="E28" i="15"/>
  <c r="E30" i="15" s="1"/>
  <c r="F30" i="7"/>
  <c r="F8" i="5"/>
  <c r="F26" i="5"/>
  <c r="G26" i="4"/>
  <c r="G28" i="4" s="1"/>
  <c r="G30" i="4" s="1"/>
  <c r="I8" i="14"/>
  <c r="I10" i="14" s="1"/>
  <c r="H28" i="7"/>
  <c r="M27" i="4"/>
  <c r="H28" i="17"/>
  <c r="H30" i="17" s="1"/>
  <c r="I28" i="23"/>
  <c r="I27" i="14"/>
  <c r="I28" i="14" s="1"/>
  <c r="I30" i="14" s="1"/>
  <c r="M18" i="16"/>
  <c r="M20" i="16" s="1"/>
  <c r="D29" i="8"/>
  <c r="H28" i="27"/>
  <c r="E10" i="8"/>
  <c r="I28" i="11" l="1"/>
  <c r="I30" i="11" s="1"/>
  <c r="H30" i="5"/>
  <c r="H28" i="5"/>
  <c r="S32" i="18"/>
  <c r="S33" i="18"/>
  <c r="O32" i="29"/>
  <c r="O31" i="29"/>
  <c r="O34" i="29"/>
  <c r="O34" i="27"/>
  <c r="O31" i="8"/>
  <c r="O34" i="8"/>
  <c r="O34" i="15"/>
  <c r="O33" i="8"/>
  <c r="O34" i="23"/>
  <c r="O31" i="23"/>
  <c r="O32" i="23"/>
  <c r="O33" i="23"/>
  <c r="M28" i="4"/>
  <c r="M30" i="4" s="1"/>
  <c r="S34" i="6"/>
  <c r="S31" i="6"/>
  <c r="S32" i="6"/>
  <c r="D30" i="8"/>
  <c r="E30" i="8"/>
  <c r="E28" i="8"/>
  <c r="D28" i="8"/>
  <c r="O31" i="25"/>
  <c r="O34" i="25"/>
  <c r="O32" i="25"/>
  <c r="O33" i="25"/>
  <c r="S34" i="18"/>
  <c r="S34" i="17"/>
  <c r="S33" i="17"/>
  <c r="S32" i="17"/>
  <c r="S31" i="17"/>
  <c r="S32" i="10"/>
  <c r="S34" i="10"/>
  <c r="S31" i="10"/>
  <c r="S33" i="10"/>
  <c r="S31" i="16"/>
  <c r="S34" i="16"/>
  <c r="S33" i="16"/>
  <c r="S32" i="16"/>
  <c r="O33" i="15"/>
  <c r="O32" i="15"/>
  <c r="O31" i="15"/>
  <c r="O34" i="28"/>
  <c r="O32" i="28"/>
  <c r="O31" i="28"/>
  <c r="O32" i="27"/>
  <c r="O33" i="27"/>
  <c r="O32" i="11"/>
  <c r="O34" i="11"/>
  <c r="O33" i="11"/>
  <c r="M28" i="16"/>
  <c r="M30" i="16" s="1"/>
  <c r="F10" i="5"/>
  <c r="F30" i="5" s="1"/>
  <c r="F28" i="5"/>
  <c r="S32" i="5"/>
  <c r="S31" i="5"/>
  <c r="S34" i="5"/>
  <c r="S33" i="5"/>
  <c r="G10" i="5"/>
  <c r="G30" i="5" s="1"/>
  <c r="G28" i="5"/>
  <c r="S32" i="7"/>
  <c r="S34" i="7"/>
  <c r="S31" i="7"/>
  <c r="S33" i="7"/>
  <c r="S33" i="1" l="1"/>
  <c r="S32" i="1"/>
  <c r="S34" i="1"/>
  <c r="S35" i="1"/>
</calcChain>
</file>

<file path=xl/sharedStrings.xml><?xml version="1.0" encoding="utf-8"?>
<sst xmlns="http://schemas.openxmlformats.org/spreadsheetml/2006/main" count="1703" uniqueCount="188">
  <si>
    <t>Undergraduate Majors</t>
  </si>
  <si>
    <t>Faculty of Social Sciences</t>
  </si>
  <si>
    <t>Year I</t>
  </si>
  <si>
    <t>Year II</t>
  </si>
  <si>
    <t>Year III</t>
  </si>
  <si>
    <t>Year IV</t>
  </si>
  <si>
    <t>TOTAL:</t>
  </si>
  <si>
    <t>Male</t>
  </si>
  <si>
    <t>Female</t>
  </si>
  <si>
    <t>Full-Time</t>
  </si>
  <si>
    <t>Part-Time</t>
  </si>
  <si>
    <t>Single</t>
  </si>
  <si>
    <t>Combined</t>
  </si>
  <si>
    <t>Sub-Total:</t>
  </si>
  <si>
    <t>Gen/Integ. Studies</t>
  </si>
  <si>
    <t>Total:</t>
  </si>
  <si>
    <t>Adjusted Total:</t>
  </si>
  <si>
    <t xml:space="preserve"> 1999-00</t>
  </si>
  <si>
    <t xml:space="preserve"> 2000-01</t>
  </si>
  <si>
    <t xml:space="preserve"> 2001-02</t>
  </si>
  <si>
    <t xml:space="preserve"> 2002-03</t>
  </si>
  <si>
    <t xml:space="preserve"> 2003-04</t>
  </si>
  <si>
    <t>BECO</t>
  </si>
  <si>
    <t>CHYS</t>
  </si>
  <si>
    <t>CPCF</t>
  </si>
  <si>
    <t>ECON</t>
  </si>
  <si>
    <t>GEOG</t>
  </si>
  <si>
    <t>LABR</t>
  </si>
  <si>
    <t>NEUR</t>
  </si>
  <si>
    <t>POLI</t>
  </si>
  <si>
    <t>PSYC</t>
  </si>
  <si>
    <t>SOCI</t>
  </si>
  <si>
    <t>WISE</t>
  </si>
  <si>
    <t>Business Economics</t>
  </si>
  <si>
    <t>Codes:</t>
  </si>
  <si>
    <t>BECE, BECH, BEFE</t>
  </si>
  <si>
    <t>Child and Youth Studies</t>
  </si>
  <si>
    <t>[Film Studies]</t>
  </si>
  <si>
    <t>FILM</t>
  </si>
  <si>
    <t>[Popular Culture]</t>
  </si>
  <si>
    <t>PCUL</t>
  </si>
  <si>
    <t>Economics</t>
  </si>
  <si>
    <t>Geography</t>
  </si>
  <si>
    <t>Labour Studies</t>
  </si>
  <si>
    <t>LABC, LABR</t>
  </si>
  <si>
    <t>Neuroscience</t>
  </si>
  <si>
    <t>Gen/Integ Studies</t>
  </si>
  <si>
    <t>Political Science</t>
  </si>
  <si>
    <t>Psychology</t>
  </si>
  <si>
    <t>Sociology</t>
  </si>
  <si>
    <t>Women's Studies</t>
  </si>
  <si>
    <t xml:space="preserve"> 2004-05</t>
  </si>
  <si>
    <t xml:space="preserve"> 2005-06</t>
  </si>
  <si>
    <t xml:space="preserve"> 2006-07</t>
  </si>
  <si>
    <t>GENL</t>
  </si>
  <si>
    <t>TREN</t>
  </si>
  <si>
    <t>Major</t>
  </si>
  <si>
    <t>2007-08</t>
  </si>
  <si>
    <t>Enrolment Headcount</t>
  </si>
  <si>
    <t>Study Year</t>
  </si>
  <si>
    <t>Major Type</t>
  </si>
  <si>
    <t>Total</t>
  </si>
  <si>
    <t>Coop data not available</t>
  </si>
  <si>
    <t>2004-05</t>
  </si>
  <si>
    <t>2003-04</t>
  </si>
  <si>
    <t>Data for chart:</t>
  </si>
  <si>
    <t xml:space="preserve"> 2007-08</t>
  </si>
  <si>
    <t>Study  Year</t>
  </si>
  <si>
    <t xml:space="preserve">*Prior to 06-07, students in General Studies were reported in the Extra-Faculty section, since no differentiation was made on the Faculty with which a General Studies student was associated. In 2006, separate major codes were created to identify the affiliated Faculties. In addition, the total number of students in General Studies has increased since 2006-07, because no new student was admitted into the "Undeclared Arts" program, these students were admitted to "General Studies" affiliated with a Faculty.  </t>
  </si>
  <si>
    <t>2008-09</t>
  </si>
  <si>
    <t>Note: TREN includes TOUR, ENVI &amp; TREN Starting in 2006-07</t>
  </si>
  <si>
    <t>Tourism and Environment</t>
  </si>
  <si>
    <t>Summary</t>
  </si>
  <si>
    <t>AEST</t>
  </si>
  <si>
    <t>ENBI</t>
  </si>
  <si>
    <t>ENCS</t>
  </si>
  <si>
    <t>ENCC</t>
  </si>
  <si>
    <t>ENES</t>
  </si>
  <si>
    <t>ENGO</t>
  </si>
  <si>
    <t>ENPO</t>
  </si>
  <si>
    <t>ENSO</t>
  </si>
  <si>
    <t>ENVI</t>
  </si>
  <si>
    <t>ENVP</t>
  </si>
  <si>
    <t>EVGN</t>
  </si>
  <si>
    <t>TOMH</t>
  </si>
  <si>
    <t>TOMN</t>
  </si>
  <si>
    <t>TOPH</t>
  </si>
  <si>
    <t>TOPN</t>
  </si>
  <si>
    <t>TOUR</t>
  </si>
  <si>
    <t>TUAH</t>
  </si>
  <si>
    <t>TUAN</t>
  </si>
  <si>
    <t>TUPH</t>
  </si>
  <si>
    <t>TUPN</t>
  </si>
  <si>
    <t>TRNN</t>
  </si>
  <si>
    <t>FILN</t>
  </si>
  <si>
    <t>ENEC</t>
  </si>
  <si>
    <t>ECAN</t>
  </si>
  <si>
    <t>GNSS</t>
  </si>
  <si>
    <t>ARTS - move this code to Extra Faculty majors</t>
  </si>
  <si>
    <t>Code:</t>
  </si>
  <si>
    <t>NBIO</t>
  </si>
  <si>
    <t>NEUN</t>
  </si>
  <si>
    <t>NMTR</t>
  </si>
  <si>
    <t>NPSY</t>
  </si>
  <si>
    <t>INPE</t>
  </si>
  <si>
    <t>POLS</t>
  </si>
  <si>
    <t>CJPO</t>
  </si>
  <si>
    <t>LACE</t>
  </si>
  <si>
    <t>POPA</t>
  </si>
  <si>
    <t>PSYN</t>
  </si>
  <si>
    <t>PSYT</t>
  </si>
  <si>
    <t>PYED</t>
  </si>
  <si>
    <t>CJPS</t>
  </si>
  <si>
    <t>PSHS</t>
  </si>
  <si>
    <t>CJSO</t>
  </si>
  <si>
    <t>CRMC</t>
  </si>
  <si>
    <t>DADC</t>
  </si>
  <si>
    <t>TENC</t>
  </si>
  <si>
    <t>WISC</t>
  </si>
  <si>
    <t>Communications, Popular Culture &amp; Film</t>
  </si>
  <si>
    <t>[Communication Studies]</t>
  </si>
  <si>
    <t>General Studies (Social Science)</t>
  </si>
  <si>
    <t>*Combined Majors and General/Integrated Majors are counted in full in each unit if the majors are offered by two different units. In the Faculty Total, the student is counted only once if the units belong to the same Faculty.</t>
  </si>
  <si>
    <t>Faculty Total:</t>
  </si>
  <si>
    <t>2011-12</t>
  </si>
  <si>
    <t>CHLD</t>
  </si>
  <si>
    <t>CYED</t>
  </si>
  <si>
    <t>CHED</t>
  </si>
  <si>
    <t>CHYN</t>
  </si>
  <si>
    <t>CSBC</t>
  </si>
  <si>
    <t>CSIN</t>
  </si>
  <si>
    <t>CSMC</t>
  </si>
  <si>
    <t>CSSP</t>
  </si>
  <si>
    <t>COMM</t>
  </si>
  <si>
    <t>CSCL</t>
  </si>
  <si>
    <t>BCMN</t>
  </si>
  <si>
    <t>CJCM</t>
  </si>
  <si>
    <t>COMS</t>
  </si>
  <si>
    <t>MCMN</t>
  </si>
  <si>
    <t>CJHG</t>
  </si>
  <si>
    <t>GEOH</t>
  </si>
  <si>
    <t>GEOP</t>
  </si>
  <si>
    <t>GOED</t>
  </si>
  <si>
    <t>* Geography coop program started in 2007-08.</t>
  </si>
  <si>
    <t>CODES: All plus NEUR, minus ARTS</t>
  </si>
  <si>
    <t>Head Count Enrolments</t>
  </si>
  <si>
    <t>2012-13</t>
  </si>
  <si>
    <t>2005-06</t>
  </si>
  <si>
    <t>2006-07</t>
  </si>
  <si>
    <t>Head Count Enrollments (Coop Only)</t>
  </si>
  <si>
    <t>Head Count Enrolments (Including Coop)</t>
  </si>
  <si>
    <t>2003-04-</t>
  </si>
  <si>
    <t>Head Count Enrolments (Coop Only)</t>
  </si>
  <si>
    <t>COOP</t>
  </si>
  <si>
    <t>TOTAL</t>
  </si>
  <si>
    <t>Year</t>
  </si>
  <si>
    <t xml:space="preserve">               General Studies (Social Science) </t>
  </si>
  <si>
    <t xml:space="preserve">          Women's and Gender Studies</t>
  </si>
  <si>
    <t>2013-14</t>
  </si>
  <si>
    <t>*Coop not offered to new students starting in 2007-08.  No students were registered in the coop option starting in 2011-12.</t>
  </si>
  <si>
    <t>*Coop not offered to new students starting in 2007-08. No students were registered in the coop option starting in 2011-12.</t>
  </si>
  <si>
    <t xml:space="preserve">             Communications, Popular Culture and Film</t>
  </si>
  <si>
    <t xml:space="preserve">             Communications, Popular Culture and Film </t>
  </si>
  <si>
    <t>Summary - COOP only</t>
  </si>
  <si>
    <t>Applied Linguistics</t>
  </si>
  <si>
    <t xml:space="preserve">2008-09 </t>
  </si>
  <si>
    <t>2014-15</t>
  </si>
  <si>
    <t>Gen./Integ. Studies</t>
  </si>
  <si>
    <t>ALTS</t>
  </si>
  <si>
    <t>APLI</t>
  </si>
  <si>
    <t>CODC</t>
  </si>
  <si>
    <t>HEAR</t>
  </si>
  <si>
    <t>HESC</t>
  </si>
  <si>
    <t>LICD</t>
  </si>
  <si>
    <t>LING</t>
  </si>
  <si>
    <t>LISL</t>
  </si>
  <si>
    <t>LITE</t>
  </si>
  <si>
    <t>SLPC</t>
  </si>
  <si>
    <t>SLSC</t>
  </si>
  <si>
    <t>SPLN</t>
  </si>
  <si>
    <t>SPLS</t>
  </si>
  <si>
    <t>TESC</t>
  </si>
  <si>
    <t>TESL</t>
  </si>
  <si>
    <t xml:space="preserve">Head Count Enrolments  </t>
  </si>
  <si>
    <t>Note: Prior to 2014-15 APLS enrolment was reported under the Faculty of Humanities.</t>
  </si>
  <si>
    <t>Reported under Faculty of Humanities</t>
  </si>
  <si>
    <t>APLS</t>
  </si>
  <si>
    <t>2015-16</t>
  </si>
</sst>
</file>

<file path=xl/styles.xml><?xml version="1.0" encoding="utf-8"?>
<styleSheet xmlns="http://schemas.openxmlformats.org/spreadsheetml/2006/main" xmlns:mc="http://schemas.openxmlformats.org/markup-compatibility/2006" xmlns:x14ac="http://schemas.microsoft.com/office/spreadsheetml/2009/9/ac" mc:Ignorable="x14ac">
  <fonts count="24">
    <font>
      <sz val="12"/>
      <name val="Arial"/>
    </font>
    <font>
      <sz val="12"/>
      <name val="Arial MT"/>
    </font>
    <font>
      <sz val="12"/>
      <name val="Arial"/>
      <family val="2"/>
    </font>
    <font>
      <b/>
      <sz val="12"/>
      <name val="Arial"/>
      <family val="2"/>
    </font>
    <font>
      <sz val="12"/>
      <name val="Arial"/>
      <family val="2"/>
    </font>
    <font>
      <b/>
      <sz val="12"/>
      <name val="Arial"/>
      <family val="2"/>
    </font>
    <font>
      <sz val="12"/>
      <name val="Arial"/>
      <family val="2"/>
    </font>
    <font>
      <sz val="8"/>
      <name val="Arial"/>
      <family val="2"/>
    </font>
    <font>
      <b/>
      <sz val="12"/>
      <name val="Arial MT"/>
    </font>
    <font>
      <sz val="11"/>
      <name val="Arial"/>
      <family val="2"/>
    </font>
    <font>
      <sz val="10"/>
      <name val="Arial"/>
      <family val="2"/>
    </font>
    <font>
      <sz val="9"/>
      <name val="Arial"/>
      <family val="2"/>
    </font>
    <font>
      <sz val="14"/>
      <name val="Century Gothic"/>
      <family val="2"/>
    </font>
    <font>
      <b/>
      <sz val="18"/>
      <name val="Century Gothic"/>
      <family val="2"/>
    </font>
    <font>
      <b/>
      <sz val="14"/>
      <name val="Century Gothic"/>
      <family val="2"/>
    </font>
    <font>
      <sz val="18"/>
      <name val="Century Gothic"/>
      <family val="2"/>
    </font>
    <font>
      <sz val="10"/>
      <name val="Lucida Sans Unicode"/>
      <family val="2"/>
    </font>
    <font>
      <sz val="10"/>
      <name val="Trebuchet MS"/>
      <family val="2"/>
    </font>
    <font>
      <sz val="12"/>
      <name val="Century Gothic"/>
      <family val="2"/>
    </font>
    <font>
      <sz val="10"/>
      <name val="Arial MT"/>
    </font>
    <font>
      <i/>
      <sz val="12"/>
      <color rgb="FFFF0000"/>
      <name val="Arial"/>
      <family val="2"/>
    </font>
    <font>
      <sz val="14"/>
      <name val="Centure gothic"/>
    </font>
    <font>
      <sz val="12"/>
      <name val="Centure gothic"/>
    </font>
    <font>
      <i/>
      <sz val="8"/>
      <name val="Arial"/>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76">
    <border>
      <left/>
      <right/>
      <top/>
      <bottom/>
      <diagonal/>
    </border>
    <border>
      <left style="thin">
        <color indexed="8"/>
      </left>
      <right/>
      <top style="thin">
        <color indexed="8"/>
      </top>
      <bottom/>
      <diagonal/>
    </border>
    <border>
      <left style="thin">
        <color indexed="8"/>
      </left>
      <right/>
      <top style="medium">
        <color indexed="8"/>
      </top>
      <bottom/>
      <diagonal/>
    </border>
    <border>
      <left style="medium">
        <color indexed="8"/>
      </left>
      <right/>
      <top style="medium">
        <color indexed="8"/>
      </top>
      <bottom/>
      <diagonal/>
    </border>
    <border>
      <left style="thin">
        <color indexed="8"/>
      </left>
      <right/>
      <top/>
      <bottom/>
      <diagonal/>
    </border>
    <border>
      <left style="medium">
        <color indexed="8"/>
      </left>
      <right/>
      <top/>
      <bottom/>
      <diagonal/>
    </border>
    <border>
      <left style="medium">
        <color indexed="8"/>
      </left>
      <right/>
      <top style="thin">
        <color indexed="8"/>
      </top>
      <bottom/>
      <diagonal/>
    </border>
    <border>
      <left style="thin">
        <color indexed="8"/>
      </left>
      <right/>
      <top style="double">
        <color indexed="8"/>
      </top>
      <bottom/>
      <diagonal/>
    </border>
    <border>
      <left style="medium">
        <color indexed="8"/>
      </left>
      <right/>
      <top style="double">
        <color indexed="8"/>
      </top>
      <bottom/>
      <diagonal/>
    </border>
    <border>
      <left/>
      <right/>
      <top style="double">
        <color indexed="8"/>
      </top>
      <bottom/>
      <diagonal/>
    </border>
    <border>
      <left/>
      <right/>
      <top style="medium">
        <color indexed="8"/>
      </top>
      <bottom/>
      <diagonal/>
    </border>
    <border>
      <left/>
      <right/>
      <top style="thin">
        <color indexed="8"/>
      </top>
      <bottom/>
      <diagonal/>
    </border>
    <border>
      <left style="thin">
        <color indexed="8"/>
      </left>
      <right style="thin">
        <color indexed="8"/>
      </right>
      <top style="medium">
        <color indexed="8"/>
      </top>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style="double">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medium">
        <color indexed="8"/>
      </top>
      <bottom/>
      <diagonal/>
    </border>
    <border>
      <left style="thin">
        <color indexed="8"/>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8"/>
      </left>
      <right/>
      <top style="thin">
        <color indexed="64"/>
      </top>
      <bottom/>
      <diagonal/>
    </border>
    <border>
      <left style="thin">
        <color indexed="8"/>
      </left>
      <right style="thin">
        <color indexed="8"/>
      </right>
      <top style="thin">
        <color indexed="64"/>
      </top>
      <bottom/>
      <diagonal/>
    </border>
    <border>
      <left style="thin">
        <color indexed="64"/>
      </left>
      <right/>
      <top/>
      <bottom/>
      <diagonal/>
    </border>
    <border>
      <left style="thin">
        <color indexed="64"/>
      </left>
      <right/>
      <top style="medium">
        <color indexed="8"/>
      </top>
      <bottom/>
      <diagonal/>
    </border>
    <border>
      <left style="thin">
        <color indexed="64"/>
      </left>
      <right/>
      <top/>
      <bottom style="thin">
        <color indexed="64"/>
      </bottom>
      <diagonal/>
    </border>
    <border>
      <left/>
      <right/>
      <top/>
      <bottom style="thin">
        <color indexed="64"/>
      </bottom>
      <diagonal/>
    </border>
    <border>
      <left style="thin">
        <color indexed="8"/>
      </left>
      <right/>
      <top/>
      <bottom style="thin">
        <color indexed="64"/>
      </bottom>
      <diagonal/>
    </border>
    <border>
      <left style="thin">
        <color indexed="8"/>
      </left>
      <right style="thin">
        <color indexed="8"/>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8"/>
      </top>
      <bottom style="medium">
        <color indexed="64"/>
      </bottom>
      <diagonal/>
    </border>
    <border>
      <left style="thin">
        <color indexed="8"/>
      </left>
      <right/>
      <top style="thin">
        <color indexed="8"/>
      </top>
      <bottom style="medium">
        <color indexed="64"/>
      </bottom>
      <diagonal/>
    </border>
    <border>
      <left style="thin">
        <color indexed="8"/>
      </left>
      <right/>
      <top/>
      <bottom style="medium">
        <color indexed="64"/>
      </bottom>
      <diagonal/>
    </border>
    <border>
      <left style="thin">
        <color indexed="8"/>
      </left>
      <right style="thin">
        <color indexed="8"/>
      </right>
      <top/>
      <bottom style="medium">
        <color indexed="64"/>
      </bottom>
      <diagonal/>
    </border>
    <border>
      <left style="thin">
        <color indexed="8"/>
      </left>
      <right style="thin">
        <color indexed="64"/>
      </right>
      <top style="thin">
        <color indexed="8"/>
      </top>
      <bottom/>
      <diagonal/>
    </border>
    <border>
      <left style="thin">
        <color indexed="8"/>
      </left>
      <right style="thin">
        <color indexed="64"/>
      </right>
      <top/>
      <bottom/>
      <diagonal/>
    </border>
    <border>
      <left style="thin">
        <color indexed="8"/>
      </left>
      <right style="thin">
        <color indexed="64"/>
      </right>
      <top style="double">
        <color indexed="8"/>
      </top>
      <bottom/>
      <diagonal/>
    </border>
    <border>
      <left style="thin">
        <color indexed="8"/>
      </left>
      <right style="thin">
        <color indexed="64"/>
      </right>
      <top style="medium">
        <color indexed="8"/>
      </top>
      <bottom/>
      <diagonal/>
    </border>
    <border>
      <left style="thin">
        <color indexed="64"/>
      </left>
      <right/>
      <top style="double">
        <color indexed="8"/>
      </top>
      <bottom/>
      <diagonal/>
    </border>
    <border>
      <left/>
      <right style="thin">
        <color indexed="8"/>
      </right>
      <top/>
      <bottom style="thin">
        <color indexed="64"/>
      </bottom>
      <diagonal/>
    </border>
    <border>
      <left style="thin">
        <color indexed="8"/>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8"/>
      </left>
      <right/>
      <top/>
      <bottom style="double">
        <color indexed="64"/>
      </bottom>
      <diagonal/>
    </border>
    <border>
      <left style="thin">
        <color indexed="8"/>
      </left>
      <right/>
      <top style="double">
        <color indexed="8"/>
      </top>
      <bottom style="double">
        <color indexed="64"/>
      </bottom>
      <diagonal/>
    </border>
    <border>
      <left style="medium">
        <color indexed="8"/>
      </left>
      <right/>
      <top style="double">
        <color indexed="8"/>
      </top>
      <bottom style="double">
        <color indexed="64"/>
      </bottom>
      <diagonal/>
    </border>
    <border>
      <left style="thin">
        <color indexed="8"/>
      </left>
      <right style="thin">
        <color indexed="8"/>
      </right>
      <top style="double">
        <color indexed="8"/>
      </top>
      <bottom style="double">
        <color indexed="64"/>
      </bottom>
      <diagonal/>
    </border>
    <border>
      <left/>
      <right/>
      <top/>
      <bottom style="medium">
        <color indexed="8"/>
      </bottom>
      <diagonal/>
    </border>
    <border>
      <left style="medium">
        <color indexed="8"/>
      </left>
      <right/>
      <top/>
      <bottom style="medium">
        <color indexed="8"/>
      </bottom>
      <diagonal/>
    </border>
    <border>
      <left style="thin">
        <color indexed="8"/>
      </left>
      <right/>
      <top/>
      <bottom style="medium">
        <color indexed="8"/>
      </bottom>
      <diagonal/>
    </border>
    <border>
      <left style="thin">
        <color indexed="8"/>
      </left>
      <right style="thin">
        <color indexed="8"/>
      </right>
      <top/>
      <bottom style="medium">
        <color indexed="8"/>
      </bottom>
      <diagonal/>
    </border>
    <border>
      <left style="thin">
        <color indexed="8"/>
      </left>
      <right style="thin">
        <color indexed="8"/>
      </right>
      <top style="double">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8"/>
      </bottom>
      <diagonal/>
    </border>
    <border>
      <left style="thin">
        <color indexed="8"/>
      </left>
      <right/>
      <top style="thin">
        <color indexed="64"/>
      </top>
      <bottom style="thin">
        <color indexed="8"/>
      </bottom>
      <diagonal/>
    </border>
    <border>
      <left/>
      <right/>
      <top style="thin">
        <color indexed="64"/>
      </top>
      <bottom style="thin">
        <color indexed="64"/>
      </bottom>
      <diagonal/>
    </border>
    <border>
      <left style="thin">
        <color indexed="8"/>
      </left>
      <right style="thin">
        <color indexed="8"/>
      </right>
      <top style="double">
        <color indexed="8"/>
      </top>
      <bottom style="thin">
        <color indexed="64"/>
      </bottom>
      <diagonal/>
    </border>
    <border>
      <left style="thin">
        <color indexed="64"/>
      </left>
      <right style="thin">
        <color indexed="8"/>
      </right>
      <top/>
      <bottom style="thin">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8"/>
      </left>
      <right style="thin">
        <color indexed="8"/>
      </right>
      <top/>
      <bottom style="double">
        <color indexed="8"/>
      </bottom>
      <diagonal/>
    </border>
    <border>
      <left style="thin">
        <color indexed="64"/>
      </left>
      <right/>
      <top style="thin">
        <color indexed="64"/>
      </top>
      <bottom style="double">
        <color indexed="64"/>
      </bottom>
      <diagonal/>
    </border>
    <border>
      <left style="thin">
        <color indexed="64"/>
      </left>
      <right/>
      <top style="double">
        <color indexed="64"/>
      </top>
      <bottom/>
      <diagonal/>
    </border>
    <border>
      <left style="thin">
        <color indexed="64"/>
      </left>
      <right style="thin">
        <color indexed="8"/>
      </right>
      <top style="double">
        <color indexed="8"/>
      </top>
      <bottom style="medium">
        <color indexed="64"/>
      </bottom>
      <diagonal/>
    </border>
    <border>
      <left/>
      <right style="thin">
        <color indexed="64"/>
      </right>
      <top style="thin">
        <color indexed="64"/>
      </top>
      <bottom style="double">
        <color indexed="64"/>
      </bottom>
      <diagonal/>
    </border>
    <border>
      <left style="thin">
        <color indexed="64"/>
      </left>
      <right style="thin">
        <color indexed="64"/>
      </right>
      <top/>
      <bottom style="medium">
        <color indexed="64"/>
      </bottom>
      <diagonal/>
    </border>
    <border>
      <left/>
      <right style="thin">
        <color indexed="8"/>
      </right>
      <top/>
      <bottom style="medium">
        <color indexed="64"/>
      </bottom>
      <diagonal/>
    </border>
    <border>
      <left/>
      <right style="thin">
        <color indexed="64"/>
      </right>
      <top/>
      <bottom style="medium">
        <color indexed="64"/>
      </bottom>
      <diagonal/>
    </border>
  </borders>
  <cellStyleXfs count="2">
    <xf numFmtId="0" fontId="0" fillId="0" borderId="0"/>
    <xf numFmtId="0" fontId="2" fillId="0" borderId="0"/>
  </cellStyleXfs>
  <cellXfs count="545">
    <xf numFmtId="0" fontId="0" fillId="0" borderId="0" xfId="0"/>
    <xf numFmtId="0" fontId="1" fillId="0" borderId="0" xfId="0" applyNumberFormat="1" applyFont="1" applyAlignment="1"/>
    <xf numFmtId="0" fontId="2" fillId="0" borderId="1" xfId="0" applyNumberFormat="1" applyFont="1" applyBorder="1" applyAlignment="1"/>
    <xf numFmtId="0" fontId="2" fillId="0" borderId="1" xfId="0" applyNumberFormat="1" applyFont="1" applyBorder="1" applyAlignment="1">
      <alignment horizontal="center"/>
    </xf>
    <xf numFmtId="0" fontId="2" fillId="0" borderId="2" xfId="0" applyNumberFormat="1" applyFont="1" applyBorder="1" applyAlignment="1"/>
    <xf numFmtId="3" fontId="2" fillId="2" borderId="3" xfId="0" applyNumberFormat="1" applyFont="1" applyFill="1" applyBorder="1" applyAlignment="1">
      <alignment horizontal="right"/>
    </xf>
    <xf numFmtId="3" fontId="2" fillId="2" borderId="2" xfId="0" applyNumberFormat="1" applyFont="1" applyFill="1" applyBorder="1" applyAlignment="1">
      <alignment horizontal="right"/>
    </xf>
    <xf numFmtId="0" fontId="2" fillId="0" borderId="4" xfId="0" applyNumberFormat="1" applyFont="1" applyBorder="1" applyAlignment="1">
      <alignment horizontal="center"/>
    </xf>
    <xf numFmtId="0" fontId="2" fillId="0" borderId="4" xfId="0" applyNumberFormat="1" applyFont="1" applyBorder="1" applyAlignment="1"/>
    <xf numFmtId="3" fontId="2" fillId="2" borderId="5" xfId="0" applyNumberFormat="1" applyFont="1" applyFill="1" applyBorder="1" applyAlignment="1">
      <alignment horizontal="right"/>
    </xf>
    <xf numFmtId="3" fontId="2" fillId="2" borderId="4" xfId="0" applyNumberFormat="1" applyFont="1" applyFill="1" applyBorder="1" applyAlignment="1">
      <alignment horizontal="right"/>
    </xf>
    <xf numFmtId="3" fontId="2" fillId="2" borderId="6" xfId="0" applyNumberFormat="1" applyFont="1" applyFill="1" applyBorder="1" applyAlignment="1">
      <alignment horizontal="right"/>
    </xf>
    <xf numFmtId="3" fontId="2" fillId="2" borderId="1" xfId="0" applyNumberFormat="1" applyFont="1" applyFill="1" applyBorder="1" applyAlignment="1">
      <alignment horizontal="right"/>
    </xf>
    <xf numFmtId="0" fontId="2" fillId="0" borderId="7" xfId="0" applyNumberFormat="1" applyFont="1" applyBorder="1" applyAlignment="1">
      <alignment horizontal="center" vertical="center"/>
    </xf>
    <xf numFmtId="3" fontId="2" fillId="2" borderId="8" xfId="0" applyNumberFormat="1" applyFont="1" applyFill="1" applyBorder="1" applyAlignment="1">
      <alignment horizontal="right" vertical="center"/>
    </xf>
    <xf numFmtId="3" fontId="2" fillId="2" borderId="7" xfId="0" applyNumberFormat="1" applyFont="1" applyFill="1" applyBorder="1" applyAlignment="1">
      <alignment horizontal="right" vertical="center"/>
    </xf>
    <xf numFmtId="0" fontId="2" fillId="3" borderId="2" xfId="0" applyNumberFormat="1" applyFont="1" applyFill="1" applyBorder="1" applyAlignment="1">
      <alignment vertical="center"/>
    </xf>
    <xf numFmtId="3" fontId="2" fillId="3" borderId="3" xfId="0" applyNumberFormat="1" applyFont="1" applyFill="1" applyBorder="1" applyAlignment="1">
      <alignment horizontal="right" vertical="center"/>
    </xf>
    <xf numFmtId="3" fontId="2" fillId="3" borderId="2" xfId="0" applyNumberFormat="1" applyFont="1" applyFill="1" applyBorder="1" applyAlignment="1">
      <alignment horizontal="right" vertical="center"/>
    </xf>
    <xf numFmtId="0" fontId="2" fillId="3" borderId="4" xfId="0" applyNumberFormat="1" applyFont="1" applyFill="1" applyBorder="1" applyAlignment="1">
      <alignment vertical="center"/>
    </xf>
    <xf numFmtId="3" fontId="2" fillId="3" borderId="5" xfId="0" applyNumberFormat="1" applyFont="1" applyFill="1" applyBorder="1" applyAlignment="1">
      <alignment horizontal="right" vertical="center"/>
    </xf>
    <xf numFmtId="3" fontId="2" fillId="3" borderId="4" xfId="0" applyNumberFormat="1" applyFont="1" applyFill="1" applyBorder="1" applyAlignment="1">
      <alignment horizontal="right" vertical="center"/>
    </xf>
    <xf numFmtId="0" fontId="2" fillId="3" borderId="4" xfId="0" applyNumberFormat="1" applyFont="1" applyFill="1" applyBorder="1" applyAlignment="1">
      <alignment horizontal="center" vertical="center"/>
    </xf>
    <xf numFmtId="0" fontId="2" fillId="3" borderId="1" xfId="0" applyNumberFormat="1" applyFont="1" applyFill="1" applyBorder="1" applyAlignment="1">
      <alignment horizontal="center" vertical="center"/>
    </xf>
    <xf numFmtId="3" fontId="2" fillId="3" borderId="6" xfId="0" applyNumberFormat="1" applyFont="1" applyFill="1" applyBorder="1" applyAlignment="1">
      <alignment horizontal="right" vertical="center"/>
    </xf>
    <xf numFmtId="3" fontId="2" fillId="3" borderId="1" xfId="0" applyNumberFormat="1" applyFont="1" applyFill="1" applyBorder="1" applyAlignment="1">
      <alignment horizontal="right" vertical="center"/>
    </xf>
    <xf numFmtId="0" fontId="2" fillId="3" borderId="1" xfId="0" applyNumberFormat="1" applyFont="1" applyFill="1" applyBorder="1" applyAlignment="1">
      <alignment vertical="center"/>
    </xf>
    <xf numFmtId="0" fontId="3" fillId="3" borderId="7" xfId="0" applyNumberFormat="1" applyFont="1" applyFill="1" applyBorder="1" applyAlignment="1">
      <alignment horizontal="center" vertical="center"/>
    </xf>
    <xf numFmtId="3" fontId="3" fillId="3" borderId="7" xfId="0" applyNumberFormat="1" applyFont="1" applyFill="1" applyBorder="1" applyAlignment="1">
      <alignment horizontal="right" vertical="center"/>
    </xf>
    <xf numFmtId="0" fontId="2" fillId="0" borderId="7" xfId="0" applyNumberFormat="1" applyFont="1" applyBorder="1" applyAlignment="1"/>
    <xf numFmtId="0" fontId="2" fillId="0" borderId="9" xfId="0" applyNumberFormat="1" applyFont="1" applyBorder="1" applyAlignment="1"/>
    <xf numFmtId="0" fontId="2" fillId="0" borderId="0" xfId="0" applyNumberFormat="1" applyFont="1" applyAlignment="1"/>
    <xf numFmtId="3" fontId="2" fillId="3" borderId="5" xfId="0" applyNumberFormat="1" applyFont="1" applyFill="1" applyBorder="1" applyAlignment="1">
      <alignment horizontal="right"/>
    </xf>
    <xf numFmtId="3" fontId="2" fillId="3" borderId="4" xfId="0" applyNumberFormat="1" applyFont="1" applyFill="1" applyBorder="1" applyAlignment="1">
      <alignment horizontal="right"/>
    </xf>
    <xf numFmtId="0" fontId="2" fillId="0" borderId="10" xfId="0" applyNumberFormat="1" applyFont="1" applyBorder="1" applyAlignment="1"/>
    <xf numFmtId="3" fontId="2" fillId="3" borderId="3" xfId="0" applyNumberFormat="1" applyFont="1" applyFill="1" applyBorder="1" applyAlignment="1">
      <alignment horizontal="right"/>
    </xf>
    <xf numFmtId="3" fontId="2" fillId="3" borderId="2" xfId="0" applyNumberFormat="1" applyFont="1" applyFill="1" applyBorder="1" applyAlignment="1">
      <alignment horizontal="right"/>
    </xf>
    <xf numFmtId="0" fontId="2" fillId="0" borderId="0" xfId="0" applyNumberFormat="1" applyFont="1" applyAlignment="1">
      <alignment horizontal="centerContinuous"/>
    </xf>
    <xf numFmtId="0" fontId="4" fillId="0" borderId="0" xfId="0" applyNumberFormat="1" applyFont="1" applyAlignment="1"/>
    <xf numFmtId="3" fontId="2" fillId="0" borderId="1" xfId="0" applyNumberFormat="1" applyFont="1" applyBorder="1" applyAlignment="1">
      <alignment vertical="center"/>
    </xf>
    <xf numFmtId="0" fontId="4" fillId="0" borderId="11" xfId="0" applyNumberFormat="1" applyFont="1" applyBorder="1"/>
    <xf numFmtId="0" fontId="2" fillId="2" borderId="7" xfId="0" applyNumberFormat="1" applyFont="1" applyFill="1" applyBorder="1" applyAlignment="1">
      <alignment horizontal="right"/>
    </xf>
    <xf numFmtId="0" fontId="2" fillId="0" borderId="4" xfId="0" applyNumberFormat="1" applyFont="1" applyBorder="1" applyAlignment="1">
      <alignment horizontal="right"/>
    </xf>
    <xf numFmtId="0" fontId="2" fillId="0" borderId="1" xfId="0" applyNumberFormat="1" applyFont="1" applyBorder="1" applyAlignment="1">
      <alignment horizontal="right"/>
    </xf>
    <xf numFmtId="0" fontId="2" fillId="0" borderId="7" xfId="0" applyNumberFormat="1" applyFont="1" applyBorder="1" applyAlignment="1">
      <alignment horizontal="right" vertical="center"/>
    </xf>
    <xf numFmtId="0" fontId="2" fillId="2" borderId="2" xfId="0" applyNumberFormat="1" applyFont="1" applyFill="1" applyBorder="1" applyAlignment="1">
      <alignment horizontal="right"/>
    </xf>
    <xf numFmtId="0" fontId="2" fillId="3" borderId="7" xfId="0" applyNumberFormat="1" applyFont="1" applyFill="1" applyBorder="1" applyAlignment="1">
      <alignment vertical="center"/>
    </xf>
    <xf numFmtId="0" fontId="2" fillId="3" borderId="7" xfId="0" applyNumberFormat="1" applyFont="1" applyFill="1" applyBorder="1" applyAlignment="1">
      <alignment horizontal="right" vertical="center"/>
    </xf>
    <xf numFmtId="0" fontId="2" fillId="3" borderId="4" xfId="0" applyNumberFormat="1" applyFont="1" applyFill="1" applyBorder="1" applyAlignment="1">
      <alignment horizontal="right" vertical="center"/>
    </xf>
    <xf numFmtId="0" fontId="2" fillId="3" borderId="1" xfId="0" applyNumberFormat="1" applyFont="1" applyFill="1" applyBorder="1" applyAlignment="1">
      <alignment horizontal="right" vertical="center"/>
    </xf>
    <xf numFmtId="0" fontId="3" fillId="3" borderId="7" xfId="0" applyNumberFormat="1" applyFont="1" applyFill="1" applyBorder="1" applyAlignment="1">
      <alignment horizontal="right" vertical="center"/>
    </xf>
    <xf numFmtId="0" fontId="2" fillId="0" borderId="11" xfId="0" applyNumberFormat="1" applyFont="1" applyBorder="1" applyAlignment="1"/>
    <xf numFmtId="0" fontId="4" fillId="0" borderId="0" xfId="0" applyNumberFormat="1" applyFont="1"/>
    <xf numFmtId="0" fontId="2" fillId="3" borderId="2" xfId="0" applyNumberFormat="1" applyFont="1" applyFill="1" applyBorder="1" applyAlignment="1">
      <alignment horizontal="right" vertical="center"/>
    </xf>
    <xf numFmtId="3" fontId="2" fillId="3" borderId="12" xfId="0" applyNumberFormat="1" applyFont="1" applyFill="1" applyBorder="1" applyAlignment="1">
      <alignment horizontal="right"/>
    </xf>
    <xf numFmtId="3" fontId="2" fillId="3" borderId="13" xfId="0" applyNumberFormat="1" applyFont="1" applyFill="1" applyBorder="1" applyAlignment="1">
      <alignment horizontal="right"/>
    </xf>
    <xf numFmtId="3" fontId="2" fillId="3" borderId="14" xfId="0" applyNumberFormat="1" applyFont="1" applyFill="1" applyBorder="1" applyAlignment="1">
      <alignment horizontal="right"/>
    </xf>
    <xf numFmtId="3" fontId="2" fillId="3" borderId="15" xfId="0" applyNumberFormat="1" applyFont="1" applyFill="1" applyBorder="1" applyAlignment="1">
      <alignment horizontal="right" vertical="center"/>
    </xf>
    <xf numFmtId="3" fontId="2" fillId="3" borderId="15" xfId="0" applyNumberFormat="1" applyFont="1" applyFill="1" applyBorder="1" applyAlignment="1"/>
    <xf numFmtId="3" fontId="2" fillId="3" borderId="13" xfId="0" applyNumberFormat="1" applyFont="1" applyFill="1" applyBorder="1" applyAlignment="1"/>
    <xf numFmtId="3" fontId="2" fillId="3" borderId="12" xfId="0" applyNumberFormat="1" applyFont="1" applyFill="1" applyBorder="1" applyAlignment="1"/>
    <xf numFmtId="3" fontId="2" fillId="0" borderId="14" xfId="0" applyNumberFormat="1" applyFont="1" applyBorder="1" applyAlignment="1">
      <alignment vertical="center"/>
    </xf>
    <xf numFmtId="3" fontId="2" fillId="3" borderId="1" xfId="0" applyNumberFormat="1" applyFont="1" applyFill="1" applyBorder="1" applyAlignment="1">
      <alignment horizontal="right"/>
    </xf>
    <xf numFmtId="3" fontId="2" fillId="3" borderId="7" xfId="0" applyNumberFormat="1" applyFont="1" applyFill="1" applyBorder="1" applyAlignment="1">
      <alignment horizontal="right" vertical="center"/>
    </xf>
    <xf numFmtId="3" fontId="2" fillId="3" borderId="7" xfId="0" applyNumberFormat="1" applyFont="1" applyFill="1" applyBorder="1" applyAlignment="1"/>
    <xf numFmtId="3" fontId="2" fillId="3" borderId="4" xfId="0" applyNumberFormat="1" applyFont="1" applyFill="1" applyBorder="1" applyAlignment="1"/>
    <xf numFmtId="3" fontId="2" fillId="2" borderId="12" xfId="0" applyNumberFormat="1" applyFont="1" applyFill="1" applyBorder="1" applyAlignment="1">
      <alignment horizontal="right"/>
    </xf>
    <xf numFmtId="3" fontId="2" fillId="2" borderId="13" xfId="0" applyNumberFormat="1" applyFont="1" applyFill="1" applyBorder="1" applyAlignment="1">
      <alignment horizontal="right"/>
    </xf>
    <xf numFmtId="3" fontId="2" fillId="2" borderId="14" xfId="0" applyNumberFormat="1" applyFont="1" applyFill="1" applyBorder="1" applyAlignment="1">
      <alignment horizontal="right"/>
    </xf>
    <xf numFmtId="3" fontId="2" fillId="2" borderId="15" xfId="0" applyNumberFormat="1" applyFont="1" applyFill="1" applyBorder="1" applyAlignment="1">
      <alignment horizontal="right" vertical="center"/>
    </xf>
    <xf numFmtId="3" fontId="2" fillId="3" borderId="12" xfId="0" applyNumberFormat="1" applyFont="1" applyFill="1" applyBorder="1" applyAlignment="1">
      <alignment horizontal="right" vertical="center"/>
    </xf>
    <xf numFmtId="3" fontId="2" fillId="3" borderId="13" xfId="0" applyNumberFormat="1" applyFont="1" applyFill="1" applyBorder="1" applyAlignment="1">
      <alignment horizontal="right" vertical="center"/>
    </xf>
    <xf numFmtId="3" fontId="2" fillId="3" borderId="14" xfId="0" applyNumberFormat="1" applyFont="1" applyFill="1" applyBorder="1" applyAlignment="1">
      <alignment horizontal="right" vertical="center"/>
    </xf>
    <xf numFmtId="3" fontId="3" fillId="3" borderId="15" xfId="0" applyNumberFormat="1" applyFont="1" applyFill="1" applyBorder="1" applyAlignment="1">
      <alignment horizontal="right" vertical="center"/>
    </xf>
    <xf numFmtId="3" fontId="2" fillId="2" borderId="16" xfId="0" applyNumberFormat="1" applyFont="1" applyFill="1" applyBorder="1" applyAlignment="1">
      <alignment horizontal="right"/>
    </xf>
    <xf numFmtId="0" fontId="2" fillId="2" borderId="15" xfId="0" applyNumberFormat="1" applyFont="1" applyFill="1" applyBorder="1" applyAlignment="1">
      <alignment horizontal="right"/>
    </xf>
    <xf numFmtId="0" fontId="2" fillId="0" borderId="13" xfId="0" applyNumberFormat="1" applyFont="1" applyBorder="1" applyAlignment="1">
      <alignment horizontal="right"/>
    </xf>
    <xf numFmtId="0" fontId="2" fillId="0" borderId="14" xfId="0" applyNumberFormat="1" applyFont="1" applyBorder="1" applyAlignment="1">
      <alignment horizontal="right"/>
    </xf>
    <xf numFmtId="0" fontId="2" fillId="0" borderId="15" xfId="0" applyNumberFormat="1" applyFont="1" applyBorder="1" applyAlignment="1">
      <alignment horizontal="right" vertical="center"/>
    </xf>
    <xf numFmtId="0" fontId="2" fillId="2" borderId="12" xfId="0" applyNumberFormat="1" applyFont="1" applyFill="1" applyBorder="1" applyAlignment="1">
      <alignment horizontal="right"/>
    </xf>
    <xf numFmtId="0" fontId="2" fillId="3" borderId="15" xfId="0" applyNumberFormat="1" applyFont="1" applyFill="1" applyBorder="1" applyAlignment="1">
      <alignment horizontal="right" vertical="center"/>
    </xf>
    <xf numFmtId="0" fontId="2" fillId="3" borderId="13" xfId="0" applyNumberFormat="1" applyFont="1" applyFill="1" applyBorder="1" applyAlignment="1">
      <alignment horizontal="right" vertical="center"/>
    </xf>
    <xf numFmtId="0" fontId="2" fillId="3" borderId="14" xfId="0" applyNumberFormat="1" applyFont="1" applyFill="1" applyBorder="1" applyAlignment="1">
      <alignment horizontal="right" vertical="center"/>
    </xf>
    <xf numFmtId="0" fontId="3" fillId="3" borderId="15" xfId="0" applyNumberFormat="1" applyFont="1" applyFill="1" applyBorder="1" applyAlignment="1">
      <alignment horizontal="right" vertical="center"/>
    </xf>
    <xf numFmtId="0" fontId="2" fillId="0" borderId="15" xfId="0" applyNumberFormat="1" applyFont="1" applyBorder="1" applyAlignment="1"/>
    <xf numFmtId="0" fontId="2" fillId="0" borderId="13" xfId="0" applyNumberFormat="1" applyFont="1" applyBorder="1" applyAlignment="1"/>
    <xf numFmtId="0" fontId="2" fillId="0" borderId="12" xfId="0" applyNumberFormat="1" applyFont="1" applyBorder="1" applyAlignment="1"/>
    <xf numFmtId="0" fontId="2" fillId="0" borderId="16" xfId="0" applyNumberFormat="1" applyFont="1" applyBorder="1" applyAlignment="1"/>
    <xf numFmtId="0" fontId="2" fillId="0" borderId="14" xfId="0" applyNumberFormat="1" applyFont="1" applyBorder="1" applyAlignment="1"/>
    <xf numFmtId="0" fontId="2" fillId="3" borderId="12" xfId="0" applyNumberFormat="1" applyFont="1" applyFill="1" applyBorder="1" applyAlignment="1">
      <alignment horizontal="right" vertical="center"/>
    </xf>
    <xf numFmtId="3" fontId="2" fillId="0" borderId="17" xfId="0" applyNumberFormat="1" applyFont="1" applyBorder="1" applyAlignment="1">
      <alignment vertical="center"/>
    </xf>
    <xf numFmtId="3" fontId="2" fillId="0" borderId="0" xfId="0" applyNumberFormat="1" applyFont="1" applyBorder="1" applyAlignment="1">
      <alignment vertical="center"/>
    </xf>
    <xf numFmtId="0" fontId="2" fillId="0" borderId="0" xfId="0" applyNumberFormat="1" applyFont="1" applyBorder="1" applyAlignment="1">
      <alignment horizontal="center" vertical="center"/>
    </xf>
    <xf numFmtId="3" fontId="1" fillId="0" borderId="0" xfId="0" applyNumberFormat="1" applyFont="1" applyAlignment="1"/>
    <xf numFmtId="3" fontId="2" fillId="0" borderId="18" xfId="0" applyNumberFormat="1" applyFont="1" applyBorder="1" applyAlignment="1">
      <alignment vertical="center"/>
    </xf>
    <xf numFmtId="0" fontId="2" fillId="2" borderId="15" xfId="0" applyNumberFormat="1" applyFont="1" applyFill="1" applyBorder="1" applyAlignment="1"/>
    <xf numFmtId="0" fontId="2" fillId="2" borderId="13" xfId="0" applyNumberFormat="1" applyFont="1" applyFill="1" applyBorder="1" applyAlignment="1"/>
    <xf numFmtId="0" fontId="2" fillId="2" borderId="12" xfId="0" applyNumberFormat="1" applyFont="1" applyFill="1" applyBorder="1" applyAlignment="1"/>
    <xf numFmtId="3" fontId="2" fillId="3" borderId="18" xfId="0" applyNumberFormat="1" applyFont="1" applyFill="1" applyBorder="1" applyAlignment="1">
      <alignment vertical="center"/>
    </xf>
    <xf numFmtId="0" fontId="2" fillId="0" borderId="0" xfId="0" applyNumberFormat="1" applyFont="1" applyBorder="1" applyAlignment="1"/>
    <xf numFmtId="0" fontId="2" fillId="0" borderId="19" xfId="0" applyNumberFormat="1" applyFont="1" applyBorder="1" applyAlignment="1"/>
    <xf numFmtId="0" fontId="2" fillId="0" borderId="20" xfId="0" applyNumberFormat="1" applyFont="1" applyBorder="1" applyAlignment="1"/>
    <xf numFmtId="0" fontId="2" fillId="0" borderId="21" xfId="0" applyNumberFormat="1" applyFont="1" applyBorder="1" applyAlignment="1"/>
    <xf numFmtId="0" fontId="5" fillId="0" borderId="1" xfId="0" applyNumberFormat="1" applyFont="1" applyBorder="1" applyAlignment="1">
      <alignment horizontal="center"/>
    </xf>
    <xf numFmtId="0" fontId="5" fillId="0" borderId="4" xfId="0" applyNumberFormat="1" applyFont="1" applyBorder="1" applyAlignment="1">
      <alignment horizontal="center"/>
    </xf>
    <xf numFmtId="0" fontId="5" fillId="0" borderId="13" xfId="0" applyNumberFormat="1" applyFont="1" applyBorder="1" applyAlignment="1">
      <alignment horizontal="center"/>
    </xf>
    <xf numFmtId="0" fontId="5" fillId="0" borderId="0" xfId="0" applyNumberFormat="1" applyFont="1" applyAlignment="1"/>
    <xf numFmtId="0" fontId="5" fillId="0" borderId="11" xfId="0" applyNumberFormat="1" applyFont="1" applyBorder="1" applyAlignment="1">
      <alignment horizontal="center"/>
    </xf>
    <xf numFmtId="0" fontId="2" fillId="2" borderId="4" xfId="0" applyNumberFormat="1" applyFont="1" applyFill="1" applyBorder="1" applyAlignment="1">
      <alignment horizontal="right"/>
    </xf>
    <xf numFmtId="0" fontId="2" fillId="2" borderId="13" xfId="0" applyNumberFormat="1" applyFont="1" applyFill="1" applyBorder="1" applyAlignment="1">
      <alignment horizontal="right"/>
    </xf>
    <xf numFmtId="0" fontId="4" fillId="0" borderId="22" xfId="0" applyNumberFormat="1" applyFont="1" applyBorder="1" applyAlignment="1"/>
    <xf numFmtId="0" fontId="5" fillId="0" borderId="22" xfId="0" applyNumberFormat="1" applyFont="1" applyBorder="1" applyAlignment="1">
      <alignment horizontal="center"/>
    </xf>
    <xf numFmtId="0" fontId="6" fillId="0" borderId="0" xfId="0" applyNumberFormat="1" applyFont="1" applyAlignment="1"/>
    <xf numFmtId="0" fontId="6" fillId="0" borderId="22" xfId="0" applyFont="1" applyBorder="1" applyAlignment="1">
      <alignment horizontal="center" wrapText="1"/>
    </xf>
    <xf numFmtId="0" fontId="5" fillId="0" borderId="22" xfId="0" applyNumberFormat="1" applyFont="1" applyBorder="1" applyAlignment="1">
      <alignment horizontal="centerContinuous"/>
    </xf>
    <xf numFmtId="0" fontId="5" fillId="0" borderId="22" xfId="0" applyNumberFormat="1" applyFont="1" applyBorder="1" applyAlignment="1"/>
    <xf numFmtId="0" fontId="4" fillId="0" borderId="0" xfId="0" applyNumberFormat="1" applyFont="1" applyBorder="1"/>
    <xf numFmtId="0" fontId="2" fillId="0" borderId="23" xfId="0" applyNumberFormat="1" applyFont="1" applyBorder="1" applyAlignment="1"/>
    <xf numFmtId="0" fontId="2" fillId="0" borderId="24" xfId="0" applyNumberFormat="1" applyFont="1" applyBorder="1" applyAlignment="1"/>
    <xf numFmtId="0" fontId="2" fillId="0" borderId="25" xfId="0" applyNumberFormat="1" applyFont="1" applyBorder="1" applyAlignment="1"/>
    <xf numFmtId="0" fontId="2" fillId="0" borderId="26" xfId="0" applyNumberFormat="1" applyFont="1" applyBorder="1" applyAlignment="1"/>
    <xf numFmtId="0" fontId="2" fillId="0" borderId="27" xfId="0" applyNumberFormat="1" applyFont="1" applyBorder="1" applyAlignment="1"/>
    <xf numFmtId="0" fontId="2" fillId="0" borderId="28" xfId="0" applyNumberFormat="1" applyFont="1" applyBorder="1" applyAlignment="1"/>
    <xf numFmtId="0" fontId="2" fillId="0" borderId="29" xfId="0" applyNumberFormat="1" applyFont="1" applyBorder="1" applyAlignment="1"/>
    <xf numFmtId="0" fontId="2" fillId="0" borderId="30" xfId="0" applyNumberFormat="1" applyFont="1" applyBorder="1" applyAlignment="1"/>
    <xf numFmtId="0" fontId="2" fillId="0" borderId="31" xfId="0" applyNumberFormat="1" applyFont="1" applyBorder="1" applyAlignment="1"/>
    <xf numFmtId="0" fontId="2" fillId="0" borderId="32" xfId="0" applyNumberFormat="1" applyFont="1" applyBorder="1" applyAlignment="1"/>
    <xf numFmtId="3" fontId="2" fillId="0" borderId="4" xfId="0" applyNumberFormat="1" applyFont="1" applyBorder="1" applyAlignment="1">
      <alignment vertical="center"/>
    </xf>
    <xf numFmtId="3" fontId="2" fillId="0" borderId="13" xfId="0" applyNumberFormat="1" applyFont="1" applyBorder="1" applyAlignment="1">
      <alignment vertical="center"/>
    </xf>
    <xf numFmtId="0" fontId="5" fillId="0" borderId="22" xfId="0" applyNumberFormat="1" applyFont="1" applyBorder="1" applyAlignment="1">
      <alignment horizontal="center" vertical="center"/>
    </xf>
    <xf numFmtId="3" fontId="2" fillId="3" borderId="14" xfId="0" applyNumberFormat="1" applyFont="1" applyFill="1" applyBorder="1" applyAlignment="1">
      <alignment vertical="center"/>
    </xf>
    <xf numFmtId="3" fontId="2" fillId="3" borderId="17" xfId="0" applyNumberFormat="1" applyFont="1" applyFill="1" applyBorder="1" applyAlignment="1">
      <alignment vertical="center"/>
    </xf>
    <xf numFmtId="3" fontId="2" fillId="0" borderId="17" xfId="0" applyNumberFormat="1" applyFont="1" applyFill="1" applyBorder="1" applyAlignment="1">
      <alignment vertical="center"/>
    </xf>
    <xf numFmtId="3" fontId="2" fillId="0" borderId="14" xfId="0" applyNumberFormat="1" applyFont="1" applyFill="1" applyBorder="1" applyAlignment="1">
      <alignment vertical="center"/>
    </xf>
    <xf numFmtId="0" fontId="2" fillId="0" borderId="22" xfId="0" applyNumberFormat="1" applyFont="1" applyBorder="1" applyAlignment="1">
      <alignment horizontal="centerContinuous"/>
    </xf>
    <xf numFmtId="0" fontId="5" fillId="0" borderId="33" xfId="0" applyNumberFormat="1" applyFont="1" applyBorder="1" applyAlignment="1">
      <alignment horizontal="center"/>
    </xf>
    <xf numFmtId="0" fontId="3" fillId="0" borderId="0" xfId="0" applyNumberFormat="1" applyFont="1" applyAlignment="1"/>
    <xf numFmtId="0" fontId="3" fillId="0" borderId="22" xfId="0" applyNumberFormat="1" applyFont="1" applyBorder="1" applyAlignment="1">
      <alignment horizontal="center"/>
    </xf>
    <xf numFmtId="0" fontId="3" fillId="0" borderId="33" xfId="0" applyNumberFormat="1" applyFont="1" applyBorder="1" applyAlignment="1">
      <alignment horizontal="center"/>
    </xf>
    <xf numFmtId="0" fontId="5" fillId="0" borderId="34" xfId="0" applyNumberFormat="1" applyFont="1" applyBorder="1" applyAlignment="1">
      <alignment horizontal="center"/>
    </xf>
    <xf numFmtId="0" fontId="1" fillId="0" borderId="0" xfId="0" applyNumberFormat="1" applyFont="1" applyBorder="1" applyAlignment="1"/>
    <xf numFmtId="0" fontId="2" fillId="0" borderId="35" xfId="0" applyNumberFormat="1" applyFont="1" applyBorder="1" applyAlignment="1">
      <alignment horizontal="center"/>
    </xf>
    <xf numFmtId="0" fontId="2" fillId="0" borderId="36" xfId="0" applyNumberFormat="1" applyFont="1" applyBorder="1" applyAlignment="1">
      <alignment horizontal="center"/>
    </xf>
    <xf numFmtId="0" fontId="5" fillId="0" borderId="37" xfId="0" applyNumberFormat="1" applyFont="1" applyBorder="1" applyAlignment="1">
      <alignment horizontal="center"/>
    </xf>
    <xf numFmtId="0" fontId="5" fillId="0" borderId="38" xfId="0" applyNumberFormat="1" applyFont="1" applyBorder="1" applyAlignment="1">
      <alignment horizontal="center"/>
    </xf>
    <xf numFmtId="0" fontId="4" fillId="0" borderId="0" xfId="0" applyNumberFormat="1" applyFont="1" applyBorder="1" applyAlignment="1"/>
    <xf numFmtId="0" fontId="5" fillId="0" borderId="33" xfId="0" applyFont="1" applyBorder="1" applyAlignment="1"/>
    <xf numFmtId="0" fontId="5" fillId="0" borderId="33" xfId="0" applyFont="1" applyBorder="1" applyAlignment="1">
      <alignment horizontal="center"/>
    </xf>
    <xf numFmtId="0" fontId="5" fillId="0" borderId="34" xfId="0" applyFont="1" applyBorder="1" applyAlignment="1">
      <alignment horizontal="center" wrapText="1"/>
    </xf>
    <xf numFmtId="0" fontId="10" fillId="0" borderId="0" xfId="0" applyNumberFormat="1" applyFont="1" applyAlignment="1"/>
    <xf numFmtId="0" fontId="11" fillId="0" borderId="0" xfId="0" applyNumberFormat="1" applyFont="1" applyAlignment="1"/>
    <xf numFmtId="0" fontId="10" fillId="0" borderId="0" xfId="0" applyNumberFormat="1" applyFont="1" applyBorder="1" applyAlignment="1"/>
    <xf numFmtId="0" fontId="2" fillId="2" borderId="40" xfId="0" applyNumberFormat="1" applyFont="1" applyFill="1" applyBorder="1" applyAlignment="1">
      <alignment horizontal="right"/>
    </xf>
    <xf numFmtId="0" fontId="2" fillId="0" borderId="27" xfId="0" applyNumberFormat="1" applyFont="1" applyBorder="1" applyAlignment="1">
      <alignment horizontal="center"/>
    </xf>
    <xf numFmtId="0" fontId="2" fillId="0" borderId="40" xfId="0" applyNumberFormat="1" applyFont="1" applyBorder="1" applyAlignment="1">
      <alignment horizontal="right"/>
    </xf>
    <xf numFmtId="0" fontId="2" fillId="0" borderId="39" xfId="0" applyNumberFormat="1" applyFont="1" applyBorder="1" applyAlignment="1">
      <alignment horizontal="right"/>
    </xf>
    <xf numFmtId="0" fontId="2" fillId="0" borderId="41" xfId="0" applyNumberFormat="1" applyFont="1" applyBorder="1" applyAlignment="1">
      <alignment horizontal="right" vertical="center"/>
    </xf>
    <xf numFmtId="0" fontId="2" fillId="2" borderId="42" xfId="0" applyNumberFormat="1" applyFont="1" applyFill="1" applyBorder="1" applyAlignment="1">
      <alignment horizontal="right"/>
    </xf>
    <xf numFmtId="0" fontId="2" fillId="3" borderId="43" xfId="0" applyNumberFormat="1" applyFont="1" applyFill="1" applyBorder="1" applyAlignment="1">
      <alignment vertical="center"/>
    </xf>
    <xf numFmtId="0" fontId="2" fillId="3" borderId="41" xfId="0" applyNumberFormat="1" applyFont="1" applyFill="1" applyBorder="1" applyAlignment="1">
      <alignment horizontal="right" vertical="center"/>
    </xf>
    <xf numFmtId="0" fontId="2" fillId="3" borderId="27" xfId="0" applyNumberFormat="1" applyFont="1" applyFill="1" applyBorder="1" applyAlignment="1">
      <alignment vertical="center"/>
    </xf>
    <xf numFmtId="0" fontId="2" fillId="3" borderId="40" xfId="0" applyNumberFormat="1" applyFont="1" applyFill="1" applyBorder="1" applyAlignment="1">
      <alignment horizontal="right" vertical="center"/>
    </xf>
    <xf numFmtId="0" fontId="2" fillId="3" borderId="27" xfId="0" applyNumberFormat="1" applyFont="1" applyFill="1" applyBorder="1" applyAlignment="1">
      <alignment horizontal="center" vertical="center"/>
    </xf>
    <xf numFmtId="0" fontId="2" fillId="3" borderId="39" xfId="0" applyNumberFormat="1" applyFont="1" applyFill="1" applyBorder="1" applyAlignment="1">
      <alignment horizontal="right" vertical="center"/>
    </xf>
    <xf numFmtId="0" fontId="3" fillId="3" borderId="41" xfId="0" applyNumberFormat="1" applyFont="1" applyFill="1" applyBorder="1" applyAlignment="1">
      <alignment horizontal="right" vertical="center"/>
    </xf>
    <xf numFmtId="0" fontId="2" fillId="0" borderId="43" xfId="0" applyNumberFormat="1" applyFont="1" applyBorder="1" applyAlignment="1"/>
    <xf numFmtId="0" fontId="2" fillId="0" borderId="41" xfId="0" applyNumberFormat="1" applyFont="1" applyBorder="1" applyAlignment="1"/>
    <xf numFmtId="0" fontId="2" fillId="0" borderId="40" xfId="0" applyNumberFormat="1" applyFont="1" applyBorder="1" applyAlignment="1"/>
    <xf numFmtId="0" fontId="2" fillId="0" borderId="42" xfId="0" applyNumberFormat="1" applyFont="1" applyBorder="1" applyAlignment="1"/>
    <xf numFmtId="0" fontId="2" fillId="0" borderId="44" xfId="0" applyNumberFormat="1" applyFont="1" applyBorder="1" applyAlignment="1"/>
    <xf numFmtId="0" fontId="2" fillId="0" borderId="45" xfId="0" applyNumberFormat="1" applyFont="1" applyBorder="1" applyAlignment="1"/>
    <xf numFmtId="3" fontId="2" fillId="3" borderId="2" xfId="0" applyNumberFormat="1" applyFont="1" applyFill="1" applyBorder="1" applyAlignment="1"/>
    <xf numFmtId="3" fontId="2" fillId="3" borderId="31" xfId="0" applyNumberFormat="1" applyFont="1" applyFill="1" applyBorder="1" applyAlignment="1"/>
    <xf numFmtId="3" fontId="2" fillId="3" borderId="32" xfId="0" applyNumberFormat="1" applyFont="1" applyFill="1" applyBorder="1" applyAlignment="1"/>
    <xf numFmtId="0" fontId="2" fillId="2" borderId="32" xfId="0" applyNumberFormat="1" applyFont="1" applyFill="1" applyBorder="1" applyAlignment="1"/>
    <xf numFmtId="0" fontId="5" fillId="0" borderId="46" xfId="0" applyNumberFormat="1" applyFont="1" applyBorder="1" applyAlignment="1">
      <alignment horizontal="center"/>
    </xf>
    <xf numFmtId="0" fontId="3" fillId="3" borderId="4" xfId="0" applyNumberFormat="1" applyFont="1" applyFill="1" applyBorder="1" applyAlignment="1">
      <alignment horizontal="center" vertical="center"/>
    </xf>
    <xf numFmtId="3" fontId="3" fillId="3" borderId="5" xfId="0" applyNumberFormat="1" applyFont="1" applyFill="1" applyBorder="1" applyAlignment="1">
      <alignment horizontal="right" vertical="center"/>
    </xf>
    <xf numFmtId="3" fontId="3" fillId="3" borderId="4" xfId="0" applyNumberFormat="1" applyFont="1" applyFill="1" applyBorder="1" applyAlignment="1">
      <alignment horizontal="right" vertical="center"/>
    </xf>
    <xf numFmtId="3" fontId="3" fillId="3" borderId="13" xfId="0" applyNumberFormat="1" applyFont="1" applyFill="1" applyBorder="1" applyAlignment="1">
      <alignment horizontal="right" vertical="center"/>
    </xf>
    <xf numFmtId="0" fontId="2" fillId="3" borderId="47" xfId="0" applyNumberFormat="1" applyFont="1" applyFill="1" applyBorder="1" applyAlignment="1">
      <alignment horizontal="center" vertical="center"/>
    </xf>
    <xf numFmtId="0" fontId="3" fillId="3" borderId="48" xfId="0" applyNumberFormat="1" applyFont="1" applyFill="1" applyBorder="1" applyAlignment="1">
      <alignment horizontal="center" vertical="center"/>
    </xf>
    <xf numFmtId="3" fontId="3" fillId="3" borderId="49" xfId="0" applyNumberFormat="1" applyFont="1" applyFill="1" applyBorder="1" applyAlignment="1">
      <alignment horizontal="right" vertical="center"/>
    </xf>
    <xf numFmtId="3" fontId="3" fillId="3" borderId="48" xfId="0" applyNumberFormat="1" applyFont="1" applyFill="1" applyBorder="1" applyAlignment="1">
      <alignment horizontal="right" vertical="center"/>
    </xf>
    <xf numFmtId="3" fontId="3" fillId="3" borderId="50" xfId="0" applyNumberFormat="1" applyFont="1" applyFill="1" applyBorder="1" applyAlignment="1">
      <alignment horizontal="right" vertical="center"/>
    </xf>
    <xf numFmtId="0" fontId="2" fillId="0" borderId="51" xfId="0" applyNumberFormat="1" applyFont="1" applyBorder="1" applyAlignment="1"/>
    <xf numFmtId="3" fontId="2" fillId="3" borderId="52" xfId="0" applyNumberFormat="1" applyFont="1" applyFill="1" applyBorder="1" applyAlignment="1">
      <alignment horizontal="right"/>
    </xf>
    <xf numFmtId="3" fontId="2" fillId="3" borderId="53" xfId="0" applyNumberFormat="1" applyFont="1" applyFill="1" applyBorder="1" applyAlignment="1">
      <alignment horizontal="right"/>
    </xf>
    <xf numFmtId="3" fontId="2" fillId="2" borderId="53" xfId="0" applyNumberFormat="1" applyFont="1" applyFill="1" applyBorder="1" applyAlignment="1">
      <alignment horizontal="right"/>
    </xf>
    <xf numFmtId="3" fontId="2" fillId="2" borderId="54" xfId="0" applyNumberFormat="1" applyFont="1" applyFill="1" applyBorder="1" applyAlignment="1">
      <alignment horizontal="right"/>
    </xf>
    <xf numFmtId="3" fontId="4" fillId="0" borderId="0" xfId="0" applyNumberFormat="1" applyFont="1" applyAlignment="1"/>
    <xf numFmtId="3" fontId="2" fillId="0" borderId="13" xfId="0" applyNumberFormat="1" applyFont="1" applyFill="1" applyBorder="1" applyAlignment="1">
      <alignment vertical="center"/>
    </xf>
    <xf numFmtId="0" fontId="14" fillId="0" borderId="0" xfId="0" applyNumberFormat="1" applyFont="1" applyAlignment="1">
      <alignment horizontal="center" vertical="center" wrapText="1"/>
    </xf>
    <xf numFmtId="0" fontId="12" fillId="0" borderId="0" xfId="0" applyFont="1" applyBorder="1" applyAlignment="1">
      <alignment horizontal="center" vertical="center" wrapText="1"/>
    </xf>
    <xf numFmtId="0" fontId="12" fillId="0" borderId="0" xfId="0" applyNumberFormat="1" applyFont="1" applyAlignment="1"/>
    <xf numFmtId="0" fontId="12" fillId="0" borderId="0" xfId="0" applyFont="1" applyBorder="1" applyAlignment="1">
      <alignment horizontal="center" vertical="center"/>
    </xf>
    <xf numFmtId="0" fontId="15" fillId="0" borderId="0" xfId="0" applyNumberFormat="1" applyFont="1" applyAlignment="1"/>
    <xf numFmtId="0" fontId="14" fillId="0" borderId="0" xfId="0" applyFont="1" applyBorder="1" applyAlignment="1">
      <alignment horizontal="center" vertical="center" wrapText="1"/>
    </xf>
    <xf numFmtId="0" fontId="17" fillId="0" borderId="0" xfId="0" applyNumberFormat="1" applyFont="1" applyFill="1" applyBorder="1" applyAlignment="1"/>
    <xf numFmtId="0" fontId="14" fillId="0" borderId="0" xfId="0" applyNumberFormat="1" applyFont="1" applyAlignment="1"/>
    <xf numFmtId="0" fontId="13" fillId="0" borderId="0" xfId="0" applyNumberFormat="1" applyFont="1" applyAlignment="1"/>
    <xf numFmtId="0" fontId="2" fillId="4" borderId="13" xfId="0" applyNumberFormat="1" applyFont="1" applyFill="1" applyBorder="1" applyAlignment="1"/>
    <xf numFmtId="0" fontId="2" fillId="4" borderId="14" xfId="0" applyNumberFormat="1" applyFont="1" applyFill="1" applyBorder="1" applyAlignment="1">
      <alignment horizontal="right"/>
    </xf>
    <xf numFmtId="0" fontId="2" fillId="4" borderId="14" xfId="0" applyNumberFormat="1" applyFont="1" applyFill="1" applyBorder="1" applyAlignment="1"/>
    <xf numFmtId="0" fontId="2" fillId="4" borderId="15" xfId="0" applyNumberFormat="1" applyFont="1" applyFill="1" applyBorder="1" applyAlignment="1">
      <alignment horizontal="right" vertical="center"/>
    </xf>
    <xf numFmtId="0" fontId="2" fillId="4" borderId="12" xfId="0" applyNumberFormat="1" applyFont="1" applyFill="1" applyBorder="1" applyAlignment="1"/>
    <xf numFmtId="0" fontId="2" fillId="4" borderId="13" xfId="0" applyNumberFormat="1" applyFont="1" applyFill="1" applyBorder="1" applyAlignment="1">
      <alignment horizontal="right"/>
    </xf>
    <xf numFmtId="0" fontId="2" fillId="4" borderId="12" xfId="0" applyNumberFormat="1" applyFont="1" applyFill="1" applyBorder="1" applyAlignment="1">
      <alignment horizontal="right"/>
    </xf>
    <xf numFmtId="0" fontId="0" fillId="0" borderId="13" xfId="0" applyBorder="1" applyAlignment="1">
      <alignment horizontal="center" vertical="top" wrapText="1"/>
    </xf>
    <xf numFmtId="0" fontId="0" fillId="0" borderId="13" xfId="0" applyBorder="1" applyAlignment="1">
      <alignment horizontal="center" vertical="top"/>
    </xf>
    <xf numFmtId="0" fontId="0" fillId="0" borderId="16" xfId="0" applyBorder="1" applyAlignment="1">
      <alignment horizontal="center" vertical="top"/>
    </xf>
    <xf numFmtId="0" fontId="3" fillId="0" borderId="15" xfId="0" applyNumberFormat="1" applyFont="1" applyBorder="1" applyAlignment="1"/>
    <xf numFmtId="0" fontId="3" fillId="0" borderId="13" xfId="0" applyNumberFormat="1" applyFont="1" applyBorder="1" applyAlignment="1"/>
    <xf numFmtId="0" fontId="3" fillId="0" borderId="12" xfId="0" applyNumberFormat="1" applyFont="1" applyBorder="1" applyAlignment="1"/>
    <xf numFmtId="0" fontId="3" fillId="0" borderId="16" xfId="0" applyNumberFormat="1" applyFont="1" applyBorder="1" applyAlignment="1"/>
    <xf numFmtId="0" fontId="2" fillId="0" borderId="4" xfId="0" applyNumberFormat="1" applyFont="1" applyBorder="1" applyAlignment="1">
      <alignment horizontal="left" vertical="center"/>
    </xf>
    <xf numFmtId="0" fontId="2" fillId="0" borderId="1" xfId="0" applyNumberFormat="1" applyFont="1" applyBorder="1" applyAlignment="1">
      <alignment horizontal="left" vertical="center"/>
    </xf>
    <xf numFmtId="0" fontId="2" fillId="0" borderId="17" xfId="0" applyNumberFormat="1" applyFont="1" applyBorder="1" applyAlignment="1">
      <alignment horizontal="left" vertical="center"/>
    </xf>
    <xf numFmtId="3" fontId="2" fillId="3" borderId="0" xfId="0" applyNumberFormat="1" applyFont="1" applyFill="1" applyBorder="1" applyAlignment="1">
      <alignment horizontal="right"/>
    </xf>
    <xf numFmtId="0" fontId="2" fillId="0" borderId="56" xfId="0" applyNumberFormat="1" applyFont="1" applyBorder="1" applyAlignment="1"/>
    <xf numFmtId="3" fontId="3" fillId="0" borderId="22" xfId="0" applyNumberFormat="1" applyFont="1" applyBorder="1" applyAlignment="1">
      <alignment vertical="center"/>
    </xf>
    <xf numFmtId="3" fontId="3" fillId="3" borderId="22" xfId="0" applyNumberFormat="1" applyFont="1" applyFill="1" applyBorder="1" applyAlignment="1">
      <alignment vertical="center"/>
    </xf>
    <xf numFmtId="0" fontId="3" fillId="0" borderId="57" xfId="0" applyFont="1" applyBorder="1"/>
    <xf numFmtId="3" fontId="3" fillId="4" borderId="22" xfId="0" applyNumberFormat="1" applyFont="1" applyFill="1" applyBorder="1" applyAlignment="1">
      <alignment vertical="center"/>
    </xf>
    <xf numFmtId="0" fontId="3" fillId="4" borderId="0" xfId="0" applyNumberFormat="1" applyFont="1" applyFill="1" applyBorder="1" applyAlignment="1">
      <alignment horizontal="center" vertical="center"/>
    </xf>
    <xf numFmtId="3" fontId="2" fillId="4" borderId="0" xfId="0" applyNumberFormat="1" applyFont="1" applyFill="1" applyBorder="1" applyAlignment="1">
      <alignment vertical="center"/>
    </xf>
    <xf numFmtId="0" fontId="20" fillId="0" borderId="0" xfId="0" applyNumberFormat="1" applyFont="1" applyAlignment="1"/>
    <xf numFmtId="0" fontId="3" fillId="0" borderId="26" xfId="0" applyNumberFormat="1" applyFont="1" applyBorder="1" applyAlignment="1"/>
    <xf numFmtId="0" fontId="3" fillId="0" borderId="32" xfId="0" applyNumberFormat="1" applyFont="1" applyBorder="1" applyAlignment="1"/>
    <xf numFmtId="0" fontId="3" fillId="0" borderId="46" xfId="0" applyNumberFormat="1" applyFont="1" applyBorder="1" applyAlignment="1">
      <alignment horizontal="center"/>
    </xf>
    <xf numFmtId="0" fontId="12" fillId="0" borderId="0" xfId="1" applyNumberFormat="1" applyFont="1" applyAlignment="1"/>
    <xf numFmtId="0" fontId="15" fillId="0" borderId="0" xfId="1" applyNumberFormat="1" applyFont="1" applyAlignment="1"/>
    <xf numFmtId="0" fontId="18" fillId="0" borderId="0" xfId="1" applyNumberFormat="1" applyFont="1" applyAlignment="1"/>
    <xf numFmtId="0" fontId="3" fillId="0" borderId="0" xfId="1" applyNumberFormat="1" applyFont="1" applyAlignment="1"/>
    <xf numFmtId="0" fontId="3" fillId="0" borderId="22" xfId="1" applyNumberFormat="1" applyFont="1" applyBorder="1" applyAlignment="1">
      <alignment horizontal="center"/>
    </xf>
    <xf numFmtId="0" fontId="2" fillId="0" borderId="4" xfId="1" applyNumberFormat="1" applyFont="1" applyBorder="1" applyAlignment="1"/>
    <xf numFmtId="0" fontId="2" fillId="2" borderId="4" xfId="1" applyNumberFormat="1" applyFont="1" applyFill="1" applyBorder="1" applyAlignment="1">
      <alignment horizontal="right"/>
    </xf>
    <xf numFmtId="0" fontId="2" fillId="2" borderId="13" xfId="1" applyNumberFormat="1" applyFont="1" applyFill="1" applyBorder="1" applyAlignment="1">
      <alignment horizontal="right"/>
    </xf>
    <xf numFmtId="0" fontId="2" fillId="4" borderId="13" xfId="1" applyNumberFormat="1" applyFont="1" applyFill="1" applyBorder="1" applyAlignment="1">
      <alignment horizontal="right"/>
    </xf>
    <xf numFmtId="0" fontId="2" fillId="0" borderId="0" xfId="1" applyNumberFormat="1" applyFont="1" applyAlignment="1"/>
    <xf numFmtId="0" fontId="2" fillId="0" borderId="4" xfId="1" applyNumberFormat="1" applyFont="1" applyBorder="1" applyAlignment="1">
      <alignment horizontal="center"/>
    </xf>
    <xf numFmtId="0" fontId="2" fillId="0" borderId="4" xfId="1" applyNumberFormat="1" applyFont="1" applyBorder="1" applyAlignment="1">
      <alignment horizontal="right"/>
    </xf>
    <xf numFmtId="0" fontId="2" fillId="0" borderId="13" xfId="1" applyNumberFormat="1" applyFont="1" applyBorder="1" applyAlignment="1">
      <alignment horizontal="right"/>
    </xf>
    <xf numFmtId="0" fontId="2" fillId="0" borderId="1" xfId="1" applyNumberFormat="1" applyFont="1" applyBorder="1" applyAlignment="1">
      <alignment horizontal="center"/>
    </xf>
    <xf numFmtId="0" fontId="2" fillId="0" borderId="1" xfId="1" applyNumberFormat="1" applyFont="1" applyBorder="1" applyAlignment="1">
      <alignment horizontal="right"/>
    </xf>
    <xf numFmtId="0" fontId="2" fillId="0" borderId="14" xfId="1" applyNumberFormat="1" applyFont="1" applyBorder="1" applyAlignment="1">
      <alignment horizontal="right"/>
    </xf>
    <xf numFmtId="0" fontId="2" fillId="4" borderId="14" xfId="1" applyNumberFormat="1" applyFont="1" applyFill="1" applyBorder="1" applyAlignment="1">
      <alignment horizontal="right"/>
    </xf>
    <xf numFmtId="0" fontId="2" fillId="0" borderId="1" xfId="1" applyNumberFormat="1" applyFont="1" applyBorder="1" applyAlignment="1"/>
    <xf numFmtId="0" fontId="2" fillId="0" borderId="7" xfId="1" applyNumberFormat="1" applyFont="1" applyBorder="1" applyAlignment="1">
      <alignment horizontal="center" vertical="center"/>
    </xf>
    <xf numFmtId="0" fontId="2" fillId="0" borderId="7" xfId="1" applyNumberFormat="1" applyFont="1" applyBorder="1" applyAlignment="1">
      <alignment horizontal="right" vertical="center"/>
    </xf>
    <xf numFmtId="0" fontId="2" fillId="0" borderId="15" xfId="1" applyNumberFormat="1" applyFont="1" applyBorder="1" applyAlignment="1">
      <alignment horizontal="right" vertical="center"/>
    </xf>
    <xf numFmtId="0" fontId="2" fillId="4" borderId="15" xfId="1" applyNumberFormat="1" applyFont="1" applyFill="1" applyBorder="1" applyAlignment="1">
      <alignment horizontal="right" vertical="center"/>
    </xf>
    <xf numFmtId="0" fontId="2" fillId="0" borderId="2" xfId="1" applyNumberFormat="1" applyFont="1" applyBorder="1" applyAlignment="1"/>
    <xf numFmtId="0" fontId="2" fillId="2" borderId="2" xfId="1" applyNumberFormat="1" applyFont="1" applyFill="1" applyBorder="1" applyAlignment="1">
      <alignment horizontal="right"/>
    </xf>
    <xf numFmtId="0" fontId="2" fillId="2" borderId="12" xfId="1" applyNumberFormat="1" applyFont="1" applyFill="1" applyBorder="1" applyAlignment="1">
      <alignment horizontal="right"/>
    </xf>
    <xf numFmtId="0" fontId="2" fillId="4" borderId="12" xfId="1" applyNumberFormat="1" applyFont="1" applyFill="1" applyBorder="1" applyAlignment="1">
      <alignment horizontal="right"/>
    </xf>
    <xf numFmtId="0" fontId="2" fillId="3" borderId="7" xfId="1" applyNumberFormat="1" applyFont="1" applyFill="1" applyBorder="1" applyAlignment="1">
      <alignment vertical="center"/>
    </xf>
    <xf numFmtId="0" fontId="2" fillId="3" borderId="7" xfId="1" applyNumberFormat="1" applyFont="1" applyFill="1" applyBorder="1" applyAlignment="1">
      <alignment horizontal="right" vertical="center"/>
    </xf>
    <xf numFmtId="0" fontId="2" fillId="3" borderId="15" xfId="1" applyNumberFormat="1" applyFont="1" applyFill="1" applyBorder="1" applyAlignment="1">
      <alignment horizontal="right" vertical="center"/>
    </xf>
    <xf numFmtId="0" fontId="2" fillId="3" borderId="4" xfId="1" applyNumberFormat="1" applyFont="1" applyFill="1" applyBorder="1" applyAlignment="1">
      <alignment vertical="center"/>
    </xf>
    <xf numFmtId="0" fontId="2" fillId="3" borderId="4" xfId="1" applyNumberFormat="1" applyFont="1" applyFill="1" applyBorder="1" applyAlignment="1">
      <alignment horizontal="right" vertical="center"/>
    </xf>
    <xf numFmtId="0" fontId="2" fillId="3" borderId="13" xfId="1" applyNumberFormat="1" applyFont="1" applyFill="1" applyBorder="1" applyAlignment="1">
      <alignment horizontal="right" vertical="center"/>
    </xf>
    <xf numFmtId="0" fontId="2" fillId="3" borderId="4" xfId="1"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0" fontId="2" fillId="3" borderId="1" xfId="1" applyNumberFormat="1" applyFont="1" applyFill="1" applyBorder="1" applyAlignment="1">
      <alignment horizontal="right" vertical="center"/>
    </xf>
    <xf numFmtId="0" fontId="2" fillId="3" borderId="14" xfId="1" applyNumberFormat="1" applyFont="1" applyFill="1" applyBorder="1" applyAlignment="1">
      <alignment horizontal="right" vertical="center"/>
    </xf>
    <xf numFmtId="0" fontId="2" fillId="3" borderId="1" xfId="1" applyNumberFormat="1" applyFont="1" applyFill="1" applyBorder="1" applyAlignment="1">
      <alignment vertical="center"/>
    </xf>
    <xf numFmtId="0" fontId="3" fillId="3" borderId="7" xfId="1" applyNumberFormat="1" applyFont="1" applyFill="1" applyBorder="1" applyAlignment="1">
      <alignment horizontal="center" vertical="center"/>
    </xf>
    <xf numFmtId="0" fontId="3" fillId="3" borderId="7" xfId="1" applyNumberFormat="1" applyFont="1" applyFill="1" applyBorder="1" applyAlignment="1">
      <alignment horizontal="right" vertical="center"/>
    </xf>
    <xf numFmtId="0" fontId="3" fillId="3" borderId="15" xfId="1" applyNumberFormat="1" applyFont="1" applyFill="1" applyBorder="1" applyAlignment="1">
      <alignment horizontal="right" vertical="center"/>
    </xf>
    <xf numFmtId="0" fontId="2" fillId="0" borderId="7" xfId="1" applyNumberFormat="1" applyFont="1" applyBorder="1" applyAlignment="1"/>
    <xf numFmtId="0" fontId="2" fillId="0" borderId="9" xfId="1" applyNumberFormat="1" applyFont="1" applyBorder="1" applyAlignment="1"/>
    <xf numFmtId="0" fontId="2" fillId="0" borderId="15" xfId="1" applyNumberFormat="1" applyFont="1" applyBorder="1" applyAlignment="1"/>
    <xf numFmtId="0" fontId="3" fillId="0" borderId="15" xfId="1" applyNumberFormat="1" applyFont="1" applyBorder="1" applyAlignment="1"/>
    <xf numFmtId="0" fontId="2" fillId="0" borderId="13" xfId="1" applyNumberFormat="1" applyFont="1" applyBorder="1" applyAlignment="1"/>
    <xf numFmtId="0" fontId="3" fillId="0" borderId="13" xfId="1" applyNumberFormat="1" applyFont="1" applyBorder="1" applyAlignment="1"/>
    <xf numFmtId="0" fontId="2" fillId="0" borderId="10" xfId="1" applyNumberFormat="1" applyFont="1" applyBorder="1" applyAlignment="1"/>
    <xf numFmtId="0" fontId="2" fillId="0" borderId="12" xfId="1" applyNumberFormat="1" applyFont="1" applyBorder="1" applyAlignment="1"/>
    <xf numFmtId="0" fontId="3" fillId="0" borderId="12" xfId="1" applyNumberFormat="1" applyFont="1" applyBorder="1" applyAlignment="1"/>
    <xf numFmtId="0" fontId="2" fillId="0" borderId="16" xfId="1" applyNumberFormat="1" applyFont="1" applyBorder="1" applyAlignment="1"/>
    <xf numFmtId="0" fontId="3" fillId="0" borderId="16" xfId="1" applyNumberFormat="1" applyFont="1" applyBorder="1" applyAlignment="1"/>
    <xf numFmtId="0" fontId="2" fillId="0" borderId="11" xfId="1" applyNumberFormat="1" applyFont="1" applyBorder="1"/>
    <xf numFmtId="0" fontId="2" fillId="0" borderId="0" xfId="1" applyNumberFormat="1" applyFont="1" applyAlignment="1">
      <alignment horizontal="centerContinuous"/>
    </xf>
    <xf numFmtId="3" fontId="3" fillId="2" borderId="13" xfId="0" applyNumberFormat="1" applyFont="1" applyFill="1" applyBorder="1" applyAlignment="1">
      <alignment horizontal="right"/>
    </xf>
    <xf numFmtId="3" fontId="3" fillId="2" borderId="54" xfId="0" applyNumberFormat="1" applyFont="1" applyFill="1" applyBorder="1" applyAlignment="1">
      <alignment horizontal="right"/>
    </xf>
    <xf numFmtId="3" fontId="3" fillId="2" borderId="12" xfId="0" applyNumberFormat="1" applyFont="1" applyFill="1" applyBorder="1" applyAlignment="1">
      <alignment horizontal="right"/>
    </xf>
    <xf numFmtId="3" fontId="3" fillId="2" borderId="16" xfId="0" applyNumberFormat="1" applyFont="1" applyFill="1" applyBorder="1" applyAlignment="1">
      <alignment horizontal="right"/>
    </xf>
    <xf numFmtId="0" fontId="3" fillId="0" borderId="41" xfId="0" applyNumberFormat="1" applyFont="1" applyBorder="1" applyAlignment="1"/>
    <xf numFmtId="0" fontId="3" fillId="0" borderId="40" xfId="0" applyNumberFormat="1" applyFont="1" applyBorder="1" applyAlignment="1"/>
    <xf numFmtId="0" fontId="3" fillId="0" borderId="42" xfId="0" applyNumberFormat="1" applyFont="1" applyBorder="1" applyAlignment="1"/>
    <xf numFmtId="0" fontId="3" fillId="0" borderId="45" xfId="0" applyNumberFormat="1" applyFont="1" applyBorder="1" applyAlignment="1"/>
    <xf numFmtId="0" fontId="3" fillId="0" borderId="0" xfId="0" applyNumberFormat="1" applyFont="1" applyBorder="1" applyAlignment="1"/>
    <xf numFmtId="0" fontId="3" fillId="2" borderId="15" xfId="0" applyNumberFormat="1" applyFont="1" applyFill="1" applyBorder="1" applyAlignment="1"/>
    <xf numFmtId="0" fontId="3" fillId="2" borderId="13" xfId="0" applyNumberFormat="1" applyFont="1" applyFill="1" applyBorder="1" applyAlignment="1"/>
    <xf numFmtId="0" fontId="3" fillId="2" borderId="12" xfId="0" applyNumberFormat="1" applyFont="1" applyFill="1" applyBorder="1" applyAlignment="1"/>
    <xf numFmtId="0" fontId="3" fillId="2" borderId="32" xfId="0" applyNumberFormat="1" applyFont="1" applyFill="1" applyBorder="1" applyAlignment="1"/>
    <xf numFmtId="9" fontId="8" fillId="4" borderId="0" xfId="0" applyNumberFormat="1" applyFont="1" applyFill="1" applyAlignment="1"/>
    <xf numFmtId="9" fontId="8" fillId="4" borderId="58" xfId="0" applyNumberFormat="1" applyFont="1" applyFill="1" applyBorder="1" applyAlignment="1"/>
    <xf numFmtId="9" fontId="8" fillId="4" borderId="0" xfId="1" applyNumberFormat="1" applyFont="1" applyFill="1" applyAlignment="1"/>
    <xf numFmtId="9" fontId="8" fillId="4" borderId="58" xfId="1" applyNumberFormat="1" applyFont="1" applyFill="1" applyBorder="1" applyAlignment="1"/>
    <xf numFmtId="0" fontId="16" fillId="0" borderId="11" xfId="0" applyNumberFormat="1" applyFont="1" applyFill="1" applyBorder="1" applyAlignment="1"/>
    <xf numFmtId="0" fontId="2" fillId="0" borderId="0" xfId="0" applyNumberFormat="1" applyFont="1" applyBorder="1"/>
    <xf numFmtId="0" fontId="2" fillId="0" borderId="11" xfId="0" applyNumberFormat="1" applyFont="1" applyBorder="1"/>
    <xf numFmtId="3" fontId="2" fillId="0" borderId="0" xfId="0" applyNumberFormat="1" applyFont="1" applyAlignment="1"/>
    <xf numFmtId="0" fontId="10" fillId="0" borderId="24" xfId="0" applyNumberFormat="1" applyFont="1" applyFill="1" applyBorder="1" applyAlignment="1">
      <alignment vertical="center"/>
    </xf>
    <xf numFmtId="0" fontId="2" fillId="0" borderId="0" xfId="0" applyNumberFormat="1" applyFont="1" applyBorder="1" applyAlignment="1">
      <alignment vertical="center"/>
    </xf>
    <xf numFmtId="3" fontId="2" fillId="3" borderId="0" xfId="0" applyNumberFormat="1" applyFont="1" applyFill="1" applyBorder="1" applyAlignment="1">
      <alignment horizontal="right" vertical="center"/>
    </xf>
    <xf numFmtId="3" fontId="2" fillId="2" borderId="0" xfId="0" applyNumberFormat="1" applyFont="1" applyFill="1" applyBorder="1" applyAlignment="1">
      <alignment horizontal="right" vertical="center"/>
    </xf>
    <xf numFmtId="3" fontId="3" fillId="2" borderId="0" xfId="0" applyNumberFormat="1" applyFont="1" applyFill="1" applyBorder="1" applyAlignment="1">
      <alignment horizontal="right" vertical="center"/>
    </xf>
    <xf numFmtId="9" fontId="8" fillId="4" borderId="0" xfId="0" applyNumberFormat="1" applyFont="1" applyFill="1" applyAlignment="1">
      <alignment vertical="center"/>
    </xf>
    <xf numFmtId="0" fontId="1" fillId="0" borderId="0" xfId="0" applyNumberFormat="1" applyFont="1" applyAlignment="1">
      <alignment vertical="center"/>
    </xf>
    <xf numFmtId="0" fontId="19" fillId="0" borderId="0" xfId="0" applyNumberFormat="1" applyFont="1" applyAlignment="1">
      <alignment vertical="center"/>
    </xf>
    <xf numFmtId="0" fontId="10" fillId="0" borderId="0" xfId="0" applyNumberFormat="1" applyFont="1" applyBorder="1" applyAlignment="1">
      <alignment vertical="center"/>
    </xf>
    <xf numFmtId="0" fontId="2" fillId="0" borderId="11" xfId="0" applyNumberFormat="1" applyFont="1" applyBorder="1" applyAlignment="1">
      <alignment vertical="center"/>
    </xf>
    <xf numFmtId="0" fontId="2" fillId="0" borderId="0" xfId="0" applyNumberFormat="1" applyFont="1" applyAlignment="1">
      <alignment vertical="center"/>
    </xf>
    <xf numFmtId="3" fontId="2" fillId="0" borderId="0" xfId="0" applyNumberFormat="1" applyFont="1" applyAlignment="1">
      <alignment vertical="center"/>
    </xf>
    <xf numFmtId="3" fontId="10" fillId="0" borderId="0" xfId="0" applyNumberFormat="1" applyFont="1" applyAlignment="1"/>
    <xf numFmtId="0" fontId="4" fillId="0" borderId="59" xfId="0" applyNumberFormat="1" applyFont="1" applyBorder="1" applyAlignment="1"/>
    <xf numFmtId="3" fontId="3" fillId="4" borderId="0" xfId="0" applyNumberFormat="1" applyFont="1" applyFill="1" applyBorder="1" applyAlignment="1">
      <alignment vertical="center"/>
    </xf>
    <xf numFmtId="0" fontId="5" fillId="0" borderId="22" xfId="0" applyNumberFormat="1" applyFont="1" applyBorder="1" applyAlignment="1">
      <alignment horizontal="center" vertical="center" wrapText="1"/>
    </xf>
    <xf numFmtId="0" fontId="3" fillId="0" borderId="22" xfId="0" applyNumberFormat="1" applyFont="1" applyBorder="1" applyAlignment="1">
      <alignment horizontal="center" vertical="center"/>
    </xf>
    <xf numFmtId="0" fontId="3" fillId="0" borderId="34" xfId="0" applyNumberFormat="1" applyFont="1" applyBorder="1" applyAlignment="1">
      <alignment horizontal="center"/>
    </xf>
    <xf numFmtId="0" fontId="5" fillId="0" borderId="22" xfId="0" applyNumberFormat="1" applyFont="1" applyBorder="1" applyAlignment="1">
      <alignment horizontal="center" wrapText="1"/>
    </xf>
    <xf numFmtId="0" fontId="3" fillId="0" borderId="22" xfId="0" applyNumberFormat="1" applyFont="1" applyBorder="1" applyAlignment="1">
      <alignment horizontal="center" vertical="center" wrapText="1"/>
    </xf>
    <xf numFmtId="0" fontId="5" fillId="0" borderId="61" xfId="0" applyNumberFormat="1" applyFont="1" applyBorder="1" applyAlignment="1">
      <alignment horizontal="center"/>
    </xf>
    <xf numFmtId="0" fontId="5" fillId="0" borderId="62" xfId="0" applyNumberFormat="1" applyFont="1" applyBorder="1" applyAlignment="1">
      <alignment horizontal="center"/>
    </xf>
    <xf numFmtId="0" fontId="3" fillId="0" borderId="22" xfId="0" applyNumberFormat="1" applyFont="1" applyBorder="1" applyAlignment="1">
      <alignment horizontal="center" wrapText="1"/>
    </xf>
    <xf numFmtId="0" fontId="3" fillId="0" borderId="22" xfId="1" applyFont="1" applyBorder="1" applyAlignment="1">
      <alignment horizontal="center"/>
    </xf>
    <xf numFmtId="0" fontId="3" fillId="0" borderId="22" xfId="0" applyFont="1" applyBorder="1" applyAlignment="1">
      <alignment horizontal="center"/>
    </xf>
    <xf numFmtId="9" fontId="3" fillId="0" borderId="0" xfId="0" applyNumberFormat="1" applyFont="1" applyAlignment="1"/>
    <xf numFmtId="9" fontId="3" fillId="0" borderId="37" xfId="0" applyNumberFormat="1" applyFont="1" applyBorder="1" applyAlignment="1"/>
    <xf numFmtId="3" fontId="3" fillId="0" borderId="0" xfId="0" applyNumberFormat="1" applyFont="1" applyAlignment="1"/>
    <xf numFmtId="0" fontId="15" fillId="0" borderId="0" xfId="0" applyNumberFormat="1" applyFont="1" applyAlignment="1">
      <alignment horizontal="center"/>
    </xf>
    <xf numFmtId="0" fontId="4" fillId="0" borderId="0" xfId="0" applyNumberFormat="1" applyFont="1" applyBorder="1" applyAlignment="1">
      <alignment wrapText="1"/>
    </xf>
    <xf numFmtId="0" fontId="10" fillId="0" borderId="0" xfId="0" applyFont="1" applyAlignment="1">
      <alignment vertical="center" wrapText="1"/>
    </xf>
    <xf numFmtId="0" fontId="10" fillId="0" borderId="0" xfId="0" applyFont="1" applyAlignment="1">
      <alignment wrapText="1"/>
    </xf>
    <xf numFmtId="0" fontId="12" fillId="0" borderId="0" xfId="0" applyFont="1" applyBorder="1" applyAlignment="1">
      <alignment horizontal="center" vertical="center" wrapText="1"/>
    </xf>
    <xf numFmtId="0" fontId="16" fillId="0" borderId="0" xfId="0" applyFont="1" applyBorder="1" applyAlignment="1">
      <alignment wrapText="1"/>
    </xf>
    <xf numFmtId="0" fontId="0" fillId="0" borderId="0" xfId="0" applyBorder="1" applyAlignment="1">
      <alignment wrapText="1"/>
    </xf>
    <xf numFmtId="0" fontId="5" fillId="0" borderId="22" xfId="0" applyNumberFormat="1" applyFont="1" applyBorder="1" applyAlignment="1">
      <alignment horizontal="center" vertical="center"/>
    </xf>
    <xf numFmtId="0" fontId="5" fillId="0" borderId="22" xfId="0" applyNumberFormat="1" applyFont="1" applyBorder="1" applyAlignment="1">
      <alignment horizontal="center" vertical="center" wrapText="1"/>
    </xf>
    <xf numFmtId="0" fontId="22" fillId="0" borderId="0" xfId="1" applyNumberFormat="1" applyFont="1" applyAlignment="1"/>
    <xf numFmtId="0" fontId="2" fillId="0" borderId="22" xfId="1" applyNumberFormat="1" applyFont="1" applyBorder="1" applyAlignment="1"/>
    <xf numFmtId="0" fontId="3" fillId="0" borderId="33" xfId="1" applyNumberFormat="1" applyFont="1" applyBorder="1" applyAlignment="1">
      <alignment horizontal="center" vertical="center"/>
    </xf>
    <xf numFmtId="0" fontId="3" fillId="0" borderId="33" xfId="1" applyNumberFormat="1" applyFont="1" applyBorder="1" applyAlignment="1">
      <alignment horizontal="center" vertical="center" wrapText="1"/>
    </xf>
    <xf numFmtId="0" fontId="3" fillId="0" borderId="69" xfId="1" applyNumberFormat="1" applyFont="1" applyBorder="1" applyAlignment="1">
      <alignment horizontal="center" vertical="center" wrapText="1"/>
    </xf>
    <xf numFmtId="0" fontId="2" fillId="0" borderId="70" xfId="1" applyNumberFormat="1" applyFont="1" applyBorder="1" applyAlignment="1"/>
    <xf numFmtId="0" fontId="2" fillId="0" borderId="55" xfId="1" applyNumberFormat="1" applyFont="1" applyBorder="1" applyAlignment="1"/>
    <xf numFmtId="0" fontId="2" fillId="2" borderId="40" xfId="1" applyNumberFormat="1" applyFont="1" applyFill="1" applyBorder="1" applyAlignment="1">
      <alignment horizontal="right"/>
    </xf>
    <xf numFmtId="0" fontId="2" fillId="5" borderId="40" xfId="1" applyNumberFormat="1" applyFont="1" applyFill="1" applyBorder="1" applyAlignment="1">
      <alignment horizontal="right"/>
    </xf>
    <xf numFmtId="0" fontId="2" fillId="0" borderId="27" xfId="1" applyNumberFormat="1" applyFont="1" applyBorder="1" applyAlignment="1">
      <alignment horizontal="center"/>
    </xf>
    <xf numFmtId="0" fontId="2" fillId="0" borderId="40" xfId="1" applyNumberFormat="1" applyFont="1" applyBorder="1" applyAlignment="1">
      <alignment horizontal="right"/>
    </xf>
    <xf numFmtId="0" fontId="2" fillId="0" borderId="39" xfId="1" applyNumberFormat="1" applyFont="1" applyBorder="1" applyAlignment="1">
      <alignment horizontal="right"/>
    </xf>
    <xf numFmtId="0" fontId="2" fillId="5" borderId="39" xfId="1" applyNumberFormat="1" applyFont="1" applyFill="1" applyBorder="1" applyAlignment="1">
      <alignment horizontal="right"/>
    </xf>
    <xf numFmtId="0" fontId="2" fillId="0" borderId="41" xfId="1" applyNumberFormat="1" applyFont="1" applyBorder="1" applyAlignment="1">
      <alignment horizontal="right" vertical="center"/>
    </xf>
    <xf numFmtId="0" fontId="2" fillId="5" borderId="71" xfId="1" applyNumberFormat="1" applyFont="1" applyFill="1" applyBorder="1" applyAlignment="1">
      <alignment horizontal="right" vertical="center"/>
    </xf>
    <xf numFmtId="0" fontId="2" fillId="0" borderId="28" xfId="1" applyNumberFormat="1" applyFont="1" applyBorder="1" applyAlignment="1"/>
    <xf numFmtId="0" fontId="2" fillId="2" borderId="42" xfId="1" applyNumberFormat="1" applyFont="1" applyFill="1" applyBorder="1" applyAlignment="1">
      <alignment horizontal="right"/>
    </xf>
    <xf numFmtId="0" fontId="2" fillId="5" borderId="41" xfId="1" applyNumberFormat="1" applyFont="1" applyFill="1" applyBorder="1" applyAlignment="1">
      <alignment horizontal="right" vertical="center"/>
    </xf>
    <xf numFmtId="0" fontId="2" fillId="5" borderId="42" xfId="1" applyNumberFormat="1" applyFont="1" applyFill="1" applyBorder="1" applyAlignment="1">
      <alignment horizontal="right"/>
    </xf>
    <xf numFmtId="0" fontId="2" fillId="5" borderId="14" xfId="1" applyNumberFormat="1" applyFont="1" applyFill="1" applyBorder="1" applyAlignment="1">
      <alignment horizontal="right"/>
    </xf>
    <xf numFmtId="0" fontId="2" fillId="5" borderId="15" xfId="1" applyNumberFormat="1" applyFont="1" applyFill="1" applyBorder="1" applyAlignment="1">
      <alignment horizontal="right" vertical="center"/>
    </xf>
    <xf numFmtId="0" fontId="2" fillId="3" borderId="43" xfId="1" applyNumberFormat="1" applyFont="1" applyFill="1" applyBorder="1" applyAlignment="1">
      <alignment vertical="center"/>
    </xf>
    <xf numFmtId="0" fontId="2" fillId="3" borderId="27" xfId="1" applyNumberFormat="1" applyFont="1" applyFill="1" applyBorder="1" applyAlignment="1">
      <alignment vertical="center"/>
    </xf>
    <xf numFmtId="0" fontId="2" fillId="5" borderId="13" xfId="1" applyNumberFormat="1" applyFont="1" applyFill="1" applyBorder="1" applyAlignment="1">
      <alignment horizontal="right" vertical="center"/>
    </xf>
    <xf numFmtId="0" fontId="2" fillId="3" borderId="27" xfId="1" applyNumberFormat="1" applyFont="1" applyFill="1" applyBorder="1" applyAlignment="1">
      <alignment horizontal="center" vertical="center"/>
    </xf>
    <xf numFmtId="0" fontId="2" fillId="5" borderId="14" xfId="1" applyNumberFormat="1" applyFont="1" applyFill="1" applyBorder="1" applyAlignment="1">
      <alignment horizontal="right" vertical="center"/>
    </xf>
    <xf numFmtId="0" fontId="3" fillId="5" borderId="15" xfId="1" applyNumberFormat="1" applyFont="1" applyFill="1" applyBorder="1" applyAlignment="1">
      <alignment horizontal="right" vertical="center"/>
    </xf>
    <xf numFmtId="0" fontId="2" fillId="0" borderId="43" xfId="1" applyNumberFormat="1" applyFont="1" applyBorder="1" applyAlignment="1"/>
    <xf numFmtId="0" fontId="2" fillId="0" borderId="41" xfId="1" applyNumberFormat="1" applyFont="1" applyBorder="1" applyAlignment="1"/>
    <xf numFmtId="0" fontId="3" fillId="5" borderId="41" xfId="1" applyNumberFormat="1" applyFont="1" applyFill="1" applyBorder="1" applyAlignment="1"/>
    <xf numFmtId="0" fontId="2" fillId="0" borderId="27" xfId="1" applyNumberFormat="1" applyFont="1" applyBorder="1" applyAlignment="1"/>
    <xf numFmtId="0" fontId="2" fillId="0" borderId="0" xfId="1" applyNumberFormat="1" applyFont="1" applyBorder="1" applyAlignment="1"/>
    <xf numFmtId="0" fontId="2" fillId="0" borderId="40" xfId="1" applyNumberFormat="1" applyFont="1" applyBorder="1" applyAlignment="1"/>
    <xf numFmtId="0" fontId="3" fillId="5" borderId="40" xfId="1" applyNumberFormat="1" applyFont="1" applyFill="1" applyBorder="1" applyAlignment="1"/>
    <xf numFmtId="0" fontId="2" fillId="0" borderId="42" xfId="1" applyNumberFormat="1" applyFont="1" applyBorder="1" applyAlignment="1"/>
    <xf numFmtId="0" fontId="3" fillId="5" borderId="42" xfId="1" applyNumberFormat="1" applyFont="1" applyFill="1" applyBorder="1" applyAlignment="1"/>
    <xf numFmtId="0" fontId="2" fillId="0" borderId="29" xfId="1" applyNumberFormat="1" applyFont="1" applyBorder="1" applyAlignment="1"/>
    <xf numFmtId="0" fontId="2" fillId="0" borderId="30" xfId="1" applyNumberFormat="1" applyFont="1" applyBorder="1" applyAlignment="1"/>
    <xf numFmtId="0" fontId="2" fillId="0" borderId="31" xfId="1" applyNumberFormat="1" applyFont="1" applyBorder="1" applyAlignment="1"/>
    <xf numFmtId="0" fontId="2" fillId="0" borderId="32" xfId="1" applyNumberFormat="1" applyFont="1" applyBorder="1" applyAlignment="1"/>
    <xf numFmtId="0" fontId="2" fillId="0" borderId="45" xfId="1" applyNumberFormat="1" applyFont="1" applyBorder="1" applyAlignment="1"/>
    <xf numFmtId="0" fontId="3" fillId="5" borderId="45" xfId="1" applyNumberFormat="1" applyFont="1" applyFill="1" applyBorder="1" applyAlignment="1"/>
    <xf numFmtId="0" fontId="2" fillId="4" borderId="0" xfId="1" applyNumberFormat="1" applyFont="1" applyFill="1" applyAlignment="1"/>
    <xf numFmtId="0" fontId="3" fillId="4" borderId="0" xfId="1" applyNumberFormat="1" applyFont="1" applyFill="1" applyAlignment="1"/>
    <xf numFmtId="9" fontId="2" fillId="0" borderId="0" xfId="1" applyNumberFormat="1" applyFont="1" applyAlignment="1"/>
    <xf numFmtId="0" fontId="2" fillId="0" borderId="0" xfId="1" applyAlignment="1">
      <alignment wrapText="1"/>
    </xf>
    <xf numFmtId="0" fontId="3" fillId="0" borderId="72" xfId="1" applyNumberFormat="1" applyFont="1" applyBorder="1" applyAlignment="1">
      <alignment horizontal="center" vertical="center"/>
    </xf>
    <xf numFmtId="0" fontId="3" fillId="0" borderId="33" xfId="1" applyFont="1" applyBorder="1" applyAlignment="1">
      <alignment horizontal="center" vertical="center"/>
    </xf>
    <xf numFmtId="0" fontId="3" fillId="0" borderId="72" xfId="1" applyFont="1" applyBorder="1" applyAlignment="1">
      <alignment horizontal="center" vertical="center" wrapText="1"/>
    </xf>
    <xf numFmtId="0" fontId="3" fillId="0" borderId="72" xfId="1" applyNumberFormat="1" applyFont="1" applyBorder="1" applyAlignment="1">
      <alignment horizontal="center" vertical="center" wrapText="1"/>
    </xf>
    <xf numFmtId="0" fontId="2" fillId="3" borderId="41" xfId="1" applyNumberFormat="1" applyFont="1" applyFill="1" applyBorder="1" applyAlignment="1">
      <alignment horizontal="right" vertical="center"/>
    </xf>
    <xf numFmtId="0" fontId="2" fillId="3" borderId="40" xfId="1" applyNumberFormat="1" applyFont="1" applyFill="1" applyBorder="1" applyAlignment="1">
      <alignment horizontal="right" vertical="center"/>
    </xf>
    <xf numFmtId="0" fontId="2" fillId="3" borderId="39" xfId="1" applyNumberFormat="1" applyFont="1" applyFill="1" applyBorder="1" applyAlignment="1">
      <alignment horizontal="right" vertical="center"/>
    </xf>
    <xf numFmtId="0" fontId="3" fillId="3" borderId="41" xfId="1" applyNumberFormat="1" applyFont="1" applyFill="1" applyBorder="1" applyAlignment="1">
      <alignment horizontal="right" vertical="center"/>
    </xf>
    <xf numFmtId="0" fontId="2" fillId="0" borderId="40" xfId="1" applyNumberFormat="1" applyFont="1" applyFill="1" applyBorder="1" applyAlignment="1">
      <alignment horizontal="right"/>
    </xf>
    <xf numFmtId="0" fontId="2" fillId="0" borderId="39" xfId="1" applyNumberFormat="1" applyFont="1" applyFill="1" applyBorder="1" applyAlignment="1">
      <alignment horizontal="right"/>
    </xf>
    <xf numFmtId="0" fontId="2" fillId="0" borderId="71" xfId="1" applyNumberFormat="1" applyFont="1" applyFill="1" applyBorder="1" applyAlignment="1">
      <alignment horizontal="right" vertical="center"/>
    </xf>
    <xf numFmtId="0" fontId="2" fillId="0" borderId="41" xfId="1" applyNumberFormat="1" applyFont="1" applyFill="1" applyBorder="1" applyAlignment="1">
      <alignment horizontal="right" vertical="center"/>
    </xf>
    <xf numFmtId="0" fontId="2" fillId="0" borderId="42" xfId="1" applyNumberFormat="1" applyFont="1" applyFill="1" applyBorder="1" applyAlignment="1">
      <alignment horizontal="right"/>
    </xf>
    <xf numFmtId="0" fontId="2" fillId="0" borderId="14" xfId="1" applyNumberFormat="1" applyFont="1" applyFill="1" applyBorder="1" applyAlignment="1">
      <alignment horizontal="right"/>
    </xf>
    <xf numFmtId="0" fontId="2" fillId="0" borderId="15" xfId="1" applyNumberFormat="1" applyFont="1" applyFill="1" applyBorder="1" applyAlignment="1">
      <alignment horizontal="right" vertical="center"/>
    </xf>
    <xf numFmtId="0" fontId="3" fillId="0" borderId="41" xfId="1" applyNumberFormat="1" applyFont="1" applyFill="1" applyBorder="1" applyAlignment="1"/>
    <xf numFmtId="0" fontId="3" fillId="0" borderId="40" xfId="1" applyNumberFormat="1" applyFont="1" applyFill="1" applyBorder="1" applyAlignment="1"/>
    <xf numFmtId="0" fontId="3" fillId="0" borderId="42" xfId="1" applyNumberFormat="1" applyFont="1" applyFill="1" applyBorder="1" applyAlignment="1"/>
    <xf numFmtId="0" fontId="3" fillId="0" borderId="45" xfId="1" applyNumberFormat="1" applyFont="1" applyFill="1" applyBorder="1" applyAlignment="1"/>
    <xf numFmtId="0" fontId="3" fillId="5" borderId="69" xfId="1" applyNumberFormat="1" applyFont="1" applyFill="1" applyBorder="1" applyAlignment="1">
      <alignment horizontal="center" vertical="center" wrapText="1"/>
    </xf>
    <xf numFmtId="0" fontId="3" fillId="5" borderId="33" xfId="1" applyNumberFormat="1" applyFont="1" applyFill="1" applyBorder="1" applyAlignment="1">
      <alignment horizontal="center" vertical="center" wrapText="1"/>
    </xf>
    <xf numFmtId="0" fontId="2" fillId="5" borderId="41" xfId="1" applyNumberFormat="1" applyFont="1" applyFill="1" applyBorder="1" applyAlignment="1"/>
    <xf numFmtId="0" fontId="2" fillId="5" borderId="40" xfId="1" applyNumberFormat="1" applyFont="1" applyFill="1" applyBorder="1" applyAlignment="1"/>
    <xf numFmtId="0" fontId="2" fillId="5" borderId="42" xfId="1" applyNumberFormat="1" applyFont="1" applyFill="1" applyBorder="1" applyAlignment="1"/>
    <xf numFmtId="0" fontId="2" fillId="5" borderId="45" xfId="1" applyNumberFormat="1" applyFont="1" applyFill="1" applyBorder="1" applyAlignment="1"/>
    <xf numFmtId="0" fontId="3" fillId="5" borderId="72" xfId="1" applyFont="1" applyFill="1" applyBorder="1" applyAlignment="1">
      <alignment horizontal="center" vertical="center" wrapText="1"/>
    </xf>
    <xf numFmtId="0" fontId="3" fillId="5" borderId="72" xfId="1" applyNumberFormat="1" applyFont="1" applyFill="1" applyBorder="1" applyAlignment="1">
      <alignment horizontal="center" vertical="center" wrapText="1"/>
    </xf>
    <xf numFmtId="0" fontId="5" fillId="0" borderId="58" xfId="0" applyNumberFormat="1" applyFont="1" applyBorder="1" applyAlignment="1">
      <alignment horizontal="center" wrapText="1"/>
    </xf>
    <xf numFmtId="0" fontId="5" fillId="0" borderId="37" xfId="0" applyNumberFormat="1" applyFont="1" applyBorder="1" applyAlignment="1">
      <alignment horizontal="center" wrapText="1"/>
    </xf>
    <xf numFmtId="0" fontId="3" fillId="0" borderId="37" xfId="0" applyNumberFormat="1" applyFont="1" applyBorder="1" applyAlignment="1">
      <alignment horizontal="center" wrapText="1"/>
    </xf>
    <xf numFmtId="0" fontId="3" fillId="0" borderId="73" xfId="0" applyNumberFormat="1" applyFont="1" applyBorder="1" applyAlignment="1">
      <alignment horizontal="center" wrapText="1"/>
    </xf>
    <xf numFmtId="0" fontId="3" fillId="0" borderId="74" xfId="0" applyNumberFormat="1" applyFont="1" applyBorder="1" applyAlignment="1">
      <alignment horizontal="center" wrapText="1"/>
    </xf>
    <xf numFmtId="0" fontId="3" fillId="0" borderId="75" xfId="0" applyNumberFormat="1" applyFont="1" applyBorder="1" applyAlignment="1">
      <alignment horizontal="center" wrapText="1"/>
    </xf>
    <xf numFmtId="0" fontId="5" fillId="0" borderId="46" xfId="0" applyNumberFormat="1" applyFont="1" applyBorder="1" applyAlignment="1">
      <alignment horizontal="center" vertical="center"/>
    </xf>
    <xf numFmtId="0" fontId="2" fillId="0" borderId="22" xfId="0" applyFont="1" applyBorder="1" applyAlignment="1">
      <alignment horizontal="left" vertical="center"/>
    </xf>
    <xf numFmtId="0" fontId="2" fillId="0" borderId="22" xfId="0" applyNumberFormat="1" applyFont="1" applyBorder="1" applyAlignment="1">
      <alignment horizontal="right" vertical="center"/>
    </xf>
    <xf numFmtId="3" fontId="9" fillId="0" borderId="13" xfId="0" applyNumberFormat="1" applyFont="1" applyBorder="1" applyAlignment="1">
      <alignment horizontal="center" vertical="top" wrapText="1"/>
    </xf>
    <xf numFmtId="0" fontId="2" fillId="0" borderId="22" xfId="0" applyNumberFormat="1" applyFont="1" applyBorder="1" applyAlignment="1">
      <alignment horizontal="right" vertical="center" wrapText="1"/>
    </xf>
    <xf numFmtId="0" fontId="3" fillId="0" borderId="4" xfId="1" applyNumberFormat="1" applyFont="1" applyFill="1" applyBorder="1" applyAlignment="1"/>
    <xf numFmtId="9" fontId="8" fillId="4" borderId="27" xfId="1" applyNumberFormat="1" applyFont="1" applyFill="1" applyBorder="1" applyAlignment="1"/>
    <xf numFmtId="0" fontId="3" fillId="0" borderId="72" xfId="1" applyNumberFormat="1" applyFont="1" applyFill="1" applyBorder="1" applyAlignment="1">
      <alignment horizontal="center" vertical="center" wrapText="1"/>
    </xf>
    <xf numFmtId="0" fontId="3" fillId="0" borderId="44" xfId="1" applyNumberFormat="1" applyFont="1" applyBorder="1" applyAlignment="1">
      <alignment horizontal="center"/>
    </xf>
    <xf numFmtId="0" fontId="3" fillId="0" borderId="56" xfId="1" applyNumberFormat="1" applyFont="1" applyBorder="1" applyAlignment="1">
      <alignment horizontal="center"/>
    </xf>
    <xf numFmtId="0" fontId="3" fillId="0" borderId="60" xfId="1" applyNumberFormat="1" applyFont="1" applyBorder="1" applyAlignment="1">
      <alignment horizontal="center"/>
    </xf>
    <xf numFmtId="0" fontId="2" fillId="5" borderId="13" xfId="1" applyNumberFormat="1" applyFont="1" applyFill="1" applyBorder="1" applyAlignment="1"/>
    <xf numFmtId="0" fontId="2" fillId="0" borderId="14" xfId="1" applyNumberFormat="1" applyFont="1" applyBorder="1" applyAlignment="1"/>
    <xf numFmtId="0" fontId="2" fillId="5" borderId="14" xfId="1" applyNumberFormat="1" applyFont="1" applyFill="1" applyBorder="1" applyAlignment="1"/>
    <xf numFmtId="0" fontId="2" fillId="5" borderId="12" xfId="1" applyNumberFormat="1" applyFont="1" applyFill="1" applyBorder="1" applyAlignment="1"/>
    <xf numFmtId="0" fontId="2" fillId="3" borderId="2" xfId="1" applyNumberFormat="1" applyFont="1" applyFill="1" applyBorder="1" applyAlignment="1">
      <alignment vertical="center"/>
    </xf>
    <xf numFmtId="0" fontId="2" fillId="3" borderId="2" xfId="1" applyNumberFormat="1" applyFont="1" applyFill="1" applyBorder="1" applyAlignment="1">
      <alignment horizontal="right" vertical="center"/>
    </xf>
    <xf numFmtId="0" fontId="2" fillId="3" borderId="12" xfId="1" applyNumberFormat="1" applyFont="1" applyFill="1" applyBorder="1" applyAlignment="1">
      <alignment horizontal="right" vertical="center"/>
    </xf>
    <xf numFmtId="0" fontId="2" fillId="5" borderId="12" xfId="1" applyNumberFormat="1" applyFont="1" applyFill="1" applyBorder="1" applyAlignment="1">
      <alignment horizontal="right" vertical="center"/>
    </xf>
    <xf numFmtId="0" fontId="3" fillId="3" borderId="64" xfId="1" applyNumberFormat="1" applyFont="1" applyFill="1" applyBorder="1" applyAlignment="1">
      <alignment horizontal="right" vertical="center"/>
    </xf>
    <xf numFmtId="0" fontId="2" fillId="0" borderId="23" xfId="1" applyNumberFormat="1" applyFont="1" applyBorder="1" applyAlignment="1"/>
    <xf numFmtId="0" fontId="2" fillId="0" borderId="24" xfId="1" applyNumberFormat="1" applyFont="1" applyBorder="1" applyAlignment="1"/>
    <xf numFmtId="0" fontId="2" fillId="0" borderId="25" xfId="1" applyNumberFormat="1" applyFont="1" applyBorder="1" applyAlignment="1"/>
    <xf numFmtId="0" fontId="2" fillId="0" borderId="26" xfId="1" applyNumberFormat="1" applyFont="1" applyBorder="1" applyAlignment="1"/>
    <xf numFmtId="0" fontId="2" fillId="5" borderId="26" xfId="1" applyNumberFormat="1" applyFont="1" applyFill="1" applyBorder="1" applyAlignment="1"/>
    <xf numFmtId="0" fontId="2" fillId="3" borderId="42" xfId="1" applyNumberFormat="1" applyFont="1" applyFill="1" applyBorder="1" applyAlignment="1">
      <alignment horizontal="right" vertical="center"/>
    </xf>
    <xf numFmtId="0" fontId="2" fillId="5" borderId="31" xfId="1" applyNumberFormat="1" applyFont="1" applyFill="1" applyBorder="1" applyAlignment="1"/>
    <xf numFmtId="0" fontId="2" fillId="3" borderId="65" xfId="1" applyNumberFormat="1" applyFont="1" applyFill="1" applyBorder="1" applyAlignment="1">
      <alignment horizontal="right" vertical="center"/>
    </xf>
    <xf numFmtId="0" fontId="2" fillId="3" borderId="45" xfId="1" applyNumberFormat="1" applyFont="1" applyFill="1" applyBorder="1" applyAlignment="1">
      <alignment horizontal="right" vertical="center"/>
    </xf>
    <xf numFmtId="0" fontId="2" fillId="0" borderId="0" xfId="1" applyNumberFormat="1" applyFont="1" applyBorder="1"/>
    <xf numFmtId="0" fontId="2" fillId="0" borderId="0" xfId="1" applyNumberFormat="1" applyFont="1"/>
    <xf numFmtId="0" fontId="2" fillId="5" borderId="32" xfId="1" applyNumberFormat="1" applyFont="1" applyFill="1" applyBorder="1" applyAlignment="1"/>
    <xf numFmtId="0" fontId="2" fillId="5" borderId="40" xfId="0" applyNumberFormat="1" applyFont="1" applyFill="1" applyBorder="1" applyAlignment="1">
      <alignment horizontal="right"/>
    </xf>
    <xf numFmtId="0" fontId="2" fillId="5" borderId="39" xfId="0" applyNumberFormat="1" applyFont="1" applyFill="1" applyBorder="1" applyAlignment="1">
      <alignment horizontal="right"/>
    </xf>
    <xf numFmtId="0" fontId="2" fillId="5" borderId="41" xfId="0" applyNumberFormat="1" applyFont="1" applyFill="1" applyBorder="1" applyAlignment="1">
      <alignment horizontal="right" vertical="center"/>
    </xf>
    <xf numFmtId="0" fontId="2" fillId="5" borderId="42" xfId="0" applyNumberFormat="1" applyFont="1" applyFill="1" applyBorder="1" applyAlignment="1">
      <alignment horizontal="right"/>
    </xf>
    <xf numFmtId="0" fontId="2" fillId="5" borderId="40" xfId="0" applyNumberFormat="1" applyFont="1" applyFill="1" applyBorder="1" applyAlignment="1">
      <alignment horizontal="right" vertical="center"/>
    </xf>
    <xf numFmtId="0" fontId="2" fillId="5" borderId="39" xfId="0" applyNumberFormat="1" applyFont="1" applyFill="1" applyBorder="1" applyAlignment="1">
      <alignment horizontal="right" vertical="center"/>
    </xf>
    <xf numFmtId="0" fontId="3" fillId="5" borderId="41" xfId="0" applyNumberFormat="1" applyFont="1" applyFill="1" applyBorder="1" applyAlignment="1">
      <alignment horizontal="right" vertical="center"/>
    </xf>
    <xf numFmtId="0" fontId="2" fillId="5" borderId="41" xfId="0" applyNumberFormat="1" applyFont="1" applyFill="1" applyBorder="1" applyAlignment="1"/>
    <xf numFmtId="0" fontId="2" fillId="5" borderId="40" xfId="0" applyNumberFormat="1" applyFont="1" applyFill="1" applyBorder="1" applyAlignment="1"/>
    <xf numFmtId="0" fontId="2" fillId="5" borderId="42" xfId="0" applyNumberFormat="1" applyFont="1" applyFill="1" applyBorder="1" applyAlignment="1"/>
    <xf numFmtId="0" fontId="2" fillId="5" borderId="45" xfId="0" applyNumberFormat="1" applyFont="1" applyFill="1" applyBorder="1" applyAlignment="1"/>
    <xf numFmtId="3" fontId="2" fillId="5" borderId="14" xfId="0" applyNumberFormat="1" applyFont="1" applyFill="1" applyBorder="1" applyAlignment="1">
      <alignment vertical="center"/>
    </xf>
    <xf numFmtId="0" fontId="13" fillId="0" borderId="0" xfId="0" applyNumberFormat="1" applyFont="1" applyAlignment="1">
      <alignment horizontal="center" vertical="center" wrapText="1"/>
    </xf>
    <xf numFmtId="0" fontId="12" fillId="0" borderId="0" xfId="0" applyNumberFormat="1" applyFont="1" applyAlignment="1">
      <alignment horizontal="center" vertical="center" wrapText="1"/>
    </xf>
    <xf numFmtId="0" fontId="10" fillId="0" borderId="0" xfId="0" applyNumberFormat="1" applyFont="1" applyAlignment="1">
      <alignment vertical="center" wrapText="1"/>
    </xf>
    <xf numFmtId="0" fontId="10" fillId="0" borderId="0" xfId="0" applyFont="1" applyAlignment="1">
      <alignment vertical="center" wrapText="1"/>
    </xf>
    <xf numFmtId="0" fontId="10" fillId="0" borderId="0" xfId="0" applyNumberFormat="1" applyFont="1" applyAlignment="1">
      <alignment wrapText="1"/>
    </xf>
    <xf numFmtId="0" fontId="10" fillId="0" borderId="0" xfId="0" applyFont="1" applyBorder="1" applyAlignment="1">
      <alignment wrapText="1"/>
    </xf>
    <xf numFmtId="0" fontId="10" fillId="0" borderId="0" xfId="0" applyFont="1" applyAlignment="1">
      <alignment wrapText="1"/>
    </xf>
    <xf numFmtId="0" fontId="8" fillId="0" borderId="22" xfId="0" applyNumberFormat="1" applyFont="1" applyBorder="1" applyAlignment="1">
      <alignment horizontal="center" vertical="center" wrapText="1"/>
    </xf>
    <xf numFmtId="0" fontId="3" fillId="0" borderId="46" xfId="0" applyFont="1" applyBorder="1" applyAlignment="1">
      <alignment horizontal="center" vertical="center" wrapText="1"/>
    </xf>
    <xf numFmtId="0" fontId="8" fillId="0" borderId="34" xfId="0" applyNumberFormat="1" applyFont="1" applyBorder="1" applyAlignment="1">
      <alignment horizontal="center" wrapText="1"/>
    </xf>
    <xf numFmtId="0" fontId="8" fillId="0" borderId="63" xfId="0" applyNumberFormat="1" applyFont="1" applyBorder="1" applyAlignment="1">
      <alignment horizontal="center" wrapText="1"/>
    </xf>
    <xf numFmtId="0" fontId="8" fillId="0" borderId="60" xfId="0" applyNumberFormat="1" applyFont="1" applyBorder="1" applyAlignment="1">
      <alignment horizontal="center" wrapText="1"/>
    </xf>
    <xf numFmtId="0" fontId="16" fillId="0" borderId="24" xfId="0" applyNumberFormat="1" applyFont="1" applyFill="1" applyBorder="1" applyAlignment="1">
      <alignment horizontal="left" vertical="top" wrapText="1"/>
    </xf>
    <xf numFmtId="0" fontId="0" fillId="0" borderId="24" xfId="0" applyBorder="1" applyAlignment="1">
      <alignment wrapText="1"/>
    </xf>
    <xf numFmtId="0" fontId="0" fillId="0" borderId="24" xfId="0" applyBorder="1" applyAlignment="1"/>
    <xf numFmtId="0" fontId="5" fillId="0" borderId="22" xfId="0" applyNumberFormat="1" applyFont="1" applyBorder="1" applyAlignment="1">
      <alignment horizontal="center" vertical="center"/>
    </xf>
    <xf numFmtId="0" fontId="0" fillId="0" borderId="22" xfId="0" applyBorder="1" applyAlignment="1">
      <alignment horizontal="center" vertical="center"/>
    </xf>
    <xf numFmtId="0" fontId="3" fillId="0" borderId="34" xfId="0" applyNumberFormat="1" applyFont="1" applyBorder="1" applyAlignment="1">
      <alignment horizontal="center" vertical="center" wrapText="1"/>
    </xf>
    <xf numFmtId="0" fontId="3" fillId="0" borderId="63" xfId="0" applyNumberFormat="1" applyFont="1" applyBorder="1" applyAlignment="1">
      <alignment horizontal="center" vertical="center" wrapText="1"/>
    </xf>
    <xf numFmtId="0" fontId="3" fillId="0" borderId="60" xfId="0" applyNumberFormat="1" applyFont="1" applyBorder="1" applyAlignment="1">
      <alignment horizontal="center" vertical="center" wrapText="1"/>
    </xf>
    <xf numFmtId="0" fontId="14" fillId="0" borderId="30" xfId="0" applyNumberFormat="1" applyFont="1" applyBorder="1" applyAlignment="1">
      <alignment horizontal="center" vertical="center" wrapText="1"/>
    </xf>
    <xf numFmtId="0" fontId="23" fillId="5" borderId="34" xfId="0" applyNumberFormat="1" applyFont="1" applyFill="1" applyBorder="1" applyAlignment="1">
      <alignment horizontal="center" vertical="center"/>
    </xf>
    <xf numFmtId="0" fontId="23" fillId="5" borderId="63" xfId="0" applyNumberFormat="1" applyFont="1" applyFill="1" applyBorder="1" applyAlignment="1">
      <alignment horizontal="center" vertical="center"/>
    </xf>
    <xf numFmtId="0" fontId="23" fillId="5" borderId="60" xfId="0" applyNumberFormat="1" applyFont="1" applyFill="1" applyBorder="1" applyAlignment="1">
      <alignment horizontal="center" vertical="center"/>
    </xf>
    <xf numFmtId="0" fontId="5" fillId="0" borderId="59" xfId="0" applyNumberFormat="1" applyFont="1" applyBorder="1" applyAlignment="1">
      <alignment horizontal="center" vertical="center"/>
    </xf>
    <xf numFmtId="0" fontId="5" fillId="0" borderId="57" xfId="0" applyNumberFormat="1" applyFont="1" applyBorder="1" applyAlignment="1">
      <alignment horizontal="center" vertical="center"/>
    </xf>
    <xf numFmtId="0" fontId="23" fillId="5" borderId="34" xfId="0" applyNumberFormat="1" applyFont="1" applyFill="1" applyBorder="1" applyAlignment="1">
      <alignment horizontal="center" vertical="center" wrapText="1"/>
    </xf>
    <xf numFmtId="0" fontId="23" fillId="5" borderId="63" xfId="0" applyNumberFormat="1" applyFont="1" applyFill="1" applyBorder="1" applyAlignment="1">
      <alignment horizontal="center" vertical="center" wrapText="1"/>
    </xf>
    <xf numFmtId="0" fontId="23" fillId="5" borderId="60" xfId="0" applyNumberFormat="1" applyFont="1" applyFill="1" applyBorder="1" applyAlignment="1">
      <alignment horizontal="center" vertical="center" wrapText="1"/>
    </xf>
    <xf numFmtId="0" fontId="7" fillId="2" borderId="55" xfId="1" applyNumberFormat="1" applyFont="1" applyFill="1" applyBorder="1" applyAlignment="1">
      <alignment horizontal="center" vertical="center" wrapText="1"/>
    </xf>
    <xf numFmtId="0" fontId="7" fillId="0" borderId="13" xfId="1" applyFont="1" applyBorder="1" applyAlignment="1">
      <alignment horizontal="center" vertical="center" wrapText="1"/>
    </xf>
    <xf numFmtId="0" fontId="7" fillId="0" borderId="54" xfId="1" applyFont="1" applyBorder="1" applyAlignment="1">
      <alignment horizontal="center" vertical="center" wrapText="1"/>
    </xf>
    <xf numFmtId="0" fontId="10" fillId="0" borderId="0" xfId="1" applyNumberFormat="1" applyFont="1" applyAlignment="1">
      <alignment wrapText="1"/>
    </xf>
    <xf numFmtId="0" fontId="2" fillId="0" borderId="0" xfId="1" applyNumberFormat="1" applyFont="1" applyAlignment="1">
      <alignment wrapText="1"/>
    </xf>
    <xf numFmtId="0" fontId="2" fillId="0" borderId="0" xfId="1" applyAlignment="1">
      <alignment wrapText="1"/>
    </xf>
    <xf numFmtId="0" fontId="21" fillId="0" borderId="0" xfId="1" applyNumberFormat="1" applyFont="1" applyAlignment="1">
      <alignment horizontal="center" vertical="center" wrapText="1"/>
    </xf>
    <xf numFmtId="0" fontId="13" fillId="0" borderId="0" xfId="1" applyNumberFormat="1" applyFont="1" applyAlignment="1">
      <alignment horizontal="center" vertical="center" wrapText="1"/>
    </xf>
    <xf numFmtId="0" fontId="12" fillId="0" borderId="30" xfId="1" applyFont="1" applyBorder="1" applyAlignment="1">
      <alignment horizontal="center" vertical="center"/>
    </xf>
    <xf numFmtId="0" fontId="3" fillId="0" borderId="22" xfId="1" applyNumberFormat="1" applyFont="1" applyBorder="1" applyAlignment="1">
      <alignment horizontal="center" vertical="center" wrapText="1"/>
    </xf>
    <xf numFmtId="0" fontId="3" fillId="0" borderId="22" xfId="1" applyFont="1" applyBorder="1" applyAlignment="1">
      <alignment horizontal="center" vertical="center" wrapText="1"/>
    </xf>
    <xf numFmtId="0" fontId="3" fillId="0" borderId="34" xfId="1" applyNumberFormat="1" applyFont="1" applyBorder="1" applyAlignment="1">
      <alignment horizontal="center" wrapText="1"/>
    </xf>
    <xf numFmtId="0" fontId="3" fillId="0" borderId="63" xfId="1" applyNumberFormat="1" applyFont="1" applyBorder="1" applyAlignment="1">
      <alignment horizontal="center" wrapText="1"/>
    </xf>
    <xf numFmtId="0" fontId="3" fillId="0" borderId="60" xfId="1" applyNumberFormat="1" applyFont="1" applyBorder="1" applyAlignment="1">
      <alignment horizontal="center" wrapText="1"/>
    </xf>
    <xf numFmtId="0" fontId="3" fillId="0" borderId="57" xfId="1" applyNumberFormat="1" applyFont="1" applyBorder="1" applyAlignment="1">
      <alignment horizontal="center"/>
    </xf>
    <xf numFmtId="0" fontId="3" fillId="0" borderId="33" xfId="1" applyNumberFormat="1" applyFont="1" applyBorder="1" applyAlignment="1">
      <alignment horizontal="center"/>
    </xf>
    <xf numFmtId="0" fontId="16" fillId="0" borderId="0" xfId="1" applyNumberFormat="1" applyFont="1" applyFill="1" applyBorder="1" applyAlignment="1">
      <alignment horizontal="left" wrapText="1"/>
    </xf>
    <xf numFmtId="0" fontId="3" fillId="0" borderId="59" xfId="1" applyNumberFormat="1" applyFont="1" applyBorder="1" applyAlignment="1">
      <alignment horizontal="center" vertical="center" wrapText="1"/>
    </xf>
    <xf numFmtId="0" fontId="3" fillId="0" borderId="67" xfId="1" applyNumberFormat="1" applyFont="1" applyBorder="1" applyAlignment="1">
      <alignment horizontal="center" vertical="center" wrapText="1"/>
    </xf>
    <xf numFmtId="0" fontId="3" fillId="0" borderId="34" xfId="0" applyFont="1" applyBorder="1" applyAlignment="1">
      <alignment horizontal="center" vertical="center" wrapText="1"/>
    </xf>
    <xf numFmtId="0" fontId="3" fillId="0" borderId="63" xfId="0" applyFont="1" applyBorder="1" applyAlignment="1">
      <alignment horizontal="center" vertical="center" wrapText="1"/>
    </xf>
    <xf numFmtId="0" fontId="3" fillId="0" borderId="60" xfId="0" applyFont="1" applyBorder="1" applyAlignment="1">
      <alignment horizontal="center" vertical="center" wrapText="1"/>
    </xf>
    <xf numFmtId="0" fontId="5" fillId="0" borderId="59" xfId="0" applyNumberFormat="1" applyFont="1" applyBorder="1" applyAlignment="1">
      <alignment horizontal="center" vertical="center" wrapText="1"/>
    </xf>
    <xf numFmtId="0" fontId="5" fillId="0" borderId="73" xfId="0" applyNumberFormat="1" applyFont="1" applyBorder="1" applyAlignment="1">
      <alignment horizontal="center" vertical="center" wrapText="1"/>
    </xf>
    <xf numFmtId="0" fontId="12" fillId="0" borderId="30" xfId="0" applyNumberFormat="1" applyFont="1" applyBorder="1" applyAlignment="1">
      <alignment horizontal="center" vertical="center" wrapText="1"/>
    </xf>
    <xf numFmtId="0" fontId="5" fillId="0" borderId="63" xfId="0" applyFont="1" applyBorder="1" applyAlignment="1">
      <alignment horizontal="center" vertical="center" wrapText="1"/>
    </xf>
    <xf numFmtId="0" fontId="5" fillId="0" borderId="60" xfId="0" applyFont="1" applyBorder="1" applyAlignment="1">
      <alignment horizontal="center" vertical="center" wrapText="1"/>
    </xf>
    <xf numFmtId="0" fontId="7" fillId="2" borderId="13" xfId="0" applyNumberFormat="1" applyFont="1" applyFill="1" applyBorder="1" applyAlignment="1">
      <alignment horizontal="left" vertical="center" wrapText="1"/>
    </xf>
    <xf numFmtId="0" fontId="7" fillId="0" borderId="13" xfId="0" applyFont="1" applyBorder="1" applyAlignment="1">
      <alignment horizontal="left" vertical="center" wrapText="1"/>
    </xf>
    <xf numFmtId="0" fontId="7" fillId="0" borderId="68" xfId="0" applyFont="1" applyBorder="1" applyAlignment="1">
      <alignment horizontal="left" vertical="center" wrapText="1"/>
    </xf>
    <xf numFmtId="0" fontId="12" fillId="0" borderId="30" xfId="0" applyFont="1" applyBorder="1" applyAlignment="1">
      <alignment horizontal="center" vertical="center"/>
    </xf>
    <xf numFmtId="0" fontId="5" fillId="0" borderId="22" xfId="0" applyNumberFormat="1" applyFont="1" applyBorder="1" applyAlignment="1">
      <alignment horizontal="center" vertical="center" wrapText="1"/>
    </xf>
    <xf numFmtId="0" fontId="5" fillId="0" borderId="33" xfId="0" applyFont="1" applyBorder="1" applyAlignment="1">
      <alignment horizontal="center" vertical="center" wrapText="1"/>
    </xf>
    <xf numFmtId="0" fontId="5" fillId="0" borderId="67" xfId="0" applyFont="1" applyBorder="1" applyAlignment="1">
      <alignment horizontal="center" vertical="center" wrapText="1"/>
    </xf>
    <xf numFmtId="0" fontId="3" fillId="0" borderId="34" xfId="0" applyNumberFormat="1" applyFont="1" applyBorder="1" applyAlignment="1">
      <alignment horizontal="center" wrapText="1"/>
    </xf>
    <xf numFmtId="0" fontId="3" fillId="0" borderId="63" xfId="0" applyNumberFormat="1" applyFont="1" applyBorder="1" applyAlignment="1">
      <alignment horizontal="center" wrapText="1"/>
    </xf>
    <xf numFmtId="0" fontId="3" fillId="0" borderId="60" xfId="0" applyNumberFormat="1" applyFont="1" applyBorder="1" applyAlignment="1">
      <alignment horizontal="center" wrapText="1"/>
    </xf>
    <xf numFmtId="0" fontId="10" fillId="0" borderId="24" xfId="0" applyNumberFormat="1" applyFont="1" applyFill="1" applyBorder="1" applyAlignment="1">
      <alignment wrapText="1"/>
    </xf>
    <xf numFmtId="0" fontId="5" fillId="0" borderId="22" xfId="0" applyFont="1" applyBorder="1" applyAlignment="1">
      <alignment horizontal="center" vertical="center" wrapText="1"/>
    </xf>
    <xf numFmtId="0" fontId="7" fillId="2" borderId="13" xfId="1" applyNumberFormat="1" applyFont="1" applyFill="1" applyBorder="1" applyAlignment="1">
      <alignment horizontal="left" vertical="center" wrapText="1"/>
    </xf>
    <xf numFmtId="0" fontId="7" fillId="0" borderId="13" xfId="1" applyFont="1" applyBorder="1" applyAlignment="1">
      <alignment horizontal="left" vertical="center" wrapText="1"/>
    </xf>
    <xf numFmtId="0" fontId="7" fillId="0" borderId="68" xfId="1" applyFont="1" applyBorder="1" applyAlignment="1">
      <alignment horizontal="left" vertical="center" wrapText="1"/>
    </xf>
    <xf numFmtId="0" fontId="10" fillId="0" borderId="0" xfId="1" applyNumberFormat="1" applyFont="1" applyFill="1" applyBorder="1" applyAlignment="1">
      <alignment wrapText="1"/>
    </xf>
    <xf numFmtId="0" fontId="12" fillId="0" borderId="0" xfId="1" applyNumberFormat="1" applyFont="1" applyAlignment="1">
      <alignment horizontal="center" vertical="center" wrapText="1"/>
    </xf>
    <xf numFmtId="0" fontId="3" fillId="0" borderId="63" xfId="1" applyNumberFormat="1" applyFont="1" applyBorder="1" applyAlignment="1">
      <alignment horizontal="center" vertical="center" wrapText="1"/>
    </xf>
    <xf numFmtId="0" fontId="3" fillId="0" borderId="60" xfId="1" applyNumberFormat="1" applyFont="1" applyBorder="1" applyAlignment="1">
      <alignment horizontal="center" vertical="center" wrapText="1"/>
    </xf>
    <xf numFmtId="0" fontId="5" fillId="0" borderId="66" xfId="0" applyNumberFormat="1" applyFont="1" applyBorder="1" applyAlignment="1">
      <alignment horizontal="center" vertical="center" wrapText="1"/>
    </xf>
    <xf numFmtId="0" fontId="3" fillId="0" borderId="34" xfId="1" applyNumberFormat="1" applyFont="1" applyBorder="1" applyAlignment="1">
      <alignment horizontal="center" vertical="center" wrapText="1"/>
    </xf>
    <xf numFmtId="0" fontId="18" fillId="0" borderId="30" xfId="1" applyFont="1" applyBorder="1" applyAlignment="1">
      <alignment horizontal="center" vertical="center"/>
    </xf>
    <xf numFmtId="0" fontId="7" fillId="2" borderId="13" xfId="1" applyNumberFormat="1" applyFont="1" applyFill="1" applyBorder="1" applyAlignment="1">
      <alignment horizontal="center" vertical="center" wrapText="1"/>
    </xf>
    <xf numFmtId="0" fontId="16" fillId="0" borderId="24" xfId="0" applyNumberFormat="1" applyFont="1" applyBorder="1" applyAlignment="1">
      <alignment wrapText="1"/>
    </xf>
    <xf numFmtId="0" fontId="16" fillId="0" borderId="24" xfId="0" applyFont="1" applyBorder="1" applyAlignment="1">
      <alignment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16314779270639"/>
          <c:y val="0.15718198779955272"/>
          <c:w val="0.86564299424184321"/>
          <c:h val="0.71544904791520569"/>
        </c:manualLayout>
      </c:layout>
      <c:lineChart>
        <c:grouping val="standard"/>
        <c:varyColors val="0"/>
        <c:ser>
          <c:idx val="1"/>
          <c:order val="0"/>
          <c:spPr>
            <a:ln w="25400">
              <a:solidFill>
                <a:srgbClr val="000000"/>
              </a:solidFill>
              <a:prstDash val="solid"/>
            </a:ln>
          </c:spPr>
          <c:marker>
            <c:symbol val="square"/>
            <c:size val="5"/>
            <c:spPr>
              <a:solidFill>
                <a:srgbClr val="FFFFFF"/>
              </a:solidFill>
              <a:ln>
                <a:solidFill>
                  <a:srgbClr val="000000"/>
                </a:solidFill>
                <a:prstDash val="solid"/>
              </a:ln>
            </c:spPr>
          </c:marker>
          <c:dLbls>
            <c:dLbl>
              <c:idx val="0"/>
              <c:layout>
                <c:manualLayout>
                  <c:x val="-4.6998784933171417E-2"/>
                  <c:y val="-4.6070460704607047E-2"/>
                </c:manualLayout>
              </c:layout>
              <c:dLblPos val="r"/>
              <c:showLegendKey val="0"/>
              <c:showVal val="1"/>
              <c:showCatName val="0"/>
              <c:showSerName val="0"/>
              <c:showPercent val="0"/>
              <c:showBubbleSize val="0"/>
            </c:dLbl>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'SOSC-jb'!$N$5:$R$5</c:f>
              <c:strCache>
                <c:ptCount val="5"/>
                <c:pt idx="0">
                  <c:v>2011-12</c:v>
                </c:pt>
                <c:pt idx="1">
                  <c:v>2012-13</c:v>
                </c:pt>
                <c:pt idx="2">
                  <c:v>2013-14</c:v>
                </c:pt>
                <c:pt idx="3">
                  <c:v>2014-15</c:v>
                </c:pt>
                <c:pt idx="4">
                  <c:v>2015-16</c:v>
                </c:pt>
              </c:strCache>
            </c:strRef>
          </c:cat>
          <c:val>
            <c:numRef>
              <c:f>'SOSC-jb'!$N$30:$R$30</c:f>
              <c:numCache>
                <c:formatCode>#,##0</c:formatCode>
                <c:ptCount val="5"/>
                <c:pt idx="0">
                  <c:v>4774</c:v>
                </c:pt>
                <c:pt idx="1">
                  <c:v>4830</c:v>
                </c:pt>
                <c:pt idx="2">
                  <c:v>4875</c:v>
                </c:pt>
                <c:pt idx="3">
                  <c:v>5052</c:v>
                </c:pt>
                <c:pt idx="4">
                  <c:v>4906</c:v>
                </c:pt>
              </c:numCache>
            </c:numRef>
          </c:val>
          <c:smooth val="0"/>
        </c:ser>
        <c:dLbls>
          <c:showLegendKey val="0"/>
          <c:showVal val="0"/>
          <c:showCatName val="0"/>
          <c:showSerName val="0"/>
          <c:showPercent val="0"/>
          <c:showBubbleSize val="0"/>
        </c:dLbls>
        <c:marker val="1"/>
        <c:smooth val="0"/>
        <c:axId val="108678528"/>
        <c:axId val="110142592"/>
      </c:lineChart>
      <c:catAx>
        <c:axId val="108678528"/>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MT"/>
                <a:ea typeface="Arial MT"/>
                <a:cs typeface="Arial MT"/>
              </a:defRPr>
            </a:pPr>
            <a:endParaRPr lang="en-US"/>
          </a:p>
        </c:txPr>
        <c:crossAx val="110142592"/>
        <c:crosses val="autoZero"/>
        <c:auto val="0"/>
        <c:lblAlgn val="ctr"/>
        <c:lblOffset val="100"/>
        <c:tickLblSkip val="1"/>
        <c:tickMarkSkip val="1"/>
        <c:noMultiLvlLbl val="0"/>
      </c:catAx>
      <c:valAx>
        <c:axId val="110142592"/>
        <c:scaling>
          <c:orientation val="minMax"/>
          <c:max val="6000"/>
          <c:min val="4000"/>
        </c:scaling>
        <c:delete val="0"/>
        <c:axPos val="l"/>
        <c:numFmt formatCode="#,##0" sourceLinked="0"/>
        <c:majorTickMark val="in"/>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MT"/>
                <a:ea typeface="Arial MT"/>
                <a:cs typeface="Arial MT"/>
              </a:defRPr>
            </a:pPr>
            <a:endParaRPr lang="en-US"/>
          </a:p>
        </c:txPr>
        <c:crossAx val="108678528"/>
        <c:crosses val="autoZero"/>
        <c:crossBetween val="between"/>
        <c:majorUnit val="50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8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Arial"/>
                <a:ea typeface="Arial"/>
                <a:cs typeface="Arial"/>
              </a:defRPr>
            </a:pPr>
            <a:r>
              <a:rPr lang="en-US" sz="1025" b="1" i="0" u="none" strike="noStrike" baseline="0">
                <a:solidFill>
                  <a:srgbClr val="000000"/>
                </a:solidFill>
                <a:latin typeface="Arial"/>
                <a:cs typeface="Arial"/>
              </a:rPr>
              <a:t>Proportionate Share of Total Enrolments, </a:t>
            </a:r>
          </a:p>
          <a:p>
            <a:pPr>
              <a:defRPr sz="800" b="0" i="0" u="none" strike="noStrike" baseline="0">
                <a:solidFill>
                  <a:srgbClr val="000000"/>
                </a:solidFill>
                <a:latin typeface="Arial"/>
                <a:ea typeface="Arial"/>
                <a:cs typeface="Arial"/>
              </a:defRPr>
            </a:pPr>
            <a:r>
              <a:rPr lang="en-US" sz="1025" b="1" i="0" u="none" strike="noStrike" baseline="0">
                <a:solidFill>
                  <a:srgbClr val="000000"/>
                </a:solidFill>
                <a:latin typeface="Arial"/>
                <a:cs typeface="Arial"/>
              </a:rPr>
              <a:t>by Major and Academic Year </a:t>
            </a:r>
          </a:p>
        </c:rich>
      </c:tx>
      <c:layout>
        <c:manualLayout>
          <c:xMode val="edge"/>
          <c:yMode val="edge"/>
          <c:x val="0.16306997058438574"/>
          <c:y val="2.8880866425992802E-2"/>
        </c:manualLayout>
      </c:layout>
      <c:overlay val="0"/>
      <c:spPr>
        <a:noFill/>
        <a:ln w="25400">
          <a:noFill/>
        </a:ln>
      </c:spPr>
    </c:title>
    <c:autoTitleDeleted val="0"/>
    <c:plotArea>
      <c:layout>
        <c:manualLayout>
          <c:layoutTarget val="inner"/>
          <c:xMode val="edge"/>
          <c:yMode val="edge"/>
          <c:x val="0.11945110707315432"/>
          <c:y val="0.18832731648616124"/>
          <c:w val="0.68825101227848917"/>
          <c:h val="0.73285198555956754"/>
        </c:manualLayout>
      </c:layout>
      <c:barChart>
        <c:barDir val="col"/>
        <c:grouping val="percentStacked"/>
        <c:varyColors val="0"/>
        <c:ser>
          <c:idx val="12"/>
          <c:order val="0"/>
          <c:tx>
            <c:strRef>
              <c:f>'sosc sum-jb '!$U$19</c:f>
              <c:strCache>
                <c:ptCount val="1"/>
                <c:pt idx="0">
                  <c:v>GENL</c:v>
                </c:pt>
              </c:strCache>
            </c:strRef>
          </c:tx>
          <c:invertIfNegative val="0"/>
          <c:cat>
            <c:strRef>
              <c:f>'sosc sum-jb '!$H$5:$L$5</c:f>
              <c:strCache>
                <c:ptCount val="5"/>
                <c:pt idx="0">
                  <c:v>2011-12</c:v>
                </c:pt>
                <c:pt idx="1">
                  <c:v>2012-13</c:v>
                </c:pt>
                <c:pt idx="2">
                  <c:v>2013-14</c:v>
                </c:pt>
                <c:pt idx="3">
                  <c:v>2014-15</c:v>
                </c:pt>
                <c:pt idx="4">
                  <c:v>2015-16</c:v>
                </c:pt>
              </c:strCache>
            </c:strRef>
          </c:cat>
          <c:val>
            <c:numRef>
              <c:f>'sosc sum-jb '!$H$19:$L$19</c:f>
              <c:numCache>
                <c:formatCode>#,##0</c:formatCode>
                <c:ptCount val="5"/>
                <c:pt idx="0">
                  <c:v>562</c:v>
                </c:pt>
                <c:pt idx="1">
                  <c:v>518</c:v>
                </c:pt>
                <c:pt idx="2">
                  <c:v>468</c:v>
                </c:pt>
                <c:pt idx="3">
                  <c:v>418</c:v>
                </c:pt>
                <c:pt idx="4">
                  <c:v>424</c:v>
                </c:pt>
              </c:numCache>
            </c:numRef>
          </c:val>
        </c:ser>
        <c:ser>
          <c:idx val="11"/>
          <c:order val="1"/>
          <c:tx>
            <c:strRef>
              <c:f>'sosc sum-jb '!$U$18</c:f>
              <c:strCache>
                <c:ptCount val="1"/>
                <c:pt idx="0">
                  <c:v>WISE</c:v>
                </c:pt>
              </c:strCache>
            </c:strRef>
          </c:tx>
          <c:invertIfNegative val="0"/>
          <c:cat>
            <c:strRef>
              <c:f>'sosc sum-jb '!$H$5:$L$5</c:f>
              <c:strCache>
                <c:ptCount val="5"/>
                <c:pt idx="0">
                  <c:v>2011-12</c:v>
                </c:pt>
                <c:pt idx="1">
                  <c:v>2012-13</c:v>
                </c:pt>
                <c:pt idx="2">
                  <c:v>2013-14</c:v>
                </c:pt>
                <c:pt idx="3">
                  <c:v>2014-15</c:v>
                </c:pt>
                <c:pt idx="4">
                  <c:v>2015-16</c:v>
                </c:pt>
              </c:strCache>
            </c:strRef>
          </c:cat>
          <c:val>
            <c:numRef>
              <c:f>'sosc sum-jb '!$H$18:$L$18</c:f>
              <c:numCache>
                <c:formatCode>#,##0</c:formatCode>
                <c:ptCount val="5"/>
                <c:pt idx="0">
                  <c:v>36</c:v>
                </c:pt>
                <c:pt idx="1">
                  <c:v>44</c:v>
                </c:pt>
                <c:pt idx="2">
                  <c:v>46</c:v>
                </c:pt>
                <c:pt idx="3">
                  <c:v>48</c:v>
                </c:pt>
                <c:pt idx="4">
                  <c:v>39</c:v>
                </c:pt>
              </c:numCache>
            </c:numRef>
          </c:val>
        </c:ser>
        <c:ser>
          <c:idx val="10"/>
          <c:order val="2"/>
          <c:tx>
            <c:strRef>
              <c:f>'sosc sum-jb '!$U$17</c:f>
              <c:strCache>
                <c:ptCount val="1"/>
                <c:pt idx="0">
                  <c:v>TREN</c:v>
                </c:pt>
              </c:strCache>
            </c:strRef>
          </c:tx>
          <c:invertIfNegative val="0"/>
          <c:cat>
            <c:strRef>
              <c:f>'sosc sum-jb '!$H$5:$L$5</c:f>
              <c:strCache>
                <c:ptCount val="5"/>
                <c:pt idx="0">
                  <c:v>2011-12</c:v>
                </c:pt>
                <c:pt idx="1">
                  <c:v>2012-13</c:v>
                </c:pt>
                <c:pt idx="2">
                  <c:v>2013-14</c:v>
                </c:pt>
                <c:pt idx="3">
                  <c:v>2014-15</c:v>
                </c:pt>
                <c:pt idx="4">
                  <c:v>2015-16</c:v>
                </c:pt>
              </c:strCache>
            </c:strRef>
          </c:cat>
          <c:val>
            <c:numRef>
              <c:f>'sosc sum-jb '!$H$17:$L$17</c:f>
              <c:numCache>
                <c:formatCode>#,##0</c:formatCode>
                <c:ptCount val="5"/>
                <c:pt idx="0">
                  <c:v>167</c:v>
                </c:pt>
                <c:pt idx="1">
                  <c:v>119</c:v>
                </c:pt>
                <c:pt idx="2">
                  <c:v>83</c:v>
                </c:pt>
                <c:pt idx="3">
                  <c:v>81</c:v>
                </c:pt>
                <c:pt idx="4">
                  <c:v>76</c:v>
                </c:pt>
              </c:numCache>
            </c:numRef>
          </c:val>
        </c:ser>
        <c:ser>
          <c:idx val="9"/>
          <c:order val="3"/>
          <c:tx>
            <c:strRef>
              <c:f>'sosc sum-jb '!$U$16</c:f>
              <c:strCache>
                <c:ptCount val="1"/>
                <c:pt idx="0">
                  <c:v>SOCI</c:v>
                </c:pt>
              </c:strCache>
            </c:strRef>
          </c:tx>
          <c:spPr>
            <a:pattFill prst="pct75">
              <a:fgClr>
                <a:schemeClr val="tx2"/>
              </a:fgClr>
              <a:bgClr>
                <a:schemeClr val="bg1"/>
              </a:bgClr>
            </a:pattFill>
            <a:ln>
              <a:solidFill>
                <a:schemeClr val="tx2"/>
              </a:solidFill>
            </a:ln>
          </c:spPr>
          <c:invertIfNegative val="0"/>
          <c:cat>
            <c:strRef>
              <c:f>'sosc sum-jb '!$H$5:$L$5</c:f>
              <c:strCache>
                <c:ptCount val="5"/>
                <c:pt idx="0">
                  <c:v>2011-12</c:v>
                </c:pt>
                <c:pt idx="1">
                  <c:v>2012-13</c:v>
                </c:pt>
                <c:pt idx="2">
                  <c:v>2013-14</c:v>
                </c:pt>
                <c:pt idx="3">
                  <c:v>2014-15</c:v>
                </c:pt>
                <c:pt idx="4">
                  <c:v>2015-16</c:v>
                </c:pt>
              </c:strCache>
            </c:strRef>
          </c:cat>
          <c:val>
            <c:numRef>
              <c:f>'sosc sum-jb '!$H$16:$L$16</c:f>
              <c:numCache>
                <c:formatCode>#,##0</c:formatCode>
                <c:ptCount val="5"/>
                <c:pt idx="0">
                  <c:v>610</c:v>
                </c:pt>
                <c:pt idx="1">
                  <c:v>596</c:v>
                </c:pt>
                <c:pt idx="2">
                  <c:v>640</c:v>
                </c:pt>
                <c:pt idx="3">
                  <c:v>601</c:v>
                </c:pt>
                <c:pt idx="4">
                  <c:v>553</c:v>
                </c:pt>
              </c:numCache>
            </c:numRef>
          </c:val>
        </c:ser>
        <c:ser>
          <c:idx val="8"/>
          <c:order val="4"/>
          <c:tx>
            <c:strRef>
              <c:f>'sosc sum-jb '!$U$15</c:f>
              <c:strCache>
                <c:ptCount val="1"/>
                <c:pt idx="0">
                  <c:v>PSYC</c:v>
                </c:pt>
              </c:strCache>
            </c:strRef>
          </c:tx>
          <c:spPr>
            <a:pattFill prst="pct25">
              <a:fgClr>
                <a:schemeClr val="accent3"/>
              </a:fgClr>
              <a:bgClr>
                <a:schemeClr val="bg1"/>
              </a:bgClr>
            </a:pattFill>
            <a:ln>
              <a:solidFill>
                <a:schemeClr val="accent3"/>
              </a:solidFill>
            </a:ln>
          </c:spPr>
          <c:invertIfNegative val="0"/>
          <c:cat>
            <c:strRef>
              <c:f>'sosc sum-jb '!$H$5:$L$5</c:f>
              <c:strCache>
                <c:ptCount val="5"/>
                <c:pt idx="0">
                  <c:v>2011-12</c:v>
                </c:pt>
                <c:pt idx="1">
                  <c:v>2012-13</c:v>
                </c:pt>
                <c:pt idx="2">
                  <c:v>2013-14</c:v>
                </c:pt>
                <c:pt idx="3">
                  <c:v>2014-15</c:v>
                </c:pt>
                <c:pt idx="4">
                  <c:v>2015-16</c:v>
                </c:pt>
              </c:strCache>
            </c:strRef>
          </c:cat>
          <c:val>
            <c:numRef>
              <c:f>'sosc sum-jb '!$H$15:$L$15</c:f>
              <c:numCache>
                <c:formatCode>#,##0</c:formatCode>
                <c:ptCount val="5"/>
                <c:pt idx="0">
                  <c:v>829</c:v>
                </c:pt>
                <c:pt idx="1">
                  <c:v>837</c:v>
                </c:pt>
                <c:pt idx="2">
                  <c:v>839</c:v>
                </c:pt>
                <c:pt idx="3">
                  <c:v>849</c:v>
                </c:pt>
                <c:pt idx="4">
                  <c:v>766</c:v>
                </c:pt>
              </c:numCache>
            </c:numRef>
          </c:val>
        </c:ser>
        <c:ser>
          <c:idx val="7"/>
          <c:order val="5"/>
          <c:tx>
            <c:strRef>
              <c:f>'sosc sum-jb '!$U$14</c:f>
              <c:strCache>
                <c:ptCount val="1"/>
                <c:pt idx="0">
                  <c:v>POLI</c:v>
                </c:pt>
              </c:strCache>
            </c:strRef>
          </c:tx>
          <c:spPr>
            <a:pattFill prst="ltUpDiag">
              <a:fgClr>
                <a:schemeClr val="accent4">
                  <a:lumMod val="60000"/>
                  <a:lumOff val="40000"/>
                </a:schemeClr>
              </a:fgClr>
              <a:bgClr>
                <a:schemeClr val="bg1"/>
              </a:bgClr>
            </a:pattFill>
            <a:ln>
              <a:solidFill>
                <a:schemeClr val="accent4">
                  <a:lumMod val="60000"/>
                  <a:lumOff val="40000"/>
                </a:schemeClr>
              </a:solidFill>
            </a:ln>
          </c:spPr>
          <c:invertIfNegative val="0"/>
          <c:cat>
            <c:strRef>
              <c:f>'sosc sum-jb '!$H$5:$L$5</c:f>
              <c:strCache>
                <c:ptCount val="5"/>
                <c:pt idx="0">
                  <c:v>2011-12</c:v>
                </c:pt>
                <c:pt idx="1">
                  <c:v>2012-13</c:v>
                </c:pt>
                <c:pt idx="2">
                  <c:v>2013-14</c:v>
                </c:pt>
                <c:pt idx="3">
                  <c:v>2014-15</c:v>
                </c:pt>
                <c:pt idx="4">
                  <c:v>2015-16</c:v>
                </c:pt>
              </c:strCache>
            </c:strRef>
          </c:cat>
          <c:val>
            <c:numRef>
              <c:f>'sosc sum-jb '!$H$14:$L$14</c:f>
              <c:numCache>
                <c:formatCode>#,##0</c:formatCode>
                <c:ptCount val="5"/>
                <c:pt idx="0">
                  <c:v>477</c:v>
                </c:pt>
                <c:pt idx="1">
                  <c:v>469</c:v>
                </c:pt>
                <c:pt idx="2">
                  <c:v>419</c:v>
                </c:pt>
                <c:pt idx="3">
                  <c:v>395</c:v>
                </c:pt>
                <c:pt idx="4">
                  <c:v>362</c:v>
                </c:pt>
              </c:numCache>
            </c:numRef>
          </c:val>
        </c:ser>
        <c:ser>
          <c:idx val="6"/>
          <c:order val="6"/>
          <c:tx>
            <c:strRef>
              <c:f>'sosc sum-jb '!$U$13</c:f>
              <c:strCache>
                <c:ptCount val="1"/>
                <c:pt idx="0">
                  <c:v>NEUR</c:v>
                </c:pt>
              </c:strCache>
            </c:strRef>
          </c:tx>
          <c:spPr>
            <a:ln>
              <a:solidFill>
                <a:schemeClr val="tx2"/>
              </a:solidFill>
            </a:ln>
          </c:spPr>
          <c:invertIfNegative val="0"/>
          <c:cat>
            <c:strRef>
              <c:f>'sosc sum-jb '!$H$5:$L$5</c:f>
              <c:strCache>
                <c:ptCount val="5"/>
                <c:pt idx="0">
                  <c:v>2011-12</c:v>
                </c:pt>
                <c:pt idx="1">
                  <c:v>2012-13</c:v>
                </c:pt>
                <c:pt idx="2">
                  <c:v>2013-14</c:v>
                </c:pt>
                <c:pt idx="3">
                  <c:v>2014-15</c:v>
                </c:pt>
                <c:pt idx="4">
                  <c:v>2015-16</c:v>
                </c:pt>
              </c:strCache>
            </c:strRef>
          </c:cat>
          <c:val>
            <c:numRef>
              <c:f>'sosc sum-jb '!$H$13:$L$13</c:f>
              <c:numCache>
                <c:formatCode>#,##0</c:formatCode>
                <c:ptCount val="5"/>
                <c:pt idx="0">
                  <c:v>85</c:v>
                </c:pt>
                <c:pt idx="1">
                  <c:v>91</c:v>
                </c:pt>
                <c:pt idx="2">
                  <c:v>115</c:v>
                </c:pt>
                <c:pt idx="3">
                  <c:v>131</c:v>
                </c:pt>
                <c:pt idx="4">
                  <c:v>138</c:v>
                </c:pt>
              </c:numCache>
            </c:numRef>
          </c:val>
        </c:ser>
        <c:ser>
          <c:idx val="0"/>
          <c:order val="7"/>
          <c:tx>
            <c:strRef>
              <c:f>'sosc sum-jb '!$U$12</c:f>
              <c:strCache>
                <c:ptCount val="1"/>
                <c:pt idx="0">
                  <c:v>LABR</c:v>
                </c:pt>
              </c:strCache>
            </c:strRef>
          </c:tx>
          <c:spPr>
            <a:pattFill prst="pct60">
              <a:fgClr>
                <a:schemeClr val="accent2">
                  <a:lumMod val="50000"/>
                </a:schemeClr>
              </a:fgClr>
              <a:bgClr>
                <a:schemeClr val="bg1"/>
              </a:bgClr>
            </a:pattFill>
            <a:ln>
              <a:solidFill>
                <a:schemeClr val="accent2">
                  <a:lumMod val="50000"/>
                </a:schemeClr>
              </a:solidFill>
            </a:ln>
          </c:spPr>
          <c:invertIfNegative val="0"/>
          <c:cat>
            <c:strRef>
              <c:f>'sosc sum-jb '!$H$5:$L$5</c:f>
              <c:strCache>
                <c:ptCount val="5"/>
                <c:pt idx="0">
                  <c:v>2011-12</c:v>
                </c:pt>
                <c:pt idx="1">
                  <c:v>2012-13</c:v>
                </c:pt>
                <c:pt idx="2">
                  <c:v>2013-14</c:v>
                </c:pt>
                <c:pt idx="3">
                  <c:v>2014-15</c:v>
                </c:pt>
                <c:pt idx="4">
                  <c:v>2015-16</c:v>
                </c:pt>
              </c:strCache>
            </c:strRef>
          </c:cat>
          <c:val>
            <c:numRef>
              <c:f>'sosc sum-jb '!$H$12:$L$12</c:f>
              <c:numCache>
                <c:formatCode>#,##0</c:formatCode>
                <c:ptCount val="5"/>
                <c:pt idx="0">
                  <c:v>46</c:v>
                </c:pt>
                <c:pt idx="1">
                  <c:v>80</c:v>
                </c:pt>
                <c:pt idx="2">
                  <c:v>110</c:v>
                </c:pt>
                <c:pt idx="3">
                  <c:v>118</c:v>
                </c:pt>
                <c:pt idx="4">
                  <c:v>128</c:v>
                </c:pt>
              </c:numCache>
            </c:numRef>
          </c:val>
        </c:ser>
        <c:ser>
          <c:idx val="1"/>
          <c:order val="8"/>
          <c:tx>
            <c:strRef>
              <c:f>'sosc sum-jb '!$U$11</c:f>
              <c:strCache>
                <c:ptCount val="1"/>
                <c:pt idx="0">
                  <c:v>GEOG</c:v>
                </c:pt>
              </c:strCache>
            </c:strRef>
          </c:tx>
          <c:spPr>
            <a:pattFill prst="pct60">
              <a:fgClr>
                <a:schemeClr val="accent6"/>
              </a:fgClr>
              <a:bgClr>
                <a:schemeClr val="bg1"/>
              </a:bgClr>
            </a:pattFill>
            <a:ln w="12700">
              <a:solidFill>
                <a:schemeClr val="accent6"/>
              </a:solidFill>
              <a:prstDash val="solid"/>
            </a:ln>
          </c:spPr>
          <c:invertIfNegative val="0"/>
          <c:cat>
            <c:strRef>
              <c:f>'sosc sum-jb '!$H$5:$L$5</c:f>
              <c:strCache>
                <c:ptCount val="5"/>
                <c:pt idx="0">
                  <c:v>2011-12</c:v>
                </c:pt>
                <c:pt idx="1">
                  <c:v>2012-13</c:v>
                </c:pt>
                <c:pt idx="2">
                  <c:v>2013-14</c:v>
                </c:pt>
                <c:pt idx="3">
                  <c:v>2014-15</c:v>
                </c:pt>
                <c:pt idx="4">
                  <c:v>2015-16</c:v>
                </c:pt>
              </c:strCache>
            </c:strRef>
          </c:cat>
          <c:val>
            <c:numRef>
              <c:f>'sosc sum-jb '!$H$11:$L$11</c:f>
              <c:numCache>
                <c:formatCode>#,##0</c:formatCode>
                <c:ptCount val="5"/>
                <c:pt idx="0">
                  <c:v>255</c:v>
                </c:pt>
                <c:pt idx="1">
                  <c:v>216</c:v>
                </c:pt>
                <c:pt idx="2">
                  <c:v>227</c:v>
                </c:pt>
                <c:pt idx="3">
                  <c:v>180</c:v>
                </c:pt>
                <c:pt idx="4">
                  <c:v>172</c:v>
                </c:pt>
              </c:numCache>
            </c:numRef>
          </c:val>
        </c:ser>
        <c:ser>
          <c:idx val="2"/>
          <c:order val="9"/>
          <c:tx>
            <c:strRef>
              <c:f>'sosc sum-jb '!$U$10</c:f>
              <c:strCache>
                <c:ptCount val="1"/>
                <c:pt idx="0">
                  <c:v>ECON</c:v>
                </c:pt>
              </c:strCache>
            </c:strRef>
          </c:tx>
          <c:spPr>
            <a:solidFill>
              <a:srgbClr val="FFFFCC"/>
            </a:solidFill>
            <a:ln w="12700">
              <a:solidFill>
                <a:srgbClr val="000000"/>
              </a:solidFill>
              <a:prstDash val="solid"/>
            </a:ln>
          </c:spPr>
          <c:invertIfNegative val="0"/>
          <c:cat>
            <c:strRef>
              <c:f>'sosc sum-jb '!$H$5:$L$5</c:f>
              <c:strCache>
                <c:ptCount val="5"/>
                <c:pt idx="0">
                  <c:v>2011-12</c:v>
                </c:pt>
                <c:pt idx="1">
                  <c:v>2012-13</c:v>
                </c:pt>
                <c:pt idx="2">
                  <c:v>2013-14</c:v>
                </c:pt>
                <c:pt idx="3">
                  <c:v>2014-15</c:v>
                </c:pt>
                <c:pt idx="4">
                  <c:v>2015-16</c:v>
                </c:pt>
              </c:strCache>
            </c:strRef>
          </c:cat>
          <c:val>
            <c:numRef>
              <c:f>'sosc sum-jb '!$H$10:$L$10</c:f>
              <c:numCache>
                <c:formatCode>#,##0</c:formatCode>
                <c:ptCount val="5"/>
                <c:pt idx="0">
                  <c:v>227</c:v>
                </c:pt>
                <c:pt idx="1">
                  <c:v>227</c:v>
                </c:pt>
                <c:pt idx="2">
                  <c:v>239</c:v>
                </c:pt>
                <c:pt idx="3">
                  <c:v>257</c:v>
                </c:pt>
                <c:pt idx="4">
                  <c:v>292</c:v>
                </c:pt>
              </c:numCache>
            </c:numRef>
          </c:val>
        </c:ser>
        <c:ser>
          <c:idx val="3"/>
          <c:order val="10"/>
          <c:tx>
            <c:strRef>
              <c:f>'sosc sum-jb '!$U$9</c:f>
              <c:strCache>
                <c:ptCount val="1"/>
                <c:pt idx="0">
                  <c:v>CPCF</c:v>
                </c:pt>
              </c:strCache>
            </c:strRef>
          </c:tx>
          <c:spPr>
            <a:pattFill prst="ltDnDiag">
              <a:fgClr>
                <a:srgbClr val="00FFFF"/>
              </a:fgClr>
              <a:bgClr>
                <a:schemeClr val="bg1"/>
              </a:bgClr>
            </a:pattFill>
            <a:ln w="12700">
              <a:solidFill>
                <a:schemeClr val="accent5"/>
              </a:solidFill>
              <a:prstDash val="solid"/>
            </a:ln>
          </c:spPr>
          <c:invertIfNegative val="0"/>
          <c:cat>
            <c:strRef>
              <c:f>'sosc sum-jb '!$H$5:$L$5</c:f>
              <c:strCache>
                <c:ptCount val="5"/>
                <c:pt idx="0">
                  <c:v>2011-12</c:v>
                </c:pt>
                <c:pt idx="1">
                  <c:v>2012-13</c:v>
                </c:pt>
                <c:pt idx="2">
                  <c:v>2013-14</c:v>
                </c:pt>
                <c:pt idx="3">
                  <c:v>2014-15</c:v>
                </c:pt>
                <c:pt idx="4">
                  <c:v>2015-16</c:v>
                </c:pt>
              </c:strCache>
            </c:strRef>
          </c:cat>
          <c:val>
            <c:numRef>
              <c:f>'sosc sum-jb '!$H$9:$L$9</c:f>
              <c:numCache>
                <c:formatCode>#,##0</c:formatCode>
                <c:ptCount val="5"/>
                <c:pt idx="0">
                  <c:v>609</c:v>
                </c:pt>
                <c:pt idx="1">
                  <c:v>668</c:v>
                </c:pt>
                <c:pt idx="2">
                  <c:v>688</c:v>
                </c:pt>
                <c:pt idx="3">
                  <c:v>715</c:v>
                </c:pt>
                <c:pt idx="4">
                  <c:v>727</c:v>
                </c:pt>
              </c:numCache>
            </c:numRef>
          </c:val>
        </c:ser>
        <c:ser>
          <c:idx val="4"/>
          <c:order val="11"/>
          <c:tx>
            <c:strRef>
              <c:f>'sosc sum-jb '!$U$8</c:f>
              <c:strCache>
                <c:ptCount val="1"/>
                <c:pt idx="0">
                  <c:v>CHYS</c:v>
                </c:pt>
              </c:strCache>
            </c:strRef>
          </c:tx>
          <c:spPr>
            <a:pattFill prst="pct10">
              <a:fgClr>
                <a:srgbClr val="660066"/>
              </a:fgClr>
              <a:bgClr>
                <a:schemeClr val="bg1"/>
              </a:bgClr>
            </a:pattFill>
            <a:ln w="12700">
              <a:solidFill>
                <a:schemeClr val="accent4"/>
              </a:solidFill>
              <a:prstDash val="solid"/>
            </a:ln>
          </c:spPr>
          <c:invertIfNegative val="0"/>
          <c:cat>
            <c:strRef>
              <c:f>'sosc sum-jb '!$H$5:$L$5</c:f>
              <c:strCache>
                <c:ptCount val="5"/>
                <c:pt idx="0">
                  <c:v>2011-12</c:v>
                </c:pt>
                <c:pt idx="1">
                  <c:v>2012-13</c:v>
                </c:pt>
                <c:pt idx="2">
                  <c:v>2013-14</c:v>
                </c:pt>
                <c:pt idx="3">
                  <c:v>2014-15</c:v>
                </c:pt>
                <c:pt idx="4">
                  <c:v>2015-16</c:v>
                </c:pt>
              </c:strCache>
            </c:strRef>
          </c:cat>
          <c:val>
            <c:numRef>
              <c:f>'sosc sum-jb '!$H$8:$L$8</c:f>
              <c:numCache>
                <c:formatCode>#,##0</c:formatCode>
                <c:ptCount val="5"/>
                <c:pt idx="0">
                  <c:v>803</c:v>
                </c:pt>
                <c:pt idx="1">
                  <c:v>880</c:v>
                </c:pt>
                <c:pt idx="2">
                  <c:v>907</c:v>
                </c:pt>
                <c:pt idx="3">
                  <c:v>882</c:v>
                </c:pt>
                <c:pt idx="4">
                  <c:v>912</c:v>
                </c:pt>
              </c:numCache>
            </c:numRef>
          </c:val>
        </c:ser>
        <c:ser>
          <c:idx val="5"/>
          <c:order val="12"/>
          <c:tx>
            <c:strRef>
              <c:f>'sosc sum-jb '!$U$7</c:f>
              <c:strCache>
                <c:ptCount val="1"/>
                <c:pt idx="0">
                  <c:v>BECO</c:v>
                </c:pt>
              </c:strCache>
            </c:strRef>
          </c:tx>
          <c:spPr>
            <a:pattFill prst="dkDnDiag">
              <a:fgClr>
                <a:schemeClr val="accent2"/>
              </a:fgClr>
              <a:bgClr>
                <a:schemeClr val="bg1"/>
              </a:bgClr>
            </a:pattFill>
            <a:ln w="12700">
              <a:solidFill>
                <a:schemeClr val="accent2"/>
              </a:solidFill>
              <a:prstDash val="solid"/>
            </a:ln>
          </c:spPr>
          <c:invertIfNegative val="0"/>
          <c:cat>
            <c:strRef>
              <c:f>'sosc sum-jb '!$H$5:$L$5</c:f>
              <c:strCache>
                <c:ptCount val="5"/>
                <c:pt idx="0">
                  <c:v>2011-12</c:v>
                </c:pt>
                <c:pt idx="1">
                  <c:v>2012-13</c:v>
                </c:pt>
                <c:pt idx="2">
                  <c:v>2013-14</c:v>
                </c:pt>
                <c:pt idx="3">
                  <c:v>2014-15</c:v>
                </c:pt>
                <c:pt idx="4">
                  <c:v>2015-16</c:v>
                </c:pt>
              </c:strCache>
            </c:strRef>
          </c:cat>
          <c:val>
            <c:numRef>
              <c:f>'sosc sum-jb '!$H$7:$L$7</c:f>
              <c:numCache>
                <c:formatCode>#,##0</c:formatCode>
                <c:ptCount val="5"/>
                <c:pt idx="0">
                  <c:v>166</c:v>
                </c:pt>
                <c:pt idx="1">
                  <c:v>180</c:v>
                </c:pt>
                <c:pt idx="2">
                  <c:v>182</c:v>
                </c:pt>
                <c:pt idx="3">
                  <c:v>233</c:v>
                </c:pt>
                <c:pt idx="4">
                  <c:v>194</c:v>
                </c:pt>
              </c:numCache>
            </c:numRef>
          </c:val>
        </c:ser>
        <c:ser>
          <c:idx val="13"/>
          <c:order val="13"/>
          <c:tx>
            <c:v>APLS</c:v>
          </c:tx>
          <c:invertIfNegative val="0"/>
          <c:val>
            <c:numRef>
              <c:f>'sosc sum-jb '!$V$6:$Z$6</c:f>
              <c:numCache>
                <c:formatCode>General</c:formatCode>
                <c:ptCount val="5"/>
                <c:pt idx="4">
                  <c:v>238</c:v>
                </c:pt>
              </c:numCache>
            </c:numRef>
          </c:val>
        </c:ser>
        <c:dLbls>
          <c:showLegendKey val="0"/>
          <c:showVal val="0"/>
          <c:showCatName val="0"/>
          <c:showSerName val="0"/>
          <c:showPercent val="0"/>
          <c:showBubbleSize val="0"/>
        </c:dLbls>
        <c:gapWidth val="150"/>
        <c:overlap val="100"/>
        <c:serLines>
          <c:spPr>
            <a:ln w="3175">
              <a:solidFill>
                <a:srgbClr val="000000"/>
              </a:solidFill>
              <a:prstDash val="solid"/>
            </a:ln>
          </c:spPr>
        </c:serLines>
        <c:axId val="50611328"/>
        <c:axId val="50612864"/>
      </c:barChart>
      <c:catAx>
        <c:axId val="50611328"/>
        <c:scaling>
          <c:orientation val="minMax"/>
        </c:scaling>
        <c:delete val="0"/>
        <c:axPos val="b"/>
        <c:numFmt formatCode="@"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50612864"/>
        <c:crosses val="autoZero"/>
        <c:auto val="1"/>
        <c:lblAlgn val="ctr"/>
        <c:lblOffset val="100"/>
        <c:tickLblSkip val="1"/>
        <c:tickMarkSkip val="1"/>
        <c:noMultiLvlLbl val="0"/>
      </c:catAx>
      <c:valAx>
        <c:axId val="50612864"/>
        <c:scaling>
          <c:orientation val="minMax"/>
        </c:scaling>
        <c:delete val="0"/>
        <c:axPos val="l"/>
        <c:numFmt formatCode="0%"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50611328"/>
        <c:crosses val="autoZero"/>
        <c:crossBetween val="between"/>
        <c:majorUnit val="0.2"/>
      </c:valAx>
      <c:spPr>
        <a:noFill/>
        <a:ln w="25400">
          <a:noFill/>
        </a:ln>
      </c:spPr>
    </c:plotArea>
    <c:legend>
      <c:legendPos val="r"/>
      <c:layout>
        <c:manualLayout>
          <c:xMode val="edge"/>
          <c:yMode val="edge"/>
          <c:x val="0.83311221647166223"/>
          <c:y val="0.42478941034897716"/>
          <c:w val="0.13007487590216876"/>
          <c:h val="0.51271768269243279"/>
        </c:manualLayout>
      </c:layout>
      <c:overlay val="0"/>
      <c:spPr>
        <a:solidFill>
          <a:srgbClr val="FFFFFF"/>
        </a:solidFill>
        <a:ln w="25400">
          <a:noFill/>
        </a:ln>
      </c:spPr>
      <c:txPr>
        <a:bodyPr/>
        <a:lstStyle/>
        <a:p>
          <a:pPr>
            <a:defRPr sz="8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&amp;R&amp;"Trebuchet MS,Regular"Enrolment Report Fall 2010</c:oddHeader>
    </c:headerFooter>
    <c:pageMargins b="0.5" l="0.5" r="0.5" t="0.5" header="0.30000000000000032" footer="0.30000000000000032"/>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Arial"/>
                <a:ea typeface="Arial"/>
                <a:cs typeface="Arial"/>
              </a:defRPr>
            </a:pPr>
            <a:r>
              <a:rPr lang="en-US" sz="1025" b="1" i="0" u="none" strike="noStrike" baseline="0">
                <a:solidFill>
                  <a:srgbClr val="000000"/>
                </a:solidFill>
                <a:latin typeface="Arial"/>
                <a:cs typeface="Arial"/>
              </a:rPr>
              <a:t>Total Enrolments, </a:t>
            </a:r>
          </a:p>
          <a:p>
            <a:pPr>
              <a:defRPr sz="800" b="0" i="0" u="none" strike="noStrike" baseline="0">
                <a:solidFill>
                  <a:srgbClr val="000000"/>
                </a:solidFill>
                <a:latin typeface="Arial"/>
                <a:ea typeface="Arial"/>
                <a:cs typeface="Arial"/>
              </a:defRPr>
            </a:pPr>
            <a:r>
              <a:rPr lang="en-US" sz="1025" b="1" i="0" u="none" strike="noStrike" baseline="0">
                <a:solidFill>
                  <a:srgbClr val="000000"/>
                </a:solidFill>
                <a:latin typeface="Arial"/>
                <a:cs typeface="Arial"/>
              </a:rPr>
              <a:t>by Major and Academic Year </a:t>
            </a:r>
          </a:p>
        </c:rich>
      </c:tx>
      <c:layout>
        <c:manualLayout>
          <c:xMode val="edge"/>
          <c:yMode val="edge"/>
          <c:x val="0.2486479605753672"/>
          <c:y val="2.8880866425992802E-2"/>
        </c:manualLayout>
      </c:layout>
      <c:overlay val="0"/>
      <c:spPr>
        <a:noFill/>
        <a:ln w="25400">
          <a:noFill/>
        </a:ln>
      </c:spPr>
    </c:title>
    <c:autoTitleDeleted val="0"/>
    <c:plotArea>
      <c:layout>
        <c:manualLayout>
          <c:layoutTarget val="inner"/>
          <c:xMode val="edge"/>
          <c:yMode val="edge"/>
          <c:x val="0.12522035261971345"/>
          <c:y val="0.18832731648616124"/>
          <c:w val="0.68825101227848984"/>
          <c:h val="0.73285198555956765"/>
        </c:manualLayout>
      </c:layout>
      <c:lineChart>
        <c:grouping val="standard"/>
        <c:varyColors val="0"/>
        <c:ser>
          <c:idx val="13"/>
          <c:order val="0"/>
          <c:tx>
            <c:v>APLS</c:v>
          </c:tx>
          <c:val>
            <c:numRef>
              <c:f>'sosc sum-jb '!$V$6:$Z$6</c:f>
              <c:numCache>
                <c:formatCode>General</c:formatCode>
                <c:ptCount val="5"/>
                <c:pt idx="4">
                  <c:v>238</c:v>
                </c:pt>
              </c:numCache>
            </c:numRef>
          </c:val>
          <c:smooth val="0"/>
        </c:ser>
        <c:ser>
          <c:idx val="5"/>
          <c:order val="1"/>
          <c:tx>
            <c:strRef>
              <c:f>'sosc sum-jb '!$U$7</c:f>
              <c:strCache>
                <c:ptCount val="1"/>
                <c:pt idx="0">
                  <c:v>BECO</c:v>
                </c:pt>
              </c:strCache>
            </c:strRef>
          </c:tx>
          <c:spPr>
            <a:ln w="12700">
              <a:solidFill>
                <a:srgbClr val="000000"/>
              </a:solidFill>
              <a:prstDash val="solid"/>
            </a:ln>
          </c:spPr>
          <c:cat>
            <c:strRef>
              <c:f>'sosc sum-jb '!$H$5:$L$5</c:f>
              <c:strCache>
                <c:ptCount val="5"/>
                <c:pt idx="0">
                  <c:v>2011-12</c:v>
                </c:pt>
                <c:pt idx="1">
                  <c:v>2012-13</c:v>
                </c:pt>
                <c:pt idx="2">
                  <c:v>2013-14</c:v>
                </c:pt>
                <c:pt idx="3">
                  <c:v>2014-15</c:v>
                </c:pt>
                <c:pt idx="4">
                  <c:v>2015-16</c:v>
                </c:pt>
              </c:strCache>
            </c:strRef>
          </c:cat>
          <c:val>
            <c:numRef>
              <c:f>'sosc sum-jb '!$H$7:$L$7</c:f>
              <c:numCache>
                <c:formatCode>#,##0</c:formatCode>
                <c:ptCount val="5"/>
                <c:pt idx="0">
                  <c:v>166</c:v>
                </c:pt>
                <c:pt idx="1">
                  <c:v>180</c:v>
                </c:pt>
                <c:pt idx="2">
                  <c:v>182</c:v>
                </c:pt>
                <c:pt idx="3">
                  <c:v>233</c:v>
                </c:pt>
                <c:pt idx="4">
                  <c:v>194</c:v>
                </c:pt>
              </c:numCache>
            </c:numRef>
          </c:val>
          <c:smooth val="0"/>
        </c:ser>
        <c:ser>
          <c:idx val="4"/>
          <c:order val="2"/>
          <c:tx>
            <c:strRef>
              <c:f>'sosc sum-jb '!$U$8</c:f>
              <c:strCache>
                <c:ptCount val="1"/>
                <c:pt idx="0">
                  <c:v>CHYS</c:v>
                </c:pt>
              </c:strCache>
            </c:strRef>
          </c:tx>
          <c:spPr>
            <a:ln w="12700">
              <a:solidFill>
                <a:srgbClr val="000000"/>
              </a:solidFill>
              <a:prstDash val="solid"/>
            </a:ln>
          </c:spPr>
          <c:cat>
            <c:strRef>
              <c:f>'sosc sum-jb '!$H$5:$L$5</c:f>
              <c:strCache>
                <c:ptCount val="5"/>
                <c:pt idx="0">
                  <c:v>2011-12</c:v>
                </c:pt>
                <c:pt idx="1">
                  <c:v>2012-13</c:v>
                </c:pt>
                <c:pt idx="2">
                  <c:v>2013-14</c:v>
                </c:pt>
                <c:pt idx="3">
                  <c:v>2014-15</c:v>
                </c:pt>
                <c:pt idx="4">
                  <c:v>2015-16</c:v>
                </c:pt>
              </c:strCache>
            </c:strRef>
          </c:cat>
          <c:val>
            <c:numRef>
              <c:f>'sosc sum-jb '!$H$8:$L$8</c:f>
              <c:numCache>
                <c:formatCode>#,##0</c:formatCode>
                <c:ptCount val="5"/>
                <c:pt idx="0">
                  <c:v>803</c:v>
                </c:pt>
                <c:pt idx="1">
                  <c:v>880</c:v>
                </c:pt>
                <c:pt idx="2">
                  <c:v>907</c:v>
                </c:pt>
                <c:pt idx="3">
                  <c:v>882</c:v>
                </c:pt>
                <c:pt idx="4">
                  <c:v>912</c:v>
                </c:pt>
              </c:numCache>
            </c:numRef>
          </c:val>
          <c:smooth val="0"/>
        </c:ser>
        <c:ser>
          <c:idx val="3"/>
          <c:order val="3"/>
          <c:tx>
            <c:strRef>
              <c:f>'sosc sum-jb '!$U$9</c:f>
              <c:strCache>
                <c:ptCount val="1"/>
                <c:pt idx="0">
                  <c:v>CPCF</c:v>
                </c:pt>
              </c:strCache>
            </c:strRef>
          </c:tx>
          <c:spPr>
            <a:ln w="12700">
              <a:solidFill>
                <a:srgbClr val="000000"/>
              </a:solidFill>
              <a:prstDash val="solid"/>
            </a:ln>
          </c:spPr>
          <c:cat>
            <c:strRef>
              <c:f>'sosc sum-jb '!$H$5:$L$5</c:f>
              <c:strCache>
                <c:ptCount val="5"/>
                <c:pt idx="0">
                  <c:v>2011-12</c:v>
                </c:pt>
                <c:pt idx="1">
                  <c:v>2012-13</c:v>
                </c:pt>
                <c:pt idx="2">
                  <c:v>2013-14</c:v>
                </c:pt>
                <c:pt idx="3">
                  <c:v>2014-15</c:v>
                </c:pt>
                <c:pt idx="4">
                  <c:v>2015-16</c:v>
                </c:pt>
              </c:strCache>
            </c:strRef>
          </c:cat>
          <c:val>
            <c:numRef>
              <c:f>'sosc sum-jb '!$H$9:$L$9</c:f>
              <c:numCache>
                <c:formatCode>#,##0</c:formatCode>
                <c:ptCount val="5"/>
                <c:pt idx="0">
                  <c:v>609</c:v>
                </c:pt>
                <c:pt idx="1">
                  <c:v>668</c:v>
                </c:pt>
                <c:pt idx="2">
                  <c:v>688</c:v>
                </c:pt>
                <c:pt idx="3">
                  <c:v>715</c:v>
                </c:pt>
                <c:pt idx="4">
                  <c:v>727</c:v>
                </c:pt>
              </c:numCache>
            </c:numRef>
          </c:val>
          <c:smooth val="0"/>
        </c:ser>
        <c:ser>
          <c:idx val="2"/>
          <c:order val="4"/>
          <c:tx>
            <c:strRef>
              <c:f>'sosc sum-jb '!$U$10</c:f>
              <c:strCache>
                <c:ptCount val="1"/>
                <c:pt idx="0">
                  <c:v>ECON</c:v>
                </c:pt>
              </c:strCache>
            </c:strRef>
          </c:tx>
          <c:spPr>
            <a:ln w="12700">
              <a:solidFill>
                <a:srgbClr val="000000"/>
              </a:solidFill>
              <a:prstDash val="solid"/>
            </a:ln>
          </c:spPr>
          <c:cat>
            <c:strRef>
              <c:f>'sosc sum-jb '!$H$5:$L$5</c:f>
              <c:strCache>
                <c:ptCount val="5"/>
                <c:pt idx="0">
                  <c:v>2011-12</c:v>
                </c:pt>
                <c:pt idx="1">
                  <c:v>2012-13</c:v>
                </c:pt>
                <c:pt idx="2">
                  <c:v>2013-14</c:v>
                </c:pt>
                <c:pt idx="3">
                  <c:v>2014-15</c:v>
                </c:pt>
                <c:pt idx="4">
                  <c:v>2015-16</c:v>
                </c:pt>
              </c:strCache>
            </c:strRef>
          </c:cat>
          <c:val>
            <c:numRef>
              <c:f>'sosc sum-jb '!$H$10:$L$10</c:f>
              <c:numCache>
                <c:formatCode>#,##0</c:formatCode>
                <c:ptCount val="5"/>
                <c:pt idx="0">
                  <c:v>227</c:v>
                </c:pt>
                <c:pt idx="1">
                  <c:v>227</c:v>
                </c:pt>
                <c:pt idx="2">
                  <c:v>239</c:v>
                </c:pt>
                <c:pt idx="3">
                  <c:v>257</c:v>
                </c:pt>
                <c:pt idx="4">
                  <c:v>292</c:v>
                </c:pt>
              </c:numCache>
            </c:numRef>
          </c:val>
          <c:smooth val="0"/>
        </c:ser>
        <c:ser>
          <c:idx val="1"/>
          <c:order val="5"/>
          <c:tx>
            <c:strRef>
              <c:f>'sosc sum-jb '!$U$11</c:f>
              <c:strCache>
                <c:ptCount val="1"/>
                <c:pt idx="0">
                  <c:v>GEOG</c:v>
                </c:pt>
              </c:strCache>
            </c:strRef>
          </c:tx>
          <c:spPr>
            <a:ln w="12700">
              <a:solidFill>
                <a:srgbClr val="000000"/>
              </a:solidFill>
              <a:prstDash val="solid"/>
            </a:ln>
          </c:spPr>
          <c:cat>
            <c:strRef>
              <c:f>'sosc sum-jb '!$H$5:$L$5</c:f>
              <c:strCache>
                <c:ptCount val="5"/>
                <c:pt idx="0">
                  <c:v>2011-12</c:v>
                </c:pt>
                <c:pt idx="1">
                  <c:v>2012-13</c:v>
                </c:pt>
                <c:pt idx="2">
                  <c:v>2013-14</c:v>
                </c:pt>
                <c:pt idx="3">
                  <c:v>2014-15</c:v>
                </c:pt>
                <c:pt idx="4">
                  <c:v>2015-16</c:v>
                </c:pt>
              </c:strCache>
            </c:strRef>
          </c:cat>
          <c:val>
            <c:numRef>
              <c:f>'sosc sum-jb '!$H$11:$L$11</c:f>
              <c:numCache>
                <c:formatCode>#,##0</c:formatCode>
                <c:ptCount val="5"/>
                <c:pt idx="0">
                  <c:v>255</c:v>
                </c:pt>
                <c:pt idx="1">
                  <c:v>216</c:v>
                </c:pt>
                <c:pt idx="2">
                  <c:v>227</c:v>
                </c:pt>
                <c:pt idx="3">
                  <c:v>180</c:v>
                </c:pt>
                <c:pt idx="4">
                  <c:v>172</c:v>
                </c:pt>
              </c:numCache>
            </c:numRef>
          </c:val>
          <c:smooth val="0"/>
        </c:ser>
        <c:ser>
          <c:idx val="6"/>
          <c:order val="6"/>
          <c:tx>
            <c:strRef>
              <c:f>'sosc sum-jb '!$U$12</c:f>
              <c:strCache>
                <c:ptCount val="1"/>
                <c:pt idx="0">
                  <c:v>LABR</c:v>
                </c:pt>
              </c:strCache>
            </c:strRef>
          </c:tx>
          <c:cat>
            <c:strRef>
              <c:f>'sosc sum-jb '!$H$5:$L$5</c:f>
              <c:strCache>
                <c:ptCount val="5"/>
                <c:pt idx="0">
                  <c:v>2011-12</c:v>
                </c:pt>
                <c:pt idx="1">
                  <c:v>2012-13</c:v>
                </c:pt>
                <c:pt idx="2">
                  <c:v>2013-14</c:v>
                </c:pt>
                <c:pt idx="3">
                  <c:v>2014-15</c:v>
                </c:pt>
                <c:pt idx="4">
                  <c:v>2015-16</c:v>
                </c:pt>
              </c:strCache>
            </c:strRef>
          </c:cat>
          <c:val>
            <c:numRef>
              <c:f>'sosc sum-jb '!$H$12:$L$12</c:f>
              <c:numCache>
                <c:formatCode>#,##0</c:formatCode>
                <c:ptCount val="5"/>
                <c:pt idx="0">
                  <c:v>46</c:v>
                </c:pt>
                <c:pt idx="1">
                  <c:v>80</c:v>
                </c:pt>
                <c:pt idx="2">
                  <c:v>110</c:v>
                </c:pt>
                <c:pt idx="3">
                  <c:v>118</c:v>
                </c:pt>
                <c:pt idx="4">
                  <c:v>128</c:v>
                </c:pt>
              </c:numCache>
            </c:numRef>
          </c:val>
          <c:smooth val="0"/>
        </c:ser>
        <c:ser>
          <c:idx val="8"/>
          <c:order val="7"/>
          <c:tx>
            <c:strRef>
              <c:f>'sosc sum-jb '!$U$13</c:f>
              <c:strCache>
                <c:ptCount val="1"/>
                <c:pt idx="0">
                  <c:v>NEUR</c:v>
                </c:pt>
              </c:strCache>
            </c:strRef>
          </c:tx>
          <c:cat>
            <c:strRef>
              <c:f>'sosc sum-jb '!$H$5:$L$5</c:f>
              <c:strCache>
                <c:ptCount val="5"/>
                <c:pt idx="0">
                  <c:v>2011-12</c:v>
                </c:pt>
                <c:pt idx="1">
                  <c:v>2012-13</c:v>
                </c:pt>
                <c:pt idx="2">
                  <c:v>2013-14</c:v>
                </c:pt>
                <c:pt idx="3">
                  <c:v>2014-15</c:v>
                </c:pt>
                <c:pt idx="4">
                  <c:v>2015-16</c:v>
                </c:pt>
              </c:strCache>
            </c:strRef>
          </c:cat>
          <c:val>
            <c:numRef>
              <c:f>'sosc sum-jb '!$H$13:$L$13</c:f>
              <c:numCache>
                <c:formatCode>#,##0</c:formatCode>
                <c:ptCount val="5"/>
                <c:pt idx="0">
                  <c:v>85</c:v>
                </c:pt>
                <c:pt idx="1">
                  <c:v>91</c:v>
                </c:pt>
                <c:pt idx="2">
                  <c:v>115</c:v>
                </c:pt>
                <c:pt idx="3">
                  <c:v>131</c:v>
                </c:pt>
                <c:pt idx="4">
                  <c:v>138</c:v>
                </c:pt>
              </c:numCache>
            </c:numRef>
          </c:val>
          <c:smooth val="0"/>
        </c:ser>
        <c:ser>
          <c:idx val="9"/>
          <c:order val="8"/>
          <c:tx>
            <c:strRef>
              <c:f>'sosc sum-jb '!$U$14</c:f>
              <c:strCache>
                <c:ptCount val="1"/>
                <c:pt idx="0">
                  <c:v>POLI</c:v>
                </c:pt>
              </c:strCache>
            </c:strRef>
          </c:tx>
          <c:cat>
            <c:strRef>
              <c:f>'sosc sum-jb '!$H$5:$L$5</c:f>
              <c:strCache>
                <c:ptCount val="5"/>
                <c:pt idx="0">
                  <c:v>2011-12</c:v>
                </c:pt>
                <c:pt idx="1">
                  <c:v>2012-13</c:v>
                </c:pt>
                <c:pt idx="2">
                  <c:v>2013-14</c:v>
                </c:pt>
                <c:pt idx="3">
                  <c:v>2014-15</c:v>
                </c:pt>
                <c:pt idx="4">
                  <c:v>2015-16</c:v>
                </c:pt>
              </c:strCache>
            </c:strRef>
          </c:cat>
          <c:val>
            <c:numRef>
              <c:f>'sosc sum-jb '!$H$14:$L$14</c:f>
              <c:numCache>
                <c:formatCode>#,##0</c:formatCode>
                <c:ptCount val="5"/>
                <c:pt idx="0">
                  <c:v>477</c:v>
                </c:pt>
                <c:pt idx="1">
                  <c:v>469</c:v>
                </c:pt>
                <c:pt idx="2">
                  <c:v>419</c:v>
                </c:pt>
                <c:pt idx="3">
                  <c:v>395</c:v>
                </c:pt>
                <c:pt idx="4">
                  <c:v>362</c:v>
                </c:pt>
              </c:numCache>
            </c:numRef>
          </c:val>
          <c:smooth val="0"/>
        </c:ser>
        <c:ser>
          <c:idx val="0"/>
          <c:order val="9"/>
          <c:tx>
            <c:strRef>
              <c:f>'sosc sum-jb '!$U$15</c:f>
              <c:strCache>
                <c:ptCount val="1"/>
                <c:pt idx="0">
                  <c:v>PSYC</c:v>
                </c:pt>
              </c:strCache>
            </c:strRef>
          </c:tx>
          <c:cat>
            <c:strRef>
              <c:f>'sosc sum-jb '!$H$5:$L$5</c:f>
              <c:strCache>
                <c:ptCount val="5"/>
                <c:pt idx="0">
                  <c:v>2011-12</c:v>
                </c:pt>
                <c:pt idx="1">
                  <c:v>2012-13</c:v>
                </c:pt>
                <c:pt idx="2">
                  <c:v>2013-14</c:v>
                </c:pt>
                <c:pt idx="3">
                  <c:v>2014-15</c:v>
                </c:pt>
                <c:pt idx="4">
                  <c:v>2015-16</c:v>
                </c:pt>
              </c:strCache>
            </c:strRef>
          </c:cat>
          <c:val>
            <c:numRef>
              <c:f>'sosc sum-jb '!$H$15:$L$15</c:f>
              <c:numCache>
                <c:formatCode>#,##0</c:formatCode>
                <c:ptCount val="5"/>
                <c:pt idx="0">
                  <c:v>829</c:v>
                </c:pt>
                <c:pt idx="1">
                  <c:v>837</c:v>
                </c:pt>
                <c:pt idx="2">
                  <c:v>839</c:v>
                </c:pt>
                <c:pt idx="3">
                  <c:v>849</c:v>
                </c:pt>
                <c:pt idx="4">
                  <c:v>766</c:v>
                </c:pt>
              </c:numCache>
            </c:numRef>
          </c:val>
          <c:smooth val="0"/>
        </c:ser>
        <c:ser>
          <c:idx val="7"/>
          <c:order val="10"/>
          <c:tx>
            <c:strRef>
              <c:f>'sosc sum-jb '!$U$16</c:f>
              <c:strCache>
                <c:ptCount val="1"/>
                <c:pt idx="0">
                  <c:v>SOCI</c:v>
                </c:pt>
              </c:strCache>
            </c:strRef>
          </c:tx>
          <c:cat>
            <c:strRef>
              <c:f>'sosc sum-jb '!$H$5:$L$5</c:f>
              <c:strCache>
                <c:ptCount val="5"/>
                <c:pt idx="0">
                  <c:v>2011-12</c:v>
                </c:pt>
                <c:pt idx="1">
                  <c:v>2012-13</c:v>
                </c:pt>
                <c:pt idx="2">
                  <c:v>2013-14</c:v>
                </c:pt>
                <c:pt idx="3">
                  <c:v>2014-15</c:v>
                </c:pt>
                <c:pt idx="4">
                  <c:v>2015-16</c:v>
                </c:pt>
              </c:strCache>
            </c:strRef>
          </c:cat>
          <c:val>
            <c:numRef>
              <c:f>'sosc sum-jb '!$H$16:$L$16</c:f>
              <c:numCache>
                <c:formatCode>#,##0</c:formatCode>
                <c:ptCount val="5"/>
                <c:pt idx="0">
                  <c:v>610</c:v>
                </c:pt>
                <c:pt idx="1">
                  <c:v>596</c:v>
                </c:pt>
                <c:pt idx="2">
                  <c:v>640</c:v>
                </c:pt>
                <c:pt idx="3">
                  <c:v>601</c:v>
                </c:pt>
                <c:pt idx="4">
                  <c:v>553</c:v>
                </c:pt>
              </c:numCache>
            </c:numRef>
          </c:val>
          <c:smooth val="0"/>
        </c:ser>
        <c:ser>
          <c:idx val="10"/>
          <c:order val="11"/>
          <c:tx>
            <c:strRef>
              <c:f>'sosc sum-jb '!$U$17</c:f>
              <c:strCache>
                <c:ptCount val="1"/>
                <c:pt idx="0">
                  <c:v>TREN</c:v>
                </c:pt>
              </c:strCache>
            </c:strRef>
          </c:tx>
          <c:cat>
            <c:strRef>
              <c:f>'sosc sum-jb '!$H$5:$L$5</c:f>
              <c:strCache>
                <c:ptCount val="5"/>
                <c:pt idx="0">
                  <c:v>2011-12</c:v>
                </c:pt>
                <c:pt idx="1">
                  <c:v>2012-13</c:v>
                </c:pt>
                <c:pt idx="2">
                  <c:v>2013-14</c:v>
                </c:pt>
                <c:pt idx="3">
                  <c:v>2014-15</c:v>
                </c:pt>
                <c:pt idx="4">
                  <c:v>2015-16</c:v>
                </c:pt>
              </c:strCache>
            </c:strRef>
          </c:cat>
          <c:val>
            <c:numRef>
              <c:f>'sosc sum-jb '!$H$17:$L$17</c:f>
              <c:numCache>
                <c:formatCode>#,##0</c:formatCode>
                <c:ptCount val="5"/>
                <c:pt idx="0">
                  <c:v>167</c:v>
                </c:pt>
                <c:pt idx="1">
                  <c:v>119</c:v>
                </c:pt>
                <c:pt idx="2">
                  <c:v>83</c:v>
                </c:pt>
                <c:pt idx="3">
                  <c:v>81</c:v>
                </c:pt>
                <c:pt idx="4">
                  <c:v>76</c:v>
                </c:pt>
              </c:numCache>
            </c:numRef>
          </c:val>
          <c:smooth val="0"/>
        </c:ser>
        <c:ser>
          <c:idx val="11"/>
          <c:order val="12"/>
          <c:tx>
            <c:strRef>
              <c:f>'sosc sum-jb '!$U$18</c:f>
              <c:strCache>
                <c:ptCount val="1"/>
                <c:pt idx="0">
                  <c:v>WISE</c:v>
                </c:pt>
              </c:strCache>
            </c:strRef>
          </c:tx>
          <c:cat>
            <c:strRef>
              <c:f>'sosc sum-jb '!$H$5:$L$5</c:f>
              <c:strCache>
                <c:ptCount val="5"/>
                <c:pt idx="0">
                  <c:v>2011-12</c:v>
                </c:pt>
                <c:pt idx="1">
                  <c:v>2012-13</c:v>
                </c:pt>
                <c:pt idx="2">
                  <c:v>2013-14</c:v>
                </c:pt>
                <c:pt idx="3">
                  <c:v>2014-15</c:v>
                </c:pt>
                <c:pt idx="4">
                  <c:v>2015-16</c:v>
                </c:pt>
              </c:strCache>
            </c:strRef>
          </c:cat>
          <c:val>
            <c:numRef>
              <c:f>'sosc sum-jb '!$H$18:$L$18</c:f>
              <c:numCache>
                <c:formatCode>#,##0</c:formatCode>
                <c:ptCount val="5"/>
                <c:pt idx="0">
                  <c:v>36</c:v>
                </c:pt>
                <c:pt idx="1">
                  <c:v>44</c:v>
                </c:pt>
                <c:pt idx="2">
                  <c:v>46</c:v>
                </c:pt>
                <c:pt idx="3">
                  <c:v>48</c:v>
                </c:pt>
                <c:pt idx="4">
                  <c:v>39</c:v>
                </c:pt>
              </c:numCache>
            </c:numRef>
          </c:val>
          <c:smooth val="0"/>
        </c:ser>
        <c:ser>
          <c:idx val="12"/>
          <c:order val="13"/>
          <c:tx>
            <c:strRef>
              <c:f>'sosc sum-jb '!$U$19</c:f>
              <c:strCache>
                <c:ptCount val="1"/>
                <c:pt idx="0">
                  <c:v>GENL</c:v>
                </c:pt>
              </c:strCache>
            </c:strRef>
          </c:tx>
          <c:cat>
            <c:strRef>
              <c:f>'sosc sum-jb '!$H$5:$L$5</c:f>
              <c:strCache>
                <c:ptCount val="5"/>
                <c:pt idx="0">
                  <c:v>2011-12</c:v>
                </c:pt>
                <c:pt idx="1">
                  <c:v>2012-13</c:v>
                </c:pt>
                <c:pt idx="2">
                  <c:v>2013-14</c:v>
                </c:pt>
                <c:pt idx="3">
                  <c:v>2014-15</c:v>
                </c:pt>
                <c:pt idx="4">
                  <c:v>2015-16</c:v>
                </c:pt>
              </c:strCache>
            </c:strRef>
          </c:cat>
          <c:val>
            <c:numRef>
              <c:f>'sosc sum-jb '!$H$19:$L$19</c:f>
              <c:numCache>
                <c:formatCode>#,##0</c:formatCode>
                <c:ptCount val="5"/>
                <c:pt idx="0">
                  <c:v>562</c:v>
                </c:pt>
                <c:pt idx="1">
                  <c:v>518</c:v>
                </c:pt>
                <c:pt idx="2">
                  <c:v>468</c:v>
                </c:pt>
                <c:pt idx="3">
                  <c:v>418</c:v>
                </c:pt>
                <c:pt idx="4">
                  <c:v>424</c:v>
                </c:pt>
              </c:numCache>
            </c:numRef>
          </c:val>
          <c:smooth val="0"/>
        </c:ser>
        <c:dLbls>
          <c:showLegendKey val="0"/>
          <c:showVal val="0"/>
          <c:showCatName val="0"/>
          <c:showSerName val="0"/>
          <c:showPercent val="0"/>
          <c:showBubbleSize val="0"/>
        </c:dLbls>
        <c:marker val="1"/>
        <c:smooth val="0"/>
        <c:axId val="50636288"/>
        <c:axId val="50637824"/>
      </c:lineChart>
      <c:catAx>
        <c:axId val="50636288"/>
        <c:scaling>
          <c:orientation val="minMax"/>
        </c:scaling>
        <c:delete val="0"/>
        <c:axPos val="b"/>
        <c:numFmt formatCode="@"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50637824"/>
        <c:crosses val="autoZero"/>
        <c:auto val="1"/>
        <c:lblAlgn val="ctr"/>
        <c:lblOffset val="100"/>
        <c:tickLblSkip val="1"/>
        <c:tickMarkSkip val="1"/>
        <c:noMultiLvlLbl val="0"/>
      </c:catAx>
      <c:valAx>
        <c:axId val="50637824"/>
        <c:scaling>
          <c:orientation val="minMax"/>
          <c:max val="1000"/>
          <c:min val="0"/>
        </c:scaling>
        <c:delete val="0"/>
        <c:axPos val="l"/>
        <c:numFmt formatCode="#,##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50636288"/>
        <c:crosses val="autoZero"/>
        <c:crossBetween val="between"/>
        <c:majorUnit val="200"/>
      </c:valAx>
      <c:spPr>
        <a:noFill/>
        <a:ln w="25400">
          <a:noFill/>
        </a:ln>
      </c:spPr>
    </c:plotArea>
    <c:legend>
      <c:legendPos val="r"/>
      <c:layout>
        <c:manualLayout>
          <c:xMode val="edge"/>
          <c:yMode val="edge"/>
          <c:x val="0.81561422764340497"/>
          <c:y val="0.40312876052948254"/>
          <c:w val="0.17310952279162195"/>
          <c:h val="0.51705960942607809"/>
        </c:manualLayout>
      </c:layout>
      <c:overlay val="0"/>
      <c:spPr>
        <a:solidFill>
          <a:srgbClr val="FFFFFF"/>
        </a:solidFill>
        <a:ln w="25400">
          <a:noFill/>
        </a:ln>
      </c:spPr>
      <c:txPr>
        <a:bodyPr/>
        <a:lstStyle/>
        <a:p>
          <a:pPr>
            <a:defRPr sz="8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&amp;R&amp;"Trebuchet MS,Regular"Enrolment Report Fall 2010</c:oddHeader>
    </c:headerFooter>
    <c:pageMargins b="0.5" l="0.5" r="0.5" t="0.5" header="0.30000000000000032" footer="0.30000000000000032"/>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Arial"/>
                <a:ea typeface="Arial"/>
                <a:cs typeface="Arial"/>
              </a:defRPr>
            </a:pPr>
            <a:r>
              <a:rPr lang="en-US" sz="1025" b="1" i="0" u="none" strike="noStrike" baseline="0">
                <a:solidFill>
                  <a:srgbClr val="000000"/>
                </a:solidFill>
                <a:latin typeface="Arial"/>
                <a:cs typeface="Arial"/>
              </a:rPr>
              <a:t>Proportionate Share of Total Enrolments, </a:t>
            </a:r>
          </a:p>
          <a:p>
            <a:pPr>
              <a:defRPr sz="800" b="0" i="0" u="none" strike="noStrike" baseline="0">
                <a:solidFill>
                  <a:srgbClr val="000000"/>
                </a:solidFill>
                <a:latin typeface="Arial"/>
                <a:ea typeface="Arial"/>
                <a:cs typeface="Arial"/>
              </a:defRPr>
            </a:pPr>
            <a:r>
              <a:rPr lang="en-US" sz="1025" b="1" i="0" u="none" strike="noStrike" baseline="0">
                <a:solidFill>
                  <a:srgbClr val="000000"/>
                </a:solidFill>
                <a:latin typeface="Arial"/>
                <a:cs typeface="Arial"/>
              </a:rPr>
              <a:t>by Major and Academic Year </a:t>
            </a:r>
          </a:p>
        </c:rich>
      </c:tx>
      <c:layout>
        <c:manualLayout>
          <c:xMode val="edge"/>
          <c:yMode val="edge"/>
          <c:x val="0.16306983685862811"/>
          <c:y val="2.8880866425992802E-2"/>
        </c:manualLayout>
      </c:layout>
      <c:overlay val="0"/>
      <c:spPr>
        <a:noFill/>
        <a:ln w="25400">
          <a:noFill/>
        </a:ln>
      </c:spPr>
    </c:title>
    <c:autoTitleDeleted val="0"/>
    <c:plotArea>
      <c:layout>
        <c:manualLayout>
          <c:layoutTarget val="inner"/>
          <c:xMode val="edge"/>
          <c:yMode val="edge"/>
          <c:x val="0.11900940612088561"/>
          <c:y val="0.19073405535499399"/>
          <c:w val="0.68825101227848917"/>
          <c:h val="0.73285198555956754"/>
        </c:manualLayout>
      </c:layout>
      <c:barChart>
        <c:barDir val="col"/>
        <c:grouping val="percentStacked"/>
        <c:varyColors val="0"/>
        <c:ser>
          <c:idx val="4"/>
          <c:order val="0"/>
          <c:tx>
            <c:strRef>
              <c:f>'sosc sum (COOP)'!$U$15</c:f>
              <c:strCache>
                <c:ptCount val="1"/>
                <c:pt idx="0">
                  <c:v>PSYC</c:v>
                </c:pt>
              </c:strCache>
            </c:strRef>
          </c:tx>
          <c:spPr>
            <a:pattFill prst="ltUpDiag">
              <a:fgClr>
                <a:schemeClr val="accent5"/>
              </a:fgClr>
              <a:bgClr>
                <a:schemeClr val="bg1"/>
              </a:bgClr>
            </a:pattFill>
            <a:ln>
              <a:solidFill>
                <a:schemeClr val="accent5"/>
              </a:solidFill>
            </a:ln>
          </c:spPr>
          <c:invertIfNegative val="0"/>
          <c:cat>
            <c:strRef>
              <c:f>'sosc sum (COOP)'!$H$5:$L$5</c:f>
              <c:strCache>
                <c:ptCount val="5"/>
                <c:pt idx="0">
                  <c:v>2011-12</c:v>
                </c:pt>
                <c:pt idx="1">
                  <c:v>2012-13</c:v>
                </c:pt>
                <c:pt idx="2">
                  <c:v>2013-14</c:v>
                </c:pt>
                <c:pt idx="3">
                  <c:v>2014-15</c:v>
                </c:pt>
                <c:pt idx="4">
                  <c:v>2015-16</c:v>
                </c:pt>
              </c:strCache>
            </c:strRef>
          </c:cat>
          <c:val>
            <c:numRef>
              <c:f>'sosc sum (COOP)'!$H$15:$L$15</c:f>
              <c:numCache>
                <c:formatCode>#,##0</c:formatCode>
                <c:ptCount val="5"/>
                <c:pt idx="0">
                  <c:v>119</c:v>
                </c:pt>
                <c:pt idx="1">
                  <c:v>138</c:v>
                </c:pt>
                <c:pt idx="2">
                  <c:v>136</c:v>
                </c:pt>
                <c:pt idx="3">
                  <c:v>132</c:v>
                </c:pt>
                <c:pt idx="4">
                  <c:v>131</c:v>
                </c:pt>
              </c:numCache>
            </c:numRef>
          </c:val>
        </c:ser>
        <c:ser>
          <c:idx val="1"/>
          <c:order val="1"/>
          <c:tx>
            <c:strRef>
              <c:f>'sosc sum (COOP)'!$U$14</c:f>
              <c:strCache>
                <c:ptCount val="1"/>
                <c:pt idx="0">
                  <c:v>POLI</c:v>
                </c:pt>
              </c:strCache>
            </c:strRef>
          </c:tx>
          <c:spPr>
            <a:pattFill prst="divot">
              <a:fgClr>
                <a:schemeClr val="accent4"/>
              </a:fgClr>
              <a:bgClr>
                <a:schemeClr val="bg1"/>
              </a:bgClr>
            </a:pattFill>
            <a:ln>
              <a:solidFill>
                <a:schemeClr val="accent4"/>
              </a:solidFill>
            </a:ln>
          </c:spPr>
          <c:invertIfNegative val="0"/>
          <c:cat>
            <c:strRef>
              <c:f>'sosc sum (COOP)'!$H$5:$L$5</c:f>
              <c:strCache>
                <c:ptCount val="5"/>
                <c:pt idx="0">
                  <c:v>2011-12</c:v>
                </c:pt>
                <c:pt idx="1">
                  <c:v>2012-13</c:v>
                </c:pt>
                <c:pt idx="2">
                  <c:v>2013-14</c:v>
                </c:pt>
                <c:pt idx="3">
                  <c:v>2014-15</c:v>
                </c:pt>
                <c:pt idx="4">
                  <c:v>2015-16</c:v>
                </c:pt>
              </c:strCache>
            </c:strRef>
          </c:cat>
          <c:val>
            <c:numRef>
              <c:f>'sosc sum (COOP)'!$H$14:$L$14</c:f>
              <c:numCache>
                <c:formatCode>#,##0</c:formatCode>
                <c:ptCount val="5"/>
                <c:pt idx="0">
                  <c:v>52</c:v>
                </c:pt>
                <c:pt idx="1">
                  <c:v>53</c:v>
                </c:pt>
                <c:pt idx="2">
                  <c:v>46</c:v>
                </c:pt>
                <c:pt idx="3">
                  <c:v>56</c:v>
                </c:pt>
                <c:pt idx="4">
                  <c:v>55</c:v>
                </c:pt>
              </c:numCache>
            </c:numRef>
          </c:val>
        </c:ser>
        <c:ser>
          <c:idx val="7"/>
          <c:order val="2"/>
          <c:tx>
            <c:strRef>
              <c:f>'sosc sum (COOP)'!$U$13</c:f>
              <c:strCache>
                <c:ptCount val="1"/>
                <c:pt idx="0">
                  <c:v>NEUR</c:v>
                </c:pt>
              </c:strCache>
            </c:strRef>
          </c:tx>
          <c:spPr>
            <a:pattFill prst="ltDnDiag">
              <a:fgClr>
                <a:schemeClr val="accent3"/>
              </a:fgClr>
              <a:bgClr>
                <a:schemeClr val="bg1"/>
              </a:bgClr>
            </a:pattFill>
            <a:ln>
              <a:solidFill>
                <a:schemeClr val="accent3"/>
              </a:solidFill>
            </a:ln>
          </c:spPr>
          <c:invertIfNegative val="0"/>
          <c:cat>
            <c:strRef>
              <c:f>'sosc sum (COOP)'!$H$5:$L$5</c:f>
              <c:strCache>
                <c:ptCount val="5"/>
                <c:pt idx="0">
                  <c:v>2011-12</c:v>
                </c:pt>
                <c:pt idx="1">
                  <c:v>2012-13</c:v>
                </c:pt>
                <c:pt idx="2">
                  <c:v>2013-14</c:v>
                </c:pt>
                <c:pt idx="3">
                  <c:v>2014-15</c:v>
                </c:pt>
                <c:pt idx="4">
                  <c:v>2015-16</c:v>
                </c:pt>
              </c:strCache>
            </c:strRef>
          </c:cat>
          <c:val>
            <c:numRef>
              <c:f>'sosc sum (COOP)'!$H$13:$L$13</c:f>
              <c:numCache>
                <c:formatCode>#,##0</c:formatCode>
                <c:ptCount val="5"/>
                <c:pt idx="0">
                  <c:v>27</c:v>
                </c:pt>
                <c:pt idx="1">
                  <c:v>33</c:v>
                </c:pt>
                <c:pt idx="2">
                  <c:v>39</c:v>
                </c:pt>
                <c:pt idx="3">
                  <c:v>46</c:v>
                </c:pt>
                <c:pt idx="4">
                  <c:v>54</c:v>
                </c:pt>
              </c:numCache>
            </c:numRef>
          </c:val>
        </c:ser>
        <c:ser>
          <c:idx val="0"/>
          <c:order val="3"/>
          <c:tx>
            <c:strRef>
              <c:f>'sosc sum (COOP)'!$U$11</c:f>
              <c:strCache>
                <c:ptCount val="1"/>
                <c:pt idx="0">
                  <c:v>GEOG</c:v>
                </c:pt>
              </c:strCache>
            </c:strRef>
          </c:tx>
          <c:spPr>
            <a:pattFill prst="pct50">
              <a:fgClr>
                <a:schemeClr val="accent2"/>
              </a:fgClr>
              <a:bgClr>
                <a:schemeClr val="bg1"/>
              </a:bgClr>
            </a:pattFill>
            <a:ln>
              <a:solidFill>
                <a:schemeClr val="accent2"/>
              </a:solidFill>
            </a:ln>
          </c:spPr>
          <c:invertIfNegative val="0"/>
          <c:cat>
            <c:strRef>
              <c:f>'sosc sum (COOP)'!$H$5:$L$5</c:f>
              <c:strCache>
                <c:ptCount val="5"/>
                <c:pt idx="0">
                  <c:v>2011-12</c:v>
                </c:pt>
                <c:pt idx="1">
                  <c:v>2012-13</c:v>
                </c:pt>
                <c:pt idx="2">
                  <c:v>2013-14</c:v>
                </c:pt>
                <c:pt idx="3">
                  <c:v>2014-15</c:v>
                </c:pt>
                <c:pt idx="4">
                  <c:v>2015-16</c:v>
                </c:pt>
              </c:strCache>
            </c:strRef>
          </c:cat>
          <c:val>
            <c:numRef>
              <c:f>'sosc sum (COOP)'!$H$11:$L$11</c:f>
              <c:numCache>
                <c:formatCode>#,##0</c:formatCode>
                <c:ptCount val="5"/>
                <c:pt idx="0">
                  <c:v>19</c:v>
                </c:pt>
                <c:pt idx="1">
                  <c:v>14</c:v>
                </c:pt>
                <c:pt idx="2">
                  <c:v>24</c:v>
                </c:pt>
                <c:pt idx="3">
                  <c:v>17</c:v>
                </c:pt>
                <c:pt idx="4">
                  <c:v>18</c:v>
                </c:pt>
              </c:numCache>
            </c:numRef>
          </c:val>
        </c:ser>
        <c:ser>
          <c:idx val="2"/>
          <c:order val="4"/>
          <c:tx>
            <c:strRef>
              <c:f>'sosc sum (COOP)'!$U$10</c:f>
              <c:strCache>
                <c:ptCount val="1"/>
                <c:pt idx="0">
                  <c:v>ECON</c:v>
                </c:pt>
              </c:strCache>
            </c:strRef>
          </c:tx>
          <c:spPr>
            <a:solidFill>
              <a:srgbClr val="FFFFCC"/>
            </a:solidFill>
            <a:ln w="12700">
              <a:solidFill>
                <a:srgbClr val="000000"/>
              </a:solidFill>
              <a:prstDash val="solid"/>
            </a:ln>
          </c:spPr>
          <c:invertIfNegative val="0"/>
          <c:cat>
            <c:strRef>
              <c:f>'sosc sum (COOP)'!$H$5:$L$5</c:f>
              <c:strCache>
                <c:ptCount val="5"/>
                <c:pt idx="0">
                  <c:v>2011-12</c:v>
                </c:pt>
                <c:pt idx="1">
                  <c:v>2012-13</c:v>
                </c:pt>
                <c:pt idx="2">
                  <c:v>2013-14</c:v>
                </c:pt>
                <c:pt idx="3">
                  <c:v>2014-15</c:v>
                </c:pt>
                <c:pt idx="4">
                  <c:v>2015-16</c:v>
                </c:pt>
              </c:strCache>
            </c:strRef>
          </c:cat>
          <c:val>
            <c:numRef>
              <c:f>'sosc sum (COOP)'!$H$10:$L$10</c:f>
              <c:numCache>
                <c:formatCode>#,##0</c:formatCode>
                <c:ptCount val="5"/>
                <c:pt idx="0">
                  <c:v>8</c:v>
                </c:pt>
                <c:pt idx="1">
                  <c:v>17</c:v>
                </c:pt>
                <c:pt idx="2">
                  <c:v>22</c:v>
                </c:pt>
                <c:pt idx="3">
                  <c:v>19</c:v>
                </c:pt>
                <c:pt idx="4">
                  <c:v>14</c:v>
                </c:pt>
              </c:numCache>
            </c:numRef>
          </c:val>
        </c:ser>
        <c:ser>
          <c:idx val="5"/>
          <c:order val="5"/>
          <c:tx>
            <c:strRef>
              <c:f>'sosc sum (COOP)'!$U$7</c:f>
              <c:strCache>
                <c:ptCount val="1"/>
                <c:pt idx="0">
                  <c:v>BECO</c:v>
                </c:pt>
              </c:strCache>
            </c:strRef>
          </c:tx>
          <c:spPr>
            <a:pattFill prst="pct10">
              <a:fgClr>
                <a:schemeClr val="tx2"/>
              </a:fgClr>
              <a:bgClr>
                <a:schemeClr val="bg1"/>
              </a:bgClr>
            </a:pattFill>
            <a:ln w="12700">
              <a:solidFill>
                <a:schemeClr val="tx2"/>
              </a:solidFill>
              <a:prstDash val="solid"/>
            </a:ln>
          </c:spPr>
          <c:invertIfNegative val="0"/>
          <c:cat>
            <c:strRef>
              <c:f>'sosc sum (COOP)'!$H$5:$L$5</c:f>
              <c:strCache>
                <c:ptCount val="5"/>
                <c:pt idx="0">
                  <c:v>2011-12</c:v>
                </c:pt>
                <c:pt idx="1">
                  <c:v>2012-13</c:v>
                </c:pt>
                <c:pt idx="2">
                  <c:v>2013-14</c:v>
                </c:pt>
                <c:pt idx="3">
                  <c:v>2014-15</c:v>
                </c:pt>
                <c:pt idx="4">
                  <c:v>2015-16</c:v>
                </c:pt>
              </c:strCache>
            </c:strRef>
          </c:cat>
          <c:val>
            <c:numRef>
              <c:f>'sosc sum (COOP)'!$H$7:$L$7</c:f>
              <c:numCache>
                <c:formatCode>#,##0</c:formatCode>
                <c:ptCount val="5"/>
                <c:pt idx="0">
                  <c:v>28</c:v>
                </c:pt>
                <c:pt idx="1">
                  <c:v>30</c:v>
                </c:pt>
                <c:pt idx="2">
                  <c:v>55</c:v>
                </c:pt>
                <c:pt idx="3">
                  <c:v>88</c:v>
                </c:pt>
                <c:pt idx="4">
                  <c:v>68</c:v>
                </c:pt>
              </c:numCache>
            </c:numRef>
          </c:val>
        </c:ser>
        <c:dLbls>
          <c:showLegendKey val="0"/>
          <c:showVal val="0"/>
          <c:showCatName val="0"/>
          <c:showSerName val="0"/>
          <c:showPercent val="0"/>
          <c:showBubbleSize val="0"/>
        </c:dLbls>
        <c:gapWidth val="150"/>
        <c:overlap val="100"/>
        <c:serLines>
          <c:spPr>
            <a:ln w="3175">
              <a:solidFill>
                <a:srgbClr val="000000"/>
              </a:solidFill>
              <a:prstDash val="solid"/>
            </a:ln>
          </c:spPr>
        </c:serLines>
        <c:axId val="50688000"/>
        <c:axId val="50689536"/>
      </c:barChart>
      <c:catAx>
        <c:axId val="50688000"/>
        <c:scaling>
          <c:orientation val="minMax"/>
        </c:scaling>
        <c:delete val="0"/>
        <c:axPos val="b"/>
        <c:numFmt formatCode="@"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50689536"/>
        <c:crosses val="autoZero"/>
        <c:auto val="1"/>
        <c:lblAlgn val="ctr"/>
        <c:lblOffset val="100"/>
        <c:tickLblSkip val="1"/>
        <c:tickMarkSkip val="1"/>
        <c:noMultiLvlLbl val="0"/>
      </c:catAx>
      <c:valAx>
        <c:axId val="50689536"/>
        <c:scaling>
          <c:orientation val="minMax"/>
        </c:scaling>
        <c:delete val="0"/>
        <c:axPos val="l"/>
        <c:numFmt formatCode="0%"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50688000"/>
        <c:crosses val="autoZero"/>
        <c:crossBetween val="between"/>
        <c:majorUnit val="0.2"/>
      </c:valAx>
      <c:spPr>
        <a:noFill/>
        <a:ln w="25400">
          <a:noFill/>
        </a:ln>
      </c:spPr>
    </c:plotArea>
    <c:legend>
      <c:legendPos val="r"/>
      <c:layout>
        <c:manualLayout>
          <c:xMode val="edge"/>
          <c:yMode val="edge"/>
          <c:x val="0.858630398472918"/>
          <c:y val="0.47773766546329721"/>
          <c:w val="0.1351615617425812"/>
          <c:h val="0.43003325847806928"/>
        </c:manualLayout>
      </c:layout>
      <c:overlay val="0"/>
      <c:spPr>
        <a:solidFill>
          <a:srgbClr val="FFFFFF"/>
        </a:solidFill>
        <a:ln w="25400">
          <a:noFill/>
        </a:ln>
      </c:spPr>
      <c:txPr>
        <a:bodyPr/>
        <a:lstStyle/>
        <a:p>
          <a:pPr>
            <a:defRPr sz="8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&amp;R&amp;"Trebuchet MS,Regular"Enrolment Report Fall 2010</c:oddHeader>
    </c:headerFooter>
    <c:pageMargins b="0.5" l="0.5" r="0.5" t="0.5" header="0.30000000000000032" footer="0.30000000000000032"/>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Arial"/>
                <a:ea typeface="Arial"/>
                <a:cs typeface="Arial"/>
              </a:defRPr>
            </a:pPr>
            <a:r>
              <a:rPr lang="en-US" sz="1025" b="1" i="0" u="none" strike="noStrike" baseline="0">
                <a:solidFill>
                  <a:srgbClr val="000000"/>
                </a:solidFill>
                <a:latin typeface="Arial"/>
                <a:cs typeface="Arial"/>
              </a:rPr>
              <a:t>Total Enrolments, </a:t>
            </a:r>
          </a:p>
          <a:p>
            <a:pPr>
              <a:defRPr sz="800" b="0" i="0" u="none" strike="noStrike" baseline="0">
                <a:solidFill>
                  <a:srgbClr val="000000"/>
                </a:solidFill>
                <a:latin typeface="Arial"/>
                <a:ea typeface="Arial"/>
                <a:cs typeface="Arial"/>
              </a:defRPr>
            </a:pPr>
            <a:r>
              <a:rPr lang="en-US" sz="1025" b="1" i="0" u="none" strike="noStrike" baseline="0">
                <a:solidFill>
                  <a:srgbClr val="000000"/>
                </a:solidFill>
                <a:latin typeface="Arial"/>
                <a:cs typeface="Arial"/>
              </a:rPr>
              <a:t>by Major and Academic Year </a:t>
            </a:r>
          </a:p>
        </c:rich>
      </c:tx>
      <c:layout>
        <c:manualLayout>
          <c:xMode val="edge"/>
          <c:yMode val="edge"/>
          <c:x val="0.22671981463663676"/>
          <c:y val="2.8880866425992802E-2"/>
        </c:manualLayout>
      </c:layout>
      <c:overlay val="0"/>
      <c:spPr>
        <a:noFill/>
        <a:ln w="25400">
          <a:noFill/>
        </a:ln>
      </c:spPr>
    </c:title>
    <c:autoTitleDeleted val="0"/>
    <c:plotArea>
      <c:layout>
        <c:manualLayout>
          <c:layoutTarget val="inner"/>
          <c:xMode val="edge"/>
          <c:yMode val="edge"/>
          <c:x val="0.11199181920441763"/>
          <c:y val="0.19314079422382671"/>
          <c:w val="0.68825101227848984"/>
          <c:h val="0.73285198555956765"/>
        </c:manualLayout>
      </c:layout>
      <c:lineChart>
        <c:grouping val="standard"/>
        <c:varyColors val="0"/>
        <c:ser>
          <c:idx val="12"/>
          <c:order val="0"/>
          <c:tx>
            <c:strRef>
              <c:f>'sosc sum (COOP)'!$U$7</c:f>
              <c:strCache>
                <c:ptCount val="1"/>
                <c:pt idx="0">
                  <c:v>BECO</c:v>
                </c:pt>
              </c:strCache>
            </c:strRef>
          </c:tx>
          <c:cat>
            <c:strRef>
              <c:f>'sosc sum (COOP)'!$H$5:$L$5</c:f>
              <c:strCache>
                <c:ptCount val="5"/>
                <c:pt idx="0">
                  <c:v>2011-12</c:v>
                </c:pt>
                <c:pt idx="1">
                  <c:v>2012-13</c:v>
                </c:pt>
                <c:pt idx="2">
                  <c:v>2013-14</c:v>
                </c:pt>
                <c:pt idx="3">
                  <c:v>2014-15</c:v>
                </c:pt>
                <c:pt idx="4">
                  <c:v>2015-16</c:v>
                </c:pt>
              </c:strCache>
            </c:strRef>
          </c:cat>
          <c:val>
            <c:numRef>
              <c:f>'sosc sum (COOP)'!$H$7:$L$7</c:f>
              <c:numCache>
                <c:formatCode>#,##0</c:formatCode>
                <c:ptCount val="5"/>
                <c:pt idx="0">
                  <c:v>28</c:v>
                </c:pt>
                <c:pt idx="1">
                  <c:v>30</c:v>
                </c:pt>
                <c:pt idx="2">
                  <c:v>55</c:v>
                </c:pt>
                <c:pt idx="3">
                  <c:v>88</c:v>
                </c:pt>
                <c:pt idx="4">
                  <c:v>68</c:v>
                </c:pt>
              </c:numCache>
            </c:numRef>
          </c:val>
          <c:smooth val="0"/>
        </c:ser>
        <c:ser>
          <c:idx val="7"/>
          <c:order val="1"/>
          <c:tx>
            <c:strRef>
              <c:f>'sosc sum (COOP)'!$U$10</c:f>
              <c:strCache>
                <c:ptCount val="1"/>
                <c:pt idx="0">
                  <c:v>ECON</c:v>
                </c:pt>
              </c:strCache>
            </c:strRef>
          </c:tx>
          <c:cat>
            <c:strRef>
              <c:f>'sosc sum (COOP)'!$H$5:$L$5</c:f>
              <c:strCache>
                <c:ptCount val="5"/>
                <c:pt idx="0">
                  <c:v>2011-12</c:v>
                </c:pt>
                <c:pt idx="1">
                  <c:v>2012-13</c:v>
                </c:pt>
                <c:pt idx="2">
                  <c:v>2013-14</c:v>
                </c:pt>
                <c:pt idx="3">
                  <c:v>2014-15</c:v>
                </c:pt>
                <c:pt idx="4">
                  <c:v>2015-16</c:v>
                </c:pt>
              </c:strCache>
            </c:strRef>
          </c:cat>
          <c:val>
            <c:numRef>
              <c:f>'sosc sum (COOP)'!$H$10:$L$10</c:f>
              <c:numCache>
                <c:formatCode>#,##0</c:formatCode>
                <c:ptCount val="5"/>
                <c:pt idx="0">
                  <c:v>8</c:v>
                </c:pt>
                <c:pt idx="1">
                  <c:v>17</c:v>
                </c:pt>
                <c:pt idx="2">
                  <c:v>22</c:v>
                </c:pt>
                <c:pt idx="3">
                  <c:v>19</c:v>
                </c:pt>
                <c:pt idx="4">
                  <c:v>14</c:v>
                </c:pt>
              </c:numCache>
            </c:numRef>
          </c:val>
          <c:smooth val="0"/>
        </c:ser>
        <c:ser>
          <c:idx val="9"/>
          <c:order val="2"/>
          <c:tx>
            <c:strRef>
              <c:f>'sosc sum (COOP)'!$U$11</c:f>
              <c:strCache>
                <c:ptCount val="1"/>
                <c:pt idx="0">
                  <c:v>GEOG</c:v>
                </c:pt>
              </c:strCache>
            </c:strRef>
          </c:tx>
          <c:cat>
            <c:strRef>
              <c:f>'sosc sum (COOP)'!$H$5:$L$5</c:f>
              <c:strCache>
                <c:ptCount val="5"/>
                <c:pt idx="0">
                  <c:v>2011-12</c:v>
                </c:pt>
                <c:pt idx="1">
                  <c:v>2012-13</c:v>
                </c:pt>
                <c:pt idx="2">
                  <c:v>2013-14</c:v>
                </c:pt>
                <c:pt idx="3">
                  <c:v>2014-15</c:v>
                </c:pt>
                <c:pt idx="4">
                  <c:v>2015-16</c:v>
                </c:pt>
              </c:strCache>
            </c:strRef>
          </c:cat>
          <c:val>
            <c:numRef>
              <c:f>'sosc sum (COOP)'!$H$11:$L$11</c:f>
              <c:numCache>
                <c:formatCode>#,##0</c:formatCode>
                <c:ptCount val="5"/>
                <c:pt idx="0">
                  <c:v>19</c:v>
                </c:pt>
                <c:pt idx="1">
                  <c:v>14</c:v>
                </c:pt>
                <c:pt idx="2">
                  <c:v>24</c:v>
                </c:pt>
                <c:pt idx="3">
                  <c:v>17</c:v>
                </c:pt>
                <c:pt idx="4">
                  <c:v>18</c:v>
                </c:pt>
              </c:numCache>
            </c:numRef>
          </c:val>
          <c:smooth val="0"/>
        </c:ser>
        <c:ser>
          <c:idx val="6"/>
          <c:order val="3"/>
          <c:tx>
            <c:strRef>
              <c:f>'sosc sum (COOP)'!$U$13</c:f>
              <c:strCache>
                <c:ptCount val="1"/>
                <c:pt idx="0">
                  <c:v>NEUR</c:v>
                </c:pt>
              </c:strCache>
            </c:strRef>
          </c:tx>
          <c:cat>
            <c:strRef>
              <c:f>'sosc sum (COOP)'!$H$5:$L$5</c:f>
              <c:strCache>
                <c:ptCount val="5"/>
                <c:pt idx="0">
                  <c:v>2011-12</c:v>
                </c:pt>
                <c:pt idx="1">
                  <c:v>2012-13</c:v>
                </c:pt>
                <c:pt idx="2">
                  <c:v>2013-14</c:v>
                </c:pt>
                <c:pt idx="3">
                  <c:v>2014-15</c:v>
                </c:pt>
                <c:pt idx="4">
                  <c:v>2015-16</c:v>
                </c:pt>
              </c:strCache>
            </c:strRef>
          </c:cat>
          <c:val>
            <c:numRef>
              <c:f>'sosc sum (COOP)'!$H$13:$L$13</c:f>
              <c:numCache>
                <c:formatCode>#,##0</c:formatCode>
                <c:ptCount val="5"/>
                <c:pt idx="0">
                  <c:v>27</c:v>
                </c:pt>
                <c:pt idx="1">
                  <c:v>33</c:v>
                </c:pt>
                <c:pt idx="2">
                  <c:v>39</c:v>
                </c:pt>
                <c:pt idx="3">
                  <c:v>46</c:v>
                </c:pt>
                <c:pt idx="4">
                  <c:v>54</c:v>
                </c:pt>
              </c:numCache>
            </c:numRef>
          </c:val>
          <c:smooth val="0"/>
        </c:ser>
        <c:ser>
          <c:idx val="1"/>
          <c:order val="4"/>
          <c:tx>
            <c:strRef>
              <c:f>'sosc sum (COOP)'!$U$14</c:f>
              <c:strCache>
                <c:ptCount val="1"/>
                <c:pt idx="0">
                  <c:v>POLI</c:v>
                </c:pt>
              </c:strCache>
            </c:strRef>
          </c:tx>
          <c:spPr>
            <a:ln w="12700">
              <a:solidFill>
                <a:srgbClr val="000000"/>
              </a:solidFill>
              <a:prstDash val="solid"/>
            </a:ln>
          </c:spPr>
          <c:cat>
            <c:strRef>
              <c:f>'sosc sum (COOP)'!$H$5:$L$5</c:f>
              <c:strCache>
                <c:ptCount val="5"/>
                <c:pt idx="0">
                  <c:v>2011-12</c:v>
                </c:pt>
                <c:pt idx="1">
                  <c:v>2012-13</c:v>
                </c:pt>
                <c:pt idx="2">
                  <c:v>2013-14</c:v>
                </c:pt>
                <c:pt idx="3">
                  <c:v>2014-15</c:v>
                </c:pt>
                <c:pt idx="4">
                  <c:v>2015-16</c:v>
                </c:pt>
              </c:strCache>
            </c:strRef>
          </c:cat>
          <c:val>
            <c:numRef>
              <c:f>'sosc sum (COOP)'!$H$14:$L$14</c:f>
              <c:numCache>
                <c:formatCode>#,##0</c:formatCode>
                <c:ptCount val="5"/>
                <c:pt idx="0">
                  <c:v>52</c:v>
                </c:pt>
                <c:pt idx="1">
                  <c:v>53</c:v>
                </c:pt>
                <c:pt idx="2">
                  <c:v>46</c:v>
                </c:pt>
                <c:pt idx="3">
                  <c:v>56</c:v>
                </c:pt>
                <c:pt idx="4">
                  <c:v>55</c:v>
                </c:pt>
              </c:numCache>
            </c:numRef>
          </c:val>
          <c:smooth val="0"/>
        </c:ser>
        <c:ser>
          <c:idx val="2"/>
          <c:order val="5"/>
          <c:tx>
            <c:strRef>
              <c:f>'sosc sum (COOP)'!$U$15</c:f>
              <c:strCache>
                <c:ptCount val="1"/>
                <c:pt idx="0">
                  <c:v>PSYC</c:v>
                </c:pt>
              </c:strCache>
            </c:strRef>
          </c:tx>
          <c:spPr>
            <a:ln w="12700">
              <a:solidFill>
                <a:srgbClr val="000000"/>
              </a:solidFill>
              <a:prstDash val="solid"/>
            </a:ln>
          </c:spPr>
          <c:cat>
            <c:strRef>
              <c:f>'sosc sum (COOP)'!$H$5:$L$5</c:f>
              <c:strCache>
                <c:ptCount val="5"/>
                <c:pt idx="0">
                  <c:v>2011-12</c:v>
                </c:pt>
                <c:pt idx="1">
                  <c:v>2012-13</c:v>
                </c:pt>
                <c:pt idx="2">
                  <c:v>2013-14</c:v>
                </c:pt>
                <c:pt idx="3">
                  <c:v>2014-15</c:v>
                </c:pt>
                <c:pt idx="4">
                  <c:v>2015-16</c:v>
                </c:pt>
              </c:strCache>
            </c:strRef>
          </c:cat>
          <c:val>
            <c:numRef>
              <c:f>'sosc sum (COOP)'!$H$15:$L$15</c:f>
              <c:numCache>
                <c:formatCode>#,##0</c:formatCode>
                <c:ptCount val="5"/>
                <c:pt idx="0">
                  <c:v>119</c:v>
                </c:pt>
                <c:pt idx="1">
                  <c:v>138</c:v>
                </c:pt>
                <c:pt idx="2">
                  <c:v>136</c:v>
                </c:pt>
                <c:pt idx="3">
                  <c:v>132</c:v>
                </c:pt>
                <c:pt idx="4">
                  <c:v>131</c:v>
                </c:pt>
              </c:numCache>
            </c:numRef>
          </c:val>
          <c:smooth val="0"/>
        </c:ser>
        <c:dLbls>
          <c:showLegendKey val="0"/>
          <c:showVal val="0"/>
          <c:showCatName val="0"/>
          <c:showSerName val="0"/>
          <c:showPercent val="0"/>
          <c:showBubbleSize val="0"/>
        </c:dLbls>
        <c:marker val="1"/>
        <c:smooth val="0"/>
        <c:axId val="50705920"/>
        <c:axId val="50707456"/>
      </c:lineChart>
      <c:catAx>
        <c:axId val="50705920"/>
        <c:scaling>
          <c:orientation val="minMax"/>
        </c:scaling>
        <c:delete val="0"/>
        <c:axPos val="b"/>
        <c:numFmt formatCode="@" sourceLinked="1"/>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50707456"/>
        <c:crosses val="autoZero"/>
        <c:auto val="1"/>
        <c:lblAlgn val="ctr"/>
        <c:lblOffset val="100"/>
        <c:tickLblSkip val="1"/>
        <c:tickMarkSkip val="1"/>
        <c:noMultiLvlLbl val="0"/>
      </c:catAx>
      <c:valAx>
        <c:axId val="50707456"/>
        <c:scaling>
          <c:orientation val="minMax"/>
        </c:scaling>
        <c:delete val="0"/>
        <c:axPos val="l"/>
        <c:numFmt formatCode="#,##0" sourceLinked="0"/>
        <c:majorTickMark val="in"/>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50705920"/>
        <c:crosses val="autoZero"/>
        <c:crossBetween val="between"/>
      </c:valAx>
      <c:spPr>
        <a:noFill/>
        <a:ln w="25400">
          <a:noFill/>
        </a:ln>
      </c:spPr>
    </c:plotArea>
    <c:legend>
      <c:legendPos val="r"/>
      <c:layout>
        <c:manualLayout>
          <c:xMode val="edge"/>
          <c:yMode val="edge"/>
          <c:x val="0.81561424522682791"/>
          <c:y val="0.47292418772563227"/>
          <c:w val="0.18438575477317209"/>
          <c:h val="0.45002075101623135"/>
        </c:manualLayout>
      </c:layout>
      <c:overlay val="0"/>
      <c:spPr>
        <a:solidFill>
          <a:srgbClr val="FFFFFF"/>
        </a:solidFill>
        <a:ln w="25400">
          <a:noFill/>
        </a:ln>
      </c:spPr>
      <c:txPr>
        <a:bodyPr/>
        <a:lstStyle/>
        <a:p>
          <a:pPr>
            <a:defRPr sz="8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&amp;R&amp;"Trebuchet MS,Regular"Enrolment Report Fall 2010</c:oddHeader>
    </c:headerFooter>
    <c:pageMargins b="0.5" l="0.5" r="0.5" t="0.5" header="0.30000000000000032" footer="0.30000000000000032"/>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390691404098775E-2"/>
          <c:y val="6.6666840278229889E-2"/>
          <c:w val="0.90404189032560434"/>
          <c:h val="0.82400214583892073"/>
        </c:manualLayout>
      </c:layout>
      <c:lineChart>
        <c:grouping val="standard"/>
        <c:varyColors val="0"/>
        <c:ser>
          <c:idx val="4"/>
          <c:order val="0"/>
          <c:spPr>
            <a:ln w="19050">
              <a:solidFill>
                <a:schemeClr val="tx1"/>
              </a:solidFill>
            </a:ln>
          </c:spPr>
          <c:marker>
            <c:symbol val="square"/>
            <c:size val="5"/>
            <c:spPr>
              <a:solidFill>
                <a:schemeClr val="bg1"/>
              </a:solidFill>
              <a:ln>
                <a:solidFill>
                  <a:schemeClr val="tx1"/>
                </a:solidFill>
              </a:ln>
            </c:spPr>
          </c:marker>
          <c:dLbls>
            <c:txPr>
              <a:bodyPr/>
              <a:lstStyle/>
              <a:p>
                <a:pPr>
                  <a:defRPr sz="1000" b="1"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dLbls>
          <c:cat>
            <c:strRef>
              <c:f>'APLS-jb'!$P$5:$T$5</c:f>
              <c:strCache>
                <c:ptCount val="5"/>
                <c:pt idx="0">
                  <c:v>2011-12</c:v>
                </c:pt>
                <c:pt idx="1">
                  <c:v>2012-13</c:v>
                </c:pt>
                <c:pt idx="2">
                  <c:v>2013-14</c:v>
                </c:pt>
                <c:pt idx="3">
                  <c:v>2014-15</c:v>
                </c:pt>
                <c:pt idx="4">
                  <c:v>2015-16</c:v>
                </c:pt>
              </c:strCache>
            </c:strRef>
          </c:cat>
          <c:val>
            <c:numRef>
              <c:f>'APLS-jb'!$P$30:$T$30</c:f>
              <c:numCache>
                <c:formatCode>General</c:formatCode>
                <c:ptCount val="5"/>
                <c:pt idx="0">
                  <c:v>264</c:v>
                </c:pt>
                <c:pt idx="1">
                  <c:v>261</c:v>
                </c:pt>
                <c:pt idx="2">
                  <c:v>266</c:v>
                </c:pt>
                <c:pt idx="3">
                  <c:v>238</c:v>
                </c:pt>
                <c:pt idx="4">
                  <c:v>211</c:v>
                </c:pt>
              </c:numCache>
            </c:numRef>
          </c:val>
          <c:smooth val="0"/>
        </c:ser>
        <c:dLbls>
          <c:showLegendKey val="0"/>
          <c:showVal val="0"/>
          <c:showCatName val="0"/>
          <c:showSerName val="0"/>
          <c:showPercent val="0"/>
          <c:showBubbleSize val="0"/>
        </c:dLbls>
        <c:marker val="1"/>
        <c:smooth val="0"/>
        <c:axId val="50860800"/>
        <c:axId val="50862336"/>
      </c:lineChart>
      <c:catAx>
        <c:axId val="50860800"/>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50862336"/>
        <c:crosses val="autoZero"/>
        <c:auto val="0"/>
        <c:lblAlgn val="ctr"/>
        <c:lblOffset val="100"/>
        <c:tickLblSkip val="1"/>
        <c:tickMarkSkip val="1"/>
        <c:noMultiLvlLbl val="0"/>
      </c:catAx>
      <c:valAx>
        <c:axId val="50862336"/>
        <c:scaling>
          <c:orientation val="minMax"/>
          <c:max val="400"/>
          <c:min val="10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50860800"/>
        <c:crosses val="autoZero"/>
        <c:crossBetween val="between"/>
        <c:majorUnit val="5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78" r="0.75000000000000078"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39446366782014E-2"/>
          <c:y val="0.12605076497605075"/>
          <c:w val="0.90138408304498252"/>
          <c:h val="0.75910571796688531"/>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'BECO-jb'!$J$5:$N$5</c:f>
              <c:strCache>
                <c:ptCount val="5"/>
                <c:pt idx="0">
                  <c:v>2011-12</c:v>
                </c:pt>
                <c:pt idx="1">
                  <c:v>2012-13</c:v>
                </c:pt>
                <c:pt idx="2">
                  <c:v>2013-14</c:v>
                </c:pt>
                <c:pt idx="3">
                  <c:v>2014-15</c:v>
                </c:pt>
                <c:pt idx="4">
                  <c:v>2015-16</c:v>
                </c:pt>
              </c:strCache>
            </c:strRef>
          </c:cat>
          <c:val>
            <c:numRef>
              <c:f>'BECO-jb'!$J$30:$N$30</c:f>
              <c:numCache>
                <c:formatCode>General</c:formatCode>
                <c:ptCount val="5"/>
                <c:pt idx="0">
                  <c:v>166</c:v>
                </c:pt>
                <c:pt idx="1">
                  <c:v>180</c:v>
                </c:pt>
                <c:pt idx="2">
                  <c:v>182</c:v>
                </c:pt>
                <c:pt idx="3">
                  <c:v>233</c:v>
                </c:pt>
                <c:pt idx="4">
                  <c:v>194</c:v>
                </c:pt>
              </c:numCache>
            </c:numRef>
          </c:val>
          <c:smooth val="0"/>
        </c:ser>
        <c:dLbls>
          <c:showLegendKey val="0"/>
          <c:showVal val="0"/>
          <c:showCatName val="0"/>
          <c:showSerName val="0"/>
          <c:showPercent val="0"/>
          <c:showBubbleSize val="0"/>
        </c:dLbls>
        <c:marker val="1"/>
        <c:smooth val="0"/>
        <c:axId val="50988544"/>
        <c:axId val="50990080"/>
      </c:lineChart>
      <c:catAx>
        <c:axId val="50988544"/>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50990080"/>
        <c:crosses val="autoZero"/>
        <c:auto val="0"/>
        <c:lblAlgn val="ctr"/>
        <c:lblOffset val="100"/>
        <c:tickLblSkip val="1"/>
        <c:tickMarkSkip val="1"/>
        <c:noMultiLvlLbl val="0"/>
      </c:catAx>
      <c:valAx>
        <c:axId val="50990080"/>
        <c:scaling>
          <c:orientation val="minMax"/>
          <c:max val="250"/>
          <c:min val="10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50988544"/>
        <c:crosses val="autoZero"/>
        <c:crossBetween val="between"/>
        <c:majorUnit val="25"/>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oddFooter>&amp;L&amp;"Lucida Sans Unicode,Regular"&amp;10Institutional Analysis and Planning&amp;C&amp;"Lucida Sans Unicode,Regular"&amp;10Page 82&amp;R&amp;"Lucida Sans Unicode,Regular"&amp;10December 2015</c:oddFooter>
    </c:headerFooter>
    <c:pageMargins b="1" l="0.75000000000000056" r="0.75000000000000056"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39446366782014E-2"/>
          <c:y val="0.12605076497605075"/>
          <c:w val="0.90138408304498252"/>
          <c:h val="0.75910571796688531"/>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'BECO (COOP)-jb'!$J$5:$N$5</c:f>
              <c:strCache>
                <c:ptCount val="5"/>
                <c:pt idx="0">
                  <c:v>2011-12</c:v>
                </c:pt>
                <c:pt idx="1">
                  <c:v>2012-13</c:v>
                </c:pt>
                <c:pt idx="2">
                  <c:v>2013-14</c:v>
                </c:pt>
                <c:pt idx="3">
                  <c:v>2014-15</c:v>
                </c:pt>
                <c:pt idx="4">
                  <c:v>2015-16</c:v>
                </c:pt>
              </c:strCache>
            </c:strRef>
          </c:cat>
          <c:val>
            <c:numRef>
              <c:f>'BECO (COOP)-jb'!$J$30:$N$30</c:f>
              <c:numCache>
                <c:formatCode>General</c:formatCode>
                <c:ptCount val="5"/>
                <c:pt idx="0">
                  <c:v>28</c:v>
                </c:pt>
                <c:pt idx="1">
                  <c:v>30</c:v>
                </c:pt>
                <c:pt idx="2">
                  <c:v>55</c:v>
                </c:pt>
                <c:pt idx="3">
                  <c:v>88</c:v>
                </c:pt>
                <c:pt idx="4">
                  <c:v>68</c:v>
                </c:pt>
              </c:numCache>
            </c:numRef>
          </c:val>
          <c:smooth val="0"/>
        </c:ser>
        <c:dLbls>
          <c:showLegendKey val="0"/>
          <c:showVal val="0"/>
          <c:showCatName val="0"/>
          <c:showSerName val="0"/>
          <c:showPercent val="0"/>
          <c:showBubbleSize val="0"/>
        </c:dLbls>
        <c:marker val="1"/>
        <c:smooth val="0"/>
        <c:axId val="51039616"/>
        <c:axId val="51045504"/>
      </c:lineChart>
      <c:catAx>
        <c:axId val="51039616"/>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51045504"/>
        <c:crosses val="autoZero"/>
        <c:auto val="0"/>
        <c:lblAlgn val="ctr"/>
        <c:lblOffset val="100"/>
        <c:tickLblSkip val="1"/>
        <c:tickMarkSkip val="1"/>
        <c:noMultiLvlLbl val="0"/>
      </c:catAx>
      <c:valAx>
        <c:axId val="51045504"/>
        <c:scaling>
          <c:orientation val="minMax"/>
          <c:max val="100"/>
          <c:min val="2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51039616"/>
        <c:crosses val="autoZero"/>
        <c:crossBetween val="between"/>
        <c:majorUnit val="5"/>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393767244303834E-2"/>
          <c:y val="7.0422632073382591E-2"/>
          <c:w val="0.87349568880147366"/>
          <c:h val="0.81408562676830265"/>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dLbl>
              <c:idx val="3"/>
              <c:layout>
                <c:manualLayout>
                  <c:x val="-4.6654908877131022E-2"/>
                  <c:y val="-4.7887323943662026E-2"/>
                </c:manualLayout>
              </c:layout>
              <c:dLblPos val="r"/>
              <c:showLegendKey val="0"/>
              <c:showVal val="1"/>
              <c:showCatName val="0"/>
              <c:showSerName val="0"/>
              <c:showPercent val="0"/>
              <c:showBubbleSize val="0"/>
            </c:dLbl>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'CHYS-jb'!$N$5:$R$5</c:f>
              <c:strCache>
                <c:ptCount val="5"/>
                <c:pt idx="0">
                  <c:v>2011-12</c:v>
                </c:pt>
                <c:pt idx="1">
                  <c:v>2012-13</c:v>
                </c:pt>
                <c:pt idx="2">
                  <c:v>2013-14</c:v>
                </c:pt>
                <c:pt idx="3">
                  <c:v>2014-15</c:v>
                </c:pt>
                <c:pt idx="4">
                  <c:v>2015-16</c:v>
                </c:pt>
              </c:strCache>
            </c:strRef>
          </c:cat>
          <c:val>
            <c:numRef>
              <c:f>'CHYS-jb'!$N$30:$R$30</c:f>
              <c:numCache>
                <c:formatCode>General</c:formatCode>
                <c:ptCount val="5"/>
                <c:pt idx="0">
                  <c:v>803</c:v>
                </c:pt>
                <c:pt idx="1">
                  <c:v>880</c:v>
                </c:pt>
                <c:pt idx="2">
                  <c:v>907</c:v>
                </c:pt>
                <c:pt idx="3">
                  <c:v>882</c:v>
                </c:pt>
                <c:pt idx="4">
                  <c:v>912</c:v>
                </c:pt>
              </c:numCache>
            </c:numRef>
          </c:val>
          <c:smooth val="0"/>
        </c:ser>
        <c:dLbls>
          <c:showLegendKey val="0"/>
          <c:showVal val="0"/>
          <c:showCatName val="0"/>
          <c:showSerName val="0"/>
          <c:showPercent val="0"/>
          <c:showBubbleSize val="0"/>
        </c:dLbls>
        <c:marker val="1"/>
        <c:smooth val="0"/>
        <c:axId val="51201536"/>
        <c:axId val="51203072"/>
      </c:lineChart>
      <c:catAx>
        <c:axId val="51201536"/>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51203072"/>
        <c:crossesAt val="0"/>
        <c:auto val="0"/>
        <c:lblAlgn val="ctr"/>
        <c:lblOffset val="100"/>
        <c:tickLblSkip val="1"/>
        <c:tickMarkSkip val="1"/>
        <c:noMultiLvlLbl val="0"/>
      </c:catAx>
      <c:valAx>
        <c:axId val="51203072"/>
        <c:scaling>
          <c:orientation val="minMax"/>
          <c:max val="1200"/>
          <c:min val="0"/>
        </c:scaling>
        <c:delete val="0"/>
        <c:axPos val="l"/>
        <c:numFmt formatCode="#,##0"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51201536"/>
        <c:crosses val="autoZero"/>
        <c:crossBetween val="between"/>
        <c:majorUnit val="10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477543115223218E-2"/>
          <c:y val="0.19148961037443171"/>
          <c:w val="0.85227717583554952"/>
          <c:h val="0.68617110384171354"/>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dLbl>
              <c:idx val="4"/>
              <c:layout>
                <c:manualLayout>
                  <c:x val="-3.9106891810842648E-2"/>
                  <c:y val="-3.0366069279101193E-2"/>
                </c:manualLayout>
              </c:layout>
              <c:dLblPos val="r"/>
              <c:showLegendKey val="0"/>
              <c:showVal val="1"/>
              <c:showCatName val="0"/>
              <c:showSerName val="0"/>
              <c:showPercent val="0"/>
              <c:showBubbleSize val="0"/>
            </c:dLbl>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'CPCF-jb'!$J$5:$N$5</c:f>
              <c:strCache>
                <c:ptCount val="5"/>
                <c:pt idx="0">
                  <c:v>2011-12</c:v>
                </c:pt>
                <c:pt idx="1">
                  <c:v>2012-13</c:v>
                </c:pt>
                <c:pt idx="2">
                  <c:v>2013-14</c:v>
                </c:pt>
                <c:pt idx="3">
                  <c:v>2014-15</c:v>
                </c:pt>
                <c:pt idx="4">
                  <c:v>2015-16</c:v>
                </c:pt>
              </c:strCache>
            </c:strRef>
          </c:cat>
          <c:val>
            <c:numRef>
              <c:f>'CPCF-jb'!$J$30:$N$30</c:f>
              <c:numCache>
                <c:formatCode>General</c:formatCode>
                <c:ptCount val="5"/>
                <c:pt idx="0">
                  <c:v>609</c:v>
                </c:pt>
                <c:pt idx="1">
                  <c:v>668</c:v>
                </c:pt>
                <c:pt idx="2">
                  <c:v>688</c:v>
                </c:pt>
                <c:pt idx="3">
                  <c:v>715</c:v>
                </c:pt>
                <c:pt idx="4">
                  <c:v>727</c:v>
                </c:pt>
              </c:numCache>
            </c:numRef>
          </c:val>
          <c:smooth val="0"/>
        </c:ser>
        <c:dLbls>
          <c:showLegendKey val="0"/>
          <c:showVal val="0"/>
          <c:showCatName val="0"/>
          <c:showSerName val="0"/>
          <c:showPercent val="0"/>
          <c:showBubbleSize val="0"/>
        </c:dLbls>
        <c:marker val="1"/>
        <c:smooth val="0"/>
        <c:axId val="51325952"/>
        <c:axId val="51335936"/>
      </c:lineChart>
      <c:catAx>
        <c:axId val="51325952"/>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MT"/>
                <a:ea typeface="Arial MT"/>
                <a:cs typeface="Arial MT"/>
              </a:defRPr>
            </a:pPr>
            <a:endParaRPr lang="en-US"/>
          </a:p>
        </c:txPr>
        <c:crossAx val="51335936"/>
        <c:crosses val="autoZero"/>
        <c:auto val="0"/>
        <c:lblAlgn val="ctr"/>
        <c:lblOffset val="100"/>
        <c:tickLblSkip val="1"/>
        <c:tickMarkSkip val="1"/>
        <c:noMultiLvlLbl val="0"/>
      </c:catAx>
      <c:valAx>
        <c:axId val="51335936"/>
        <c:scaling>
          <c:orientation val="minMax"/>
          <c:max val="1000"/>
          <c:min val="0"/>
        </c:scaling>
        <c:delete val="0"/>
        <c:axPos val="l"/>
        <c:numFmt formatCode="#,##0" sourceLinked="0"/>
        <c:majorTickMark val="in"/>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MT"/>
                <a:ea typeface="Arial MT"/>
                <a:cs typeface="Arial MT"/>
              </a:defRPr>
            </a:pPr>
            <a:endParaRPr lang="en-US"/>
          </a:p>
        </c:txPr>
        <c:crossAx val="51325952"/>
        <c:crosses val="autoZero"/>
        <c:crossBetween val="between"/>
        <c:majorUnit val="10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8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477543115223218E-2"/>
          <c:y val="0.19148961037443171"/>
          <c:w val="0.85227717583554952"/>
          <c:h val="0.68617110384171354"/>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dLbl>
              <c:idx val="4"/>
              <c:layout>
                <c:manualLayout>
                  <c:x val="-3.9106891810842648E-2"/>
                  <c:y val="-3.0366069279101193E-2"/>
                </c:manualLayout>
              </c:layout>
              <c:dLblPos val="r"/>
              <c:showLegendKey val="0"/>
              <c:showVal val="1"/>
              <c:showCatName val="0"/>
              <c:showSerName val="0"/>
              <c:showPercent val="0"/>
              <c:showBubbleSize val="0"/>
            </c:dLbl>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'CPCF (COOP)-jb'!$F$5:$N$5</c:f>
              <c:strCache>
                <c:ptCount val="9"/>
                <c:pt idx="0">
                  <c:v>2005-06</c:v>
                </c:pt>
                <c:pt idx="1">
                  <c:v>2006-07</c:v>
                </c:pt>
                <c:pt idx="2">
                  <c:v>2007-08</c:v>
                </c:pt>
                <c:pt idx="3">
                  <c:v>2008-09</c:v>
                </c:pt>
                <c:pt idx="4">
                  <c:v>2011-12</c:v>
                </c:pt>
                <c:pt idx="5">
                  <c:v>2012-13</c:v>
                </c:pt>
                <c:pt idx="6">
                  <c:v>2013-14</c:v>
                </c:pt>
                <c:pt idx="7">
                  <c:v>2014-15</c:v>
                </c:pt>
                <c:pt idx="8">
                  <c:v>2015-16</c:v>
                </c:pt>
              </c:strCache>
            </c:strRef>
          </c:cat>
          <c:val>
            <c:numRef>
              <c:f>'CPCF (COOP)-jb'!$F$30:$N$30</c:f>
              <c:numCache>
                <c:formatCode>General</c:formatCode>
                <c:ptCount val="9"/>
                <c:pt idx="0">
                  <c:v>81</c:v>
                </c:pt>
                <c:pt idx="1">
                  <c:v>61</c:v>
                </c:pt>
                <c:pt idx="2">
                  <c:v>23</c:v>
                </c:pt>
                <c:pt idx="3">
                  <c:v>11</c:v>
                </c:pt>
              </c:numCache>
            </c:numRef>
          </c:val>
          <c:smooth val="0"/>
        </c:ser>
        <c:dLbls>
          <c:showLegendKey val="0"/>
          <c:showVal val="0"/>
          <c:showCatName val="0"/>
          <c:showSerName val="0"/>
          <c:showPercent val="0"/>
          <c:showBubbleSize val="0"/>
        </c:dLbls>
        <c:marker val="1"/>
        <c:smooth val="0"/>
        <c:axId val="51352704"/>
        <c:axId val="51354240"/>
      </c:lineChart>
      <c:catAx>
        <c:axId val="51352704"/>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MT"/>
                <a:ea typeface="Arial MT"/>
                <a:cs typeface="Arial MT"/>
              </a:defRPr>
            </a:pPr>
            <a:endParaRPr lang="en-US"/>
          </a:p>
        </c:txPr>
        <c:crossAx val="51354240"/>
        <c:crosses val="autoZero"/>
        <c:auto val="0"/>
        <c:lblAlgn val="ctr"/>
        <c:lblOffset val="100"/>
        <c:tickLblSkip val="1"/>
        <c:tickMarkSkip val="1"/>
        <c:noMultiLvlLbl val="0"/>
      </c:catAx>
      <c:valAx>
        <c:axId val="51354240"/>
        <c:scaling>
          <c:orientation val="minMax"/>
          <c:max val="100"/>
          <c:min val="0"/>
        </c:scaling>
        <c:delete val="0"/>
        <c:axPos val="l"/>
        <c:numFmt formatCode="#,##0" sourceLinked="0"/>
        <c:majorTickMark val="in"/>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MT"/>
                <a:ea typeface="Arial MT"/>
                <a:cs typeface="Arial MT"/>
              </a:defRPr>
            </a:pPr>
            <a:endParaRPr lang="en-US"/>
          </a:p>
        </c:txPr>
        <c:crossAx val="51352704"/>
        <c:crosses val="autoZero"/>
        <c:crossBetween val="between"/>
        <c:majorUnit val="1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8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990094282856614E-2"/>
          <c:y val="6.9832497480165345E-2"/>
          <c:w val="0.87272899449375585"/>
          <c:h val="0.81564357056833092"/>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'COMM-jb'!$N$5:$R$5</c:f>
              <c:strCache>
                <c:ptCount val="5"/>
                <c:pt idx="0">
                  <c:v>2011-12</c:v>
                </c:pt>
                <c:pt idx="1">
                  <c:v>2012-13</c:v>
                </c:pt>
                <c:pt idx="2">
                  <c:v>2013-14</c:v>
                </c:pt>
                <c:pt idx="3">
                  <c:v>2014-15</c:v>
                </c:pt>
                <c:pt idx="4">
                  <c:v>2015-16</c:v>
                </c:pt>
              </c:strCache>
            </c:strRef>
          </c:cat>
          <c:val>
            <c:numRef>
              <c:f>'COMM-jb'!$N$30:$R$30</c:f>
              <c:numCache>
                <c:formatCode>General</c:formatCode>
                <c:ptCount val="5"/>
                <c:pt idx="0">
                  <c:v>420</c:v>
                </c:pt>
                <c:pt idx="1">
                  <c:v>476</c:v>
                </c:pt>
                <c:pt idx="2">
                  <c:v>517</c:v>
                </c:pt>
                <c:pt idx="3">
                  <c:v>560</c:v>
                </c:pt>
                <c:pt idx="4">
                  <c:v>590</c:v>
                </c:pt>
              </c:numCache>
            </c:numRef>
          </c:val>
          <c:smooth val="0"/>
        </c:ser>
        <c:dLbls>
          <c:showLegendKey val="0"/>
          <c:showVal val="0"/>
          <c:showCatName val="0"/>
          <c:showSerName val="0"/>
          <c:showPercent val="0"/>
          <c:showBubbleSize val="0"/>
        </c:dLbls>
        <c:marker val="1"/>
        <c:smooth val="0"/>
        <c:axId val="61500416"/>
        <c:axId val="61510400"/>
      </c:lineChart>
      <c:catAx>
        <c:axId val="61500416"/>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510400"/>
        <c:crosses val="autoZero"/>
        <c:auto val="0"/>
        <c:lblAlgn val="ctr"/>
        <c:lblOffset val="100"/>
        <c:tickLblSkip val="1"/>
        <c:tickMarkSkip val="1"/>
        <c:noMultiLvlLbl val="0"/>
      </c:catAx>
      <c:valAx>
        <c:axId val="61510400"/>
        <c:scaling>
          <c:orientation val="minMax"/>
          <c:max val="800"/>
          <c:min val="200"/>
        </c:scaling>
        <c:delete val="0"/>
        <c:axPos val="l"/>
        <c:numFmt formatCode="#,##0"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500416"/>
        <c:crosses val="autoZero"/>
        <c:crossBetween val="between"/>
        <c:majorUnit val="5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39854745964229E-2"/>
          <c:y val="7.0621663747086172E-2"/>
          <c:w val="0.88414809639405623"/>
          <c:h val="0.81356156636643251"/>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dLbl>
              <c:idx val="1"/>
              <c:layout>
                <c:manualLayout>
                  <c:x val="-4.6654908877131099E-2"/>
                  <c:y val="-5.1643192488262817E-2"/>
                </c:manualLayout>
              </c:layout>
              <c:dLblPos val="r"/>
              <c:showLegendKey val="0"/>
              <c:showVal val="1"/>
              <c:showCatName val="0"/>
              <c:showSerName val="0"/>
              <c:showPercent val="0"/>
              <c:showBubbleSize val="0"/>
            </c:dLbl>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'FILM-jb'!$N$5:$R$5</c:f>
              <c:strCache>
                <c:ptCount val="5"/>
                <c:pt idx="0">
                  <c:v>2011-12</c:v>
                </c:pt>
                <c:pt idx="1">
                  <c:v>2012-13</c:v>
                </c:pt>
                <c:pt idx="2">
                  <c:v>2013-14</c:v>
                </c:pt>
                <c:pt idx="3">
                  <c:v>2014-15</c:v>
                </c:pt>
                <c:pt idx="4">
                  <c:v>2015-16</c:v>
                </c:pt>
              </c:strCache>
            </c:strRef>
          </c:cat>
          <c:val>
            <c:numRef>
              <c:f>'FILM-jb'!$N$30:$R$30</c:f>
              <c:numCache>
                <c:formatCode>General</c:formatCode>
                <c:ptCount val="5"/>
                <c:pt idx="0">
                  <c:v>137</c:v>
                </c:pt>
                <c:pt idx="1">
                  <c:v>143</c:v>
                </c:pt>
                <c:pt idx="2">
                  <c:v>125</c:v>
                </c:pt>
                <c:pt idx="3">
                  <c:v>111</c:v>
                </c:pt>
                <c:pt idx="4">
                  <c:v>103</c:v>
                </c:pt>
              </c:numCache>
            </c:numRef>
          </c:val>
          <c:smooth val="0"/>
        </c:ser>
        <c:dLbls>
          <c:showLegendKey val="0"/>
          <c:showVal val="0"/>
          <c:showCatName val="0"/>
          <c:showSerName val="0"/>
          <c:showPercent val="0"/>
          <c:showBubbleSize val="0"/>
        </c:dLbls>
        <c:marker val="1"/>
        <c:smooth val="0"/>
        <c:axId val="61527168"/>
        <c:axId val="61528704"/>
      </c:lineChart>
      <c:catAx>
        <c:axId val="61527168"/>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528704"/>
        <c:crosses val="autoZero"/>
        <c:auto val="0"/>
        <c:lblAlgn val="ctr"/>
        <c:lblOffset val="100"/>
        <c:tickLblSkip val="1"/>
        <c:tickMarkSkip val="1"/>
        <c:noMultiLvlLbl val="0"/>
      </c:catAx>
      <c:valAx>
        <c:axId val="61528704"/>
        <c:scaling>
          <c:orientation val="minMax"/>
          <c:max val="200"/>
          <c:min val="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527168"/>
        <c:crosses val="autoZero"/>
        <c:crossBetween val="between"/>
        <c:majorUnit val="2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8675107310889156E-2"/>
          <c:y val="0.14759036144578327"/>
          <c:w val="0.8715619454450787"/>
          <c:h val="0.75000000000000056"/>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dLbl>
              <c:idx val="4"/>
              <c:layout>
                <c:manualLayout>
                  <c:x val="-3.9199441216283132E-2"/>
                  <c:y val="-5.5349903551212783E-2"/>
                </c:manualLayout>
              </c:layout>
              <c:dLblPos val="r"/>
              <c:showLegendKey val="0"/>
              <c:showVal val="1"/>
              <c:showCatName val="0"/>
              <c:showSerName val="0"/>
              <c:showPercent val="0"/>
              <c:showBubbleSize val="0"/>
            </c:dLbl>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'PCUL-jb'!$N$5:$R$5</c:f>
              <c:strCache>
                <c:ptCount val="5"/>
                <c:pt idx="0">
                  <c:v>2011-12</c:v>
                </c:pt>
                <c:pt idx="1">
                  <c:v>2012-13</c:v>
                </c:pt>
                <c:pt idx="2">
                  <c:v>2013-14</c:v>
                </c:pt>
                <c:pt idx="3">
                  <c:v>2014-15</c:v>
                </c:pt>
                <c:pt idx="4">
                  <c:v>2015-16</c:v>
                </c:pt>
              </c:strCache>
            </c:strRef>
          </c:cat>
          <c:val>
            <c:numRef>
              <c:f>'PCUL-jb'!$N$30:$R$30</c:f>
              <c:numCache>
                <c:formatCode>General</c:formatCode>
                <c:ptCount val="5"/>
                <c:pt idx="0">
                  <c:v>52</c:v>
                </c:pt>
                <c:pt idx="1">
                  <c:v>49</c:v>
                </c:pt>
                <c:pt idx="2">
                  <c:v>46</c:v>
                </c:pt>
                <c:pt idx="3">
                  <c:v>44</c:v>
                </c:pt>
                <c:pt idx="4">
                  <c:v>34</c:v>
                </c:pt>
              </c:numCache>
            </c:numRef>
          </c:val>
          <c:smooth val="0"/>
        </c:ser>
        <c:dLbls>
          <c:showLegendKey val="0"/>
          <c:showVal val="0"/>
          <c:showCatName val="0"/>
          <c:showSerName val="0"/>
          <c:showPercent val="0"/>
          <c:showBubbleSize val="0"/>
        </c:dLbls>
        <c:marker val="1"/>
        <c:smooth val="0"/>
        <c:axId val="61586432"/>
        <c:axId val="61588224"/>
      </c:lineChart>
      <c:catAx>
        <c:axId val="61586432"/>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588224"/>
        <c:crosses val="autoZero"/>
        <c:auto val="0"/>
        <c:lblAlgn val="ctr"/>
        <c:lblOffset val="100"/>
        <c:tickLblSkip val="1"/>
        <c:tickMarkSkip val="1"/>
        <c:noMultiLvlLbl val="0"/>
      </c:catAx>
      <c:valAx>
        <c:axId val="61588224"/>
        <c:scaling>
          <c:orientation val="minMax"/>
          <c:max val="100"/>
          <c:min val="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586432"/>
        <c:crosses val="autoZero"/>
        <c:crossBetween val="between"/>
        <c:majorUnit val="1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3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129373155448082E-2"/>
          <c:y val="7.331378299120242E-2"/>
          <c:w val="0.90306272431495116"/>
          <c:h val="0.80645161290322631"/>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dLbl>
              <c:idx val="2"/>
              <c:layout>
                <c:manualLayout>
                  <c:x val="-3.595550556180481E-2"/>
                  <c:y val="-7.3556797020484191E-2"/>
                </c:manualLayout>
              </c:layout>
              <c:dLblPos val="r"/>
              <c:showLegendKey val="0"/>
              <c:showVal val="1"/>
              <c:showCatName val="0"/>
              <c:showSerName val="0"/>
              <c:showPercent val="0"/>
              <c:showBubbleSize val="0"/>
            </c:dLbl>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'ECON-jb'!$J$5:$N$5</c:f>
              <c:strCache>
                <c:ptCount val="5"/>
                <c:pt idx="0">
                  <c:v>2011-12</c:v>
                </c:pt>
                <c:pt idx="1">
                  <c:v>2012-13</c:v>
                </c:pt>
                <c:pt idx="2">
                  <c:v>2013-14</c:v>
                </c:pt>
                <c:pt idx="3">
                  <c:v>2014-15</c:v>
                </c:pt>
                <c:pt idx="4">
                  <c:v>2015-16</c:v>
                </c:pt>
              </c:strCache>
            </c:strRef>
          </c:cat>
          <c:val>
            <c:numRef>
              <c:f>'ECON-jb'!$J$30:$N$30</c:f>
              <c:numCache>
                <c:formatCode>General</c:formatCode>
                <c:ptCount val="5"/>
                <c:pt idx="0">
                  <c:v>227</c:v>
                </c:pt>
                <c:pt idx="1">
                  <c:v>227</c:v>
                </c:pt>
                <c:pt idx="2">
                  <c:v>239</c:v>
                </c:pt>
                <c:pt idx="3">
                  <c:v>257</c:v>
                </c:pt>
                <c:pt idx="4">
                  <c:v>292</c:v>
                </c:pt>
              </c:numCache>
            </c:numRef>
          </c:val>
          <c:smooth val="0"/>
        </c:ser>
        <c:dLbls>
          <c:showLegendKey val="0"/>
          <c:showVal val="0"/>
          <c:showCatName val="0"/>
          <c:showSerName val="0"/>
          <c:showPercent val="0"/>
          <c:showBubbleSize val="0"/>
        </c:dLbls>
        <c:marker val="1"/>
        <c:smooth val="0"/>
        <c:axId val="61600896"/>
        <c:axId val="61602432"/>
      </c:lineChart>
      <c:catAx>
        <c:axId val="61600896"/>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602432"/>
        <c:crosses val="autoZero"/>
        <c:auto val="0"/>
        <c:lblAlgn val="ctr"/>
        <c:lblOffset val="100"/>
        <c:tickLblSkip val="1"/>
        <c:tickMarkSkip val="1"/>
        <c:noMultiLvlLbl val="0"/>
      </c:catAx>
      <c:valAx>
        <c:axId val="61602432"/>
        <c:scaling>
          <c:orientation val="minMax"/>
          <c:max val="350"/>
          <c:min val="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600896"/>
        <c:crosses val="autoZero"/>
        <c:crossBetween val="between"/>
        <c:majorUnit val="5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129373155448082E-2"/>
          <c:y val="7.331378299120242E-2"/>
          <c:w val="0.90306272431495116"/>
          <c:h val="0.80645161290322631"/>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'ECON (COOP)-jb'!$J$5:$N$5</c:f>
              <c:strCache>
                <c:ptCount val="5"/>
                <c:pt idx="0">
                  <c:v>2011-12</c:v>
                </c:pt>
                <c:pt idx="1">
                  <c:v>2012-13</c:v>
                </c:pt>
                <c:pt idx="2">
                  <c:v>2013-14</c:v>
                </c:pt>
                <c:pt idx="3">
                  <c:v>2014-15</c:v>
                </c:pt>
                <c:pt idx="4">
                  <c:v>2015-16</c:v>
                </c:pt>
              </c:strCache>
            </c:strRef>
          </c:cat>
          <c:val>
            <c:numRef>
              <c:f>'ECON (COOP)-jb'!$J$30:$N$30</c:f>
              <c:numCache>
                <c:formatCode>General</c:formatCode>
                <c:ptCount val="5"/>
                <c:pt idx="0">
                  <c:v>8</c:v>
                </c:pt>
                <c:pt idx="1">
                  <c:v>17</c:v>
                </c:pt>
                <c:pt idx="2">
                  <c:v>22</c:v>
                </c:pt>
                <c:pt idx="3">
                  <c:v>19</c:v>
                </c:pt>
                <c:pt idx="4">
                  <c:v>14</c:v>
                </c:pt>
              </c:numCache>
            </c:numRef>
          </c:val>
          <c:smooth val="0"/>
        </c:ser>
        <c:dLbls>
          <c:showLegendKey val="0"/>
          <c:showVal val="0"/>
          <c:showCatName val="0"/>
          <c:showSerName val="0"/>
          <c:showPercent val="0"/>
          <c:showBubbleSize val="0"/>
        </c:dLbls>
        <c:marker val="1"/>
        <c:smooth val="0"/>
        <c:axId val="61713408"/>
        <c:axId val="61715200"/>
      </c:lineChart>
      <c:catAx>
        <c:axId val="61713408"/>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715200"/>
        <c:crosses val="autoZero"/>
        <c:auto val="0"/>
        <c:lblAlgn val="ctr"/>
        <c:lblOffset val="100"/>
        <c:tickLblSkip val="1"/>
        <c:tickMarkSkip val="1"/>
        <c:noMultiLvlLbl val="0"/>
      </c:catAx>
      <c:valAx>
        <c:axId val="61715200"/>
        <c:scaling>
          <c:orientation val="minMax"/>
          <c:max val="28"/>
          <c:min val="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713408"/>
        <c:crosses val="autoZero"/>
        <c:crossBetween val="between"/>
        <c:majorUnit val="2"/>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87407877660774E-2"/>
          <c:y val="6.2814070351758858E-2"/>
          <c:w val="0.91135372472307297"/>
          <c:h val="0.83417085427135673"/>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dLbl>
              <c:idx val="0"/>
              <c:layout>
                <c:manualLayout>
                  <c:x val="-5.2962318840579767E-2"/>
                  <c:y val="-4.0767386091127122E-2"/>
                </c:manualLayout>
              </c:layout>
              <c:dLblPos val="r"/>
              <c:showLegendKey val="0"/>
              <c:showVal val="1"/>
              <c:showCatName val="0"/>
              <c:showSerName val="0"/>
              <c:showPercent val="0"/>
              <c:showBubbleSize val="0"/>
            </c:dLbl>
            <c:dLbl>
              <c:idx val="3"/>
              <c:layout>
                <c:manualLayout>
                  <c:x val="-2.9773913043478289E-2"/>
                  <c:y val="-4.0767386091127122E-2"/>
                </c:manualLayout>
              </c:layout>
              <c:dLblPos val="r"/>
              <c:showLegendKey val="0"/>
              <c:showVal val="1"/>
              <c:showCatName val="0"/>
              <c:showSerName val="0"/>
              <c:showPercent val="0"/>
              <c:showBubbleSize val="0"/>
            </c:dLbl>
            <c:dLbl>
              <c:idx val="4"/>
              <c:layout>
                <c:manualLayout>
                  <c:x val="-2.5490887713109974E-2"/>
                  <c:y val="-4.0767386091127122E-2"/>
                </c:manualLayout>
              </c:layout>
              <c:dLblPos val="r"/>
              <c:showLegendKey val="0"/>
              <c:showVal val="1"/>
              <c:showCatName val="0"/>
              <c:showSerName val="0"/>
              <c:showPercent val="0"/>
              <c:showBubbleSize val="0"/>
            </c:dLbl>
            <c:dLbl>
              <c:idx val="6"/>
              <c:layout>
                <c:manualLayout>
                  <c:x val="-2.9773913043478289E-2"/>
                  <c:y val="-4.0767386091127122E-2"/>
                </c:manualLayout>
              </c:layout>
              <c:dLblPos val="r"/>
              <c:showLegendKey val="0"/>
              <c:showVal val="1"/>
              <c:showCatName val="0"/>
              <c:showSerName val="0"/>
              <c:showPercent val="0"/>
              <c:showBubbleSize val="0"/>
            </c:dLbl>
            <c:dLbl>
              <c:idx val="7"/>
              <c:layout>
                <c:manualLayout>
                  <c:x val="-3.2092753623188405E-2"/>
                  <c:y val="-4.0767386091127122E-2"/>
                </c:manualLayout>
              </c:layout>
              <c:dLblPos val="r"/>
              <c:showLegendKey val="0"/>
              <c:showVal val="1"/>
              <c:showCatName val="0"/>
              <c:showSerName val="0"/>
              <c:showPercent val="0"/>
              <c:showBubbleSize val="0"/>
            </c:dLbl>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'GEOG-jb'!$J$5:$N$5</c:f>
              <c:strCache>
                <c:ptCount val="5"/>
                <c:pt idx="0">
                  <c:v>2011-12</c:v>
                </c:pt>
                <c:pt idx="1">
                  <c:v>2012-13</c:v>
                </c:pt>
                <c:pt idx="2">
                  <c:v>2013-14</c:v>
                </c:pt>
                <c:pt idx="3">
                  <c:v>2014-15</c:v>
                </c:pt>
                <c:pt idx="4">
                  <c:v>2015-16</c:v>
                </c:pt>
              </c:strCache>
            </c:strRef>
          </c:cat>
          <c:val>
            <c:numRef>
              <c:f>'GEOG-jb'!$J$30:$N$30</c:f>
              <c:numCache>
                <c:formatCode>General</c:formatCode>
                <c:ptCount val="5"/>
                <c:pt idx="0">
                  <c:v>255</c:v>
                </c:pt>
                <c:pt idx="1">
                  <c:v>216</c:v>
                </c:pt>
                <c:pt idx="2">
                  <c:v>227</c:v>
                </c:pt>
                <c:pt idx="3">
                  <c:v>180</c:v>
                </c:pt>
                <c:pt idx="4">
                  <c:v>172</c:v>
                </c:pt>
              </c:numCache>
            </c:numRef>
          </c:val>
          <c:smooth val="0"/>
        </c:ser>
        <c:dLbls>
          <c:showLegendKey val="0"/>
          <c:showVal val="0"/>
          <c:showCatName val="0"/>
          <c:showSerName val="0"/>
          <c:showPercent val="0"/>
          <c:showBubbleSize val="0"/>
        </c:dLbls>
        <c:marker val="1"/>
        <c:smooth val="0"/>
        <c:axId val="61744256"/>
        <c:axId val="61745792"/>
      </c:lineChart>
      <c:catAx>
        <c:axId val="61744256"/>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745792"/>
        <c:crosses val="autoZero"/>
        <c:auto val="0"/>
        <c:lblAlgn val="ctr"/>
        <c:lblOffset val="100"/>
        <c:tickLblSkip val="1"/>
        <c:tickMarkSkip val="1"/>
        <c:noMultiLvlLbl val="0"/>
      </c:catAx>
      <c:valAx>
        <c:axId val="61745792"/>
        <c:scaling>
          <c:orientation val="minMax"/>
          <c:max val="450"/>
          <c:min val="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744256"/>
        <c:crosses val="autoZero"/>
        <c:crossBetween val="between"/>
        <c:majorUnit val="5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87407877660774E-2"/>
          <c:y val="6.2814070351758858E-2"/>
          <c:w val="0.91135372472307297"/>
          <c:h val="0.83417085427135673"/>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'GEOG (COOP)-jb'!$J$5:$N$5</c:f>
              <c:strCache>
                <c:ptCount val="5"/>
                <c:pt idx="0">
                  <c:v>2011-12</c:v>
                </c:pt>
                <c:pt idx="1">
                  <c:v>2012-13</c:v>
                </c:pt>
                <c:pt idx="2">
                  <c:v>2013-14</c:v>
                </c:pt>
                <c:pt idx="3">
                  <c:v>2014-15</c:v>
                </c:pt>
                <c:pt idx="4">
                  <c:v>2015-16</c:v>
                </c:pt>
              </c:strCache>
            </c:strRef>
          </c:cat>
          <c:val>
            <c:numRef>
              <c:f>'GEOG (COOP)-jb'!$J$30:$N$30</c:f>
              <c:numCache>
                <c:formatCode>General</c:formatCode>
                <c:ptCount val="5"/>
                <c:pt idx="0">
                  <c:v>19</c:v>
                </c:pt>
                <c:pt idx="1">
                  <c:v>14</c:v>
                </c:pt>
                <c:pt idx="2">
                  <c:v>24</c:v>
                </c:pt>
                <c:pt idx="3">
                  <c:v>17</c:v>
                </c:pt>
                <c:pt idx="4">
                  <c:v>18</c:v>
                </c:pt>
              </c:numCache>
            </c:numRef>
          </c:val>
          <c:smooth val="0"/>
        </c:ser>
        <c:dLbls>
          <c:showLegendKey val="0"/>
          <c:showVal val="0"/>
          <c:showCatName val="0"/>
          <c:showSerName val="0"/>
          <c:showPercent val="0"/>
          <c:showBubbleSize val="0"/>
        </c:dLbls>
        <c:marker val="1"/>
        <c:smooth val="0"/>
        <c:axId val="61791232"/>
        <c:axId val="61805312"/>
      </c:lineChart>
      <c:catAx>
        <c:axId val="61791232"/>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805312"/>
        <c:crosses val="autoZero"/>
        <c:auto val="0"/>
        <c:lblAlgn val="ctr"/>
        <c:lblOffset val="100"/>
        <c:tickLblSkip val="1"/>
        <c:tickMarkSkip val="1"/>
        <c:noMultiLvlLbl val="0"/>
      </c:catAx>
      <c:valAx>
        <c:axId val="61805312"/>
        <c:scaling>
          <c:orientation val="minMax"/>
          <c:max val="30"/>
          <c:min val="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791232"/>
        <c:crosses val="autoZero"/>
        <c:crossBetween val="between"/>
        <c:majorUnit val="5"/>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2105347558951047E-2"/>
          <c:y val="0.1657303370786517"/>
          <c:w val="0.89473776186036302"/>
          <c:h val="0.71348314606741559"/>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'LABR-jb'!$N$5:$R$5</c:f>
              <c:strCache>
                <c:ptCount val="5"/>
                <c:pt idx="0">
                  <c:v>2011-12</c:v>
                </c:pt>
                <c:pt idx="1">
                  <c:v>2012-13</c:v>
                </c:pt>
                <c:pt idx="2">
                  <c:v>2013-14</c:v>
                </c:pt>
                <c:pt idx="3">
                  <c:v>2014-15</c:v>
                </c:pt>
                <c:pt idx="4">
                  <c:v>2015-16</c:v>
                </c:pt>
              </c:strCache>
            </c:strRef>
          </c:cat>
          <c:val>
            <c:numRef>
              <c:f>'LABR-jb'!$N$30:$R$30</c:f>
              <c:numCache>
                <c:formatCode>General</c:formatCode>
                <c:ptCount val="5"/>
                <c:pt idx="0">
                  <c:v>46</c:v>
                </c:pt>
                <c:pt idx="1">
                  <c:v>80</c:v>
                </c:pt>
                <c:pt idx="2">
                  <c:v>110</c:v>
                </c:pt>
                <c:pt idx="3">
                  <c:v>118</c:v>
                </c:pt>
                <c:pt idx="4">
                  <c:v>128</c:v>
                </c:pt>
              </c:numCache>
            </c:numRef>
          </c:val>
          <c:smooth val="0"/>
        </c:ser>
        <c:dLbls>
          <c:showLegendKey val="0"/>
          <c:showVal val="0"/>
          <c:showCatName val="0"/>
          <c:showSerName val="0"/>
          <c:showPercent val="0"/>
          <c:showBubbleSize val="0"/>
        </c:dLbls>
        <c:marker val="1"/>
        <c:smooth val="0"/>
        <c:axId val="61826176"/>
        <c:axId val="61827712"/>
      </c:lineChart>
      <c:catAx>
        <c:axId val="61826176"/>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827712"/>
        <c:crosses val="autoZero"/>
        <c:auto val="0"/>
        <c:lblAlgn val="ctr"/>
        <c:lblOffset val="100"/>
        <c:tickLblSkip val="1"/>
        <c:tickMarkSkip val="1"/>
        <c:noMultiLvlLbl val="0"/>
      </c:catAx>
      <c:valAx>
        <c:axId val="61827712"/>
        <c:scaling>
          <c:orientation val="minMax"/>
          <c:max val="150"/>
          <c:min val="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826176"/>
        <c:crosses val="autoZero"/>
        <c:crossBetween val="between"/>
        <c:majorUnit val="1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6572438162544202E-2"/>
          <c:y val="0.17318459375080983"/>
          <c:w val="0.88692579505300362"/>
          <c:h val="0.6955316749024455"/>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dLbls>
          <c:cat>
            <c:strRef>
              <c:f>'NEUR-jb'!$J$5:$N$5</c:f>
              <c:strCache>
                <c:ptCount val="5"/>
                <c:pt idx="0">
                  <c:v>2011-12</c:v>
                </c:pt>
                <c:pt idx="1">
                  <c:v>2012-13</c:v>
                </c:pt>
                <c:pt idx="2">
                  <c:v>2013-14</c:v>
                </c:pt>
                <c:pt idx="3">
                  <c:v>2014-15</c:v>
                </c:pt>
                <c:pt idx="4">
                  <c:v>2015-16</c:v>
                </c:pt>
              </c:strCache>
            </c:strRef>
          </c:cat>
          <c:val>
            <c:numRef>
              <c:f>'NEUR-jb'!$J$30:$N$30</c:f>
              <c:numCache>
                <c:formatCode>General</c:formatCode>
                <c:ptCount val="5"/>
                <c:pt idx="0">
                  <c:v>85</c:v>
                </c:pt>
                <c:pt idx="1">
                  <c:v>91</c:v>
                </c:pt>
                <c:pt idx="2">
                  <c:v>115</c:v>
                </c:pt>
                <c:pt idx="3">
                  <c:v>131</c:v>
                </c:pt>
                <c:pt idx="4">
                  <c:v>138</c:v>
                </c:pt>
              </c:numCache>
            </c:numRef>
          </c:val>
          <c:smooth val="0"/>
        </c:ser>
        <c:dLbls>
          <c:showLegendKey val="0"/>
          <c:showVal val="0"/>
          <c:showCatName val="0"/>
          <c:showSerName val="0"/>
          <c:showPercent val="0"/>
          <c:showBubbleSize val="0"/>
        </c:dLbls>
        <c:marker val="1"/>
        <c:smooth val="0"/>
        <c:axId val="61894656"/>
        <c:axId val="61896192"/>
      </c:lineChart>
      <c:catAx>
        <c:axId val="61894656"/>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896192"/>
        <c:crosses val="autoZero"/>
        <c:auto val="0"/>
        <c:lblAlgn val="ctr"/>
        <c:lblOffset val="100"/>
        <c:tickLblSkip val="1"/>
        <c:tickMarkSkip val="1"/>
        <c:noMultiLvlLbl val="0"/>
      </c:catAx>
      <c:valAx>
        <c:axId val="61896192"/>
        <c:scaling>
          <c:orientation val="minMax"/>
          <c:max val="160"/>
          <c:min val="4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894656"/>
        <c:crosses val="autoZero"/>
        <c:crossBetween val="between"/>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6572438162544202E-2"/>
          <c:y val="0.17318459375080983"/>
          <c:w val="0.88692579505300362"/>
          <c:h val="0.6955316749024455"/>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dLbls>
          <c:cat>
            <c:strRef>
              <c:f>'NEUR (COOP)-jb'!$J$5:$N$5</c:f>
              <c:strCache>
                <c:ptCount val="5"/>
                <c:pt idx="0">
                  <c:v>2011-12</c:v>
                </c:pt>
                <c:pt idx="1">
                  <c:v>2012-13</c:v>
                </c:pt>
                <c:pt idx="2">
                  <c:v>2013-14</c:v>
                </c:pt>
                <c:pt idx="3">
                  <c:v>2014-15</c:v>
                </c:pt>
                <c:pt idx="4">
                  <c:v>2015-16</c:v>
                </c:pt>
              </c:strCache>
            </c:strRef>
          </c:cat>
          <c:val>
            <c:numRef>
              <c:f>'NEUR (COOP)-jb'!$J$30:$N$30</c:f>
              <c:numCache>
                <c:formatCode>General</c:formatCode>
                <c:ptCount val="5"/>
                <c:pt idx="0">
                  <c:v>27</c:v>
                </c:pt>
                <c:pt idx="1">
                  <c:v>33</c:v>
                </c:pt>
                <c:pt idx="2">
                  <c:v>39</c:v>
                </c:pt>
                <c:pt idx="3">
                  <c:v>46</c:v>
                </c:pt>
                <c:pt idx="4">
                  <c:v>54</c:v>
                </c:pt>
              </c:numCache>
            </c:numRef>
          </c:val>
          <c:smooth val="0"/>
        </c:ser>
        <c:dLbls>
          <c:showLegendKey val="0"/>
          <c:showVal val="0"/>
          <c:showCatName val="0"/>
          <c:showSerName val="0"/>
          <c:showPercent val="0"/>
          <c:showBubbleSize val="0"/>
        </c:dLbls>
        <c:marker val="1"/>
        <c:smooth val="0"/>
        <c:axId val="61920384"/>
        <c:axId val="61921920"/>
      </c:lineChart>
      <c:catAx>
        <c:axId val="61920384"/>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921920"/>
        <c:crosses val="autoZero"/>
        <c:auto val="0"/>
        <c:lblAlgn val="ctr"/>
        <c:lblOffset val="100"/>
        <c:tickLblSkip val="1"/>
        <c:tickMarkSkip val="1"/>
        <c:noMultiLvlLbl val="0"/>
      </c:catAx>
      <c:valAx>
        <c:axId val="61921920"/>
        <c:scaling>
          <c:orientation val="minMax"/>
          <c:max val="60"/>
          <c:min val="2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1920384"/>
        <c:crosses val="autoZero"/>
        <c:crossBetween val="between"/>
        <c:majorUnit val="5"/>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6923144114720857E-2"/>
          <c:y val="7.0422632073382591E-2"/>
          <c:w val="0.89803298478115878"/>
          <c:h val="0.81408562676830265"/>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dLbl>
              <c:idx val="3"/>
              <c:layout>
                <c:manualLayout>
                  <c:x val="-2.8823277706461387E-2"/>
                  <c:y val="-7.774798927613942E-2"/>
                </c:manualLayout>
              </c:layout>
              <c:dLblPos val="r"/>
              <c:showLegendKey val="0"/>
              <c:showVal val="1"/>
              <c:showCatName val="0"/>
              <c:showSerName val="0"/>
              <c:showPercent val="0"/>
              <c:showBubbleSize val="0"/>
            </c:dLbl>
            <c:dLbl>
              <c:idx val="4"/>
              <c:layout>
                <c:manualLayout>
                  <c:x val="-3.3958065896448404E-2"/>
                  <c:y val="-4.5576407506702422E-2"/>
                </c:manualLayout>
              </c:layout>
              <c:dLblPos val="r"/>
              <c:showLegendKey val="0"/>
              <c:showVal val="1"/>
              <c:showCatName val="0"/>
              <c:showSerName val="0"/>
              <c:showPercent val="0"/>
              <c:showBubbleSize val="0"/>
            </c:dLbl>
            <c:dLbl>
              <c:idx val="6"/>
              <c:layout>
                <c:manualLayout>
                  <c:x val="-1.3418913136499773E-2"/>
                  <c:y val="-4.5576407506702374E-2"/>
                </c:manualLayout>
              </c:layout>
              <c:dLblPos val="r"/>
              <c:showLegendKey val="0"/>
              <c:showVal val="1"/>
              <c:showCatName val="0"/>
              <c:showSerName val="0"/>
              <c:showPercent val="0"/>
              <c:showBubbleSize val="0"/>
            </c:dLbl>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'POLI-jb'!$J$5:$N$5</c:f>
              <c:strCache>
                <c:ptCount val="5"/>
                <c:pt idx="0">
                  <c:v>2011-12</c:v>
                </c:pt>
                <c:pt idx="1">
                  <c:v>2012-13</c:v>
                </c:pt>
                <c:pt idx="2">
                  <c:v>2013-14</c:v>
                </c:pt>
                <c:pt idx="3">
                  <c:v>2014-15</c:v>
                </c:pt>
                <c:pt idx="4">
                  <c:v>2015-16</c:v>
                </c:pt>
              </c:strCache>
            </c:strRef>
          </c:cat>
          <c:val>
            <c:numRef>
              <c:f>'POLI-jb'!$J$30:$N$30</c:f>
              <c:numCache>
                <c:formatCode>General</c:formatCode>
                <c:ptCount val="5"/>
                <c:pt idx="0">
                  <c:v>477</c:v>
                </c:pt>
                <c:pt idx="1">
                  <c:v>469</c:v>
                </c:pt>
                <c:pt idx="2">
                  <c:v>419</c:v>
                </c:pt>
                <c:pt idx="3">
                  <c:v>395</c:v>
                </c:pt>
                <c:pt idx="4">
                  <c:v>362</c:v>
                </c:pt>
              </c:numCache>
            </c:numRef>
          </c:val>
          <c:smooth val="0"/>
        </c:ser>
        <c:dLbls>
          <c:showLegendKey val="0"/>
          <c:showVal val="0"/>
          <c:showCatName val="0"/>
          <c:showSerName val="0"/>
          <c:showPercent val="0"/>
          <c:showBubbleSize val="0"/>
        </c:dLbls>
        <c:marker val="1"/>
        <c:smooth val="0"/>
        <c:axId val="62069760"/>
        <c:axId val="62075648"/>
      </c:lineChart>
      <c:catAx>
        <c:axId val="62069760"/>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075648"/>
        <c:crosses val="autoZero"/>
        <c:auto val="0"/>
        <c:lblAlgn val="ctr"/>
        <c:lblOffset val="100"/>
        <c:tickLblSkip val="1"/>
        <c:tickMarkSkip val="1"/>
        <c:noMultiLvlLbl val="0"/>
      </c:catAx>
      <c:valAx>
        <c:axId val="62075648"/>
        <c:scaling>
          <c:orientation val="minMax"/>
          <c:max val="800"/>
          <c:min val="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069760"/>
        <c:crosses val="autoZero"/>
        <c:crossBetween val="between"/>
        <c:majorUnit val="10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6923144114720857E-2"/>
          <c:y val="7.0422632073382591E-2"/>
          <c:w val="0.89803298478115878"/>
          <c:h val="0.81408562676830265"/>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'POLI (COOP)-jb'!$J$5:$N$5</c:f>
              <c:strCache>
                <c:ptCount val="5"/>
                <c:pt idx="0">
                  <c:v>2011-12</c:v>
                </c:pt>
                <c:pt idx="1">
                  <c:v>2012-13</c:v>
                </c:pt>
                <c:pt idx="2">
                  <c:v>2013-14</c:v>
                </c:pt>
                <c:pt idx="3">
                  <c:v>2014-15</c:v>
                </c:pt>
                <c:pt idx="4">
                  <c:v>2015-16</c:v>
                </c:pt>
              </c:strCache>
            </c:strRef>
          </c:cat>
          <c:val>
            <c:numRef>
              <c:f>'POLI (COOP)-jb'!$J$30:$N$30</c:f>
              <c:numCache>
                <c:formatCode>General</c:formatCode>
                <c:ptCount val="5"/>
                <c:pt idx="0">
                  <c:v>52</c:v>
                </c:pt>
                <c:pt idx="1">
                  <c:v>53</c:v>
                </c:pt>
                <c:pt idx="2">
                  <c:v>46</c:v>
                </c:pt>
                <c:pt idx="3">
                  <c:v>56</c:v>
                </c:pt>
                <c:pt idx="4">
                  <c:v>55</c:v>
                </c:pt>
              </c:numCache>
            </c:numRef>
          </c:val>
          <c:smooth val="0"/>
        </c:ser>
        <c:dLbls>
          <c:showLegendKey val="0"/>
          <c:showVal val="0"/>
          <c:showCatName val="0"/>
          <c:showSerName val="0"/>
          <c:showPercent val="0"/>
          <c:showBubbleSize val="0"/>
        </c:dLbls>
        <c:marker val="1"/>
        <c:smooth val="0"/>
        <c:axId val="62116992"/>
        <c:axId val="62118528"/>
      </c:lineChart>
      <c:catAx>
        <c:axId val="62116992"/>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118528"/>
        <c:crosses val="autoZero"/>
        <c:auto val="0"/>
        <c:lblAlgn val="ctr"/>
        <c:lblOffset val="100"/>
        <c:tickLblSkip val="1"/>
        <c:tickMarkSkip val="1"/>
        <c:noMultiLvlLbl val="0"/>
      </c:catAx>
      <c:valAx>
        <c:axId val="62118528"/>
        <c:scaling>
          <c:orientation val="minMax"/>
          <c:max val="80"/>
          <c:min val="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116992"/>
        <c:crosses val="autoZero"/>
        <c:crossBetween val="between"/>
        <c:majorUnit val="1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4203065208661063E-2"/>
          <c:y val="0.16434540389972169"/>
          <c:w val="0.88587113244298565"/>
          <c:h val="0.71587743732590603"/>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'PSYC-jb'!$J$5:$N$5</c:f>
              <c:strCache>
                <c:ptCount val="5"/>
                <c:pt idx="0">
                  <c:v>2011-12</c:v>
                </c:pt>
                <c:pt idx="1">
                  <c:v>2012-13</c:v>
                </c:pt>
                <c:pt idx="2">
                  <c:v>2013-14</c:v>
                </c:pt>
                <c:pt idx="3">
                  <c:v>2014-15</c:v>
                </c:pt>
                <c:pt idx="4">
                  <c:v>2015-16</c:v>
                </c:pt>
              </c:strCache>
            </c:strRef>
          </c:cat>
          <c:val>
            <c:numRef>
              <c:f>'PSYC-jb'!$J$30:$N$30</c:f>
              <c:numCache>
                <c:formatCode>General</c:formatCode>
                <c:ptCount val="5"/>
                <c:pt idx="0">
                  <c:v>829</c:v>
                </c:pt>
                <c:pt idx="1">
                  <c:v>837</c:v>
                </c:pt>
                <c:pt idx="2">
                  <c:v>839</c:v>
                </c:pt>
                <c:pt idx="3">
                  <c:v>849</c:v>
                </c:pt>
                <c:pt idx="4">
                  <c:v>766</c:v>
                </c:pt>
              </c:numCache>
            </c:numRef>
          </c:val>
          <c:smooth val="0"/>
        </c:ser>
        <c:dLbls>
          <c:showLegendKey val="0"/>
          <c:showVal val="0"/>
          <c:showCatName val="0"/>
          <c:showSerName val="0"/>
          <c:showPercent val="0"/>
          <c:showBubbleSize val="0"/>
        </c:dLbls>
        <c:marker val="1"/>
        <c:smooth val="0"/>
        <c:axId val="62323712"/>
        <c:axId val="62329600"/>
      </c:lineChart>
      <c:catAx>
        <c:axId val="62323712"/>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329600"/>
        <c:crosses val="autoZero"/>
        <c:auto val="0"/>
        <c:lblAlgn val="ctr"/>
        <c:lblOffset val="100"/>
        <c:tickLblSkip val="1"/>
        <c:tickMarkSkip val="1"/>
        <c:noMultiLvlLbl val="0"/>
      </c:catAx>
      <c:valAx>
        <c:axId val="62329600"/>
        <c:scaling>
          <c:orientation val="minMax"/>
          <c:max val="1000"/>
          <c:min val="600"/>
        </c:scaling>
        <c:delete val="0"/>
        <c:axPos val="l"/>
        <c:numFmt formatCode="#,##0"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323712"/>
        <c:crosses val="autoZero"/>
        <c:crossBetween val="between"/>
        <c:majorUnit val="50"/>
        <c:minorUnit val="4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4203065208661063E-2"/>
          <c:y val="0.16434540389972169"/>
          <c:w val="0.88587113244298565"/>
          <c:h val="0.71587743732590603"/>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'PSYC (COOP)-jb'!$J$5:$N$5</c:f>
              <c:strCache>
                <c:ptCount val="5"/>
                <c:pt idx="0">
                  <c:v>2011-12</c:v>
                </c:pt>
                <c:pt idx="1">
                  <c:v>2012-13</c:v>
                </c:pt>
                <c:pt idx="2">
                  <c:v>2013-14</c:v>
                </c:pt>
                <c:pt idx="3">
                  <c:v>2014-15</c:v>
                </c:pt>
                <c:pt idx="4">
                  <c:v>2015-16</c:v>
                </c:pt>
              </c:strCache>
            </c:strRef>
          </c:cat>
          <c:val>
            <c:numRef>
              <c:f>'PSYC (COOP)-jb'!$J$30:$N$30</c:f>
              <c:numCache>
                <c:formatCode>General</c:formatCode>
                <c:ptCount val="5"/>
                <c:pt idx="0">
                  <c:v>119</c:v>
                </c:pt>
                <c:pt idx="1">
                  <c:v>138</c:v>
                </c:pt>
                <c:pt idx="2">
                  <c:v>136</c:v>
                </c:pt>
                <c:pt idx="3">
                  <c:v>132</c:v>
                </c:pt>
                <c:pt idx="4">
                  <c:v>131</c:v>
                </c:pt>
              </c:numCache>
            </c:numRef>
          </c:val>
          <c:smooth val="0"/>
        </c:ser>
        <c:dLbls>
          <c:showLegendKey val="0"/>
          <c:showVal val="0"/>
          <c:showCatName val="0"/>
          <c:showSerName val="0"/>
          <c:showPercent val="0"/>
          <c:showBubbleSize val="0"/>
        </c:dLbls>
        <c:marker val="1"/>
        <c:smooth val="0"/>
        <c:axId val="62354560"/>
        <c:axId val="62356096"/>
      </c:lineChart>
      <c:catAx>
        <c:axId val="62354560"/>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356096"/>
        <c:crosses val="autoZero"/>
        <c:auto val="0"/>
        <c:lblAlgn val="ctr"/>
        <c:lblOffset val="100"/>
        <c:tickLblSkip val="1"/>
        <c:tickMarkSkip val="1"/>
        <c:noMultiLvlLbl val="0"/>
      </c:catAx>
      <c:valAx>
        <c:axId val="62356096"/>
        <c:scaling>
          <c:orientation val="minMax"/>
          <c:max val="180"/>
          <c:min val="0"/>
        </c:scaling>
        <c:delete val="0"/>
        <c:axPos val="l"/>
        <c:numFmt formatCode="#,##0"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354560"/>
        <c:crosses val="autoZero"/>
        <c:crossBetween val="between"/>
        <c:majorUnit val="2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2946868103888"/>
          <c:y val="0.16526655852415564"/>
          <c:w val="0.87525737166365469"/>
          <c:h val="0.71428766819762157"/>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dLbl>
              <c:idx val="4"/>
              <c:layout>
                <c:manualLayout>
                  <c:x val="-3.5972516595747142E-2"/>
                  <c:y val="-5.0787344598615322E-2"/>
                </c:manualLayout>
              </c:layout>
              <c:dLblPos val="r"/>
              <c:showLegendKey val="0"/>
              <c:showVal val="1"/>
              <c:showCatName val="0"/>
              <c:showSerName val="0"/>
              <c:showPercent val="0"/>
              <c:showBubbleSize val="0"/>
            </c:dLbl>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'SOCI-jb'!$N$5:$R$5</c:f>
              <c:strCache>
                <c:ptCount val="5"/>
                <c:pt idx="0">
                  <c:v>2011-12</c:v>
                </c:pt>
                <c:pt idx="1">
                  <c:v>2012-13</c:v>
                </c:pt>
                <c:pt idx="2">
                  <c:v>2013-14</c:v>
                </c:pt>
                <c:pt idx="3">
                  <c:v>2014-15</c:v>
                </c:pt>
                <c:pt idx="4">
                  <c:v>2015-16</c:v>
                </c:pt>
              </c:strCache>
            </c:strRef>
          </c:cat>
          <c:val>
            <c:numRef>
              <c:f>'SOCI-jb'!$N$30:$R$30</c:f>
              <c:numCache>
                <c:formatCode>General</c:formatCode>
                <c:ptCount val="5"/>
                <c:pt idx="0">
                  <c:v>610</c:v>
                </c:pt>
                <c:pt idx="1">
                  <c:v>596</c:v>
                </c:pt>
                <c:pt idx="2">
                  <c:v>640</c:v>
                </c:pt>
                <c:pt idx="3">
                  <c:v>601</c:v>
                </c:pt>
                <c:pt idx="4">
                  <c:v>553</c:v>
                </c:pt>
              </c:numCache>
            </c:numRef>
          </c:val>
          <c:smooth val="0"/>
        </c:ser>
        <c:dLbls>
          <c:showLegendKey val="0"/>
          <c:showVal val="0"/>
          <c:showCatName val="0"/>
          <c:showSerName val="0"/>
          <c:showPercent val="0"/>
          <c:showBubbleSize val="0"/>
        </c:dLbls>
        <c:marker val="1"/>
        <c:smooth val="0"/>
        <c:axId val="62422400"/>
        <c:axId val="62428288"/>
      </c:lineChart>
      <c:catAx>
        <c:axId val="62422400"/>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428288"/>
        <c:crosses val="autoZero"/>
        <c:auto val="0"/>
        <c:lblAlgn val="ctr"/>
        <c:lblOffset val="100"/>
        <c:tickLblSkip val="1"/>
        <c:tickMarkSkip val="1"/>
        <c:noMultiLvlLbl val="0"/>
      </c:catAx>
      <c:valAx>
        <c:axId val="62428288"/>
        <c:scaling>
          <c:orientation val="minMax"/>
          <c:max val="1000"/>
          <c:min val="0"/>
        </c:scaling>
        <c:delete val="0"/>
        <c:axPos val="l"/>
        <c:numFmt formatCode="#,##0"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422400"/>
        <c:crosses val="autoZero"/>
        <c:crossBetween val="between"/>
        <c:majorUnit val="10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oddFooter>&amp;L&amp;"Lucida Sans Unicode,Regular"&amp;10Institutional Analysis and Planning&amp;C&amp;"Lucida Sans Unicode,Regular"&amp;10Page 100&amp;R&amp;"Lucida Sans Unicode,Regular"&amp;10December 2014</c:oddFooter>
    </c:headerFooter>
    <c:pageMargins b="1" l="0.75000000000000056" r="0.75000000000000056" t="1" header="0.5" footer="0.5"/>
    <c:pageSetup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439544565919023E-2"/>
          <c:y val="7.0028202764472705E-2"/>
          <c:w val="0.89204710443134549"/>
          <c:h val="0.81512828017846262"/>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'TREN-jb'!$N$5:$R$5</c:f>
              <c:strCache>
                <c:ptCount val="5"/>
                <c:pt idx="0">
                  <c:v>2011-12</c:v>
                </c:pt>
                <c:pt idx="1">
                  <c:v>2012-13</c:v>
                </c:pt>
                <c:pt idx="2">
                  <c:v>2013-14</c:v>
                </c:pt>
                <c:pt idx="3">
                  <c:v>2014-15</c:v>
                </c:pt>
                <c:pt idx="4">
                  <c:v>2015-16</c:v>
                </c:pt>
              </c:strCache>
            </c:strRef>
          </c:cat>
          <c:val>
            <c:numRef>
              <c:f>'TREN-jb'!$N$30:$R$30</c:f>
              <c:numCache>
                <c:formatCode>General</c:formatCode>
                <c:ptCount val="5"/>
                <c:pt idx="0">
                  <c:v>167</c:v>
                </c:pt>
                <c:pt idx="1">
                  <c:v>119</c:v>
                </c:pt>
                <c:pt idx="2">
                  <c:v>83</c:v>
                </c:pt>
                <c:pt idx="3">
                  <c:v>81</c:v>
                </c:pt>
                <c:pt idx="4">
                  <c:v>76</c:v>
                </c:pt>
              </c:numCache>
            </c:numRef>
          </c:val>
          <c:smooth val="0"/>
        </c:ser>
        <c:dLbls>
          <c:showLegendKey val="0"/>
          <c:showVal val="0"/>
          <c:showCatName val="0"/>
          <c:showSerName val="0"/>
          <c:showPercent val="0"/>
          <c:showBubbleSize val="0"/>
        </c:dLbls>
        <c:marker val="1"/>
        <c:smooth val="0"/>
        <c:axId val="62453632"/>
        <c:axId val="62455168"/>
      </c:lineChart>
      <c:catAx>
        <c:axId val="62453632"/>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455168"/>
        <c:crosses val="autoZero"/>
        <c:auto val="0"/>
        <c:lblAlgn val="ctr"/>
        <c:lblOffset val="100"/>
        <c:tickLblSkip val="1"/>
        <c:tickMarkSkip val="1"/>
        <c:noMultiLvlLbl val="0"/>
      </c:catAx>
      <c:valAx>
        <c:axId val="62455168"/>
        <c:scaling>
          <c:orientation val="minMax"/>
          <c:max val="250"/>
          <c:min val="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453632"/>
        <c:crosses val="autoZero"/>
        <c:crossBetween val="between"/>
        <c:majorUnit val="25"/>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oddFooter>&amp;L&amp;"Lucida Sans Unicode,Regular"&amp;10Institutional Analysis and Planning&amp;C&amp;"Lucida Sans Unicode,Regular"&amp;10Page 101&amp;R&amp;"Lucida Sans Unicode,Regular"&amp;10December 2014</c:oddFooter>
    </c:headerFooter>
    <c:pageMargins b="1" l="0.75000000000000056" r="0.75000000000000056"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439544565919023E-2"/>
          <c:y val="7.0028202764472705E-2"/>
          <c:w val="0.89204710443134549"/>
          <c:h val="0.81512828017846262"/>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'TREN(COOP)-hide'!$N$5:$R$5</c:f>
              <c:strCache>
                <c:ptCount val="5"/>
                <c:pt idx="0">
                  <c:v>2011-12</c:v>
                </c:pt>
                <c:pt idx="1">
                  <c:v>2012-13</c:v>
                </c:pt>
                <c:pt idx="2">
                  <c:v>2013-14</c:v>
                </c:pt>
                <c:pt idx="3">
                  <c:v>2014-15</c:v>
                </c:pt>
                <c:pt idx="4">
                  <c:v>2015-16</c:v>
                </c:pt>
              </c:strCache>
            </c:strRef>
          </c:cat>
          <c:val>
            <c:numRef>
              <c:f>'TREN(COOP)-hide'!$N$30:$R$30</c:f>
              <c:numCache>
                <c:formatCode>General</c:formatCode>
                <c:ptCount val="5"/>
                <c:pt idx="4">
                  <c:v>39</c:v>
                </c:pt>
              </c:numCache>
            </c:numRef>
          </c:val>
          <c:smooth val="0"/>
        </c:ser>
        <c:dLbls>
          <c:showLegendKey val="0"/>
          <c:showVal val="0"/>
          <c:showCatName val="0"/>
          <c:showSerName val="0"/>
          <c:showPercent val="0"/>
          <c:showBubbleSize val="0"/>
        </c:dLbls>
        <c:marker val="1"/>
        <c:smooth val="0"/>
        <c:axId val="62501632"/>
        <c:axId val="62503168"/>
      </c:lineChart>
      <c:catAx>
        <c:axId val="62501632"/>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503168"/>
        <c:crosses val="autoZero"/>
        <c:auto val="0"/>
        <c:lblAlgn val="ctr"/>
        <c:lblOffset val="100"/>
        <c:tickLblSkip val="1"/>
        <c:tickMarkSkip val="1"/>
        <c:noMultiLvlLbl val="0"/>
      </c:catAx>
      <c:valAx>
        <c:axId val="62503168"/>
        <c:scaling>
          <c:orientation val="minMax"/>
          <c:max val="250"/>
          <c:min val="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501632"/>
        <c:crosses val="autoZero"/>
        <c:crossBetween val="between"/>
        <c:majorUnit val="25"/>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oddFooter>&amp;L&amp;"Lucida Sans Unicode,Regular"&amp;10Institutional Analysis and Planning&amp;C&amp;"Lucida Sans Unicode,Regular"&amp;10Page 101&amp;R&amp;"Lucida Sans Unicode,Regular"&amp;10December 2014</c:oddFooter>
    </c:headerFooter>
    <c:pageMargins b="1" l="0.75000000000000056" r="0.75000000000000056"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6763485477178428E-2"/>
          <c:y val="6.9832497480165345E-2"/>
          <c:w val="0.89419087136929465"/>
          <c:h val="0.81564357056833092"/>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'LABR-jb'!$N$5:$R$5</c:f>
              <c:strCache>
                <c:ptCount val="5"/>
                <c:pt idx="0">
                  <c:v>2011-12</c:v>
                </c:pt>
                <c:pt idx="1">
                  <c:v>2012-13</c:v>
                </c:pt>
                <c:pt idx="2">
                  <c:v>2013-14</c:v>
                </c:pt>
                <c:pt idx="3">
                  <c:v>2014-15</c:v>
                </c:pt>
                <c:pt idx="4">
                  <c:v>2015-16</c:v>
                </c:pt>
              </c:strCache>
            </c:strRef>
          </c:cat>
          <c:val>
            <c:numRef>
              <c:f>'WGST-jb'!$N$30:$R$30</c:f>
              <c:numCache>
                <c:formatCode>General</c:formatCode>
                <c:ptCount val="5"/>
                <c:pt idx="0">
                  <c:v>36</c:v>
                </c:pt>
                <c:pt idx="1">
                  <c:v>44</c:v>
                </c:pt>
                <c:pt idx="2">
                  <c:v>46</c:v>
                </c:pt>
                <c:pt idx="3">
                  <c:v>48</c:v>
                </c:pt>
                <c:pt idx="4">
                  <c:v>39</c:v>
                </c:pt>
              </c:numCache>
            </c:numRef>
          </c:val>
          <c:smooth val="0"/>
        </c:ser>
        <c:dLbls>
          <c:showLegendKey val="0"/>
          <c:showVal val="0"/>
          <c:showCatName val="0"/>
          <c:showSerName val="0"/>
          <c:showPercent val="0"/>
          <c:showBubbleSize val="0"/>
        </c:dLbls>
        <c:marker val="1"/>
        <c:smooth val="0"/>
        <c:axId val="62986880"/>
        <c:axId val="62996864"/>
      </c:lineChart>
      <c:catAx>
        <c:axId val="62986880"/>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996864"/>
        <c:crosses val="autoZero"/>
        <c:auto val="0"/>
        <c:lblAlgn val="ctr"/>
        <c:lblOffset val="100"/>
        <c:tickLblSkip val="1"/>
        <c:tickMarkSkip val="1"/>
        <c:noMultiLvlLbl val="0"/>
      </c:catAx>
      <c:valAx>
        <c:axId val="62996864"/>
        <c:scaling>
          <c:orientation val="minMax"/>
          <c:max val="60"/>
          <c:min val="0"/>
        </c:scaling>
        <c:delete val="0"/>
        <c:axPos val="l"/>
        <c:numFmt formatCode="General"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2986880"/>
        <c:crosses val="autoZero"/>
        <c:crossBetween val="between"/>
        <c:majorUnit val="1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5940803382665"/>
          <c:y val="6.9637883008356563E-2"/>
          <c:w val="0.86680761099365811"/>
          <c:h val="0.81615598885793805"/>
        </c:manualLayout>
      </c:layout>
      <c:lineChart>
        <c:grouping val="standard"/>
        <c:varyColors val="0"/>
        <c:ser>
          <c:idx val="0"/>
          <c:order val="0"/>
          <c:spPr>
            <a:ln w="25400">
              <a:solidFill>
                <a:srgbClr val="000000"/>
              </a:solidFill>
              <a:prstDash val="solid"/>
            </a:ln>
          </c:spPr>
          <c:marker>
            <c:symbol val="square"/>
            <c:size val="5"/>
            <c:spPr>
              <a:solidFill>
                <a:srgbClr val="FFFFFF"/>
              </a:solidFill>
              <a:ln>
                <a:solidFill>
                  <a:srgbClr val="000000"/>
                </a:solidFill>
                <a:prstDash val="solid"/>
              </a:ln>
            </c:spPr>
          </c:marker>
          <c:dLbls>
            <c:dLbl>
              <c:idx val="1"/>
              <c:layout>
                <c:manualLayout>
                  <c:x val="-4.2516046213093767E-2"/>
                  <c:y val="-4.73537604456825E-2"/>
                </c:manualLayout>
              </c:layout>
              <c:dLblPos val="r"/>
              <c:showLegendKey val="0"/>
              <c:showVal val="1"/>
              <c:showCatName val="0"/>
              <c:showSerName val="0"/>
              <c:showPercent val="0"/>
              <c:showBubbleSize val="0"/>
            </c:dLbl>
            <c:spPr>
              <a:noFill/>
              <a:ln w="25400">
                <a:noFill/>
              </a:ln>
            </c:spPr>
            <c:txPr>
              <a:bodyPr/>
              <a:lstStyle/>
              <a:p>
                <a:pPr>
                  <a:defRPr sz="1000" b="1" i="0" u="none" strike="noStrike" baseline="0">
                    <a:solidFill>
                      <a:srgbClr val="000000"/>
                    </a:solidFill>
                    <a:latin typeface="Arial MT"/>
                    <a:ea typeface="Arial MT"/>
                    <a:cs typeface="Arial MT"/>
                  </a:defRPr>
                </a:pPr>
                <a:endParaRPr lang="en-US"/>
              </a:p>
            </c:txPr>
            <c:dLblPos val="t"/>
            <c:showLegendKey val="0"/>
            <c:showVal val="1"/>
            <c:showCatName val="0"/>
            <c:showSerName val="0"/>
            <c:showPercent val="0"/>
            <c:showBubbleSize val="0"/>
            <c:showLeaderLines val="0"/>
          </c:dLbls>
          <c:cat>
            <c:strRef>
              <c:f>GeneralStudies!$N$5:$R$5</c:f>
              <c:strCache>
                <c:ptCount val="5"/>
                <c:pt idx="0">
                  <c:v>2011-12</c:v>
                </c:pt>
                <c:pt idx="1">
                  <c:v>2012-13</c:v>
                </c:pt>
                <c:pt idx="2">
                  <c:v>2013-14</c:v>
                </c:pt>
                <c:pt idx="3">
                  <c:v>2014-15</c:v>
                </c:pt>
                <c:pt idx="4">
                  <c:v>2015-16</c:v>
                </c:pt>
              </c:strCache>
            </c:strRef>
          </c:cat>
          <c:val>
            <c:numRef>
              <c:f>GeneralStudies!$N$30:$R$30</c:f>
              <c:numCache>
                <c:formatCode>General</c:formatCode>
                <c:ptCount val="5"/>
                <c:pt idx="0">
                  <c:v>562</c:v>
                </c:pt>
                <c:pt idx="1">
                  <c:v>518</c:v>
                </c:pt>
                <c:pt idx="2">
                  <c:v>468</c:v>
                </c:pt>
                <c:pt idx="3">
                  <c:v>418</c:v>
                </c:pt>
                <c:pt idx="4">
                  <c:v>424</c:v>
                </c:pt>
              </c:numCache>
            </c:numRef>
          </c:val>
          <c:smooth val="0"/>
        </c:ser>
        <c:dLbls>
          <c:showLegendKey val="0"/>
          <c:showVal val="0"/>
          <c:showCatName val="0"/>
          <c:showSerName val="0"/>
          <c:showPercent val="0"/>
          <c:showBubbleSize val="0"/>
        </c:dLbls>
        <c:marker val="1"/>
        <c:smooth val="0"/>
        <c:axId val="63054592"/>
        <c:axId val="63056128"/>
      </c:lineChart>
      <c:catAx>
        <c:axId val="63054592"/>
        <c:scaling>
          <c:orientation val="minMax"/>
        </c:scaling>
        <c:delete val="0"/>
        <c:axPos val="b"/>
        <c:numFmt formatCode="General" sourceLinked="1"/>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3056128"/>
        <c:crosses val="autoZero"/>
        <c:auto val="0"/>
        <c:lblAlgn val="ctr"/>
        <c:lblOffset val="100"/>
        <c:tickLblSkip val="1"/>
        <c:tickMarkSkip val="1"/>
        <c:noMultiLvlLbl val="0"/>
      </c:catAx>
      <c:valAx>
        <c:axId val="63056128"/>
        <c:scaling>
          <c:orientation val="minMax"/>
          <c:max val="800"/>
          <c:min val="0"/>
        </c:scaling>
        <c:delete val="0"/>
        <c:axPos val="l"/>
        <c:numFmt formatCode="#,##0" sourceLinked="0"/>
        <c:majorTickMark val="in"/>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Arial MT"/>
                <a:ea typeface="Arial MT"/>
                <a:cs typeface="Arial MT"/>
              </a:defRPr>
            </a:pPr>
            <a:endParaRPr lang="en-US"/>
          </a:p>
        </c:txPr>
        <c:crossAx val="63054592"/>
        <c:crosses val="autoZero"/>
        <c:crossBetween val="between"/>
        <c:majorUnit val="100"/>
      </c:valAx>
      <c:spPr>
        <a:solidFill>
          <a:srgbClr val="FFFFFF"/>
        </a:solidFill>
        <a:ln w="3175">
          <a:solidFill>
            <a:srgbClr val="00000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MT"/>
          <a:ea typeface="Arial MT"/>
          <a:cs typeface="Arial MT"/>
        </a:defRPr>
      </a:pPr>
      <a:endParaRPr lang="en-US"/>
    </a:p>
  </c:txPr>
  <c:printSettings>
    <c:headerFooter alignWithMargins="0"/>
    <c:pageMargins b="1" l="0.75000000000000056" r="0.75000000000000056"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9.xml"/></Relationships>
</file>

<file path=xl/drawings/_rels/drawing1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0.xml"/></Relationships>
</file>

<file path=xl/drawings/_rels/drawing20.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1.xml"/></Relationships>
</file>

<file path=xl/drawings/_rels/drawing2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2.xml"/></Relationships>
</file>

<file path=xl/drawings/_rels/drawing2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3.xml"/></Relationships>
</file>

<file path=xl/drawings/_rels/drawing2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4.xml"/></Relationships>
</file>

<file path=xl/drawings/_rels/drawing2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5.xml"/></Relationships>
</file>

<file path=xl/drawings/_rels/drawing2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6.xml"/></Relationships>
</file>

<file path=xl/drawings/_rels/drawing2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7.xml"/></Relationships>
</file>

<file path=xl/drawings/_rels/drawing2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8.xml"/></Relationships>
</file>

<file path=xl/drawings/_rels/drawing2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9.xml"/></Relationships>
</file>

<file path=xl/drawings/_rels/drawing2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1</xdr:col>
      <xdr:colOff>19050</xdr:colOff>
      <xdr:row>40</xdr:row>
      <xdr:rowOff>104775</xdr:rowOff>
    </xdr:from>
    <xdr:to>
      <xdr:col>18</xdr:col>
      <xdr:colOff>19050</xdr:colOff>
      <xdr:row>59</xdr:row>
      <xdr:rowOff>0</xdr:rowOff>
    </xdr:to>
    <xdr:graphicFrame macro="">
      <xdr:nvGraphicFramePr>
        <xdr:cNvPr id="1731"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1732"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14350" y="0"/>
          <a:ext cx="1076325" cy="647700"/>
        </a:xfrm>
        <a:prstGeom prst="rect">
          <a:avLst/>
        </a:prstGeom>
        <a:noFill/>
        <a:ln w="9525">
          <a:noFill/>
          <a:miter lim="800000"/>
          <a:headEnd/>
          <a:tailEnd/>
        </a:ln>
      </xdr:spPr>
    </xdr:pic>
    <xdr:clientData/>
  </xdr:twoCellAnchor>
  <xdr:twoCellAnchor>
    <xdr:from>
      <xdr:col>15</xdr:col>
      <xdr:colOff>514350</xdr:colOff>
      <xdr:row>43</xdr:row>
      <xdr:rowOff>95250</xdr:rowOff>
    </xdr:from>
    <xdr:to>
      <xdr:col>15</xdr:col>
      <xdr:colOff>514350</xdr:colOff>
      <xdr:row>56</xdr:row>
      <xdr:rowOff>133350</xdr:rowOff>
    </xdr:to>
    <xdr:cxnSp macro="">
      <xdr:nvCxnSpPr>
        <xdr:cNvPr id="4" name="Straight Connector 3"/>
        <xdr:cNvCxnSpPr/>
      </xdr:nvCxnSpPr>
      <xdr:spPr bwMode="auto">
        <a:xfrm>
          <a:off x="5105400" y="8420100"/>
          <a:ext cx="0" cy="2514600"/>
        </a:xfrm>
        <a:prstGeom prst="line">
          <a:avLst/>
        </a:prstGeom>
        <a:solidFill>
          <a:srgbClr val="FFFFFF"/>
        </a:solidFill>
        <a:ln w="9525" cap="flat" cmpd="sng" algn="ctr">
          <a:solidFill>
            <a:srgbClr val="000000"/>
          </a:solidFill>
          <a:prstDash val="sysDash"/>
          <a:round/>
          <a:headEnd type="none" w="med" len="med"/>
          <a:tailEnd type="none" w="med" len="med"/>
        </a:ln>
        <a:effectLst/>
      </xdr:spPr>
    </xdr:cxnSp>
    <xdr:clientData/>
  </xdr:twoCellAnchor>
  <xdr:twoCellAnchor>
    <xdr:from>
      <xdr:col>15</xdr:col>
      <xdr:colOff>542926</xdr:colOff>
      <xdr:row>43</xdr:row>
      <xdr:rowOff>66675</xdr:rowOff>
    </xdr:from>
    <xdr:to>
      <xdr:col>17</xdr:col>
      <xdr:colOff>628650</xdr:colOff>
      <xdr:row>47</xdr:row>
      <xdr:rowOff>142875</xdr:rowOff>
    </xdr:to>
    <xdr:sp macro="" textlink="">
      <xdr:nvSpPr>
        <xdr:cNvPr id="6" name="TextBox 1"/>
        <xdr:cNvSpPr txBox="1"/>
      </xdr:nvSpPr>
      <xdr:spPr>
        <a:xfrm>
          <a:off x="5133976" y="8391525"/>
          <a:ext cx="1590674" cy="83820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CA" sz="800"/>
            <a:t>Note: Prior to 2014-15 APLS enrolment was reported under the Faculty</a:t>
          </a:r>
          <a:r>
            <a:rPr lang="en-CA" sz="800" baseline="0"/>
            <a:t> of Humanities.  This is the first year APLS is being reported under the Faculty of Social Sciences.</a:t>
          </a:r>
          <a:endParaRPr lang="en-CA" sz="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22</xdr:row>
      <xdr:rowOff>47625</xdr:rowOff>
    </xdr:from>
    <xdr:to>
      <xdr:col>7</xdr:col>
      <xdr:colOff>838200</xdr:colOff>
      <xdr:row>49</xdr:row>
      <xdr:rowOff>180975</xdr:rowOff>
    </xdr:to>
    <xdr:graphicFrame macro="">
      <xdr:nvGraphicFramePr>
        <xdr:cNvPr id="5550339"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xdr:colOff>
      <xdr:row>22</xdr:row>
      <xdr:rowOff>47625</xdr:rowOff>
    </xdr:from>
    <xdr:to>
      <xdr:col>11</xdr:col>
      <xdr:colOff>990599</xdr:colOff>
      <xdr:row>49</xdr:row>
      <xdr:rowOff>180975</xdr:rowOff>
    </xdr:to>
    <xdr:graphicFrame macro="">
      <xdr:nvGraphicFramePr>
        <xdr:cNvPr id="5550340"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0</xdr:col>
      <xdr:colOff>1076325</xdr:colOff>
      <xdr:row>2</xdr:row>
      <xdr:rowOff>19050</xdr:rowOff>
    </xdr:to>
    <xdr:pic>
      <xdr:nvPicPr>
        <xdr:cNvPr id="5550341" name="Picture 25" descr="sml digital"/>
        <xdr:cNvPicPr>
          <a:picLocks noChangeAspect="1" noChangeArrowheads="1"/>
        </xdr:cNvPicPr>
      </xdr:nvPicPr>
      <xdr:blipFill>
        <a:blip xmlns:r="http://schemas.openxmlformats.org/officeDocument/2006/relationships" r:embed="rId3" cstate="print"/>
        <a:srcRect l="7108" t="9525" r="6599" b="9525"/>
        <a:stretch>
          <a:fillRect/>
        </a:stretch>
      </xdr:blipFill>
      <xdr:spPr bwMode="auto">
        <a:xfrm>
          <a:off x="0" y="0"/>
          <a:ext cx="1076325" cy="6477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28574</xdr:colOff>
      <xdr:row>22</xdr:row>
      <xdr:rowOff>38100</xdr:rowOff>
    </xdr:from>
    <xdr:to>
      <xdr:col>8</xdr:col>
      <xdr:colOff>114299</xdr:colOff>
      <xdr:row>49</xdr:row>
      <xdr:rowOff>171450</xdr:rowOff>
    </xdr:to>
    <xdr:graphicFrame macro="">
      <xdr:nvGraphicFramePr>
        <xdr:cNvPr id="7818254"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352425</xdr:colOff>
      <xdr:row>22</xdr:row>
      <xdr:rowOff>38100</xdr:rowOff>
    </xdr:from>
    <xdr:to>
      <xdr:col>11</xdr:col>
      <xdr:colOff>990600</xdr:colOff>
      <xdr:row>49</xdr:row>
      <xdr:rowOff>171450</xdr:rowOff>
    </xdr:to>
    <xdr:graphicFrame macro="">
      <xdr:nvGraphicFramePr>
        <xdr:cNvPr id="781825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0</xdr:col>
      <xdr:colOff>1076325</xdr:colOff>
      <xdr:row>2</xdr:row>
      <xdr:rowOff>19050</xdr:rowOff>
    </xdr:to>
    <xdr:pic>
      <xdr:nvPicPr>
        <xdr:cNvPr id="7818256" name="Picture 25" descr="sml digital"/>
        <xdr:cNvPicPr>
          <a:picLocks noChangeAspect="1" noChangeArrowheads="1"/>
        </xdr:cNvPicPr>
      </xdr:nvPicPr>
      <xdr:blipFill>
        <a:blip xmlns:r="http://schemas.openxmlformats.org/officeDocument/2006/relationships" r:embed="rId3" cstate="print"/>
        <a:srcRect l="7108" t="9525" r="6599" b="9525"/>
        <a:stretch>
          <a:fillRect/>
        </a:stretch>
      </xdr:blipFill>
      <xdr:spPr bwMode="auto">
        <a:xfrm>
          <a:off x="0" y="0"/>
          <a:ext cx="1076325" cy="6477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34</xdr:row>
      <xdr:rowOff>171450</xdr:rowOff>
    </xdr:from>
    <xdr:to>
      <xdr:col>20</xdr:col>
      <xdr:colOff>9525</xdr:colOff>
      <xdr:row>53</xdr:row>
      <xdr:rowOff>123825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57150</xdr:rowOff>
    </xdr:to>
    <xdr:pic>
      <xdr:nvPicPr>
        <xdr:cNvPr id="3"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600075" y="0"/>
          <a:ext cx="1123950" cy="685800"/>
        </a:xfrm>
        <a:prstGeom prst="rect">
          <a:avLst/>
        </a:prstGeom>
        <a:noFill/>
        <a:ln w="9525">
          <a:noFill/>
          <a:miter lim="800000"/>
          <a:headEnd/>
          <a:tailEnd/>
        </a:ln>
      </xdr:spPr>
    </xdr:pic>
    <xdr:clientData/>
  </xdr:twoCellAnchor>
  <xdr:twoCellAnchor>
    <xdr:from>
      <xdr:col>17</xdr:col>
      <xdr:colOff>504825</xdr:colOff>
      <xdr:row>36</xdr:row>
      <xdr:rowOff>28575</xdr:rowOff>
    </xdr:from>
    <xdr:to>
      <xdr:col>17</xdr:col>
      <xdr:colOff>514350</xdr:colOff>
      <xdr:row>51</xdr:row>
      <xdr:rowOff>114300</xdr:rowOff>
    </xdr:to>
    <xdr:cxnSp macro="">
      <xdr:nvCxnSpPr>
        <xdr:cNvPr id="4" name="Straight Connector 3"/>
        <xdr:cNvCxnSpPr/>
      </xdr:nvCxnSpPr>
      <xdr:spPr bwMode="auto">
        <a:xfrm>
          <a:off x="4819650" y="7810500"/>
          <a:ext cx="9525" cy="2943225"/>
        </a:xfrm>
        <a:prstGeom prst="line">
          <a:avLst/>
        </a:prstGeom>
        <a:solidFill>
          <a:srgbClr val="FFFFFF"/>
        </a:solidFill>
        <a:ln w="9525" cap="flat" cmpd="sng" algn="ctr">
          <a:solidFill>
            <a:srgbClr val="000000"/>
          </a:solidFill>
          <a:prstDash val="sysDash"/>
          <a:round/>
          <a:headEnd type="none" w="med" len="med"/>
          <a:tailEnd type="none" w="med" len="med"/>
        </a:ln>
        <a:effectLst/>
      </xdr:spPr>
    </xdr:cxnSp>
    <xdr:clientData/>
  </xdr:twoCellAnchor>
  <xdr:twoCellAnchor>
    <xdr:from>
      <xdr:col>17</xdr:col>
      <xdr:colOff>609600</xdr:colOff>
      <xdr:row>36</xdr:row>
      <xdr:rowOff>66676</xdr:rowOff>
    </xdr:from>
    <xdr:to>
      <xdr:col>19</xdr:col>
      <xdr:colOff>485775</xdr:colOff>
      <xdr:row>39</xdr:row>
      <xdr:rowOff>180976</xdr:rowOff>
    </xdr:to>
    <xdr:sp macro="" textlink="">
      <xdr:nvSpPr>
        <xdr:cNvPr id="5" name="TextBox 1"/>
        <xdr:cNvSpPr txBox="1"/>
      </xdr:nvSpPr>
      <xdr:spPr>
        <a:xfrm>
          <a:off x="4924425" y="7848601"/>
          <a:ext cx="1381125" cy="68580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CA" sz="800"/>
            <a:t>Note: Prior to 2014-15 APLS enrolment was reported under the Faculty</a:t>
          </a:r>
          <a:r>
            <a:rPr lang="en-CA" sz="800" baseline="0"/>
            <a:t> of Humanities.</a:t>
          </a:r>
          <a:endParaRPr lang="en-CA" sz="800"/>
        </a:p>
      </xdr:txBody>
    </xdr:sp>
    <xdr:clientData/>
  </xdr:twoCellAnchor>
  <xdr:twoCellAnchor>
    <xdr:from>
      <xdr:col>2</xdr:col>
      <xdr:colOff>933451</xdr:colOff>
      <xdr:row>49</xdr:row>
      <xdr:rowOff>85725</xdr:rowOff>
    </xdr:from>
    <xdr:to>
      <xdr:col>16</xdr:col>
      <xdr:colOff>28576</xdr:colOff>
      <xdr:row>50</xdr:row>
      <xdr:rowOff>133350</xdr:rowOff>
    </xdr:to>
    <xdr:sp macro="" textlink="">
      <xdr:nvSpPr>
        <xdr:cNvPr id="7" name="TextBox 1"/>
        <xdr:cNvSpPr txBox="1"/>
      </xdr:nvSpPr>
      <xdr:spPr>
        <a:xfrm>
          <a:off x="2409826" y="10344150"/>
          <a:ext cx="1181100" cy="23812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CA" sz="800"/>
            <a:t>Faculty of Humanities</a:t>
          </a:r>
        </a:p>
      </xdr:txBody>
    </xdr:sp>
    <xdr:clientData/>
  </xdr:twoCellAnchor>
  <xdr:twoCellAnchor>
    <xdr:from>
      <xdr:col>17</xdr:col>
      <xdr:colOff>657224</xdr:colOff>
      <xdr:row>49</xdr:row>
      <xdr:rowOff>85725</xdr:rowOff>
    </xdr:from>
    <xdr:to>
      <xdr:col>19</xdr:col>
      <xdr:colOff>533399</xdr:colOff>
      <xdr:row>50</xdr:row>
      <xdr:rowOff>133350</xdr:rowOff>
    </xdr:to>
    <xdr:sp macro="" textlink="">
      <xdr:nvSpPr>
        <xdr:cNvPr id="9" name="TextBox 1"/>
        <xdr:cNvSpPr txBox="1"/>
      </xdr:nvSpPr>
      <xdr:spPr>
        <a:xfrm>
          <a:off x="4972049" y="10344150"/>
          <a:ext cx="1381125" cy="23812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CA" sz="800"/>
            <a:t>Faculty of</a:t>
          </a:r>
          <a:r>
            <a:rPr lang="en-CA" sz="800" baseline="0"/>
            <a:t> Social Sciences</a:t>
          </a:r>
          <a:endParaRPr lang="en-CA" sz="8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247650</xdr:colOff>
      <xdr:row>2</xdr:row>
      <xdr:rowOff>57150</xdr:rowOff>
    </xdr:to>
    <xdr:pic>
      <xdr:nvPicPr>
        <xdr:cNvPr id="3" name="Picture 25" descr="sml digital"/>
        <xdr:cNvPicPr>
          <a:picLocks noChangeAspect="1" noChangeArrowheads="1"/>
        </xdr:cNvPicPr>
      </xdr:nvPicPr>
      <xdr:blipFill>
        <a:blip xmlns:r="http://schemas.openxmlformats.org/officeDocument/2006/relationships" r:embed="rId1" cstate="print"/>
        <a:srcRect l="7108" t="9525" r="6599" b="9525"/>
        <a:stretch>
          <a:fillRect/>
        </a:stretch>
      </xdr:blipFill>
      <xdr:spPr bwMode="auto">
        <a:xfrm>
          <a:off x="600075" y="0"/>
          <a:ext cx="1123950" cy="6858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xdr:colOff>
      <xdr:row>34</xdr:row>
      <xdr:rowOff>114300</xdr:rowOff>
    </xdr:from>
    <xdr:to>
      <xdr:col>14</xdr:col>
      <xdr:colOff>38100</xdr:colOff>
      <xdr:row>52</xdr:row>
      <xdr:rowOff>85725</xdr:rowOff>
    </xdr:to>
    <xdr:graphicFrame macro="">
      <xdr:nvGraphicFramePr>
        <xdr:cNvPr id="28351"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28352"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1076325" cy="6477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523875</xdr:colOff>
      <xdr:row>34</xdr:row>
      <xdr:rowOff>123825</xdr:rowOff>
    </xdr:from>
    <xdr:to>
      <xdr:col>14</xdr:col>
      <xdr:colOff>0</xdr:colOff>
      <xdr:row>52</xdr:row>
      <xdr:rowOff>95250</xdr:rowOff>
    </xdr:to>
    <xdr:graphicFrame macro="">
      <xdr:nvGraphicFramePr>
        <xdr:cNvPr id="5594281"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5594282"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1076325" cy="64770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9525</xdr:colOff>
      <xdr:row>35</xdr:row>
      <xdr:rowOff>0</xdr:rowOff>
    </xdr:from>
    <xdr:to>
      <xdr:col>18</xdr:col>
      <xdr:colOff>0</xdr:colOff>
      <xdr:row>52</xdr:row>
      <xdr:rowOff>142875</xdr:rowOff>
    </xdr:to>
    <xdr:graphicFrame macro="">
      <xdr:nvGraphicFramePr>
        <xdr:cNvPr id="30399"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30400"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14350" y="0"/>
          <a:ext cx="1076325" cy="6477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9525</xdr:colOff>
      <xdr:row>35</xdr:row>
      <xdr:rowOff>104775</xdr:rowOff>
    </xdr:from>
    <xdr:to>
      <xdr:col>14</xdr:col>
      <xdr:colOff>9525</xdr:colOff>
      <xdr:row>54</xdr:row>
      <xdr:rowOff>66675</xdr:rowOff>
    </xdr:to>
    <xdr:graphicFrame macro="">
      <xdr:nvGraphicFramePr>
        <xdr:cNvPr id="32447"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168508</xdr:colOff>
      <xdr:row>1</xdr:row>
      <xdr:rowOff>295275</xdr:rowOff>
    </xdr:to>
    <xdr:pic>
      <xdr:nvPicPr>
        <xdr:cNvPr id="32448"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997183" cy="600075"/>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9525</xdr:colOff>
      <xdr:row>35</xdr:row>
      <xdr:rowOff>104775</xdr:rowOff>
    </xdr:from>
    <xdr:to>
      <xdr:col>14</xdr:col>
      <xdr:colOff>0</xdr:colOff>
      <xdr:row>54</xdr:row>
      <xdr:rowOff>66675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152400</xdr:colOff>
      <xdr:row>1</xdr:row>
      <xdr:rowOff>285582</xdr:rowOff>
    </xdr:to>
    <xdr:pic>
      <xdr:nvPicPr>
        <xdr:cNvPr id="3"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981075" cy="590382"/>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9525</xdr:colOff>
      <xdr:row>34</xdr:row>
      <xdr:rowOff>133350</xdr:rowOff>
    </xdr:from>
    <xdr:to>
      <xdr:col>18</xdr:col>
      <xdr:colOff>0</xdr:colOff>
      <xdr:row>52</xdr:row>
      <xdr:rowOff>114300</xdr:rowOff>
    </xdr:to>
    <xdr:graphicFrame macro="">
      <xdr:nvGraphicFramePr>
        <xdr:cNvPr id="3449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34496"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14350" y="0"/>
          <a:ext cx="1076325" cy="6477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9525</xdr:colOff>
      <xdr:row>34</xdr:row>
      <xdr:rowOff>123825</xdr:rowOff>
    </xdr:from>
    <xdr:to>
      <xdr:col>18</xdr:col>
      <xdr:colOff>0</xdr:colOff>
      <xdr:row>52</xdr:row>
      <xdr:rowOff>66675</xdr:rowOff>
    </xdr:to>
    <xdr:graphicFrame macro="">
      <xdr:nvGraphicFramePr>
        <xdr:cNvPr id="36544"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36545"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14350" y="0"/>
          <a:ext cx="1076325" cy="6477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34</xdr:row>
      <xdr:rowOff>152400</xdr:rowOff>
    </xdr:from>
    <xdr:to>
      <xdr:col>18</xdr:col>
      <xdr:colOff>0</xdr:colOff>
      <xdr:row>51</xdr:row>
      <xdr:rowOff>76200</xdr:rowOff>
    </xdr:to>
    <xdr:graphicFrame macro="">
      <xdr:nvGraphicFramePr>
        <xdr:cNvPr id="38591"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38592"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14350" y="0"/>
          <a:ext cx="1076325" cy="647700"/>
        </a:xfrm>
        <a:prstGeom prst="rect">
          <a:avLst/>
        </a:prstGeom>
        <a:no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9525</xdr:colOff>
      <xdr:row>35</xdr:row>
      <xdr:rowOff>0</xdr:rowOff>
    </xdr:from>
    <xdr:to>
      <xdr:col>14</xdr:col>
      <xdr:colOff>0</xdr:colOff>
      <xdr:row>52</xdr:row>
      <xdr:rowOff>9525</xdr:rowOff>
    </xdr:to>
    <xdr:graphicFrame macro="">
      <xdr:nvGraphicFramePr>
        <xdr:cNvPr id="40639"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40640"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1076325" cy="647700"/>
        </a:xfrm>
        <a:prstGeom prst="rect">
          <a:avLst/>
        </a:prstGeom>
        <a:noFill/>
        <a:ln w="9525">
          <a:noFill/>
          <a:miter lim="800000"/>
          <a:headEnd/>
          <a:tailEnd/>
        </a:ln>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9525</xdr:colOff>
      <xdr:row>35</xdr:row>
      <xdr:rowOff>0</xdr:rowOff>
    </xdr:from>
    <xdr:to>
      <xdr:col>14</xdr:col>
      <xdr:colOff>9525</xdr:colOff>
      <xdr:row>52</xdr:row>
      <xdr:rowOff>9525</xdr:rowOff>
    </xdr:to>
    <xdr:graphicFrame macro="">
      <xdr:nvGraphicFramePr>
        <xdr:cNvPr id="5687457"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5687458"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1076325" cy="647700"/>
        </a:xfrm>
        <a:prstGeom prst="rect">
          <a:avLst/>
        </a:prstGeom>
        <a:noFill/>
        <a:ln w="9525">
          <a:noFill/>
          <a:miter lim="800000"/>
          <a:headEnd/>
          <a:tailEnd/>
        </a:ln>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35</xdr:row>
      <xdr:rowOff>28575</xdr:rowOff>
    </xdr:from>
    <xdr:to>
      <xdr:col>13</xdr:col>
      <xdr:colOff>638175</xdr:colOff>
      <xdr:row>55</xdr:row>
      <xdr:rowOff>0</xdr:rowOff>
    </xdr:to>
    <xdr:graphicFrame macro="">
      <xdr:nvGraphicFramePr>
        <xdr:cNvPr id="44734"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44735"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1076325" cy="647700"/>
        </a:xfrm>
        <a:prstGeom prst="rect">
          <a:avLst/>
        </a:prstGeom>
        <a:noFill/>
        <a:ln w="9525">
          <a:noFill/>
          <a:miter lim="800000"/>
          <a:headEnd/>
          <a:tailEnd/>
        </a:ln>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35</xdr:row>
      <xdr:rowOff>28575</xdr:rowOff>
    </xdr:from>
    <xdr:to>
      <xdr:col>14</xdr:col>
      <xdr:colOff>0</xdr:colOff>
      <xdr:row>55</xdr:row>
      <xdr:rowOff>0</xdr:rowOff>
    </xdr:to>
    <xdr:graphicFrame macro="">
      <xdr:nvGraphicFramePr>
        <xdr:cNvPr id="5786777"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5786778"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1076325" cy="647700"/>
        </a:xfrm>
        <a:prstGeom prst="rect">
          <a:avLst/>
        </a:prstGeom>
        <a:noFill/>
        <a:ln w="9525">
          <a:noFill/>
          <a:miter lim="800000"/>
          <a:headEnd/>
          <a:tailEnd/>
        </a:ln>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504825</xdr:colOff>
      <xdr:row>34</xdr:row>
      <xdr:rowOff>133350</xdr:rowOff>
    </xdr:from>
    <xdr:to>
      <xdr:col>18</xdr:col>
      <xdr:colOff>9525</xdr:colOff>
      <xdr:row>52</xdr:row>
      <xdr:rowOff>95250</xdr:rowOff>
    </xdr:to>
    <xdr:graphicFrame macro="">
      <xdr:nvGraphicFramePr>
        <xdr:cNvPr id="4678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46783"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14350" y="0"/>
          <a:ext cx="1076325" cy="647700"/>
        </a:xfrm>
        <a:prstGeom prst="rect">
          <a:avLst/>
        </a:prstGeom>
        <a:noFill/>
        <a:ln w="9525">
          <a:noFill/>
          <a:miter lim="800000"/>
          <a:headEnd/>
          <a:tailEnd/>
        </a:ln>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523875</xdr:colOff>
      <xdr:row>34</xdr:row>
      <xdr:rowOff>123825</xdr:rowOff>
    </xdr:from>
    <xdr:to>
      <xdr:col>14</xdr:col>
      <xdr:colOff>0</xdr:colOff>
      <xdr:row>52</xdr:row>
      <xdr:rowOff>104775</xdr:rowOff>
    </xdr:to>
    <xdr:graphicFrame macro="">
      <xdr:nvGraphicFramePr>
        <xdr:cNvPr id="416799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4167996"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1076325" cy="647700"/>
        </a:xfrm>
        <a:prstGeom prst="rect">
          <a:avLst/>
        </a:prstGeom>
        <a:noFill/>
        <a:ln w="9525">
          <a:noFill/>
          <a:miter lim="800000"/>
          <a:headEnd/>
          <a:tailEnd/>
        </a:ln>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523875</xdr:colOff>
      <xdr:row>34</xdr:row>
      <xdr:rowOff>123825</xdr:rowOff>
    </xdr:from>
    <xdr:to>
      <xdr:col>14</xdr:col>
      <xdr:colOff>9525</xdr:colOff>
      <xdr:row>52</xdr:row>
      <xdr:rowOff>104775</xdr:rowOff>
    </xdr:to>
    <xdr:graphicFrame macro="">
      <xdr:nvGraphicFramePr>
        <xdr:cNvPr id="5838997"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5838998"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1076325" cy="647700"/>
        </a:xfrm>
        <a:prstGeom prst="rect">
          <a:avLst/>
        </a:prstGeom>
        <a:noFill/>
        <a:ln w="9525">
          <a:noFill/>
          <a:miter lim="800000"/>
          <a:headEnd/>
          <a:tailEnd/>
        </a:ln>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0</xdr:colOff>
      <xdr:row>34</xdr:row>
      <xdr:rowOff>114300</xdr:rowOff>
    </xdr:from>
    <xdr:to>
      <xdr:col>13</xdr:col>
      <xdr:colOff>638175</xdr:colOff>
      <xdr:row>52</xdr:row>
      <xdr:rowOff>66675</xdr:rowOff>
    </xdr:to>
    <xdr:graphicFrame macro="">
      <xdr:nvGraphicFramePr>
        <xdr:cNvPr id="49854"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49855"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1076325" cy="647700"/>
        </a:xfrm>
        <a:prstGeom prst="rect">
          <a:avLst/>
        </a:prstGeom>
        <a:noFill/>
        <a:ln w="9525">
          <a:noFill/>
          <a:miter lim="800000"/>
          <a:headEnd/>
          <a:tailEnd/>
        </a:ln>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533400</xdr:colOff>
      <xdr:row>34</xdr:row>
      <xdr:rowOff>114300</xdr:rowOff>
    </xdr:from>
    <xdr:to>
      <xdr:col>13</xdr:col>
      <xdr:colOff>647700</xdr:colOff>
      <xdr:row>52</xdr:row>
      <xdr:rowOff>66675</xdr:rowOff>
    </xdr:to>
    <xdr:graphicFrame macro="">
      <xdr:nvGraphicFramePr>
        <xdr:cNvPr id="589326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5893266"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1076325" cy="647700"/>
        </a:xfrm>
        <a:prstGeom prst="rect">
          <a:avLst/>
        </a:prstGeom>
        <a:noFill/>
        <a:ln w="9525">
          <a:noFill/>
          <a:miter lim="800000"/>
          <a:headEnd/>
          <a:tailEnd/>
        </a:ln>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533400</xdr:colOff>
      <xdr:row>35</xdr:row>
      <xdr:rowOff>9525</xdr:rowOff>
    </xdr:from>
    <xdr:to>
      <xdr:col>13</xdr:col>
      <xdr:colOff>638175</xdr:colOff>
      <xdr:row>53</xdr:row>
      <xdr:rowOff>0</xdr:rowOff>
    </xdr:to>
    <xdr:graphicFrame macro="">
      <xdr:nvGraphicFramePr>
        <xdr:cNvPr id="5190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51903"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1076325" cy="647700"/>
        </a:xfrm>
        <a:prstGeom prst="rect">
          <a:avLst/>
        </a:prstGeom>
        <a:noFill/>
        <a:ln w="9525">
          <a:noFill/>
          <a:miter lim="800000"/>
          <a:headEnd/>
          <a:tailEnd/>
        </a:ln>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0</xdr:colOff>
      <xdr:row>35</xdr:row>
      <xdr:rowOff>9525</xdr:rowOff>
    </xdr:from>
    <xdr:to>
      <xdr:col>14</xdr:col>
      <xdr:colOff>0</xdr:colOff>
      <xdr:row>53</xdr:row>
      <xdr:rowOff>0</xdr:rowOff>
    </xdr:to>
    <xdr:graphicFrame macro="">
      <xdr:nvGraphicFramePr>
        <xdr:cNvPr id="5949581"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5949582"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33400" y="0"/>
          <a:ext cx="1076325" cy="647700"/>
        </a:xfrm>
        <a:prstGeom prst="rect">
          <a:avLst/>
        </a:prstGeom>
        <a:noFill/>
        <a:ln w="9525">
          <a:noFill/>
          <a:miter lim="800000"/>
          <a:headEnd/>
          <a:tailEnd/>
        </a:ln>
      </xdr:spPr>
    </xdr:pic>
    <xdr:clientData/>
  </xdr:twoCellAnchor>
</xdr:wsDr>
</file>

<file path=xl/drawings/drawing25.xml><?xml version="1.0" encoding="utf-8"?>
<xdr:wsDr xmlns:xdr="http://schemas.openxmlformats.org/drawingml/2006/spreadsheetDrawing" xmlns:a="http://schemas.openxmlformats.org/drawingml/2006/main">
  <xdr:twoCellAnchor>
    <xdr:from>
      <xdr:col>1</xdr:col>
      <xdr:colOff>0</xdr:colOff>
      <xdr:row>34</xdr:row>
      <xdr:rowOff>142875</xdr:rowOff>
    </xdr:from>
    <xdr:to>
      <xdr:col>18</xdr:col>
      <xdr:colOff>0</xdr:colOff>
      <xdr:row>52</xdr:row>
      <xdr:rowOff>114300</xdr:rowOff>
    </xdr:to>
    <xdr:graphicFrame macro="">
      <xdr:nvGraphicFramePr>
        <xdr:cNvPr id="53950"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53951"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14350" y="0"/>
          <a:ext cx="1076325" cy="647700"/>
        </a:xfrm>
        <a:prstGeom prst="rect">
          <a:avLst/>
        </a:prstGeom>
        <a:noFill/>
        <a:ln w="9525">
          <a:noFill/>
          <a:miter lim="800000"/>
          <a:headEnd/>
          <a:tailEnd/>
        </a:ln>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9525</xdr:colOff>
      <xdr:row>35</xdr:row>
      <xdr:rowOff>19050</xdr:rowOff>
    </xdr:from>
    <xdr:to>
      <xdr:col>18</xdr:col>
      <xdr:colOff>0</xdr:colOff>
      <xdr:row>52</xdr:row>
      <xdr:rowOff>180975</xdr:rowOff>
    </xdr:to>
    <xdr:graphicFrame macro="">
      <xdr:nvGraphicFramePr>
        <xdr:cNvPr id="42687"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42688"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14350" y="0"/>
          <a:ext cx="1076325" cy="647700"/>
        </a:xfrm>
        <a:prstGeom prst="rect">
          <a:avLst/>
        </a:prstGeom>
        <a:noFill/>
        <a:ln w="9525">
          <a:noFill/>
          <a:miter lim="800000"/>
          <a:headEnd/>
          <a:tailEnd/>
        </a:ln>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9525</xdr:colOff>
      <xdr:row>35</xdr:row>
      <xdr:rowOff>19050</xdr:rowOff>
    </xdr:from>
    <xdr:to>
      <xdr:col>18</xdr:col>
      <xdr:colOff>0</xdr:colOff>
      <xdr:row>52</xdr:row>
      <xdr:rowOff>180975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3"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04825" y="0"/>
          <a:ext cx="1057275" cy="647700"/>
        </a:xfrm>
        <a:prstGeom prst="rect">
          <a:avLst/>
        </a:prstGeom>
        <a:noFill/>
        <a:ln w="9525">
          <a:noFill/>
          <a:miter lim="800000"/>
          <a:headEnd/>
          <a:tailEnd/>
        </a:ln>
      </xdr:spPr>
    </xdr:pic>
    <xdr:clientData/>
  </xdr:twoCellAnchor>
</xdr:wsDr>
</file>

<file path=xl/drawings/drawing28.xml><?xml version="1.0" encoding="utf-8"?>
<xdr:wsDr xmlns:xdr="http://schemas.openxmlformats.org/drawingml/2006/spreadsheetDrawing" xmlns:a="http://schemas.openxmlformats.org/drawingml/2006/main">
  <xdr:twoCellAnchor>
    <xdr:from>
      <xdr:col>1</xdr:col>
      <xdr:colOff>0</xdr:colOff>
      <xdr:row>34</xdr:row>
      <xdr:rowOff>123825</xdr:rowOff>
    </xdr:from>
    <xdr:to>
      <xdr:col>18</xdr:col>
      <xdr:colOff>0</xdr:colOff>
      <xdr:row>52</xdr:row>
      <xdr:rowOff>104775</xdr:rowOff>
    </xdr:to>
    <xdr:graphicFrame macro="">
      <xdr:nvGraphicFramePr>
        <xdr:cNvPr id="55998"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55999"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14350" y="0"/>
          <a:ext cx="1076325" cy="647700"/>
        </a:xfrm>
        <a:prstGeom prst="rect">
          <a:avLst/>
        </a:prstGeom>
        <a:noFill/>
        <a:ln w="9525">
          <a:noFill/>
          <a:miter lim="800000"/>
          <a:headEnd/>
          <a:tailEnd/>
        </a:ln>
      </xdr:spPr>
    </xdr:pic>
    <xdr:clientData/>
  </xdr:twoCellAnchor>
</xdr:wsDr>
</file>

<file path=xl/drawings/drawing29.xml><?xml version="1.0" encoding="utf-8"?>
<xdr:wsDr xmlns:xdr="http://schemas.openxmlformats.org/drawingml/2006/spreadsheetDrawing" xmlns:a="http://schemas.openxmlformats.org/drawingml/2006/main">
  <xdr:twoCellAnchor>
    <xdr:from>
      <xdr:col>1</xdr:col>
      <xdr:colOff>9525</xdr:colOff>
      <xdr:row>35</xdr:row>
      <xdr:rowOff>104775</xdr:rowOff>
    </xdr:from>
    <xdr:to>
      <xdr:col>18</xdr:col>
      <xdr:colOff>0</xdr:colOff>
      <xdr:row>53</xdr:row>
      <xdr:rowOff>95250</xdr:rowOff>
    </xdr:to>
    <xdr:graphicFrame macro="">
      <xdr:nvGraphicFramePr>
        <xdr:cNvPr id="4800"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2</xdr:col>
      <xdr:colOff>247650</xdr:colOff>
      <xdr:row>2</xdr:row>
      <xdr:rowOff>19050</xdr:rowOff>
    </xdr:to>
    <xdr:pic>
      <xdr:nvPicPr>
        <xdr:cNvPr id="4801" name="Picture 25" descr="sml digital"/>
        <xdr:cNvPicPr>
          <a:picLocks noChangeAspect="1" noChangeArrowheads="1"/>
        </xdr:cNvPicPr>
      </xdr:nvPicPr>
      <xdr:blipFill>
        <a:blip xmlns:r="http://schemas.openxmlformats.org/officeDocument/2006/relationships" r:embed="rId2" cstate="print"/>
        <a:srcRect l="7108" t="9525" r="6599" b="9525"/>
        <a:stretch>
          <a:fillRect/>
        </a:stretch>
      </xdr:blipFill>
      <xdr:spPr bwMode="auto">
        <a:xfrm>
          <a:off x="514350" y="0"/>
          <a:ext cx="1076325" cy="6477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2"/>
    <pageSetUpPr fitToPage="1"/>
  </sheetPr>
  <dimension ref="B1:U61"/>
  <sheetViews>
    <sheetView showGridLines="0" view="pageLayout" topLeftCell="A40" zoomScaleNormal="100" zoomScaleSheetLayoutView="100" workbookViewId="0">
      <selection activeCell="T8" sqref="T8"/>
    </sheetView>
  </sheetViews>
  <sheetFormatPr defaultColWidth="9.6640625" defaultRowHeight="15"/>
  <cols>
    <col min="1" max="1" width="6" style="1" customWidth="1"/>
    <col min="2" max="2" width="9.6640625" style="1" customWidth="1"/>
    <col min="3" max="3" width="20.44140625" style="1" customWidth="1"/>
    <col min="4" max="9" width="9.6640625" style="1" hidden="1" customWidth="1"/>
    <col min="10" max="11" width="8" style="1" hidden="1" customWidth="1"/>
    <col min="12" max="13" width="7.5546875" style="1" hidden="1" customWidth="1"/>
    <col min="14" max="18" width="8.77734375" style="1" customWidth="1"/>
    <col min="19" max="19" width="6.88671875" style="1" bestFit="1" customWidth="1"/>
    <col min="20" max="16384" width="9.6640625" style="1"/>
  </cols>
  <sheetData>
    <row r="1" spans="2:18" s="194" customFormat="1" ht="24" customHeight="1">
      <c r="B1" s="465" t="s">
        <v>0</v>
      </c>
      <c r="C1" s="465"/>
      <c r="D1" s="465"/>
      <c r="E1" s="465"/>
      <c r="F1" s="465"/>
      <c r="G1" s="465"/>
      <c r="H1" s="465"/>
      <c r="I1" s="465"/>
      <c r="J1" s="465"/>
      <c r="K1" s="465"/>
      <c r="L1" s="465"/>
      <c r="M1" s="465"/>
      <c r="N1" s="465"/>
      <c r="O1" s="465"/>
      <c r="P1" s="465"/>
      <c r="Q1" s="465"/>
      <c r="R1" s="465"/>
    </row>
    <row r="2" spans="2:18" s="196" customFormat="1" ht="25.5" customHeight="1">
      <c r="B2" s="464" t="s">
        <v>1</v>
      </c>
      <c r="C2" s="464"/>
      <c r="D2" s="464"/>
      <c r="E2" s="464"/>
      <c r="F2" s="464"/>
      <c r="G2" s="464"/>
      <c r="H2" s="464"/>
      <c r="I2" s="464"/>
      <c r="J2" s="464"/>
      <c r="K2" s="464"/>
      <c r="L2" s="464"/>
      <c r="M2" s="464"/>
      <c r="N2" s="464"/>
      <c r="O2" s="464"/>
      <c r="P2" s="464"/>
      <c r="Q2" s="464"/>
      <c r="R2" s="464"/>
    </row>
    <row r="3" spans="2:18" s="194" customFormat="1" ht="21" customHeight="1">
      <c r="B3" s="192"/>
      <c r="C3" s="197"/>
      <c r="D3" s="197"/>
      <c r="E3" s="197"/>
      <c r="F3" s="197"/>
      <c r="G3" s="197"/>
      <c r="H3" s="197"/>
      <c r="I3" s="197"/>
      <c r="J3" s="193"/>
      <c r="K3" s="193"/>
      <c r="L3" s="193"/>
      <c r="M3" s="193"/>
      <c r="N3" s="193"/>
      <c r="O3" s="193"/>
      <c r="P3" s="193"/>
      <c r="Q3" s="336"/>
    </row>
    <row r="4" spans="2:18" ht="15.75" customHeight="1">
      <c r="B4" s="471" t="s">
        <v>59</v>
      </c>
      <c r="C4" s="471" t="s">
        <v>60</v>
      </c>
      <c r="D4" s="140"/>
      <c r="E4" s="140"/>
      <c r="F4" s="140"/>
      <c r="G4" s="473" t="s">
        <v>145</v>
      </c>
      <c r="H4" s="474"/>
      <c r="I4" s="474"/>
      <c r="J4" s="474"/>
      <c r="K4" s="474"/>
      <c r="L4" s="474"/>
      <c r="M4" s="474"/>
      <c r="N4" s="474"/>
      <c r="O4" s="474"/>
      <c r="P4" s="474"/>
      <c r="Q4" s="474"/>
      <c r="R4" s="475"/>
    </row>
    <row r="5" spans="2:18" ht="16.5" thickBot="1">
      <c r="B5" s="472"/>
      <c r="C5" s="472"/>
      <c r="D5" s="141" t="s">
        <v>17</v>
      </c>
      <c r="E5" s="142" t="s">
        <v>18</v>
      </c>
      <c r="F5" s="142" t="s">
        <v>19</v>
      </c>
      <c r="G5" s="143" t="s">
        <v>20</v>
      </c>
      <c r="H5" s="143" t="s">
        <v>21</v>
      </c>
      <c r="I5" s="144" t="s">
        <v>51</v>
      </c>
      <c r="J5" s="144" t="s">
        <v>52</v>
      </c>
      <c r="K5" s="144" t="s">
        <v>53</v>
      </c>
      <c r="L5" s="143" t="s">
        <v>57</v>
      </c>
      <c r="M5" s="229" t="s">
        <v>69</v>
      </c>
      <c r="N5" s="175" t="s">
        <v>124</v>
      </c>
      <c r="O5" s="229" t="s">
        <v>146</v>
      </c>
      <c r="P5" s="229" t="s">
        <v>158</v>
      </c>
      <c r="Q5" s="229" t="s">
        <v>166</v>
      </c>
      <c r="R5" s="229" t="s">
        <v>187</v>
      </c>
    </row>
    <row r="6" spans="2:18">
      <c r="B6" s="8"/>
      <c r="C6" s="8" t="s">
        <v>11</v>
      </c>
      <c r="D6" s="9">
        <v>566</v>
      </c>
      <c r="E6" s="10">
        <v>560</v>
      </c>
      <c r="F6" s="10">
        <v>604</v>
      </c>
      <c r="G6" s="10">
        <v>739</v>
      </c>
      <c r="H6" s="10">
        <v>1193</v>
      </c>
      <c r="I6" s="67">
        <v>1245</v>
      </c>
      <c r="J6" s="67">
        <v>1268</v>
      </c>
      <c r="K6" s="67">
        <v>1287</v>
      </c>
      <c r="L6" s="67">
        <v>1281</v>
      </c>
      <c r="M6" s="67">
        <v>1347</v>
      </c>
      <c r="N6" s="67">
        <v>1377</v>
      </c>
      <c r="O6" s="67">
        <v>1501</v>
      </c>
      <c r="P6" s="67">
        <v>1466</v>
      </c>
      <c r="Q6" s="67">
        <v>1507</v>
      </c>
      <c r="R6" s="67">
        <v>1347</v>
      </c>
    </row>
    <row r="7" spans="2:18">
      <c r="B7" s="7"/>
      <c r="C7" s="8" t="s">
        <v>12</v>
      </c>
      <c r="D7" s="9">
        <v>23</v>
      </c>
      <c r="E7" s="10">
        <v>18</v>
      </c>
      <c r="F7" s="10">
        <v>6</v>
      </c>
      <c r="G7" s="10">
        <v>8</v>
      </c>
      <c r="H7" s="10">
        <v>12</v>
      </c>
      <c r="I7" s="67">
        <v>13</v>
      </c>
      <c r="J7" s="67">
        <v>18</v>
      </c>
      <c r="K7" s="67">
        <v>19</v>
      </c>
      <c r="L7" s="67">
        <v>15</v>
      </c>
      <c r="M7" s="67">
        <v>21</v>
      </c>
      <c r="N7" s="67">
        <v>18</v>
      </c>
      <c r="O7" s="67">
        <v>21</v>
      </c>
      <c r="P7" s="67">
        <v>14</v>
      </c>
      <c r="Q7" s="67">
        <v>15</v>
      </c>
      <c r="R7" s="67">
        <v>7</v>
      </c>
    </row>
    <row r="8" spans="2:18">
      <c r="B8" s="7" t="s">
        <v>2</v>
      </c>
      <c r="C8" s="3" t="s">
        <v>13</v>
      </c>
      <c r="D8" s="11">
        <v>589</v>
      </c>
      <c r="E8" s="12">
        <v>578</v>
      </c>
      <c r="F8" s="12">
        <v>610</v>
      </c>
      <c r="G8" s="12">
        <v>747</v>
      </c>
      <c r="H8" s="12">
        <v>1205</v>
      </c>
      <c r="I8" s="68">
        <v>1258</v>
      </c>
      <c r="J8" s="68">
        <v>1286</v>
      </c>
      <c r="K8" s="68">
        <v>1306</v>
      </c>
      <c r="L8" s="68">
        <v>1296</v>
      </c>
      <c r="M8" s="68">
        <v>1368</v>
      </c>
      <c r="N8" s="68">
        <v>1395</v>
      </c>
      <c r="O8" s="68">
        <v>1522</v>
      </c>
      <c r="P8" s="68">
        <v>1480</v>
      </c>
      <c r="Q8" s="68">
        <v>1522</v>
      </c>
      <c r="R8" s="68">
        <v>1354</v>
      </c>
    </row>
    <row r="9" spans="2:18" ht="15.75" thickBot="1">
      <c r="B9" s="7"/>
      <c r="C9" s="2" t="s">
        <v>14</v>
      </c>
      <c r="D9" s="11">
        <v>3</v>
      </c>
      <c r="E9" s="12">
        <v>2</v>
      </c>
      <c r="F9" s="12">
        <v>0</v>
      </c>
      <c r="G9" s="12">
        <v>1</v>
      </c>
      <c r="H9" s="12">
        <v>0</v>
      </c>
      <c r="I9" s="68">
        <v>16</v>
      </c>
      <c r="J9" s="68"/>
      <c r="K9" s="68">
        <v>270</v>
      </c>
      <c r="L9" s="68">
        <v>389</v>
      </c>
      <c r="M9" s="68">
        <v>350</v>
      </c>
      <c r="N9" s="68">
        <v>311</v>
      </c>
      <c r="O9" s="68">
        <v>300</v>
      </c>
      <c r="P9" s="68">
        <v>264</v>
      </c>
      <c r="Q9" s="68">
        <v>220</v>
      </c>
      <c r="R9" s="68">
        <v>226</v>
      </c>
    </row>
    <row r="10" spans="2:18" ht="17.100000000000001" customHeight="1" thickTop="1" thickBot="1">
      <c r="B10" s="7"/>
      <c r="C10" s="13" t="s">
        <v>15</v>
      </c>
      <c r="D10" s="14">
        <v>592</v>
      </c>
      <c r="E10" s="15">
        <v>580</v>
      </c>
      <c r="F10" s="15">
        <v>610</v>
      </c>
      <c r="G10" s="15">
        <v>748</v>
      </c>
      <c r="H10" s="15">
        <v>1205</v>
      </c>
      <c r="I10" s="69">
        <v>1274</v>
      </c>
      <c r="J10" s="69">
        <v>1286</v>
      </c>
      <c r="K10" s="69">
        <v>1576</v>
      </c>
      <c r="L10" s="69">
        <v>1685</v>
      </c>
      <c r="M10" s="69">
        <v>1718</v>
      </c>
      <c r="N10" s="69">
        <v>1706</v>
      </c>
      <c r="O10" s="69">
        <v>1822</v>
      </c>
      <c r="P10" s="69">
        <v>1744</v>
      </c>
      <c r="Q10" s="69">
        <v>1742</v>
      </c>
      <c r="R10" s="69">
        <v>1580</v>
      </c>
    </row>
    <row r="11" spans="2:18">
      <c r="B11" s="4"/>
      <c r="C11" s="4" t="s">
        <v>11</v>
      </c>
      <c r="D11" s="5">
        <v>474</v>
      </c>
      <c r="E11" s="6">
        <v>572</v>
      </c>
      <c r="F11" s="6">
        <v>618</v>
      </c>
      <c r="G11" s="6">
        <v>693</v>
      </c>
      <c r="H11" s="6">
        <v>827</v>
      </c>
      <c r="I11" s="66">
        <v>1219</v>
      </c>
      <c r="J11" s="66">
        <v>1235</v>
      </c>
      <c r="K11" s="66">
        <v>1161</v>
      </c>
      <c r="L11" s="66">
        <v>1102</v>
      </c>
      <c r="M11" s="66">
        <v>1026</v>
      </c>
      <c r="N11" s="66">
        <v>1046</v>
      </c>
      <c r="O11" s="66">
        <v>1079</v>
      </c>
      <c r="P11" s="66">
        <v>1192</v>
      </c>
      <c r="Q11" s="66">
        <v>1207</v>
      </c>
      <c r="R11" s="66">
        <v>1158</v>
      </c>
    </row>
    <row r="12" spans="2:18">
      <c r="B12" s="7"/>
      <c r="C12" s="8" t="s">
        <v>12</v>
      </c>
      <c r="D12" s="9">
        <v>127</v>
      </c>
      <c r="E12" s="10">
        <v>78</v>
      </c>
      <c r="F12" s="10">
        <v>52</v>
      </c>
      <c r="G12" s="10">
        <v>65</v>
      </c>
      <c r="H12" s="10">
        <v>48</v>
      </c>
      <c r="I12" s="67">
        <v>78</v>
      </c>
      <c r="J12" s="67">
        <v>68</v>
      </c>
      <c r="K12" s="67">
        <v>68</v>
      </c>
      <c r="L12" s="67">
        <v>48</v>
      </c>
      <c r="M12" s="67">
        <v>47</v>
      </c>
      <c r="N12" s="67">
        <v>61</v>
      </c>
      <c r="O12" s="67">
        <v>56</v>
      </c>
      <c r="P12" s="67">
        <v>64</v>
      </c>
      <c r="Q12" s="67">
        <v>54</v>
      </c>
      <c r="R12" s="67">
        <v>46</v>
      </c>
    </row>
    <row r="13" spans="2:18">
      <c r="B13" s="7" t="s">
        <v>3</v>
      </c>
      <c r="C13" s="3" t="s">
        <v>13</v>
      </c>
      <c r="D13" s="11">
        <v>601</v>
      </c>
      <c r="E13" s="12">
        <v>650</v>
      </c>
      <c r="F13" s="12">
        <v>670</v>
      </c>
      <c r="G13" s="12">
        <v>758</v>
      </c>
      <c r="H13" s="12">
        <v>875</v>
      </c>
      <c r="I13" s="68">
        <v>1297</v>
      </c>
      <c r="J13" s="68">
        <v>1303</v>
      </c>
      <c r="K13" s="68">
        <v>1229</v>
      </c>
      <c r="L13" s="68">
        <v>1150</v>
      </c>
      <c r="M13" s="68">
        <v>1073</v>
      </c>
      <c r="N13" s="68">
        <v>1107</v>
      </c>
      <c r="O13" s="68">
        <v>1135</v>
      </c>
      <c r="P13" s="68">
        <v>1256</v>
      </c>
      <c r="Q13" s="68">
        <v>1261</v>
      </c>
      <c r="R13" s="68">
        <v>1204</v>
      </c>
    </row>
    <row r="14" spans="2:18" ht="15.75" thickBot="1">
      <c r="B14" s="7"/>
      <c r="C14" s="2" t="s">
        <v>14</v>
      </c>
      <c r="D14" s="11">
        <v>1</v>
      </c>
      <c r="E14" s="12">
        <v>1</v>
      </c>
      <c r="F14" s="12">
        <v>1</v>
      </c>
      <c r="G14" s="12">
        <v>1</v>
      </c>
      <c r="H14" s="12">
        <v>0</v>
      </c>
      <c r="I14" s="68">
        <v>11</v>
      </c>
      <c r="J14" s="68">
        <v>1</v>
      </c>
      <c r="K14" s="68">
        <v>101</v>
      </c>
      <c r="L14" s="68">
        <v>144</v>
      </c>
      <c r="M14" s="68">
        <v>167</v>
      </c>
      <c r="N14" s="68">
        <v>130</v>
      </c>
      <c r="O14" s="68">
        <v>121</v>
      </c>
      <c r="P14" s="68">
        <v>126</v>
      </c>
      <c r="Q14" s="68">
        <v>104</v>
      </c>
      <c r="R14" s="68">
        <v>89</v>
      </c>
    </row>
    <row r="15" spans="2:18" ht="17.100000000000001" customHeight="1" thickTop="1" thickBot="1">
      <c r="B15" s="7"/>
      <c r="C15" s="13" t="s">
        <v>15</v>
      </c>
      <c r="D15" s="14">
        <v>602</v>
      </c>
      <c r="E15" s="15">
        <v>651</v>
      </c>
      <c r="F15" s="15">
        <v>671</v>
      </c>
      <c r="G15" s="15">
        <v>759</v>
      </c>
      <c r="H15" s="15">
        <v>875</v>
      </c>
      <c r="I15" s="69">
        <v>1308</v>
      </c>
      <c r="J15" s="69">
        <v>1304</v>
      </c>
      <c r="K15" s="69">
        <v>1330</v>
      </c>
      <c r="L15" s="69">
        <v>1294</v>
      </c>
      <c r="M15" s="69">
        <v>1240</v>
      </c>
      <c r="N15" s="69">
        <v>1237</v>
      </c>
      <c r="O15" s="69">
        <v>1256</v>
      </c>
      <c r="P15" s="69">
        <v>1382</v>
      </c>
      <c r="Q15" s="69">
        <v>1365</v>
      </c>
      <c r="R15" s="69">
        <v>1293</v>
      </c>
    </row>
    <row r="16" spans="2:18">
      <c r="B16" s="4"/>
      <c r="C16" s="4" t="s">
        <v>11</v>
      </c>
      <c r="D16" s="5">
        <v>747</v>
      </c>
      <c r="E16" s="6">
        <v>685</v>
      </c>
      <c r="F16" s="6">
        <v>762</v>
      </c>
      <c r="G16" s="6">
        <v>785</v>
      </c>
      <c r="H16" s="6">
        <v>876</v>
      </c>
      <c r="I16" s="66">
        <v>806</v>
      </c>
      <c r="J16" s="66">
        <v>1128</v>
      </c>
      <c r="K16" s="66">
        <v>1132</v>
      </c>
      <c r="L16" s="66">
        <v>1023</v>
      </c>
      <c r="M16" s="66">
        <v>891</v>
      </c>
      <c r="N16" s="66">
        <v>917</v>
      </c>
      <c r="O16" s="66">
        <v>956</v>
      </c>
      <c r="P16" s="66">
        <v>922</v>
      </c>
      <c r="Q16" s="66">
        <v>1037</v>
      </c>
      <c r="R16" s="66">
        <v>1031</v>
      </c>
    </row>
    <row r="17" spans="2:21">
      <c r="B17" s="7"/>
      <c r="C17" s="8" t="s">
        <v>12</v>
      </c>
      <c r="D17" s="9">
        <v>208</v>
      </c>
      <c r="E17" s="10">
        <v>164</v>
      </c>
      <c r="F17" s="10">
        <v>161</v>
      </c>
      <c r="G17" s="10">
        <v>118</v>
      </c>
      <c r="H17" s="10">
        <v>71</v>
      </c>
      <c r="I17" s="67">
        <v>77</v>
      </c>
      <c r="J17" s="67">
        <v>88</v>
      </c>
      <c r="K17" s="67">
        <v>64</v>
      </c>
      <c r="L17" s="67">
        <v>79</v>
      </c>
      <c r="M17" s="67">
        <v>67</v>
      </c>
      <c r="N17" s="67">
        <v>69</v>
      </c>
      <c r="O17" s="67">
        <v>76</v>
      </c>
      <c r="P17" s="67">
        <v>60</v>
      </c>
      <c r="Q17" s="67">
        <v>56</v>
      </c>
      <c r="R17" s="67">
        <v>54</v>
      </c>
    </row>
    <row r="18" spans="2:21">
      <c r="B18" s="7" t="s">
        <v>4</v>
      </c>
      <c r="C18" s="3" t="s">
        <v>13</v>
      </c>
      <c r="D18" s="11">
        <v>955</v>
      </c>
      <c r="E18" s="12">
        <v>849</v>
      </c>
      <c r="F18" s="12">
        <v>923</v>
      </c>
      <c r="G18" s="12">
        <v>903</v>
      </c>
      <c r="H18" s="12">
        <v>947</v>
      </c>
      <c r="I18" s="68">
        <v>883</v>
      </c>
      <c r="J18" s="68">
        <v>1216</v>
      </c>
      <c r="K18" s="68">
        <v>1196</v>
      </c>
      <c r="L18" s="68">
        <v>1102</v>
      </c>
      <c r="M18" s="68">
        <v>958</v>
      </c>
      <c r="N18" s="68">
        <v>986</v>
      </c>
      <c r="O18" s="68">
        <v>1032</v>
      </c>
      <c r="P18" s="68">
        <v>982</v>
      </c>
      <c r="Q18" s="68">
        <v>1093</v>
      </c>
      <c r="R18" s="68">
        <v>1085</v>
      </c>
    </row>
    <row r="19" spans="2:21" ht="15.75" thickBot="1">
      <c r="B19" s="7"/>
      <c r="C19" s="2" t="s">
        <v>14</v>
      </c>
      <c r="D19" s="11">
        <v>23</v>
      </c>
      <c r="E19" s="12">
        <v>15</v>
      </c>
      <c r="F19" s="12">
        <v>9</v>
      </c>
      <c r="G19" s="12">
        <v>6</v>
      </c>
      <c r="H19" s="12">
        <v>2</v>
      </c>
      <c r="I19" s="68">
        <v>2</v>
      </c>
      <c r="J19" s="68">
        <v>1</v>
      </c>
      <c r="K19" s="68">
        <v>92</v>
      </c>
      <c r="L19" s="68">
        <v>105</v>
      </c>
      <c r="M19" s="68">
        <v>93</v>
      </c>
      <c r="N19" s="68">
        <v>117</v>
      </c>
      <c r="O19" s="68">
        <v>88</v>
      </c>
      <c r="P19" s="68">
        <v>89</v>
      </c>
      <c r="Q19" s="68">
        <v>95</v>
      </c>
      <c r="R19" s="68">
        <v>95</v>
      </c>
    </row>
    <row r="20" spans="2:21" ht="17.100000000000001" customHeight="1" thickTop="1" thickBot="1">
      <c r="B20" s="7"/>
      <c r="C20" s="13" t="s">
        <v>15</v>
      </c>
      <c r="D20" s="14">
        <v>978</v>
      </c>
      <c r="E20" s="15">
        <v>864</v>
      </c>
      <c r="F20" s="15">
        <v>932</v>
      </c>
      <c r="G20" s="15">
        <v>909</v>
      </c>
      <c r="H20" s="15">
        <v>949</v>
      </c>
      <c r="I20" s="69">
        <v>885</v>
      </c>
      <c r="J20" s="69">
        <v>1217</v>
      </c>
      <c r="K20" s="69">
        <v>1288</v>
      </c>
      <c r="L20" s="69">
        <v>1207</v>
      </c>
      <c r="M20" s="69">
        <v>1051</v>
      </c>
      <c r="N20" s="69">
        <v>1103</v>
      </c>
      <c r="O20" s="69">
        <v>1120</v>
      </c>
      <c r="P20" s="69">
        <v>1071</v>
      </c>
      <c r="Q20" s="69">
        <v>1188</v>
      </c>
      <c r="R20" s="69">
        <v>1180</v>
      </c>
    </row>
    <row r="21" spans="2:21">
      <c r="B21" s="4"/>
      <c r="C21" s="4" t="s">
        <v>11</v>
      </c>
      <c r="D21" s="5">
        <v>225</v>
      </c>
      <c r="E21" s="6">
        <v>378</v>
      </c>
      <c r="F21" s="6">
        <v>446</v>
      </c>
      <c r="G21" s="6">
        <v>440</v>
      </c>
      <c r="H21" s="6">
        <v>513</v>
      </c>
      <c r="I21" s="66">
        <v>387</v>
      </c>
      <c r="J21" s="66">
        <v>507</v>
      </c>
      <c r="K21" s="66">
        <v>767</v>
      </c>
      <c r="L21" s="66">
        <v>673</v>
      </c>
      <c r="M21" s="66">
        <v>620</v>
      </c>
      <c r="N21" s="66">
        <v>669</v>
      </c>
      <c r="O21" s="66">
        <v>584</v>
      </c>
      <c r="P21" s="66">
        <v>624</v>
      </c>
      <c r="Q21" s="66">
        <v>690</v>
      </c>
      <c r="R21" s="66">
        <v>775</v>
      </c>
    </row>
    <row r="22" spans="2:21">
      <c r="B22" s="7"/>
      <c r="C22" s="8" t="s">
        <v>12</v>
      </c>
      <c r="D22" s="9">
        <v>83</v>
      </c>
      <c r="E22" s="10">
        <v>74</v>
      </c>
      <c r="F22" s="10">
        <v>73</v>
      </c>
      <c r="G22" s="10">
        <v>84</v>
      </c>
      <c r="H22" s="10">
        <v>50</v>
      </c>
      <c r="I22" s="67">
        <v>27</v>
      </c>
      <c r="J22" s="67">
        <v>42</v>
      </c>
      <c r="K22" s="67">
        <v>74</v>
      </c>
      <c r="L22" s="67">
        <v>45</v>
      </c>
      <c r="M22" s="67">
        <v>52</v>
      </c>
      <c r="N22" s="67">
        <v>52</v>
      </c>
      <c r="O22" s="67">
        <v>39</v>
      </c>
      <c r="P22" s="67">
        <v>53</v>
      </c>
      <c r="Q22" s="67">
        <v>59</v>
      </c>
      <c r="R22" s="67">
        <v>56</v>
      </c>
    </row>
    <row r="23" spans="2:21">
      <c r="B23" s="7" t="s">
        <v>5</v>
      </c>
      <c r="C23" s="3" t="s">
        <v>13</v>
      </c>
      <c r="D23" s="11">
        <v>308</v>
      </c>
      <c r="E23" s="12">
        <v>452</v>
      </c>
      <c r="F23" s="12">
        <v>519</v>
      </c>
      <c r="G23" s="12">
        <v>524</v>
      </c>
      <c r="H23" s="12">
        <v>563</v>
      </c>
      <c r="I23" s="68">
        <v>414</v>
      </c>
      <c r="J23" s="68">
        <v>549</v>
      </c>
      <c r="K23" s="68">
        <v>841</v>
      </c>
      <c r="L23" s="68">
        <v>718</v>
      </c>
      <c r="M23" s="68">
        <v>672</v>
      </c>
      <c r="N23" s="68">
        <v>721</v>
      </c>
      <c r="O23" s="68">
        <v>623</v>
      </c>
      <c r="P23" s="68">
        <v>677</v>
      </c>
      <c r="Q23" s="68">
        <v>749</v>
      </c>
      <c r="R23" s="68">
        <v>831</v>
      </c>
    </row>
    <row r="24" spans="2:21" ht="15.75" thickBot="1">
      <c r="B24" s="7"/>
      <c r="C24" s="2" t="s">
        <v>14</v>
      </c>
      <c r="D24" s="11">
        <v>2</v>
      </c>
      <c r="E24" s="12">
        <v>3</v>
      </c>
      <c r="F24" s="12">
        <v>3</v>
      </c>
      <c r="G24" s="12">
        <v>1</v>
      </c>
      <c r="H24" s="12">
        <v>4</v>
      </c>
      <c r="I24" s="68">
        <v>1</v>
      </c>
      <c r="J24" s="68">
        <v>1</v>
      </c>
      <c r="K24" s="68">
        <v>3</v>
      </c>
      <c r="L24" s="68">
        <v>5</v>
      </c>
      <c r="M24" s="68">
        <v>10</v>
      </c>
      <c r="N24" s="68">
        <v>7</v>
      </c>
      <c r="O24" s="68">
        <v>9</v>
      </c>
      <c r="P24" s="68">
        <v>1</v>
      </c>
      <c r="Q24" s="68">
        <v>8</v>
      </c>
      <c r="R24" s="68">
        <v>22</v>
      </c>
    </row>
    <row r="25" spans="2:21" ht="17.100000000000001" customHeight="1" thickTop="1" thickBot="1">
      <c r="B25" s="7"/>
      <c r="C25" s="13" t="s">
        <v>15</v>
      </c>
      <c r="D25" s="14">
        <v>310</v>
      </c>
      <c r="E25" s="15">
        <v>455</v>
      </c>
      <c r="F25" s="15">
        <v>522</v>
      </c>
      <c r="G25" s="15">
        <v>525</v>
      </c>
      <c r="H25" s="15">
        <v>567</v>
      </c>
      <c r="I25" s="69">
        <v>415</v>
      </c>
      <c r="J25" s="69">
        <v>550</v>
      </c>
      <c r="K25" s="69">
        <v>844</v>
      </c>
      <c r="L25" s="69">
        <v>723</v>
      </c>
      <c r="M25" s="69">
        <v>682</v>
      </c>
      <c r="N25" s="69">
        <v>728</v>
      </c>
      <c r="O25" s="69">
        <v>632</v>
      </c>
      <c r="P25" s="69">
        <v>678</v>
      </c>
      <c r="Q25" s="69">
        <v>757</v>
      </c>
      <c r="R25" s="69">
        <v>853</v>
      </c>
    </row>
    <row r="26" spans="2:21" ht="21" customHeight="1">
      <c r="B26" s="16"/>
      <c r="C26" s="16" t="s">
        <v>11</v>
      </c>
      <c r="D26" s="17">
        <v>2012</v>
      </c>
      <c r="E26" s="18">
        <v>2195</v>
      </c>
      <c r="F26" s="18">
        <v>2430</v>
      </c>
      <c r="G26" s="18">
        <v>2657</v>
      </c>
      <c r="H26" s="18">
        <v>3409</v>
      </c>
      <c r="I26" s="70">
        <v>3657</v>
      </c>
      <c r="J26" s="70">
        <v>4138</v>
      </c>
      <c r="K26" s="70">
        <v>4347</v>
      </c>
      <c r="L26" s="70">
        <v>4079</v>
      </c>
      <c r="M26" s="70">
        <v>3884</v>
      </c>
      <c r="N26" s="70">
        <v>4009</v>
      </c>
      <c r="O26" s="70">
        <v>4120</v>
      </c>
      <c r="P26" s="70">
        <v>4204</v>
      </c>
      <c r="Q26" s="70">
        <v>4441</v>
      </c>
      <c r="R26" s="70">
        <v>4311</v>
      </c>
    </row>
    <row r="27" spans="2:21" ht="21" customHeight="1">
      <c r="B27" s="19"/>
      <c r="C27" s="19" t="s">
        <v>12</v>
      </c>
      <c r="D27" s="20">
        <v>441</v>
      </c>
      <c r="E27" s="21">
        <v>334</v>
      </c>
      <c r="F27" s="21">
        <v>292</v>
      </c>
      <c r="G27" s="21">
        <v>275</v>
      </c>
      <c r="H27" s="21">
        <v>181</v>
      </c>
      <c r="I27" s="71">
        <v>195</v>
      </c>
      <c r="J27" s="71">
        <v>216</v>
      </c>
      <c r="K27" s="71">
        <v>225</v>
      </c>
      <c r="L27" s="71">
        <v>187</v>
      </c>
      <c r="M27" s="71">
        <v>187</v>
      </c>
      <c r="N27" s="71">
        <v>200</v>
      </c>
      <c r="O27" s="71">
        <v>192</v>
      </c>
      <c r="P27" s="71">
        <v>191</v>
      </c>
      <c r="Q27" s="71">
        <v>184</v>
      </c>
      <c r="R27" s="71">
        <v>163</v>
      </c>
    </row>
    <row r="28" spans="2:21" ht="21" customHeight="1">
      <c r="B28" s="22" t="s">
        <v>6</v>
      </c>
      <c r="C28" s="23" t="s">
        <v>13</v>
      </c>
      <c r="D28" s="24">
        <v>2453</v>
      </c>
      <c r="E28" s="25">
        <v>2529</v>
      </c>
      <c r="F28" s="25">
        <v>2722</v>
      </c>
      <c r="G28" s="25">
        <v>2932</v>
      </c>
      <c r="H28" s="25">
        <v>3590</v>
      </c>
      <c r="I28" s="72">
        <v>3852</v>
      </c>
      <c r="J28" s="72">
        <v>4354</v>
      </c>
      <c r="K28" s="72">
        <v>4572</v>
      </c>
      <c r="L28" s="72">
        <v>4266</v>
      </c>
      <c r="M28" s="72">
        <v>4071</v>
      </c>
      <c r="N28" s="72">
        <v>4209</v>
      </c>
      <c r="O28" s="72">
        <v>4312</v>
      </c>
      <c r="P28" s="72">
        <v>4395</v>
      </c>
      <c r="Q28" s="72">
        <v>4625</v>
      </c>
      <c r="R28" s="72">
        <v>4474</v>
      </c>
    </row>
    <row r="29" spans="2:21" ht="21" customHeight="1" thickBot="1">
      <c r="B29" s="19"/>
      <c r="C29" s="26" t="s">
        <v>14</v>
      </c>
      <c r="D29" s="24">
        <v>29</v>
      </c>
      <c r="E29" s="25">
        <v>21</v>
      </c>
      <c r="F29" s="25">
        <v>13</v>
      </c>
      <c r="G29" s="25">
        <v>9</v>
      </c>
      <c r="H29" s="25">
        <v>6</v>
      </c>
      <c r="I29" s="72">
        <v>30</v>
      </c>
      <c r="J29" s="72">
        <v>3</v>
      </c>
      <c r="K29" s="72">
        <v>466</v>
      </c>
      <c r="L29" s="72">
        <v>643</v>
      </c>
      <c r="M29" s="72">
        <v>620</v>
      </c>
      <c r="N29" s="72">
        <v>565</v>
      </c>
      <c r="O29" s="72">
        <v>518</v>
      </c>
      <c r="P29" s="72">
        <v>480</v>
      </c>
      <c r="Q29" s="72">
        <v>427</v>
      </c>
      <c r="R29" s="72">
        <v>432</v>
      </c>
    </row>
    <row r="30" spans="2:21" ht="21" customHeight="1" thickTop="1" thickBot="1">
      <c r="B30" s="180"/>
      <c r="C30" s="181" t="s">
        <v>15</v>
      </c>
      <c r="D30" s="182">
        <v>2482</v>
      </c>
      <c r="E30" s="183">
        <v>2550</v>
      </c>
      <c r="F30" s="183">
        <v>2735</v>
      </c>
      <c r="G30" s="183">
        <v>2941</v>
      </c>
      <c r="H30" s="183">
        <v>3596</v>
      </c>
      <c r="I30" s="184">
        <v>3882</v>
      </c>
      <c r="J30" s="184">
        <v>4357</v>
      </c>
      <c r="K30" s="184">
        <v>5038</v>
      </c>
      <c r="L30" s="184">
        <v>4909</v>
      </c>
      <c r="M30" s="184">
        <v>4691</v>
      </c>
      <c r="N30" s="184">
        <v>4774</v>
      </c>
      <c r="O30" s="184">
        <v>4830</v>
      </c>
      <c r="P30" s="184">
        <v>4875</v>
      </c>
      <c r="Q30" s="184">
        <v>5052</v>
      </c>
      <c r="R30" s="184">
        <v>4906</v>
      </c>
      <c r="U30" s="1">
        <f>5052-4830</f>
        <v>222</v>
      </c>
    </row>
    <row r="31" spans="2:21" ht="1.5" customHeight="1" thickTop="1">
      <c r="B31" s="22"/>
      <c r="C31" s="176" t="s">
        <v>16</v>
      </c>
      <c r="D31" s="177">
        <v>2375</v>
      </c>
      <c r="E31" s="178">
        <v>2382</v>
      </c>
      <c r="F31" s="178">
        <v>2578</v>
      </c>
      <c r="G31" s="178">
        <v>2824</v>
      </c>
      <c r="H31" s="178">
        <v>3596</v>
      </c>
      <c r="I31" s="179">
        <v>3882</v>
      </c>
      <c r="J31" s="179">
        <v>4357</v>
      </c>
      <c r="K31" s="179">
        <v>5038</v>
      </c>
      <c r="L31" s="179">
        <v>4909</v>
      </c>
      <c r="M31" s="179">
        <v>4691</v>
      </c>
      <c r="N31" s="179"/>
      <c r="O31" s="179"/>
      <c r="P31" s="179"/>
      <c r="Q31" s="71"/>
      <c r="R31" s="179"/>
    </row>
    <row r="32" spans="2:21" ht="15.75">
      <c r="B32" s="8" t="s">
        <v>7</v>
      </c>
      <c r="C32" s="99"/>
      <c r="D32" s="32"/>
      <c r="E32" s="33"/>
      <c r="F32" s="33"/>
      <c r="G32" s="33"/>
      <c r="H32" s="10">
        <v>988</v>
      </c>
      <c r="I32" s="67">
        <v>1123</v>
      </c>
      <c r="J32" s="67">
        <v>1383</v>
      </c>
      <c r="K32" s="67">
        <v>1718</v>
      </c>
      <c r="L32" s="67">
        <v>1641</v>
      </c>
      <c r="M32" s="67">
        <v>1625</v>
      </c>
      <c r="N32" s="67">
        <v>1743</v>
      </c>
      <c r="O32" s="67">
        <v>1765</v>
      </c>
      <c r="P32" s="67">
        <v>1813</v>
      </c>
      <c r="Q32" s="67">
        <v>1809</v>
      </c>
      <c r="R32" s="283">
        <v>1768</v>
      </c>
      <c r="S32" s="296">
        <f>R32/R30</f>
        <v>0.36037505095801059</v>
      </c>
      <c r="T32" s="93"/>
    </row>
    <row r="33" spans="2:20" ht="16.5" thickBot="1">
      <c r="B33" s="8" t="s">
        <v>8</v>
      </c>
      <c r="C33" s="185"/>
      <c r="D33" s="186"/>
      <c r="E33" s="187"/>
      <c r="F33" s="187"/>
      <c r="G33" s="187"/>
      <c r="H33" s="188">
        <v>2608</v>
      </c>
      <c r="I33" s="189">
        <v>2759</v>
      </c>
      <c r="J33" s="189">
        <v>2974</v>
      </c>
      <c r="K33" s="189">
        <v>3320</v>
      </c>
      <c r="L33" s="189">
        <v>3268</v>
      </c>
      <c r="M33" s="189">
        <v>3066</v>
      </c>
      <c r="N33" s="189">
        <v>3031</v>
      </c>
      <c r="O33" s="189">
        <v>3065</v>
      </c>
      <c r="P33" s="189">
        <v>3062</v>
      </c>
      <c r="Q33" s="189">
        <v>3243</v>
      </c>
      <c r="R33" s="284">
        <v>3138</v>
      </c>
      <c r="S33" s="296">
        <f>R33/R30</f>
        <v>0.63962494904198941</v>
      </c>
      <c r="T33" s="93"/>
    </row>
    <row r="34" spans="2:20" ht="15.75">
      <c r="B34" s="4" t="s">
        <v>9</v>
      </c>
      <c r="C34" s="34"/>
      <c r="D34" s="35"/>
      <c r="E34" s="36"/>
      <c r="F34" s="36"/>
      <c r="G34" s="36"/>
      <c r="H34" s="6">
        <v>3258</v>
      </c>
      <c r="I34" s="66">
        <v>3497</v>
      </c>
      <c r="J34" s="66">
        <v>3905</v>
      </c>
      <c r="K34" s="66">
        <v>4382</v>
      </c>
      <c r="L34" s="66">
        <v>4220</v>
      </c>
      <c r="M34" s="66">
        <v>4049</v>
      </c>
      <c r="N34" s="66">
        <v>4195</v>
      </c>
      <c r="O34" s="66">
        <v>4249</v>
      </c>
      <c r="P34" s="66">
        <v>4389</v>
      </c>
      <c r="Q34" s="66">
        <v>4561</v>
      </c>
      <c r="R34" s="285">
        <v>4359</v>
      </c>
      <c r="S34" s="296">
        <f>R34/R30</f>
        <v>0.88850387280880549</v>
      </c>
      <c r="T34" s="93"/>
    </row>
    <row r="35" spans="2:20" ht="15.75">
      <c r="B35" s="125" t="s">
        <v>10</v>
      </c>
      <c r="C35" s="219"/>
      <c r="D35" s="218"/>
      <c r="E35" s="33"/>
      <c r="F35" s="33"/>
      <c r="G35" s="33"/>
      <c r="H35" s="10">
        <v>338</v>
      </c>
      <c r="I35" s="74">
        <v>385</v>
      </c>
      <c r="J35" s="74">
        <v>452</v>
      </c>
      <c r="K35" s="74">
        <v>656</v>
      </c>
      <c r="L35" s="74">
        <v>689</v>
      </c>
      <c r="M35" s="74">
        <v>642</v>
      </c>
      <c r="N35" s="74">
        <v>579</v>
      </c>
      <c r="O35" s="74">
        <v>581</v>
      </c>
      <c r="P35" s="74">
        <v>486</v>
      </c>
      <c r="Q35" s="74">
        <v>491</v>
      </c>
      <c r="R35" s="286">
        <v>547</v>
      </c>
      <c r="S35" s="296">
        <f>R35/R30</f>
        <v>0.11149612719119445</v>
      </c>
    </row>
    <row r="36" spans="2:20" s="310" customFormat="1" ht="15.75">
      <c r="B36" s="304"/>
      <c r="C36" s="305"/>
      <c r="D36" s="306"/>
      <c r="E36" s="306"/>
      <c r="F36" s="306"/>
      <c r="G36" s="306"/>
      <c r="H36" s="307"/>
      <c r="I36" s="307"/>
      <c r="J36" s="307"/>
      <c r="K36" s="307"/>
      <c r="L36" s="307"/>
      <c r="M36" s="307"/>
      <c r="N36" s="307"/>
      <c r="O36" s="307"/>
      <c r="P36" s="308"/>
      <c r="Q36" s="308"/>
      <c r="R36" s="309"/>
    </row>
    <row r="37" spans="2:20" s="310" customFormat="1" ht="12.75" hidden="1" customHeight="1">
      <c r="B37" s="312"/>
      <c r="C37" s="305"/>
      <c r="D37" s="313"/>
      <c r="E37" s="313"/>
      <c r="F37" s="313"/>
      <c r="G37" s="313"/>
      <c r="H37" s="313"/>
      <c r="I37" s="314"/>
      <c r="J37" s="315"/>
      <c r="K37" s="315"/>
      <c r="L37" s="315"/>
      <c r="M37" s="315"/>
      <c r="N37" s="315"/>
      <c r="O37" s="315"/>
      <c r="P37" s="315"/>
      <c r="Q37" s="315"/>
    </row>
    <row r="38" spans="2:20" s="149" customFormat="1" ht="12.75" hidden="1" customHeight="1">
      <c r="B38" s="468"/>
      <c r="C38" s="469"/>
      <c r="D38" s="469"/>
      <c r="E38" s="469"/>
      <c r="F38" s="469"/>
      <c r="G38" s="469"/>
      <c r="H38" s="469"/>
      <c r="I38" s="469"/>
      <c r="J38" s="469"/>
      <c r="K38" s="469"/>
      <c r="L38" s="469"/>
      <c r="M38" s="470"/>
      <c r="N38" s="470"/>
      <c r="O38" s="470"/>
      <c r="P38" s="470"/>
      <c r="Q38" s="335"/>
    </row>
    <row r="39" spans="2:20" s="149" customFormat="1" ht="12.75" hidden="1" customHeight="1">
      <c r="B39" s="468"/>
      <c r="C39" s="469"/>
      <c r="D39" s="469"/>
      <c r="E39" s="469"/>
      <c r="F39" s="469"/>
      <c r="G39" s="469"/>
      <c r="H39" s="469"/>
      <c r="I39" s="469"/>
      <c r="J39" s="469"/>
      <c r="K39" s="469"/>
      <c r="L39" s="469"/>
      <c r="M39" s="470"/>
      <c r="N39" s="470"/>
      <c r="O39" s="470"/>
      <c r="P39" s="470"/>
      <c r="Q39" s="335"/>
      <c r="R39" s="316"/>
    </row>
    <row r="40" spans="2:20" s="311" customFormat="1" ht="12.75" customHeight="1">
      <c r="B40" s="466"/>
      <c r="C40" s="467"/>
      <c r="D40" s="467"/>
      <c r="E40" s="467"/>
      <c r="F40" s="467"/>
      <c r="G40" s="467"/>
      <c r="H40" s="467"/>
      <c r="I40" s="467"/>
      <c r="J40" s="467"/>
      <c r="K40" s="467"/>
      <c r="L40" s="467"/>
      <c r="M40" s="467"/>
      <c r="N40" s="467"/>
      <c r="O40" s="467"/>
      <c r="P40" s="467"/>
      <c r="Q40" s="334"/>
      <c r="R40" s="1"/>
      <c r="S40" s="1"/>
    </row>
    <row r="61" spans="2:2" hidden="1">
      <c r="B61" s="1" t="s">
        <v>144</v>
      </c>
    </row>
  </sheetData>
  <mergeCells count="8">
    <mergeCell ref="B2:R2"/>
    <mergeCell ref="B1:R1"/>
    <mergeCell ref="B40:P40"/>
    <mergeCell ref="B38:P38"/>
    <mergeCell ref="B39:P39"/>
    <mergeCell ref="B4:B5"/>
    <mergeCell ref="C4:C5"/>
    <mergeCell ref="G4:R4"/>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77&amp;R&amp;"Lucida Sans Unicode,Regular"&amp;10December 2015</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2"/>
    <pageSetUpPr fitToPage="1"/>
  </sheetPr>
  <dimension ref="A1:Z24"/>
  <sheetViews>
    <sheetView showGridLines="0" view="pageLayout" topLeftCell="A34" zoomScaleNormal="100" zoomScaleSheetLayoutView="100" workbookViewId="0">
      <selection activeCell="N42" sqref="N42"/>
    </sheetView>
  </sheetViews>
  <sheetFormatPr defaultColWidth="9.6640625" defaultRowHeight="15"/>
  <cols>
    <col min="1" max="1" width="33.77734375" style="38" customWidth="1"/>
    <col min="2" max="5" width="8" style="38" hidden="1" customWidth="1"/>
    <col min="6" max="6" width="7.5546875" style="38" hidden="1" customWidth="1"/>
    <col min="7" max="7" width="11.77734375" style="38" hidden="1" customWidth="1"/>
    <col min="8" max="12" width="11.77734375" style="38" customWidth="1"/>
    <col min="13" max="20" width="9.6640625" style="38" customWidth="1"/>
    <col min="21" max="16384" width="9.6640625" style="38"/>
  </cols>
  <sheetData>
    <row r="1" spans="1:26" s="194" customFormat="1" ht="24" customHeight="1">
      <c r="A1" s="465" t="s">
        <v>0</v>
      </c>
      <c r="B1" s="465"/>
      <c r="C1" s="465"/>
      <c r="D1" s="465"/>
      <c r="E1" s="465"/>
      <c r="F1" s="465"/>
      <c r="G1" s="465"/>
      <c r="H1" s="465"/>
      <c r="I1" s="465"/>
      <c r="J1" s="465"/>
      <c r="K1" s="465"/>
      <c r="L1" s="465"/>
    </row>
    <row r="2" spans="1:26" s="196" customFormat="1" ht="25.5" customHeight="1">
      <c r="A2" s="464" t="s">
        <v>1</v>
      </c>
      <c r="B2" s="464"/>
      <c r="C2" s="464"/>
      <c r="D2" s="464"/>
      <c r="E2" s="464"/>
      <c r="F2" s="464"/>
      <c r="G2" s="464"/>
      <c r="H2" s="464"/>
      <c r="I2" s="464"/>
      <c r="J2" s="464"/>
      <c r="K2" s="464"/>
      <c r="L2" s="464"/>
    </row>
    <row r="3" spans="1:26" s="194" customFormat="1" ht="21" customHeight="1">
      <c r="A3" s="484" t="s">
        <v>72</v>
      </c>
      <c r="B3" s="484"/>
      <c r="C3" s="484"/>
      <c r="D3" s="484"/>
      <c r="E3" s="484"/>
      <c r="F3" s="484"/>
      <c r="G3" s="484"/>
      <c r="H3" s="484"/>
      <c r="I3" s="484"/>
      <c r="J3" s="484"/>
      <c r="K3" s="484"/>
      <c r="L3" s="484"/>
    </row>
    <row r="4" spans="1:26" ht="15.75" customHeight="1">
      <c r="A4" s="479" t="s">
        <v>56</v>
      </c>
      <c r="B4" s="481" t="s">
        <v>150</v>
      </c>
      <c r="C4" s="482"/>
      <c r="D4" s="482"/>
      <c r="E4" s="482"/>
      <c r="F4" s="482"/>
      <c r="G4" s="482"/>
      <c r="H4" s="482"/>
      <c r="I4" s="482"/>
      <c r="J4" s="482"/>
      <c r="K4" s="482"/>
      <c r="L4" s="483"/>
      <c r="U4" s="38" t="s">
        <v>65</v>
      </c>
    </row>
    <row r="5" spans="1:26" ht="21" customHeight="1">
      <c r="A5" s="480"/>
      <c r="B5" s="319" t="s">
        <v>21</v>
      </c>
      <c r="C5" s="129" t="s">
        <v>51</v>
      </c>
      <c r="D5" s="129" t="s">
        <v>52</v>
      </c>
      <c r="E5" s="129" t="s">
        <v>53</v>
      </c>
      <c r="F5" s="129" t="s">
        <v>57</v>
      </c>
      <c r="G5" s="129" t="s">
        <v>69</v>
      </c>
      <c r="H5" s="129" t="s">
        <v>124</v>
      </c>
      <c r="I5" s="129" t="s">
        <v>146</v>
      </c>
      <c r="J5" s="320" t="s">
        <v>158</v>
      </c>
      <c r="K5" s="320" t="s">
        <v>166</v>
      </c>
      <c r="L5" s="320" t="s">
        <v>187</v>
      </c>
      <c r="U5" s="320" t="s">
        <v>155</v>
      </c>
    </row>
    <row r="6" spans="1:26" ht="21" customHeight="1">
      <c r="A6" s="421" t="s">
        <v>164</v>
      </c>
      <c r="B6" s="340"/>
      <c r="C6" s="339"/>
      <c r="D6" s="339"/>
      <c r="E6" s="339"/>
      <c r="F6" s="339"/>
      <c r="G6" s="339"/>
      <c r="H6" s="485" t="s">
        <v>185</v>
      </c>
      <c r="I6" s="486"/>
      <c r="J6" s="487"/>
      <c r="K6" s="422">
        <v>238</v>
      </c>
      <c r="L6" s="422">
        <v>211</v>
      </c>
      <c r="U6" s="320" t="s">
        <v>186</v>
      </c>
      <c r="Z6" s="38">
        <v>238</v>
      </c>
    </row>
    <row r="7" spans="1:26" ht="21" customHeight="1">
      <c r="A7" s="215" t="s">
        <v>33</v>
      </c>
      <c r="B7" s="127">
        <v>114</v>
      </c>
      <c r="C7" s="128">
        <v>113</v>
      </c>
      <c r="D7" s="128">
        <v>120</v>
      </c>
      <c r="E7" s="128">
        <v>144</v>
      </c>
      <c r="F7" s="128">
        <v>154</v>
      </c>
      <c r="G7" s="128">
        <v>131</v>
      </c>
      <c r="H7" s="128">
        <v>166</v>
      </c>
      <c r="I7" s="128">
        <v>180</v>
      </c>
      <c r="J7" s="128">
        <v>182</v>
      </c>
      <c r="K7" s="128">
        <v>233</v>
      </c>
      <c r="L7" s="128">
        <v>194</v>
      </c>
      <c r="U7" s="110" t="s">
        <v>22</v>
      </c>
    </row>
    <row r="8" spans="1:26" ht="21" customHeight="1">
      <c r="A8" s="216" t="s">
        <v>36</v>
      </c>
      <c r="B8" s="39">
        <v>883</v>
      </c>
      <c r="C8" s="61">
        <v>751</v>
      </c>
      <c r="D8" s="61">
        <v>798</v>
      </c>
      <c r="E8" s="61">
        <v>787</v>
      </c>
      <c r="F8" s="133">
        <v>786</v>
      </c>
      <c r="G8" s="133">
        <v>768</v>
      </c>
      <c r="H8" s="133">
        <v>803</v>
      </c>
      <c r="I8" s="133">
        <v>880</v>
      </c>
      <c r="J8" s="133">
        <v>907</v>
      </c>
      <c r="K8" s="133">
        <v>882</v>
      </c>
      <c r="L8" s="133">
        <v>912</v>
      </c>
      <c r="U8" s="110" t="s">
        <v>23</v>
      </c>
    </row>
    <row r="9" spans="1:26" ht="21" customHeight="1">
      <c r="A9" s="216" t="s">
        <v>119</v>
      </c>
      <c r="B9" s="39">
        <v>618</v>
      </c>
      <c r="C9" s="61">
        <v>703</v>
      </c>
      <c r="D9" s="61">
        <v>741</v>
      </c>
      <c r="E9" s="61">
        <v>675</v>
      </c>
      <c r="F9" s="133">
        <v>593</v>
      </c>
      <c r="G9" s="133">
        <v>559</v>
      </c>
      <c r="H9" s="133">
        <v>609</v>
      </c>
      <c r="I9" s="133">
        <v>668</v>
      </c>
      <c r="J9" s="133">
        <v>688</v>
      </c>
      <c r="K9" s="133">
        <v>715</v>
      </c>
      <c r="L9" s="133">
        <v>727</v>
      </c>
      <c r="U9" s="110" t="s">
        <v>24</v>
      </c>
    </row>
    <row r="10" spans="1:26" ht="21" customHeight="1">
      <c r="A10" s="216" t="s">
        <v>41</v>
      </c>
      <c r="B10" s="39">
        <v>137</v>
      </c>
      <c r="C10" s="61">
        <v>159</v>
      </c>
      <c r="D10" s="61">
        <v>214</v>
      </c>
      <c r="E10" s="61">
        <v>217</v>
      </c>
      <c r="F10" s="133">
        <v>161</v>
      </c>
      <c r="G10" s="133">
        <v>190</v>
      </c>
      <c r="H10" s="133">
        <v>227</v>
      </c>
      <c r="I10" s="133">
        <v>227</v>
      </c>
      <c r="J10" s="133">
        <v>239</v>
      </c>
      <c r="K10" s="133">
        <v>257</v>
      </c>
      <c r="L10" s="133">
        <v>292</v>
      </c>
      <c r="U10" s="110" t="s">
        <v>25</v>
      </c>
    </row>
    <row r="11" spans="1:26" ht="21" customHeight="1">
      <c r="A11" s="216" t="s">
        <v>42</v>
      </c>
      <c r="B11" s="39">
        <v>196</v>
      </c>
      <c r="C11" s="61">
        <v>250</v>
      </c>
      <c r="D11" s="61">
        <v>330</v>
      </c>
      <c r="E11" s="61">
        <v>378</v>
      </c>
      <c r="F11" s="133">
        <v>367</v>
      </c>
      <c r="G11" s="133">
        <v>310</v>
      </c>
      <c r="H11" s="133">
        <v>255</v>
      </c>
      <c r="I11" s="133">
        <v>216</v>
      </c>
      <c r="J11" s="133">
        <v>227</v>
      </c>
      <c r="K11" s="133">
        <v>180</v>
      </c>
      <c r="L11" s="133">
        <v>172</v>
      </c>
      <c r="U11" s="110" t="s">
        <v>26</v>
      </c>
    </row>
    <row r="12" spans="1:26" ht="21" customHeight="1">
      <c r="A12" s="216" t="s">
        <v>43</v>
      </c>
      <c r="B12" s="39">
        <v>15</v>
      </c>
      <c r="C12" s="61">
        <v>22</v>
      </c>
      <c r="D12" s="61">
        <v>29</v>
      </c>
      <c r="E12" s="61">
        <v>28</v>
      </c>
      <c r="F12" s="133">
        <v>25</v>
      </c>
      <c r="G12" s="133">
        <v>23</v>
      </c>
      <c r="H12" s="133">
        <v>46</v>
      </c>
      <c r="I12" s="133">
        <v>80</v>
      </c>
      <c r="J12" s="133">
        <v>110</v>
      </c>
      <c r="K12" s="133">
        <v>118</v>
      </c>
      <c r="L12" s="133">
        <v>128</v>
      </c>
      <c r="U12" s="110" t="s">
        <v>27</v>
      </c>
    </row>
    <row r="13" spans="1:26" ht="21" customHeight="1">
      <c r="A13" s="216" t="s">
        <v>45</v>
      </c>
      <c r="B13" s="39">
        <v>72</v>
      </c>
      <c r="C13" s="61">
        <v>71</v>
      </c>
      <c r="D13" s="61">
        <v>73</v>
      </c>
      <c r="E13" s="61">
        <v>73</v>
      </c>
      <c r="F13" s="133">
        <v>66</v>
      </c>
      <c r="G13" s="133">
        <v>57</v>
      </c>
      <c r="H13" s="133">
        <v>85</v>
      </c>
      <c r="I13" s="133">
        <v>91</v>
      </c>
      <c r="J13" s="133">
        <v>115</v>
      </c>
      <c r="K13" s="133">
        <v>131</v>
      </c>
      <c r="L13" s="133">
        <v>138</v>
      </c>
      <c r="U13" s="110" t="s">
        <v>28</v>
      </c>
    </row>
    <row r="14" spans="1:26" ht="21" customHeight="1">
      <c r="A14" s="216" t="s">
        <v>47</v>
      </c>
      <c r="B14" s="39">
        <v>325</v>
      </c>
      <c r="C14" s="61">
        <v>418</v>
      </c>
      <c r="D14" s="61">
        <v>506</v>
      </c>
      <c r="E14" s="61">
        <v>499</v>
      </c>
      <c r="F14" s="133">
        <v>495</v>
      </c>
      <c r="G14" s="133">
        <v>458</v>
      </c>
      <c r="H14" s="133">
        <v>477</v>
      </c>
      <c r="I14" s="133">
        <v>469</v>
      </c>
      <c r="J14" s="133">
        <v>419</v>
      </c>
      <c r="K14" s="133">
        <v>395</v>
      </c>
      <c r="L14" s="133">
        <v>362</v>
      </c>
      <c r="U14" s="110" t="s">
        <v>29</v>
      </c>
    </row>
    <row r="15" spans="1:26" ht="21" customHeight="1">
      <c r="A15" s="216" t="s">
        <v>48</v>
      </c>
      <c r="B15" s="39">
        <v>696</v>
      </c>
      <c r="C15" s="61">
        <v>827</v>
      </c>
      <c r="D15" s="61">
        <v>874</v>
      </c>
      <c r="E15" s="61">
        <v>867</v>
      </c>
      <c r="F15" s="133">
        <v>799</v>
      </c>
      <c r="G15" s="133">
        <v>787</v>
      </c>
      <c r="H15" s="133">
        <v>829</v>
      </c>
      <c r="I15" s="133">
        <v>837</v>
      </c>
      <c r="J15" s="133">
        <v>839</v>
      </c>
      <c r="K15" s="133">
        <v>849</v>
      </c>
      <c r="L15" s="133">
        <v>766</v>
      </c>
      <c r="U15" s="110" t="s">
        <v>30</v>
      </c>
    </row>
    <row r="16" spans="1:26" ht="21" customHeight="1">
      <c r="A16" s="216" t="s">
        <v>49</v>
      </c>
      <c r="B16" s="39">
        <v>549</v>
      </c>
      <c r="C16" s="61">
        <v>619</v>
      </c>
      <c r="D16" s="61">
        <v>679</v>
      </c>
      <c r="E16" s="61">
        <v>761</v>
      </c>
      <c r="F16" s="133">
        <v>717</v>
      </c>
      <c r="G16" s="133">
        <v>703</v>
      </c>
      <c r="H16" s="133">
        <v>610</v>
      </c>
      <c r="I16" s="133">
        <v>596</v>
      </c>
      <c r="J16" s="133">
        <v>640</v>
      </c>
      <c r="K16" s="133">
        <v>601</v>
      </c>
      <c r="L16" s="133">
        <v>553</v>
      </c>
      <c r="U16" s="110" t="s">
        <v>31</v>
      </c>
    </row>
    <row r="17" spans="1:21" ht="21" customHeight="1">
      <c r="A17" s="216" t="s">
        <v>71</v>
      </c>
      <c r="B17" s="39">
        <v>37</v>
      </c>
      <c r="C17" s="61">
        <v>46</v>
      </c>
      <c r="D17" s="61">
        <v>47</v>
      </c>
      <c r="E17" s="61">
        <v>199</v>
      </c>
      <c r="F17" s="133">
        <v>157</v>
      </c>
      <c r="G17" s="133">
        <v>157</v>
      </c>
      <c r="H17" s="133">
        <v>167</v>
      </c>
      <c r="I17" s="133">
        <v>119</v>
      </c>
      <c r="J17" s="133">
        <v>83</v>
      </c>
      <c r="K17" s="133">
        <v>81</v>
      </c>
      <c r="L17" s="133">
        <v>76</v>
      </c>
      <c r="U17" s="317" t="s">
        <v>55</v>
      </c>
    </row>
    <row r="18" spans="1:21" ht="21" customHeight="1">
      <c r="A18" s="216" t="s">
        <v>50</v>
      </c>
      <c r="B18" s="94">
        <v>27</v>
      </c>
      <c r="C18" s="90">
        <v>36</v>
      </c>
      <c r="D18" s="90">
        <v>34</v>
      </c>
      <c r="E18" s="90">
        <v>39</v>
      </c>
      <c r="F18" s="132">
        <v>31</v>
      </c>
      <c r="G18" s="132">
        <v>28</v>
      </c>
      <c r="H18" s="132">
        <v>36</v>
      </c>
      <c r="I18" s="132">
        <v>44</v>
      </c>
      <c r="J18" s="132">
        <v>46</v>
      </c>
      <c r="K18" s="132">
        <v>48</v>
      </c>
      <c r="L18" s="132">
        <v>39</v>
      </c>
      <c r="M18" s="190"/>
      <c r="U18" s="110" t="s">
        <v>32</v>
      </c>
    </row>
    <row r="19" spans="1:21" ht="21" customHeight="1">
      <c r="A19" s="217" t="s">
        <v>121</v>
      </c>
      <c r="B19" s="98"/>
      <c r="C19" s="98"/>
      <c r="D19" s="98"/>
      <c r="E19" s="90">
        <v>464</v>
      </c>
      <c r="F19" s="132">
        <v>644</v>
      </c>
      <c r="G19" s="132">
        <v>617</v>
      </c>
      <c r="H19" s="132">
        <v>562</v>
      </c>
      <c r="I19" s="132">
        <v>518</v>
      </c>
      <c r="J19" s="132">
        <v>468</v>
      </c>
      <c r="K19" s="132">
        <v>418</v>
      </c>
      <c r="L19" s="132">
        <v>424</v>
      </c>
      <c r="M19" s="190"/>
      <c r="U19" s="110" t="s">
        <v>54</v>
      </c>
    </row>
    <row r="20" spans="1:21" s="136" customFormat="1" ht="21" customHeight="1">
      <c r="A20" s="220" t="s">
        <v>123</v>
      </c>
      <c r="B20" s="222"/>
      <c r="C20" s="221"/>
      <c r="D20" s="221"/>
      <c r="E20" s="223">
        <v>5038</v>
      </c>
      <c r="F20" s="223">
        <v>4909</v>
      </c>
      <c r="G20" s="223">
        <v>4691</v>
      </c>
      <c r="H20" s="223">
        <v>4774</v>
      </c>
      <c r="I20" s="223">
        <v>4830</v>
      </c>
      <c r="J20" s="223">
        <v>4875</v>
      </c>
      <c r="K20" s="223">
        <v>5052</v>
      </c>
      <c r="L20" s="223">
        <v>4906</v>
      </c>
      <c r="M20" s="331"/>
      <c r="S20" s="224"/>
      <c r="T20" s="318"/>
      <c r="U20" s="318"/>
    </row>
    <row r="21" spans="1:21" s="31" customFormat="1" ht="28.5" customHeight="1">
      <c r="A21" s="476" t="s">
        <v>122</v>
      </c>
      <c r="B21" s="477"/>
      <c r="C21" s="477"/>
      <c r="D21" s="477"/>
      <c r="E21" s="477"/>
      <c r="F21" s="477"/>
      <c r="G21" s="477"/>
      <c r="H21" s="477"/>
      <c r="I21" s="477"/>
      <c r="J21" s="477"/>
      <c r="K21" s="478"/>
      <c r="L21" s="478"/>
      <c r="S21" s="224"/>
      <c r="T21" s="225"/>
      <c r="U21" s="225"/>
    </row>
    <row r="22" spans="1:21">
      <c r="M22" s="190"/>
    </row>
    <row r="23" spans="1:21">
      <c r="A23" s="92"/>
      <c r="C23" s="91"/>
      <c r="D23" s="91"/>
      <c r="E23" s="91"/>
      <c r="F23" s="91"/>
      <c r="G23" s="91"/>
      <c r="H23" s="91"/>
      <c r="I23" s="91"/>
      <c r="J23" s="91"/>
      <c r="K23" s="91"/>
    </row>
    <row r="24" spans="1:21">
      <c r="A24" s="92"/>
      <c r="C24" s="91"/>
      <c r="D24" s="91"/>
      <c r="E24" s="91"/>
      <c r="F24" s="91"/>
      <c r="G24" s="91"/>
      <c r="H24" s="91"/>
      <c r="I24" s="91"/>
      <c r="J24" s="91"/>
      <c r="K24" s="91"/>
    </row>
  </sheetData>
  <mergeCells count="7">
    <mergeCell ref="A21:L21"/>
    <mergeCell ref="A4:A5"/>
    <mergeCell ref="B4:L4"/>
    <mergeCell ref="A2:L2"/>
    <mergeCell ref="A1:L1"/>
    <mergeCell ref="A3:L3"/>
    <mergeCell ref="H6:J6"/>
  </mergeCells>
  <printOptions horizontalCentered="1"/>
  <pageMargins left="0.51181102362204722" right="0.51181102362204722" top="0.51181102362204722" bottom="0.51181102362204722" header="0.31496062992125984" footer="0.31496062992125984"/>
  <pageSetup scale="82" orientation="portrait" r:id="rId1"/>
  <headerFooter alignWithMargins="0">
    <oddHeader>&amp;R&amp;"Trebuchet MS,Regular"Head Count Enrolment Report Fall 2015</oddHeader>
    <oddFooter>&amp;L&amp;"Lucida Sans Unicode,Regular"&amp;10Institutional Analysis and Planning&amp;C&amp;"Lucida Sans Unicode,Regular"&amp;10Page 78&amp;R&amp;"Lucida Sans Unicode,Regular"&amp;10December 2015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2"/>
    <pageSetUpPr fitToPage="1"/>
  </sheetPr>
  <dimension ref="A1:U24"/>
  <sheetViews>
    <sheetView showGridLines="0" view="pageLayout" topLeftCell="A40" zoomScaleNormal="100" zoomScaleSheetLayoutView="100" workbookViewId="0">
      <selection activeCell="L20" sqref="L20"/>
    </sheetView>
  </sheetViews>
  <sheetFormatPr defaultColWidth="9.6640625" defaultRowHeight="15"/>
  <cols>
    <col min="1" max="1" width="33.77734375" style="38" customWidth="1"/>
    <col min="2" max="2" width="8.109375" style="38" hidden="1" customWidth="1"/>
    <col min="3" max="6" width="7.5546875" style="38" hidden="1" customWidth="1"/>
    <col min="7" max="7" width="11.77734375" style="38" hidden="1" customWidth="1"/>
    <col min="8" max="12" width="11.77734375" style="38" customWidth="1"/>
    <col min="13" max="20" width="9.6640625" style="38" customWidth="1"/>
    <col min="21" max="16384" width="9.6640625" style="38"/>
  </cols>
  <sheetData>
    <row r="1" spans="1:21" s="194" customFormat="1" ht="24" customHeight="1">
      <c r="A1" s="465" t="s">
        <v>0</v>
      </c>
      <c r="B1" s="465"/>
      <c r="C1" s="465"/>
      <c r="D1" s="465"/>
      <c r="E1" s="465"/>
      <c r="F1" s="465"/>
      <c r="G1" s="465"/>
      <c r="H1" s="465"/>
      <c r="I1" s="465"/>
      <c r="J1" s="465"/>
      <c r="K1" s="465"/>
      <c r="L1" s="465"/>
    </row>
    <row r="2" spans="1:21" s="196" customFormat="1" ht="25.5" customHeight="1">
      <c r="A2" s="464" t="s">
        <v>1</v>
      </c>
      <c r="B2" s="464"/>
      <c r="C2" s="464"/>
      <c r="D2" s="464"/>
      <c r="E2" s="464"/>
      <c r="F2" s="464"/>
      <c r="G2" s="464"/>
      <c r="H2" s="464"/>
      <c r="I2" s="464"/>
      <c r="J2" s="464"/>
      <c r="K2" s="464"/>
      <c r="L2" s="464"/>
    </row>
    <row r="3" spans="1:21" s="194" customFormat="1" ht="21" customHeight="1">
      <c r="A3" s="484" t="s">
        <v>163</v>
      </c>
      <c r="B3" s="484"/>
      <c r="C3" s="484"/>
      <c r="D3" s="484"/>
      <c r="E3" s="484"/>
      <c r="F3" s="484"/>
      <c r="G3" s="484"/>
      <c r="H3" s="484"/>
      <c r="I3" s="484"/>
      <c r="J3" s="484"/>
      <c r="K3" s="484"/>
      <c r="L3" s="484"/>
    </row>
    <row r="4" spans="1:21" ht="15.75" customHeight="1">
      <c r="A4" s="488" t="s">
        <v>56</v>
      </c>
      <c r="B4" s="482" t="s">
        <v>149</v>
      </c>
      <c r="C4" s="482"/>
      <c r="D4" s="482"/>
      <c r="E4" s="482"/>
      <c r="F4" s="482"/>
      <c r="G4" s="482"/>
      <c r="H4" s="482"/>
      <c r="I4" s="482"/>
      <c r="J4" s="482"/>
      <c r="K4" s="482"/>
      <c r="L4" s="483"/>
      <c r="U4" s="38" t="s">
        <v>65</v>
      </c>
    </row>
    <row r="5" spans="1:21" ht="21" customHeight="1">
      <c r="A5" s="489"/>
      <c r="B5" s="323" t="s">
        <v>64</v>
      </c>
      <c r="C5" s="320" t="s">
        <v>63</v>
      </c>
      <c r="D5" s="320" t="s">
        <v>147</v>
      </c>
      <c r="E5" s="320" t="s">
        <v>148</v>
      </c>
      <c r="F5" s="320" t="s">
        <v>57</v>
      </c>
      <c r="G5" s="320" t="s">
        <v>69</v>
      </c>
      <c r="H5" s="320" t="s">
        <v>124</v>
      </c>
      <c r="I5" s="320" t="s">
        <v>146</v>
      </c>
      <c r="J5" s="320" t="s">
        <v>158</v>
      </c>
      <c r="K5" s="320" t="s">
        <v>166</v>
      </c>
      <c r="L5" s="320" t="s">
        <v>187</v>
      </c>
    </row>
    <row r="6" spans="1:21" ht="21" customHeight="1">
      <c r="A6" s="421" t="s">
        <v>164</v>
      </c>
      <c r="B6" s="340"/>
      <c r="C6" s="340"/>
      <c r="D6" s="340"/>
      <c r="E6" s="340"/>
      <c r="F6" s="340"/>
      <c r="G6" s="340"/>
      <c r="H6" s="490" t="s">
        <v>185</v>
      </c>
      <c r="I6" s="491"/>
      <c r="J6" s="492"/>
      <c r="K6" s="424">
        <v>2</v>
      </c>
      <c r="L6" s="424">
        <v>0</v>
      </c>
      <c r="U6" s="115"/>
    </row>
    <row r="7" spans="1:21" ht="21" customHeight="1">
      <c r="A7" s="215" t="s">
        <v>33</v>
      </c>
      <c r="B7" s="423" t="s">
        <v>62</v>
      </c>
      <c r="C7" s="128">
        <v>17</v>
      </c>
      <c r="D7" s="128">
        <v>15</v>
      </c>
      <c r="E7" s="128">
        <v>21</v>
      </c>
      <c r="F7" s="128">
        <v>31</v>
      </c>
      <c r="G7" s="128">
        <v>19</v>
      </c>
      <c r="H7" s="191">
        <v>28</v>
      </c>
      <c r="I7" s="191">
        <v>30</v>
      </c>
      <c r="J7" s="191">
        <v>55</v>
      </c>
      <c r="K7" s="191">
        <v>88</v>
      </c>
      <c r="L7" s="191">
        <v>68</v>
      </c>
      <c r="U7" s="110" t="s">
        <v>22</v>
      </c>
    </row>
    <row r="8" spans="1:21" ht="21" customHeight="1">
      <c r="A8" s="216" t="s">
        <v>36</v>
      </c>
      <c r="B8" s="208"/>
      <c r="C8" s="130"/>
      <c r="D8" s="130"/>
      <c r="E8" s="130"/>
      <c r="F8" s="130"/>
      <c r="G8" s="130"/>
      <c r="H8" s="130"/>
      <c r="I8" s="130"/>
      <c r="J8" s="130"/>
      <c r="K8" s="130"/>
      <c r="L8" s="130"/>
      <c r="U8" s="110" t="s">
        <v>23</v>
      </c>
    </row>
    <row r="9" spans="1:21" ht="21" customHeight="1">
      <c r="A9" s="216" t="s">
        <v>119</v>
      </c>
      <c r="B9" s="208"/>
      <c r="C9" s="61">
        <v>88</v>
      </c>
      <c r="D9" s="61">
        <v>81</v>
      </c>
      <c r="E9" s="61">
        <v>61</v>
      </c>
      <c r="F9" s="61">
        <v>23</v>
      </c>
      <c r="G9" s="61">
        <v>11</v>
      </c>
      <c r="H9" s="463"/>
      <c r="I9" s="463"/>
      <c r="J9" s="463"/>
      <c r="K9" s="463"/>
      <c r="L9" s="463"/>
      <c r="U9" s="110" t="s">
        <v>24</v>
      </c>
    </row>
    <row r="10" spans="1:21" ht="21" customHeight="1">
      <c r="A10" s="216" t="s">
        <v>41</v>
      </c>
      <c r="B10" s="209"/>
      <c r="C10" s="61">
        <v>1</v>
      </c>
      <c r="D10" s="61">
        <v>4</v>
      </c>
      <c r="E10" s="61">
        <v>3</v>
      </c>
      <c r="F10" s="61">
        <v>2</v>
      </c>
      <c r="G10" s="61">
        <v>4</v>
      </c>
      <c r="H10" s="133">
        <v>8</v>
      </c>
      <c r="I10" s="133">
        <v>17</v>
      </c>
      <c r="J10" s="133">
        <v>22</v>
      </c>
      <c r="K10" s="133">
        <v>19</v>
      </c>
      <c r="L10" s="133">
        <v>14</v>
      </c>
      <c r="U10" s="110" t="s">
        <v>25</v>
      </c>
    </row>
    <row r="11" spans="1:21" ht="21" customHeight="1">
      <c r="A11" s="216" t="s">
        <v>42</v>
      </c>
      <c r="B11" s="209"/>
      <c r="C11" s="130"/>
      <c r="D11" s="130"/>
      <c r="E11" s="130"/>
      <c r="F11" s="61">
        <v>9</v>
      </c>
      <c r="G11" s="61">
        <v>13</v>
      </c>
      <c r="H11" s="133">
        <v>19</v>
      </c>
      <c r="I11" s="133">
        <v>14</v>
      </c>
      <c r="J11" s="133">
        <v>24</v>
      </c>
      <c r="K11" s="133">
        <v>17</v>
      </c>
      <c r="L11" s="133">
        <v>18</v>
      </c>
      <c r="U11" s="110" t="s">
        <v>26</v>
      </c>
    </row>
    <row r="12" spans="1:21" ht="21" customHeight="1">
      <c r="A12" s="216" t="s">
        <v>43</v>
      </c>
      <c r="B12" s="209"/>
      <c r="C12" s="130"/>
      <c r="D12" s="130"/>
      <c r="E12" s="130"/>
      <c r="F12" s="130"/>
      <c r="G12" s="130"/>
      <c r="H12" s="133"/>
      <c r="I12" s="133"/>
      <c r="J12" s="133"/>
      <c r="K12" s="133">
        <v>7</v>
      </c>
      <c r="L12" s="133"/>
      <c r="U12" s="110" t="s">
        <v>27</v>
      </c>
    </row>
    <row r="13" spans="1:21" ht="21" customHeight="1">
      <c r="A13" s="216" t="s">
        <v>45</v>
      </c>
      <c r="B13" s="209"/>
      <c r="C13" s="130"/>
      <c r="D13" s="130"/>
      <c r="E13" s="130"/>
      <c r="F13" s="61">
        <v>24</v>
      </c>
      <c r="G13" s="61">
        <v>20</v>
      </c>
      <c r="H13" s="133">
        <v>27</v>
      </c>
      <c r="I13" s="133">
        <v>33</v>
      </c>
      <c r="J13" s="133">
        <v>39</v>
      </c>
      <c r="K13" s="133">
        <v>46</v>
      </c>
      <c r="L13" s="133">
        <v>54</v>
      </c>
      <c r="U13" s="110" t="s">
        <v>28</v>
      </c>
    </row>
    <row r="14" spans="1:21" ht="21" customHeight="1">
      <c r="A14" s="216" t="s">
        <v>47</v>
      </c>
      <c r="B14" s="209"/>
      <c r="C14" s="61">
        <v>16</v>
      </c>
      <c r="D14" s="61">
        <v>15</v>
      </c>
      <c r="E14" s="61">
        <v>20</v>
      </c>
      <c r="F14" s="61">
        <v>37</v>
      </c>
      <c r="G14" s="61">
        <v>43</v>
      </c>
      <c r="H14" s="61">
        <v>52</v>
      </c>
      <c r="I14" s="61">
        <v>53</v>
      </c>
      <c r="J14" s="61">
        <v>46</v>
      </c>
      <c r="K14" s="61">
        <v>56</v>
      </c>
      <c r="L14" s="61">
        <v>55</v>
      </c>
      <c r="U14" s="110" t="s">
        <v>29</v>
      </c>
    </row>
    <row r="15" spans="1:21" ht="21" customHeight="1">
      <c r="A15" s="216" t="s">
        <v>48</v>
      </c>
      <c r="B15" s="209"/>
      <c r="C15" s="61">
        <v>69</v>
      </c>
      <c r="D15" s="61">
        <v>61</v>
      </c>
      <c r="E15" s="61">
        <v>79</v>
      </c>
      <c r="F15" s="61">
        <v>72</v>
      </c>
      <c r="G15" s="61">
        <v>79</v>
      </c>
      <c r="H15" s="133">
        <v>119</v>
      </c>
      <c r="I15" s="133">
        <v>138</v>
      </c>
      <c r="J15" s="133">
        <v>136</v>
      </c>
      <c r="K15" s="133">
        <v>132</v>
      </c>
      <c r="L15" s="133">
        <v>131</v>
      </c>
      <c r="U15" s="110" t="s">
        <v>30</v>
      </c>
    </row>
    <row r="16" spans="1:21" ht="21" customHeight="1">
      <c r="A16" s="216" t="s">
        <v>49</v>
      </c>
      <c r="B16" s="209"/>
      <c r="C16" s="130"/>
      <c r="D16" s="130"/>
      <c r="E16" s="130"/>
      <c r="F16" s="130"/>
      <c r="G16" s="130"/>
      <c r="H16" s="130"/>
      <c r="I16" s="130"/>
      <c r="J16" s="130"/>
      <c r="K16" s="130"/>
      <c r="L16" s="130"/>
      <c r="U16" s="110" t="s">
        <v>31</v>
      </c>
    </row>
    <row r="17" spans="1:21" ht="21" customHeight="1">
      <c r="A17" s="216" t="s">
        <v>71</v>
      </c>
      <c r="B17" s="209"/>
      <c r="C17" s="130"/>
      <c r="D17" s="130"/>
      <c r="E17" s="130"/>
      <c r="F17" s="130"/>
      <c r="G17" s="130"/>
      <c r="H17" s="133"/>
      <c r="I17" s="133"/>
      <c r="J17" s="133"/>
      <c r="K17" s="133">
        <v>10</v>
      </c>
      <c r="L17" s="133">
        <v>39</v>
      </c>
      <c r="U17" s="317" t="s">
        <v>55</v>
      </c>
    </row>
    <row r="18" spans="1:21" ht="21" customHeight="1">
      <c r="A18" s="216" t="s">
        <v>50</v>
      </c>
      <c r="B18" s="210"/>
      <c r="C18" s="131"/>
      <c r="D18" s="131"/>
      <c r="E18" s="131"/>
      <c r="F18" s="131"/>
      <c r="G18" s="131"/>
      <c r="H18" s="131"/>
      <c r="I18" s="131"/>
      <c r="J18" s="131"/>
      <c r="K18" s="131"/>
      <c r="L18" s="131"/>
      <c r="U18" s="110" t="s">
        <v>32</v>
      </c>
    </row>
    <row r="19" spans="1:21" ht="21" customHeight="1">
      <c r="A19" s="217" t="s">
        <v>121</v>
      </c>
      <c r="B19" s="98"/>
      <c r="C19" s="98"/>
      <c r="D19" s="98"/>
      <c r="E19" s="131"/>
      <c r="F19" s="131"/>
      <c r="G19" s="131"/>
      <c r="H19" s="131"/>
      <c r="I19" s="130"/>
      <c r="J19" s="130"/>
      <c r="K19" s="130"/>
      <c r="L19" s="130"/>
      <c r="M19" s="331"/>
      <c r="U19" s="110" t="s">
        <v>54</v>
      </c>
    </row>
    <row r="20" spans="1:21" s="136" customFormat="1" ht="21" customHeight="1">
      <c r="A20" s="220" t="s">
        <v>123</v>
      </c>
      <c r="B20" s="221"/>
      <c r="C20" s="221"/>
      <c r="D20" s="220">
        <v>202</v>
      </c>
      <c r="E20" s="223">
        <v>184</v>
      </c>
      <c r="F20" s="223">
        <v>198</v>
      </c>
      <c r="G20" s="223">
        <v>189</v>
      </c>
      <c r="H20" s="223">
        <v>253</v>
      </c>
      <c r="I20" s="223">
        <v>285</v>
      </c>
      <c r="J20" s="223">
        <v>322</v>
      </c>
      <c r="K20" s="223">
        <v>377</v>
      </c>
      <c r="L20" s="223">
        <v>379</v>
      </c>
      <c r="S20" s="224"/>
      <c r="T20" s="318"/>
      <c r="U20" s="318"/>
    </row>
    <row r="21" spans="1:21" s="31" customFormat="1" ht="28.5" customHeight="1">
      <c r="A21" s="476" t="s">
        <v>122</v>
      </c>
      <c r="B21" s="477"/>
      <c r="C21" s="477"/>
      <c r="D21" s="477"/>
      <c r="E21" s="477"/>
      <c r="F21" s="477"/>
      <c r="G21" s="477"/>
      <c r="H21" s="477"/>
      <c r="I21" s="477"/>
      <c r="J21" s="477"/>
      <c r="K21" s="338"/>
      <c r="L21" s="303"/>
      <c r="S21" s="224"/>
      <c r="T21" s="225"/>
      <c r="U21" s="225"/>
    </row>
    <row r="22" spans="1:21">
      <c r="M22" s="190"/>
    </row>
    <row r="23" spans="1:21">
      <c r="A23" s="92"/>
      <c r="C23" s="91"/>
      <c r="D23" s="91"/>
      <c r="E23" s="91"/>
      <c r="F23" s="91"/>
      <c r="G23" s="91"/>
      <c r="H23" s="91"/>
      <c r="I23" s="91"/>
      <c r="J23" s="91"/>
      <c r="K23" s="91"/>
    </row>
    <row r="24" spans="1:21">
      <c r="A24" s="92"/>
      <c r="C24" s="91"/>
      <c r="D24" s="91"/>
      <c r="E24" s="91"/>
      <c r="F24" s="91"/>
      <c r="G24" s="91"/>
      <c r="H24" s="91"/>
      <c r="I24" s="91"/>
      <c r="J24" s="91"/>
      <c r="K24" s="91"/>
    </row>
  </sheetData>
  <mergeCells count="7">
    <mergeCell ref="A1:L1"/>
    <mergeCell ref="B4:L4"/>
    <mergeCell ref="A21:J21"/>
    <mergeCell ref="A3:L3"/>
    <mergeCell ref="A2:L2"/>
    <mergeCell ref="A4:A5"/>
    <mergeCell ref="H6:J6"/>
  </mergeCells>
  <phoneticPr fontId="0" type="noConversion"/>
  <printOptions horizontalCentered="1"/>
  <pageMargins left="0.51181102362204722" right="0.51181102362204722" top="0.51181102362204722" bottom="0.51181102362204722" header="0.31496062992125984" footer="0.31496062992125984"/>
  <pageSetup scale="82" orientation="portrait" r:id="rId1"/>
  <headerFooter alignWithMargins="0">
    <oddHeader>&amp;R&amp;"Trebuchet MS,Regular"Head Count Enrolment Report Fall 2015</oddHeader>
    <oddFooter>&amp;L&amp;"Lucida Sans Unicode,Regular"&amp;10Institutional Analysis and Planning&amp;C&amp;"Lucida Sans Unicode,Regular"&amp;10Page 79&amp;R&amp;"Lucida Sans Unicode,Regular"&amp;10December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7"/>
    <pageSetUpPr fitToPage="1"/>
  </sheetPr>
  <dimension ref="B1:U70"/>
  <sheetViews>
    <sheetView showGridLines="0" view="pageLayout" topLeftCell="A49" zoomScaleNormal="100" zoomScaleSheetLayoutView="100" workbookViewId="0">
      <selection activeCell="U6" sqref="U6"/>
    </sheetView>
  </sheetViews>
  <sheetFormatPr defaultRowHeight="15"/>
  <cols>
    <col min="1" max="1" width="7" style="239" customWidth="1"/>
    <col min="2" max="2" width="10.21875" style="239" bestFit="1" customWidth="1"/>
    <col min="3" max="3" width="15.6640625" style="239" bestFit="1" customWidth="1"/>
    <col min="4" max="7" width="8" style="239" hidden="1" customWidth="1"/>
    <col min="8" max="8" width="5.21875" style="239" hidden="1" customWidth="1"/>
    <col min="9" max="9" width="13.33203125" style="239" hidden="1" customWidth="1"/>
    <col min="10" max="10" width="5.21875" style="239" hidden="1" customWidth="1"/>
    <col min="11" max="11" width="5.6640625" style="239" hidden="1" customWidth="1"/>
    <col min="12" max="13" width="8" style="239" hidden="1" customWidth="1"/>
    <col min="14" max="15" width="7.5546875" style="239" hidden="1" customWidth="1"/>
    <col min="16" max="16" width="8.77734375" style="239" customWidth="1"/>
    <col min="17" max="19" width="8.77734375" style="383" customWidth="1"/>
    <col min="20" max="20" width="8.77734375" style="385" customWidth="1"/>
    <col min="21" max="21" width="6.88671875" style="239" customWidth="1"/>
    <col min="22" max="16384" width="8.88671875" style="239"/>
  </cols>
  <sheetData>
    <row r="1" spans="2:20" s="341" customFormat="1" ht="24" customHeight="1">
      <c r="B1" s="499" t="s">
        <v>0</v>
      </c>
      <c r="C1" s="499"/>
      <c r="D1" s="499"/>
      <c r="E1" s="499"/>
      <c r="F1" s="499"/>
      <c r="G1" s="499"/>
      <c r="H1" s="499"/>
      <c r="I1" s="499"/>
      <c r="J1" s="499"/>
      <c r="K1" s="499"/>
      <c r="L1" s="499"/>
      <c r="M1" s="499"/>
      <c r="N1" s="499"/>
      <c r="O1" s="499"/>
      <c r="P1" s="499"/>
      <c r="Q1" s="499"/>
      <c r="R1" s="499"/>
      <c r="S1" s="499"/>
      <c r="T1" s="499"/>
    </row>
    <row r="2" spans="2:20" s="232" customFormat="1" ht="25.5" customHeight="1">
      <c r="B2" s="500" t="s">
        <v>164</v>
      </c>
      <c r="C2" s="500"/>
      <c r="D2" s="500"/>
      <c r="E2" s="500"/>
      <c r="F2" s="500"/>
      <c r="G2" s="500"/>
      <c r="H2" s="500"/>
      <c r="I2" s="500"/>
      <c r="J2" s="500"/>
      <c r="K2" s="500"/>
      <c r="L2" s="500"/>
      <c r="M2" s="500"/>
      <c r="N2" s="500"/>
      <c r="O2" s="500"/>
      <c r="P2" s="500"/>
      <c r="Q2" s="500"/>
      <c r="R2" s="500"/>
      <c r="S2" s="500"/>
      <c r="T2" s="500"/>
    </row>
    <row r="3" spans="2:20" s="230" customFormat="1" ht="21" customHeight="1">
      <c r="B3" s="501" t="s">
        <v>154</v>
      </c>
      <c r="C3" s="501"/>
      <c r="D3" s="501"/>
      <c r="E3" s="501"/>
      <c r="F3" s="501"/>
      <c r="G3" s="501"/>
      <c r="H3" s="501"/>
      <c r="I3" s="501"/>
      <c r="J3" s="501"/>
      <c r="K3" s="501"/>
      <c r="L3" s="501"/>
      <c r="M3" s="501"/>
      <c r="N3" s="501"/>
      <c r="O3" s="501"/>
      <c r="P3" s="501"/>
      <c r="Q3" s="501"/>
      <c r="R3" s="501"/>
      <c r="S3" s="501"/>
      <c r="T3" s="501"/>
    </row>
    <row r="4" spans="2:20" ht="15.75" customHeight="1">
      <c r="B4" s="502" t="s">
        <v>59</v>
      </c>
      <c r="C4" s="502" t="s">
        <v>60</v>
      </c>
      <c r="D4" s="342"/>
      <c r="E4" s="342"/>
      <c r="F4" s="342"/>
      <c r="G4" s="342"/>
      <c r="H4" s="504" t="s">
        <v>150</v>
      </c>
      <c r="I4" s="505"/>
      <c r="J4" s="505"/>
      <c r="K4" s="505"/>
      <c r="L4" s="505"/>
      <c r="M4" s="505"/>
      <c r="N4" s="505"/>
      <c r="O4" s="505"/>
      <c r="P4" s="505"/>
      <c r="Q4" s="505"/>
      <c r="R4" s="505"/>
      <c r="S4" s="505"/>
      <c r="T4" s="506"/>
    </row>
    <row r="5" spans="2:20" s="233" customFormat="1" ht="16.5" customHeight="1" thickBot="1">
      <c r="B5" s="503"/>
      <c r="C5" s="503"/>
      <c r="D5" s="234" t="s">
        <v>17</v>
      </c>
      <c r="E5" s="234" t="s">
        <v>18</v>
      </c>
      <c r="F5" s="234" t="s">
        <v>19</v>
      </c>
      <c r="G5" s="234" t="s">
        <v>20</v>
      </c>
      <c r="H5" s="507" t="s">
        <v>21</v>
      </c>
      <c r="I5" s="507"/>
      <c r="J5" s="508" t="s">
        <v>51</v>
      </c>
      <c r="K5" s="508"/>
      <c r="L5" s="343" t="s">
        <v>52</v>
      </c>
      <c r="M5" s="343" t="s">
        <v>53</v>
      </c>
      <c r="N5" s="344" t="s">
        <v>57</v>
      </c>
      <c r="O5" s="345" t="s">
        <v>165</v>
      </c>
      <c r="P5" s="406" t="s">
        <v>124</v>
      </c>
      <c r="Q5" s="406" t="s">
        <v>146</v>
      </c>
      <c r="R5" s="407" t="s">
        <v>158</v>
      </c>
      <c r="S5" s="407" t="s">
        <v>166</v>
      </c>
      <c r="T5" s="344" t="s">
        <v>187</v>
      </c>
    </row>
    <row r="6" spans="2:20" ht="15.75" thickTop="1">
      <c r="B6" s="346"/>
      <c r="C6" s="347" t="s">
        <v>11</v>
      </c>
      <c r="D6" s="236">
        <v>34</v>
      </c>
      <c r="E6" s="236">
        <v>37</v>
      </c>
      <c r="F6" s="236">
        <v>45</v>
      </c>
      <c r="G6" s="236">
        <v>57</v>
      </c>
      <c r="H6" s="236">
        <v>72</v>
      </c>
      <c r="I6" s="493" t="s">
        <v>62</v>
      </c>
      <c r="J6" s="237">
        <v>73</v>
      </c>
      <c r="K6" s="237">
        <v>0</v>
      </c>
      <c r="L6" s="237">
        <v>87</v>
      </c>
      <c r="M6" s="237">
        <v>77</v>
      </c>
      <c r="N6" s="348">
        <v>77</v>
      </c>
      <c r="O6" s="348">
        <v>70</v>
      </c>
      <c r="P6" s="349">
        <v>80</v>
      </c>
      <c r="Q6" s="349">
        <v>82</v>
      </c>
      <c r="R6" s="349">
        <v>104</v>
      </c>
      <c r="S6" s="349">
        <v>75</v>
      </c>
      <c r="T6" s="395">
        <v>60</v>
      </c>
    </row>
    <row r="7" spans="2:20">
      <c r="B7" s="350"/>
      <c r="C7" s="235" t="s">
        <v>12</v>
      </c>
      <c r="D7" s="241">
        <v>0</v>
      </c>
      <c r="E7" s="241">
        <v>0</v>
      </c>
      <c r="F7" s="241">
        <v>0</v>
      </c>
      <c r="G7" s="241">
        <v>0</v>
      </c>
      <c r="H7" s="241">
        <v>1</v>
      </c>
      <c r="I7" s="494"/>
      <c r="J7" s="242">
        <v>0</v>
      </c>
      <c r="K7" s="242">
        <v>0</v>
      </c>
      <c r="L7" s="242"/>
      <c r="M7" s="242"/>
      <c r="N7" s="351"/>
      <c r="O7" s="351"/>
      <c r="P7" s="349">
        <v>1</v>
      </c>
      <c r="Q7" s="349"/>
      <c r="R7" s="349"/>
      <c r="S7" s="349">
        <v>1</v>
      </c>
      <c r="T7" s="395"/>
    </row>
    <row r="8" spans="2:20">
      <c r="B8" s="350" t="s">
        <v>2</v>
      </c>
      <c r="C8" s="243" t="s">
        <v>13</v>
      </c>
      <c r="D8" s="244">
        <f t="shared" ref="D8:M8" si="0">D6+D7</f>
        <v>34</v>
      </c>
      <c r="E8" s="244">
        <f t="shared" si="0"/>
        <v>37</v>
      </c>
      <c r="F8" s="244">
        <f t="shared" si="0"/>
        <v>45</v>
      </c>
      <c r="G8" s="244">
        <f t="shared" si="0"/>
        <v>57</v>
      </c>
      <c r="H8" s="244">
        <f t="shared" si="0"/>
        <v>73</v>
      </c>
      <c r="I8" s="494"/>
      <c r="J8" s="245">
        <f t="shared" si="0"/>
        <v>73</v>
      </c>
      <c r="K8" s="245">
        <v>0</v>
      </c>
      <c r="L8" s="245">
        <f t="shared" si="0"/>
        <v>87</v>
      </c>
      <c r="M8" s="245">
        <f t="shared" si="0"/>
        <v>77</v>
      </c>
      <c r="N8" s="352">
        <f>SUM(N6:N7)</f>
        <v>77</v>
      </c>
      <c r="O8" s="352">
        <v>70</v>
      </c>
      <c r="P8" s="353">
        <v>81</v>
      </c>
      <c r="Q8" s="353">
        <v>82</v>
      </c>
      <c r="R8" s="353">
        <v>104</v>
      </c>
      <c r="S8" s="353">
        <v>76</v>
      </c>
      <c r="T8" s="396">
        <v>60</v>
      </c>
    </row>
    <row r="9" spans="2:20" ht="15.75" thickBot="1">
      <c r="B9" s="350"/>
      <c r="C9" s="247" t="s">
        <v>167</v>
      </c>
      <c r="D9" s="244">
        <v>0</v>
      </c>
      <c r="E9" s="244">
        <v>0</v>
      </c>
      <c r="F9" s="244">
        <v>0</v>
      </c>
      <c r="G9" s="244">
        <v>0</v>
      </c>
      <c r="H9" s="244">
        <v>0</v>
      </c>
      <c r="I9" s="494"/>
      <c r="J9" s="245">
        <v>0</v>
      </c>
      <c r="K9" s="245">
        <v>0</v>
      </c>
      <c r="L9" s="245"/>
      <c r="M9" s="245"/>
      <c r="N9" s="352"/>
      <c r="O9" s="352"/>
      <c r="P9" s="353"/>
      <c r="Q9" s="353"/>
      <c r="R9" s="353"/>
      <c r="S9" s="353"/>
      <c r="T9" s="396"/>
    </row>
    <row r="10" spans="2:20" ht="17.100000000000001" customHeight="1" thickTop="1" thickBot="1">
      <c r="B10" s="350"/>
      <c r="C10" s="248" t="s">
        <v>15</v>
      </c>
      <c r="D10" s="249">
        <f t="shared" ref="D10:M10" si="1">D8+D9</f>
        <v>34</v>
      </c>
      <c r="E10" s="249">
        <f t="shared" si="1"/>
        <v>37</v>
      </c>
      <c r="F10" s="249">
        <f t="shared" si="1"/>
        <v>45</v>
      </c>
      <c r="G10" s="249">
        <f t="shared" si="1"/>
        <v>57</v>
      </c>
      <c r="H10" s="249">
        <f t="shared" si="1"/>
        <v>73</v>
      </c>
      <c r="I10" s="495"/>
      <c r="J10" s="250">
        <f t="shared" si="1"/>
        <v>73</v>
      </c>
      <c r="K10" s="250">
        <v>0</v>
      </c>
      <c r="L10" s="250">
        <f t="shared" si="1"/>
        <v>87</v>
      </c>
      <c r="M10" s="250">
        <f t="shared" si="1"/>
        <v>77</v>
      </c>
      <c r="N10" s="354">
        <f>SUM(N8:N9)</f>
        <v>77</v>
      </c>
      <c r="O10" s="354">
        <v>70</v>
      </c>
      <c r="P10" s="355">
        <v>81</v>
      </c>
      <c r="Q10" s="355">
        <v>82</v>
      </c>
      <c r="R10" s="355">
        <v>104</v>
      </c>
      <c r="S10" s="355">
        <v>76</v>
      </c>
      <c r="T10" s="397">
        <v>60</v>
      </c>
    </row>
    <row r="11" spans="2:20">
      <c r="B11" s="356"/>
      <c r="C11" s="252" t="s">
        <v>11</v>
      </c>
      <c r="D11" s="253">
        <v>37</v>
      </c>
      <c r="E11" s="253">
        <v>30</v>
      </c>
      <c r="F11" s="253">
        <v>35</v>
      </c>
      <c r="G11" s="253">
        <v>49</v>
      </c>
      <c r="H11" s="253">
        <v>52</v>
      </c>
      <c r="I11" s="253"/>
      <c r="J11" s="254">
        <v>78</v>
      </c>
      <c r="K11" s="254">
        <v>0</v>
      </c>
      <c r="L11" s="254">
        <v>55</v>
      </c>
      <c r="M11" s="254">
        <v>62</v>
      </c>
      <c r="N11" s="357">
        <v>67</v>
      </c>
      <c r="O11" s="357">
        <f>54-2</f>
        <v>52</v>
      </c>
      <c r="P11" s="349">
        <v>57</v>
      </c>
      <c r="Q11" s="349">
        <v>72</v>
      </c>
      <c r="R11" s="349">
        <v>55</v>
      </c>
      <c r="S11" s="349">
        <v>65</v>
      </c>
      <c r="T11" s="395">
        <v>41</v>
      </c>
    </row>
    <row r="12" spans="2:20">
      <c r="B12" s="350"/>
      <c r="C12" s="235" t="s">
        <v>12</v>
      </c>
      <c r="D12" s="241">
        <v>8</v>
      </c>
      <c r="E12" s="241">
        <v>4</v>
      </c>
      <c r="F12" s="241">
        <v>2</v>
      </c>
      <c r="G12" s="241">
        <v>2</v>
      </c>
      <c r="H12" s="241">
        <v>3</v>
      </c>
      <c r="I12" s="241"/>
      <c r="J12" s="242">
        <v>4</v>
      </c>
      <c r="K12" s="242">
        <v>0</v>
      </c>
      <c r="L12" s="242">
        <v>5</v>
      </c>
      <c r="M12" s="242">
        <v>1</v>
      </c>
      <c r="N12" s="351">
        <v>2</v>
      </c>
      <c r="O12" s="351">
        <v>2</v>
      </c>
      <c r="P12" s="349">
        <v>1</v>
      </c>
      <c r="Q12" s="349">
        <v>4</v>
      </c>
      <c r="R12" s="349">
        <v>6</v>
      </c>
      <c r="S12" s="349">
        <v>2</v>
      </c>
      <c r="T12" s="395">
        <v>3</v>
      </c>
    </row>
    <row r="13" spans="2:20">
      <c r="B13" s="350" t="s">
        <v>3</v>
      </c>
      <c r="C13" s="243" t="s">
        <v>13</v>
      </c>
      <c r="D13" s="244">
        <f t="shared" ref="D13:M13" si="2">D11+D12</f>
        <v>45</v>
      </c>
      <c r="E13" s="244">
        <f t="shared" si="2"/>
        <v>34</v>
      </c>
      <c r="F13" s="244">
        <f t="shared" si="2"/>
        <v>37</v>
      </c>
      <c r="G13" s="244">
        <f t="shared" si="2"/>
        <v>51</v>
      </c>
      <c r="H13" s="244">
        <f t="shared" si="2"/>
        <v>55</v>
      </c>
      <c r="I13" s="244"/>
      <c r="J13" s="245">
        <f t="shared" si="2"/>
        <v>82</v>
      </c>
      <c r="K13" s="245">
        <v>0</v>
      </c>
      <c r="L13" s="245">
        <f t="shared" si="2"/>
        <v>60</v>
      </c>
      <c r="M13" s="245">
        <f t="shared" si="2"/>
        <v>63</v>
      </c>
      <c r="N13" s="352">
        <f>SUM(N11:N12)</f>
        <v>69</v>
      </c>
      <c r="O13" s="352">
        <v>54</v>
      </c>
      <c r="P13" s="353">
        <v>58</v>
      </c>
      <c r="Q13" s="353">
        <v>76</v>
      </c>
      <c r="R13" s="353">
        <v>61</v>
      </c>
      <c r="S13" s="353">
        <v>67</v>
      </c>
      <c r="T13" s="396">
        <v>44</v>
      </c>
    </row>
    <row r="14" spans="2:20" ht="15.75" thickBot="1">
      <c r="B14" s="350"/>
      <c r="C14" s="247" t="s">
        <v>167</v>
      </c>
      <c r="D14" s="244">
        <v>0</v>
      </c>
      <c r="E14" s="244">
        <v>0</v>
      </c>
      <c r="F14" s="244">
        <v>0</v>
      </c>
      <c r="G14" s="244">
        <v>0</v>
      </c>
      <c r="H14" s="244">
        <v>0</v>
      </c>
      <c r="I14" s="244"/>
      <c r="J14" s="245">
        <v>0</v>
      </c>
      <c r="K14" s="245">
        <v>0</v>
      </c>
      <c r="L14" s="245"/>
      <c r="M14" s="245"/>
      <c r="N14" s="352"/>
      <c r="O14" s="352"/>
      <c r="P14" s="353"/>
      <c r="Q14" s="353">
        <v>1</v>
      </c>
      <c r="R14" s="353"/>
      <c r="S14" s="353"/>
      <c r="T14" s="396"/>
    </row>
    <row r="15" spans="2:20" ht="17.100000000000001" customHeight="1" thickTop="1" thickBot="1">
      <c r="B15" s="350"/>
      <c r="C15" s="248" t="s">
        <v>15</v>
      </c>
      <c r="D15" s="249">
        <f t="shared" ref="D15:M15" si="3">D13+D14</f>
        <v>45</v>
      </c>
      <c r="E15" s="249">
        <f t="shared" si="3"/>
        <v>34</v>
      </c>
      <c r="F15" s="249">
        <f t="shared" si="3"/>
        <v>37</v>
      </c>
      <c r="G15" s="249">
        <f t="shared" si="3"/>
        <v>51</v>
      </c>
      <c r="H15" s="249">
        <f t="shared" si="3"/>
        <v>55</v>
      </c>
      <c r="I15" s="249"/>
      <c r="J15" s="250">
        <f t="shared" si="3"/>
        <v>82</v>
      </c>
      <c r="K15" s="250">
        <v>0</v>
      </c>
      <c r="L15" s="250">
        <f t="shared" si="3"/>
        <v>60</v>
      </c>
      <c r="M15" s="250">
        <f t="shared" si="3"/>
        <v>63</v>
      </c>
      <c r="N15" s="354">
        <f>SUM(N13:N14)</f>
        <v>69</v>
      </c>
      <c r="O15" s="354">
        <v>54</v>
      </c>
      <c r="P15" s="358">
        <v>58</v>
      </c>
      <c r="Q15" s="358">
        <v>77</v>
      </c>
      <c r="R15" s="358">
        <v>61</v>
      </c>
      <c r="S15" s="358">
        <v>67</v>
      </c>
      <c r="T15" s="398">
        <v>44</v>
      </c>
    </row>
    <row r="16" spans="2:20">
      <c r="B16" s="356"/>
      <c r="C16" s="252" t="s">
        <v>11</v>
      </c>
      <c r="D16" s="253">
        <v>52</v>
      </c>
      <c r="E16" s="253">
        <v>42</v>
      </c>
      <c r="F16" s="253">
        <v>40</v>
      </c>
      <c r="G16" s="253">
        <f>52-9</f>
        <v>43</v>
      </c>
      <c r="H16" s="253">
        <v>48</v>
      </c>
      <c r="I16" s="253"/>
      <c r="J16" s="254">
        <v>42</v>
      </c>
      <c r="K16" s="254">
        <v>0</v>
      </c>
      <c r="L16" s="254">
        <v>67</v>
      </c>
      <c r="M16" s="254">
        <v>51</v>
      </c>
      <c r="N16" s="357">
        <v>51</v>
      </c>
      <c r="O16" s="357">
        <f>68-1-1-1-1-1</f>
        <v>63</v>
      </c>
      <c r="P16" s="359">
        <v>60</v>
      </c>
      <c r="Q16" s="359">
        <v>39</v>
      </c>
      <c r="R16" s="359">
        <v>53</v>
      </c>
      <c r="S16" s="359">
        <v>50</v>
      </c>
      <c r="T16" s="399">
        <v>61</v>
      </c>
    </row>
    <row r="17" spans="2:21">
      <c r="B17" s="350"/>
      <c r="C17" s="235" t="s">
        <v>12</v>
      </c>
      <c r="D17" s="241">
        <v>7</v>
      </c>
      <c r="E17" s="241">
        <v>9</v>
      </c>
      <c r="F17" s="241">
        <v>11</v>
      </c>
      <c r="G17" s="241">
        <v>9</v>
      </c>
      <c r="H17" s="241">
        <v>4</v>
      </c>
      <c r="I17" s="241"/>
      <c r="J17" s="242">
        <v>4</v>
      </c>
      <c r="K17" s="242">
        <v>0</v>
      </c>
      <c r="L17" s="242">
        <v>3</v>
      </c>
      <c r="M17" s="242">
        <v>6</v>
      </c>
      <c r="N17" s="351">
        <v>4</v>
      </c>
      <c r="O17" s="351">
        <v>5</v>
      </c>
      <c r="P17" s="349">
        <v>9</v>
      </c>
      <c r="Q17" s="349">
        <v>5</v>
      </c>
      <c r="R17" s="349">
        <v>3</v>
      </c>
      <c r="S17" s="349">
        <v>6</v>
      </c>
      <c r="T17" s="395">
        <v>1</v>
      </c>
    </row>
    <row r="18" spans="2:21">
      <c r="B18" s="350" t="s">
        <v>4</v>
      </c>
      <c r="C18" s="243" t="s">
        <v>13</v>
      </c>
      <c r="D18" s="244">
        <f t="shared" ref="D18:N18" si="4">D16+D17</f>
        <v>59</v>
      </c>
      <c r="E18" s="244">
        <f t="shared" si="4"/>
        <v>51</v>
      </c>
      <c r="F18" s="244">
        <f t="shared" si="4"/>
        <v>51</v>
      </c>
      <c r="G18" s="244">
        <f t="shared" si="4"/>
        <v>52</v>
      </c>
      <c r="H18" s="244">
        <f t="shared" si="4"/>
        <v>52</v>
      </c>
      <c r="I18" s="244"/>
      <c r="J18" s="245">
        <f t="shared" si="4"/>
        <v>46</v>
      </c>
      <c r="K18" s="245">
        <v>0</v>
      </c>
      <c r="L18" s="245">
        <f t="shared" si="4"/>
        <v>70</v>
      </c>
      <c r="M18" s="245">
        <f t="shared" si="4"/>
        <v>57</v>
      </c>
      <c r="N18" s="245">
        <f t="shared" si="4"/>
        <v>55</v>
      </c>
      <c r="O18" s="245">
        <v>68</v>
      </c>
      <c r="P18" s="360">
        <v>69</v>
      </c>
      <c r="Q18" s="360">
        <v>44</v>
      </c>
      <c r="R18" s="360">
        <v>56</v>
      </c>
      <c r="S18" s="360">
        <v>56</v>
      </c>
      <c r="T18" s="400">
        <v>62</v>
      </c>
    </row>
    <row r="19" spans="2:21" ht="15.75" thickBot="1">
      <c r="B19" s="350"/>
      <c r="C19" s="247" t="s">
        <v>167</v>
      </c>
      <c r="D19" s="244">
        <v>0</v>
      </c>
      <c r="E19" s="244">
        <v>0</v>
      </c>
      <c r="F19" s="244">
        <v>0</v>
      </c>
      <c r="G19" s="244">
        <v>0</v>
      </c>
      <c r="H19" s="244">
        <v>0</v>
      </c>
      <c r="I19" s="244"/>
      <c r="J19" s="245">
        <v>0</v>
      </c>
      <c r="K19" s="245">
        <v>0</v>
      </c>
      <c r="L19" s="245"/>
      <c r="M19" s="245"/>
      <c r="N19" s="245"/>
      <c r="O19" s="245"/>
      <c r="P19" s="360"/>
      <c r="Q19" s="360"/>
      <c r="R19" s="360">
        <v>1</v>
      </c>
      <c r="S19" s="360"/>
      <c r="T19" s="400"/>
    </row>
    <row r="20" spans="2:21" ht="17.100000000000001" customHeight="1" thickTop="1" thickBot="1">
      <c r="B20" s="350"/>
      <c r="C20" s="248" t="s">
        <v>15</v>
      </c>
      <c r="D20" s="249">
        <f t="shared" ref="D20:N20" si="5">D18+D19</f>
        <v>59</v>
      </c>
      <c r="E20" s="249">
        <f t="shared" si="5"/>
        <v>51</v>
      </c>
      <c r="F20" s="249">
        <f t="shared" si="5"/>
        <v>51</v>
      </c>
      <c r="G20" s="249">
        <f t="shared" si="5"/>
        <v>52</v>
      </c>
      <c r="H20" s="249">
        <f t="shared" si="5"/>
        <v>52</v>
      </c>
      <c r="I20" s="249"/>
      <c r="J20" s="250">
        <f t="shared" si="5"/>
        <v>46</v>
      </c>
      <c r="K20" s="250">
        <v>0</v>
      </c>
      <c r="L20" s="250">
        <f t="shared" si="5"/>
        <v>70</v>
      </c>
      <c r="M20" s="250">
        <f t="shared" si="5"/>
        <v>57</v>
      </c>
      <c r="N20" s="250">
        <f t="shared" si="5"/>
        <v>55</v>
      </c>
      <c r="O20" s="250">
        <v>68</v>
      </c>
      <c r="P20" s="361">
        <v>69</v>
      </c>
      <c r="Q20" s="361">
        <v>44</v>
      </c>
      <c r="R20" s="361">
        <v>57</v>
      </c>
      <c r="S20" s="361">
        <v>56</v>
      </c>
      <c r="T20" s="401">
        <v>62</v>
      </c>
    </row>
    <row r="21" spans="2:21">
      <c r="B21" s="356"/>
      <c r="C21" s="252" t="s">
        <v>11</v>
      </c>
      <c r="D21" s="253">
        <v>21</v>
      </c>
      <c r="E21" s="253">
        <v>35</v>
      </c>
      <c r="F21" s="253">
        <v>43</v>
      </c>
      <c r="G21" s="253">
        <f>54-8</f>
        <v>46</v>
      </c>
      <c r="H21" s="253">
        <v>55</v>
      </c>
      <c r="I21" s="253"/>
      <c r="J21" s="254">
        <v>37</v>
      </c>
      <c r="K21" s="254">
        <v>0</v>
      </c>
      <c r="L21" s="254">
        <v>34</v>
      </c>
      <c r="M21" s="254">
        <v>51</v>
      </c>
      <c r="N21" s="357">
        <v>40</v>
      </c>
      <c r="O21" s="357">
        <f>45-2</f>
        <v>43</v>
      </c>
      <c r="P21" s="359">
        <v>52</v>
      </c>
      <c r="Q21" s="359">
        <v>56</v>
      </c>
      <c r="R21" s="359">
        <v>39</v>
      </c>
      <c r="S21" s="359">
        <v>38</v>
      </c>
      <c r="T21" s="399">
        <v>42</v>
      </c>
    </row>
    <row r="22" spans="2:21">
      <c r="B22" s="350"/>
      <c r="C22" s="235" t="s">
        <v>12</v>
      </c>
      <c r="D22" s="241">
        <v>7</v>
      </c>
      <c r="E22" s="241">
        <v>3</v>
      </c>
      <c r="F22" s="241">
        <v>3</v>
      </c>
      <c r="G22" s="241">
        <v>8</v>
      </c>
      <c r="H22" s="241">
        <v>4</v>
      </c>
      <c r="I22" s="241"/>
      <c r="J22" s="242">
        <v>1</v>
      </c>
      <c r="K22" s="242">
        <v>0</v>
      </c>
      <c r="L22" s="242">
        <v>2</v>
      </c>
      <c r="M22" s="242">
        <v>4</v>
      </c>
      <c r="N22" s="351">
        <v>3</v>
      </c>
      <c r="O22" s="351">
        <v>2</v>
      </c>
      <c r="P22" s="349">
        <v>4</v>
      </c>
      <c r="Q22" s="349">
        <v>2</v>
      </c>
      <c r="R22" s="349">
        <v>5</v>
      </c>
      <c r="S22" s="349">
        <v>1</v>
      </c>
      <c r="T22" s="395">
        <v>3</v>
      </c>
    </row>
    <row r="23" spans="2:21">
      <c r="B23" s="350" t="s">
        <v>5</v>
      </c>
      <c r="C23" s="243" t="s">
        <v>13</v>
      </c>
      <c r="D23" s="244">
        <f t="shared" ref="D23:N23" si="6">D21+D22</f>
        <v>28</v>
      </c>
      <c r="E23" s="244">
        <f t="shared" si="6"/>
        <v>38</v>
      </c>
      <c r="F23" s="244">
        <f t="shared" si="6"/>
        <v>46</v>
      </c>
      <c r="G23" s="244">
        <f t="shared" si="6"/>
        <v>54</v>
      </c>
      <c r="H23" s="244">
        <f t="shared" si="6"/>
        <v>59</v>
      </c>
      <c r="I23" s="244"/>
      <c r="J23" s="245">
        <f t="shared" si="6"/>
        <v>38</v>
      </c>
      <c r="K23" s="245">
        <v>0</v>
      </c>
      <c r="L23" s="245">
        <f t="shared" si="6"/>
        <v>36</v>
      </c>
      <c r="M23" s="245">
        <f t="shared" si="6"/>
        <v>55</v>
      </c>
      <c r="N23" s="245">
        <f t="shared" si="6"/>
        <v>43</v>
      </c>
      <c r="O23" s="245">
        <v>45</v>
      </c>
      <c r="P23" s="360">
        <v>56</v>
      </c>
      <c r="Q23" s="360">
        <v>58</v>
      </c>
      <c r="R23" s="360">
        <v>44</v>
      </c>
      <c r="S23" s="360">
        <v>39</v>
      </c>
      <c r="T23" s="400">
        <v>45</v>
      </c>
    </row>
    <row r="24" spans="2:21" ht="15.75" thickBot="1">
      <c r="B24" s="350"/>
      <c r="C24" s="247" t="s">
        <v>167</v>
      </c>
      <c r="D24" s="244">
        <v>0</v>
      </c>
      <c r="E24" s="244">
        <v>0</v>
      </c>
      <c r="F24" s="244">
        <v>0</v>
      </c>
      <c r="G24" s="244">
        <v>0</v>
      </c>
      <c r="H24" s="244">
        <v>0</v>
      </c>
      <c r="I24" s="244"/>
      <c r="J24" s="245">
        <v>0</v>
      </c>
      <c r="K24" s="245">
        <v>0</v>
      </c>
      <c r="L24" s="245"/>
      <c r="M24" s="245"/>
      <c r="N24" s="352"/>
      <c r="O24" s="352"/>
      <c r="P24" s="353"/>
      <c r="Q24" s="353"/>
      <c r="R24" s="353"/>
      <c r="S24" s="353"/>
      <c r="T24" s="396"/>
    </row>
    <row r="25" spans="2:21" ht="17.100000000000001" customHeight="1" thickTop="1" thickBot="1">
      <c r="B25" s="350"/>
      <c r="C25" s="248" t="s">
        <v>15</v>
      </c>
      <c r="D25" s="249">
        <f t="shared" ref="D25:N25" si="7">D23+D24</f>
        <v>28</v>
      </c>
      <c r="E25" s="249">
        <f t="shared" si="7"/>
        <v>38</v>
      </c>
      <c r="F25" s="249">
        <f t="shared" si="7"/>
        <v>46</v>
      </c>
      <c r="G25" s="249">
        <f t="shared" si="7"/>
        <v>54</v>
      </c>
      <c r="H25" s="249">
        <f t="shared" si="7"/>
        <v>59</v>
      </c>
      <c r="I25" s="249"/>
      <c r="J25" s="250">
        <f t="shared" si="7"/>
        <v>38</v>
      </c>
      <c r="K25" s="250">
        <v>0</v>
      </c>
      <c r="L25" s="250">
        <f t="shared" si="7"/>
        <v>36</v>
      </c>
      <c r="M25" s="250">
        <f t="shared" si="7"/>
        <v>55</v>
      </c>
      <c r="N25" s="250">
        <f t="shared" si="7"/>
        <v>43</v>
      </c>
      <c r="O25" s="250">
        <v>45</v>
      </c>
      <c r="P25" s="361">
        <v>56</v>
      </c>
      <c r="Q25" s="361">
        <v>58</v>
      </c>
      <c r="R25" s="361">
        <v>44</v>
      </c>
      <c r="S25" s="361">
        <v>39</v>
      </c>
      <c r="T25" s="401">
        <v>45</v>
      </c>
    </row>
    <row r="26" spans="2:21" ht="21" customHeight="1" thickTop="1">
      <c r="B26" s="362"/>
      <c r="C26" s="256" t="s">
        <v>11</v>
      </c>
      <c r="D26" s="257">
        <f t="shared" ref="D26:H27" si="8">SUM(D6,D11,D16,D21)</f>
        <v>144</v>
      </c>
      <c r="E26" s="257">
        <f t="shared" si="8"/>
        <v>144</v>
      </c>
      <c r="F26" s="257">
        <f t="shared" si="8"/>
        <v>163</v>
      </c>
      <c r="G26" s="257">
        <f t="shared" si="8"/>
        <v>195</v>
      </c>
      <c r="H26" s="257">
        <f t="shared" si="8"/>
        <v>227</v>
      </c>
      <c r="I26" s="257"/>
      <c r="J26" s="258">
        <f t="shared" ref="J26:M27" si="9">SUM(J6,J11,J16,J21)</f>
        <v>230</v>
      </c>
      <c r="K26" s="258">
        <v>0</v>
      </c>
      <c r="L26" s="258">
        <f t="shared" si="9"/>
        <v>243</v>
      </c>
      <c r="M26" s="258">
        <f t="shared" si="9"/>
        <v>241</v>
      </c>
      <c r="N26" s="258">
        <f>SUM(N6,N11,N16,N21)</f>
        <v>235</v>
      </c>
      <c r="O26" s="258">
        <f>SUM(O6,O11,O16,O21)</f>
        <v>228</v>
      </c>
      <c r="P26" s="361">
        <v>249</v>
      </c>
      <c r="Q26" s="361">
        <v>249</v>
      </c>
      <c r="R26" s="361">
        <v>251</v>
      </c>
      <c r="S26" s="361">
        <v>228</v>
      </c>
      <c r="T26" s="361">
        <v>204</v>
      </c>
    </row>
    <row r="27" spans="2:21" ht="21" customHeight="1">
      <c r="B27" s="363"/>
      <c r="C27" s="259" t="s">
        <v>12</v>
      </c>
      <c r="D27" s="260">
        <f t="shared" si="8"/>
        <v>22</v>
      </c>
      <c r="E27" s="260">
        <f t="shared" si="8"/>
        <v>16</v>
      </c>
      <c r="F27" s="260">
        <f t="shared" si="8"/>
        <v>16</v>
      </c>
      <c r="G27" s="260">
        <f t="shared" si="8"/>
        <v>19</v>
      </c>
      <c r="H27" s="260">
        <f t="shared" si="8"/>
        <v>12</v>
      </c>
      <c r="I27" s="260"/>
      <c r="J27" s="261">
        <f t="shared" si="9"/>
        <v>9</v>
      </c>
      <c r="K27" s="261">
        <v>0</v>
      </c>
      <c r="L27" s="261">
        <f t="shared" si="9"/>
        <v>10</v>
      </c>
      <c r="M27" s="261">
        <f t="shared" si="9"/>
        <v>11</v>
      </c>
      <c r="N27" s="261">
        <f>SUM(N7,N12,N17,N22)</f>
        <v>9</v>
      </c>
      <c r="O27" s="261">
        <f>SUM(O7,O12,O17,O22)</f>
        <v>9</v>
      </c>
      <c r="P27" s="364">
        <v>15</v>
      </c>
      <c r="Q27" s="364">
        <v>11</v>
      </c>
      <c r="R27" s="364">
        <v>14</v>
      </c>
      <c r="S27" s="364">
        <v>10</v>
      </c>
      <c r="T27" s="364">
        <v>7</v>
      </c>
    </row>
    <row r="28" spans="2:21" ht="21" customHeight="1">
      <c r="B28" s="365" t="s">
        <v>6</v>
      </c>
      <c r="C28" s="263" t="s">
        <v>13</v>
      </c>
      <c r="D28" s="264">
        <f t="shared" ref="D28:N28" si="10">D26+D27</f>
        <v>166</v>
      </c>
      <c r="E28" s="264">
        <f t="shared" si="10"/>
        <v>160</v>
      </c>
      <c r="F28" s="264">
        <f t="shared" si="10"/>
        <v>179</v>
      </c>
      <c r="G28" s="264">
        <f t="shared" si="10"/>
        <v>214</v>
      </c>
      <c r="H28" s="264">
        <f t="shared" si="10"/>
        <v>239</v>
      </c>
      <c r="I28" s="264"/>
      <c r="J28" s="265">
        <f t="shared" si="10"/>
        <v>239</v>
      </c>
      <c r="K28" s="265">
        <v>0</v>
      </c>
      <c r="L28" s="265">
        <f t="shared" si="10"/>
        <v>253</v>
      </c>
      <c r="M28" s="265">
        <f t="shared" si="10"/>
        <v>252</v>
      </c>
      <c r="N28" s="265">
        <f t="shared" si="10"/>
        <v>244</v>
      </c>
      <c r="O28" s="265">
        <f>SUM(O26:O27)</f>
        <v>237</v>
      </c>
      <c r="P28" s="366">
        <v>264</v>
      </c>
      <c r="Q28" s="366">
        <v>260</v>
      </c>
      <c r="R28" s="366">
        <v>265</v>
      </c>
      <c r="S28" s="366">
        <v>238</v>
      </c>
      <c r="T28" s="366">
        <v>211</v>
      </c>
    </row>
    <row r="29" spans="2:21" ht="21" customHeight="1" thickBot="1">
      <c r="B29" s="363"/>
      <c r="C29" s="266" t="s">
        <v>167</v>
      </c>
      <c r="D29" s="264">
        <f t="shared" ref="D29:J29" si="11">SUM(D9,D14,D19,D24)</f>
        <v>0</v>
      </c>
      <c r="E29" s="264">
        <f t="shared" si="11"/>
        <v>0</v>
      </c>
      <c r="F29" s="264">
        <f t="shared" si="11"/>
        <v>0</v>
      </c>
      <c r="G29" s="264">
        <f t="shared" si="11"/>
        <v>0</v>
      </c>
      <c r="H29" s="264">
        <f t="shared" si="11"/>
        <v>0</v>
      </c>
      <c r="I29" s="264"/>
      <c r="J29" s="265">
        <f t="shared" si="11"/>
        <v>0</v>
      </c>
      <c r="K29" s="265">
        <v>0</v>
      </c>
      <c r="L29" s="265"/>
      <c r="M29" s="265"/>
      <c r="N29" s="265"/>
      <c r="O29" s="265"/>
      <c r="P29" s="366"/>
      <c r="Q29" s="366">
        <v>1</v>
      </c>
      <c r="R29" s="366">
        <v>1</v>
      </c>
      <c r="S29" s="366"/>
      <c r="T29" s="366"/>
    </row>
    <row r="30" spans="2:21" ht="21" customHeight="1" thickTop="1" thickBot="1">
      <c r="B30" s="365"/>
      <c r="C30" s="267" t="s">
        <v>15</v>
      </c>
      <c r="D30" s="268">
        <f t="shared" ref="D30:N30" si="12">D28+D29</f>
        <v>166</v>
      </c>
      <c r="E30" s="268">
        <f t="shared" si="12"/>
        <v>160</v>
      </c>
      <c r="F30" s="268">
        <f t="shared" si="12"/>
        <v>179</v>
      </c>
      <c r="G30" s="268">
        <f t="shared" si="12"/>
        <v>214</v>
      </c>
      <c r="H30" s="268">
        <f t="shared" si="12"/>
        <v>239</v>
      </c>
      <c r="I30" s="268"/>
      <c r="J30" s="269">
        <f t="shared" si="12"/>
        <v>239</v>
      </c>
      <c r="K30" s="269">
        <v>0</v>
      </c>
      <c r="L30" s="269">
        <f t="shared" si="12"/>
        <v>253</v>
      </c>
      <c r="M30" s="269">
        <f t="shared" si="12"/>
        <v>252</v>
      </c>
      <c r="N30" s="269">
        <f t="shared" si="12"/>
        <v>244</v>
      </c>
      <c r="O30" s="269">
        <f>SUM(O10,O15,O20,O25)</f>
        <v>237</v>
      </c>
      <c r="P30" s="367">
        <v>264</v>
      </c>
      <c r="Q30" s="367">
        <v>261</v>
      </c>
      <c r="R30" s="367">
        <v>266</v>
      </c>
      <c r="S30" s="367">
        <v>238</v>
      </c>
      <c r="T30" s="367">
        <v>211</v>
      </c>
    </row>
    <row r="31" spans="2:21" ht="16.5" thickTop="1">
      <c r="B31" s="368" t="s">
        <v>7</v>
      </c>
      <c r="C31" s="271"/>
      <c r="D31" s="270">
        <v>6</v>
      </c>
      <c r="E31" s="270">
        <v>8</v>
      </c>
      <c r="F31" s="270">
        <v>8</v>
      </c>
      <c r="G31" s="270">
        <v>15</v>
      </c>
      <c r="H31" s="270">
        <v>13</v>
      </c>
      <c r="I31" s="270"/>
      <c r="J31" s="272">
        <v>14</v>
      </c>
      <c r="K31" s="272">
        <v>0</v>
      </c>
      <c r="L31" s="272">
        <v>19</v>
      </c>
      <c r="M31" s="272">
        <v>22</v>
      </c>
      <c r="N31" s="369">
        <v>19</v>
      </c>
      <c r="O31" s="369">
        <v>21</v>
      </c>
      <c r="P31" s="408">
        <v>17</v>
      </c>
      <c r="Q31" s="408">
        <v>15</v>
      </c>
      <c r="R31" s="408">
        <v>15</v>
      </c>
      <c r="S31" s="408">
        <v>17</v>
      </c>
      <c r="T31" s="402">
        <v>16</v>
      </c>
      <c r="U31" s="298"/>
    </row>
    <row r="32" spans="2:21" ht="16.5" thickBot="1">
      <c r="B32" s="371" t="s">
        <v>8</v>
      </c>
      <c r="C32" s="372"/>
      <c r="D32" s="235">
        <v>160</v>
      </c>
      <c r="E32" s="235">
        <v>152</v>
      </c>
      <c r="F32" s="235">
        <v>171</v>
      </c>
      <c r="G32" s="235">
        <v>199</v>
      </c>
      <c r="H32" s="235">
        <v>226</v>
      </c>
      <c r="I32" s="235"/>
      <c r="J32" s="274">
        <v>225</v>
      </c>
      <c r="K32" s="274">
        <v>0</v>
      </c>
      <c r="L32" s="274">
        <v>234</v>
      </c>
      <c r="M32" s="274">
        <v>230</v>
      </c>
      <c r="N32" s="373">
        <v>225</v>
      </c>
      <c r="O32" s="373">
        <v>216</v>
      </c>
      <c r="P32" s="409">
        <v>247</v>
      </c>
      <c r="Q32" s="409">
        <v>246</v>
      </c>
      <c r="R32" s="409">
        <v>251</v>
      </c>
      <c r="S32" s="409">
        <v>221</v>
      </c>
      <c r="T32" s="425">
        <v>195</v>
      </c>
      <c r="U32" s="426"/>
    </row>
    <row r="33" spans="2:21" ht="15.75">
      <c r="B33" s="356" t="s">
        <v>9</v>
      </c>
      <c r="C33" s="276"/>
      <c r="D33" s="252">
        <v>152</v>
      </c>
      <c r="E33" s="252">
        <v>142</v>
      </c>
      <c r="F33" s="252">
        <v>164</v>
      </c>
      <c r="G33" s="252">
        <v>184</v>
      </c>
      <c r="H33" s="252">
        <v>222</v>
      </c>
      <c r="I33" s="252"/>
      <c r="J33" s="277">
        <v>222</v>
      </c>
      <c r="K33" s="277">
        <v>0</v>
      </c>
      <c r="L33" s="277">
        <v>231</v>
      </c>
      <c r="M33" s="277">
        <v>232</v>
      </c>
      <c r="N33" s="375">
        <v>222</v>
      </c>
      <c r="O33" s="375">
        <v>212</v>
      </c>
      <c r="P33" s="410">
        <v>247</v>
      </c>
      <c r="Q33" s="410">
        <v>245</v>
      </c>
      <c r="R33" s="410">
        <v>248</v>
      </c>
      <c r="S33" s="410">
        <v>224</v>
      </c>
      <c r="T33" s="404">
        <v>194</v>
      </c>
      <c r="U33" s="298"/>
    </row>
    <row r="34" spans="2:21" ht="15.75">
      <c r="B34" s="377" t="s">
        <v>10</v>
      </c>
      <c r="C34" s="378"/>
      <c r="D34" s="379">
        <v>14</v>
      </c>
      <c r="E34" s="379">
        <v>18</v>
      </c>
      <c r="F34" s="379">
        <v>15</v>
      </c>
      <c r="G34" s="379">
        <v>30</v>
      </c>
      <c r="H34" s="379">
        <v>17</v>
      </c>
      <c r="I34" s="379"/>
      <c r="J34" s="380">
        <v>17</v>
      </c>
      <c r="K34" s="380">
        <v>0</v>
      </c>
      <c r="L34" s="380">
        <v>22</v>
      </c>
      <c r="M34" s="380">
        <v>20</v>
      </c>
      <c r="N34" s="381">
        <v>22</v>
      </c>
      <c r="O34" s="381">
        <v>25</v>
      </c>
      <c r="P34" s="411">
        <v>17</v>
      </c>
      <c r="Q34" s="411">
        <v>16</v>
      </c>
      <c r="R34" s="411">
        <v>18</v>
      </c>
      <c r="S34" s="411">
        <v>14</v>
      </c>
      <c r="T34" s="405">
        <v>17</v>
      </c>
      <c r="U34" s="298"/>
    </row>
    <row r="35" spans="2:21" ht="15.75">
      <c r="B35" s="372"/>
      <c r="C35" s="372"/>
      <c r="D35" s="372"/>
      <c r="E35" s="372"/>
      <c r="F35" s="372"/>
      <c r="G35" s="372"/>
      <c r="H35" s="372"/>
      <c r="I35" s="372"/>
      <c r="R35" s="384"/>
      <c r="S35" s="384"/>
    </row>
    <row r="36" spans="2:21">
      <c r="B36" s="282"/>
      <c r="C36" s="282"/>
      <c r="D36" s="282"/>
      <c r="E36" s="282"/>
      <c r="F36" s="282"/>
    </row>
    <row r="55" spans="2:19" ht="28.5" hidden="1" customHeight="1">
      <c r="B55" s="233" t="s">
        <v>34</v>
      </c>
      <c r="C55" s="496"/>
      <c r="D55" s="497"/>
      <c r="E55" s="497"/>
      <c r="F55" s="497"/>
      <c r="G55" s="497"/>
      <c r="H55" s="497"/>
      <c r="I55" s="497"/>
      <c r="J55" s="497"/>
      <c r="K55" s="497"/>
      <c r="L55" s="497"/>
      <c r="M55" s="497"/>
      <c r="N55" s="497"/>
      <c r="O55" s="498"/>
      <c r="P55" s="498"/>
      <c r="Q55" s="498"/>
      <c r="R55" s="498"/>
      <c r="S55" s="386"/>
    </row>
    <row r="56" spans="2:19" hidden="1">
      <c r="B56" s="239" t="s">
        <v>168</v>
      </c>
    </row>
    <row r="57" spans="2:19" hidden="1">
      <c r="B57" s="239" t="s">
        <v>169</v>
      </c>
    </row>
    <row r="58" spans="2:19" hidden="1">
      <c r="B58" s="239" t="s">
        <v>170</v>
      </c>
    </row>
    <row r="59" spans="2:19" hidden="1">
      <c r="B59" s="239" t="s">
        <v>171</v>
      </c>
    </row>
    <row r="60" spans="2:19" hidden="1">
      <c r="B60" s="239" t="s">
        <v>172</v>
      </c>
    </row>
    <row r="61" spans="2:19" hidden="1">
      <c r="B61" s="239" t="s">
        <v>173</v>
      </c>
    </row>
    <row r="62" spans="2:19" hidden="1">
      <c r="B62" s="239" t="s">
        <v>174</v>
      </c>
    </row>
    <row r="63" spans="2:19" hidden="1">
      <c r="B63" s="239" t="s">
        <v>175</v>
      </c>
    </row>
    <row r="64" spans="2:19" hidden="1">
      <c r="B64" s="239" t="s">
        <v>176</v>
      </c>
    </row>
    <row r="65" spans="2:2" hidden="1">
      <c r="B65" s="239" t="s">
        <v>177</v>
      </c>
    </row>
    <row r="66" spans="2:2" hidden="1">
      <c r="B66" s="239" t="s">
        <v>178</v>
      </c>
    </row>
    <row r="67" spans="2:2" hidden="1">
      <c r="B67" s="239" t="s">
        <v>179</v>
      </c>
    </row>
    <row r="68" spans="2:2" hidden="1">
      <c r="B68" s="239" t="s">
        <v>180</v>
      </c>
    </row>
    <row r="69" spans="2:2" hidden="1">
      <c r="B69" s="239" t="s">
        <v>181</v>
      </c>
    </row>
    <row r="70" spans="2:2" hidden="1">
      <c r="B70" s="239" t="s">
        <v>182</v>
      </c>
    </row>
  </sheetData>
  <mergeCells count="10">
    <mergeCell ref="I6:I10"/>
    <mergeCell ref="C55:R55"/>
    <mergeCell ref="B1:T1"/>
    <mergeCell ref="B2:T2"/>
    <mergeCell ref="B3:T3"/>
    <mergeCell ref="B4:B5"/>
    <mergeCell ref="C4:C5"/>
    <mergeCell ref="H4:T4"/>
    <mergeCell ref="H5:I5"/>
    <mergeCell ref="J5:K5"/>
  </mergeCells>
  <printOptions horizontalCentered="1"/>
  <pageMargins left="0.51181102362204722" right="0.51181102362204722" top="0.51181102362204722" bottom="0.51181102362204722" header="0.31496062992125984" footer="0.31496062992125984"/>
  <pageSetup scale="82" orientation="portrait" r:id="rId1"/>
  <headerFooter alignWithMargins="0">
    <oddHeader>&amp;R&amp;"Trebuchet MS,Regular"Head Count Enrolment Report Fall 2015</oddHeader>
    <oddFooter>&amp;L&amp;"Lucida Sans Unicode,Regular"&amp;10Institutional Analysis and Planning&amp;C&amp;"Lucida Sans Unicode,Regular"&amp;10Page 80&amp;R&amp;"Lucida Sans Unicode,Regular"&amp;10December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7"/>
    <pageSetUpPr fitToPage="1"/>
  </sheetPr>
  <dimension ref="B1:M80"/>
  <sheetViews>
    <sheetView showGridLines="0" view="pageLayout" topLeftCell="A37" zoomScaleNormal="100" zoomScaleSheetLayoutView="100" workbookViewId="0">
      <selection activeCell="M12" sqref="M12"/>
    </sheetView>
  </sheetViews>
  <sheetFormatPr defaultRowHeight="15"/>
  <cols>
    <col min="1" max="1" width="7" style="239" customWidth="1"/>
    <col min="2" max="2" width="10.21875" style="239" bestFit="1" customWidth="1"/>
    <col min="3" max="3" width="15.6640625" style="239" bestFit="1" customWidth="1"/>
    <col min="4" max="7" width="7.5546875" style="239" hidden="1" customWidth="1"/>
    <col min="8" max="12" width="8.77734375" style="239" customWidth="1"/>
    <col min="13" max="13" width="7.77734375" style="239" customWidth="1"/>
    <col min="14" max="16384" width="8.88671875" style="239"/>
  </cols>
  <sheetData>
    <row r="1" spans="2:12" s="341" customFormat="1" ht="24" customHeight="1">
      <c r="B1" s="499" t="s">
        <v>0</v>
      </c>
      <c r="C1" s="499"/>
      <c r="D1" s="499"/>
      <c r="E1" s="499"/>
      <c r="F1" s="499"/>
      <c r="G1" s="499"/>
      <c r="H1" s="499"/>
      <c r="I1" s="499"/>
      <c r="J1" s="499"/>
      <c r="K1" s="499"/>
      <c r="L1" s="499"/>
    </row>
    <row r="2" spans="2:12" s="232" customFormat="1" ht="25.5" customHeight="1">
      <c r="B2" s="500" t="s">
        <v>164</v>
      </c>
      <c r="C2" s="500"/>
      <c r="D2" s="500"/>
      <c r="E2" s="500"/>
      <c r="F2" s="500"/>
      <c r="G2" s="500"/>
      <c r="H2" s="500"/>
      <c r="I2" s="500"/>
      <c r="J2" s="500"/>
      <c r="K2" s="500"/>
      <c r="L2" s="500"/>
    </row>
    <row r="3" spans="2:12" s="230" customFormat="1" ht="21" customHeight="1">
      <c r="B3" s="501" t="s">
        <v>153</v>
      </c>
      <c r="C3" s="501"/>
      <c r="D3" s="501"/>
      <c r="E3" s="501"/>
      <c r="F3" s="501"/>
      <c r="G3" s="501"/>
      <c r="H3" s="501"/>
      <c r="I3" s="501"/>
      <c r="J3" s="501"/>
      <c r="K3" s="501"/>
      <c r="L3" s="501"/>
    </row>
    <row r="4" spans="2:12" ht="15.75" customHeight="1">
      <c r="B4" s="510" t="s">
        <v>59</v>
      </c>
      <c r="C4" s="510" t="s">
        <v>60</v>
      </c>
      <c r="D4" s="505" t="s">
        <v>183</v>
      </c>
      <c r="E4" s="505"/>
      <c r="F4" s="505"/>
      <c r="G4" s="505"/>
      <c r="H4" s="505"/>
      <c r="I4" s="505"/>
      <c r="J4" s="505"/>
      <c r="K4" s="505"/>
      <c r="L4" s="506"/>
    </row>
    <row r="5" spans="2:12" s="233" customFormat="1" ht="16.5" customHeight="1" thickBot="1">
      <c r="B5" s="511"/>
      <c r="C5" s="511"/>
      <c r="D5" s="387" t="s">
        <v>147</v>
      </c>
      <c r="E5" s="388" t="s">
        <v>148</v>
      </c>
      <c r="F5" s="344" t="s">
        <v>57</v>
      </c>
      <c r="G5" s="389" t="s">
        <v>69</v>
      </c>
      <c r="H5" s="412" t="s">
        <v>124</v>
      </c>
      <c r="I5" s="412" t="s">
        <v>146</v>
      </c>
      <c r="J5" s="413" t="s">
        <v>158</v>
      </c>
      <c r="K5" s="427" t="s">
        <v>166</v>
      </c>
      <c r="L5" s="390" t="s">
        <v>187</v>
      </c>
    </row>
    <row r="6" spans="2:12" ht="15.75" customHeight="1" thickTop="1">
      <c r="B6" s="346"/>
      <c r="C6" s="347" t="s">
        <v>11</v>
      </c>
      <c r="D6" s="237"/>
      <c r="E6" s="236"/>
      <c r="F6" s="348"/>
      <c r="G6" s="348"/>
      <c r="H6" s="349"/>
      <c r="I6" s="349"/>
      <c r="J6" s="349"/>
      <c r="K6" s="395"/>
      <c r="L6" s="395"/>
    </row>
    <row r="7" spans="2:12">
      <c r="B7" s="350"/>
      <c r="C7" s="235" t="s">
        <v>12</v>
      </c>
      <c r="D7" s="242"/>
      <c r="E7" s="241"/>
      <c r="F7" s="351"/>
      <c r="G7" s="351"/>
      <c r="H7" s="349"/>
      <c r="I7" s="349"/>
      <c r="J7" s="349"/>
      <c r="K7" s="395"/>
      <c r="L7" s="395"/>
    </row>
    <row r="8" spans="2:12">
      <c r="B8" s="350" t="s">
        <v>2</v>
      </c>
      <c r="C8" s="243" t="s">
        <v>13</v>
      </c>
      <c r="D8" s="245"/>
      <c r="E8" s="244"/>
      <c r="F8" s="352"/>
      <c r="G8" s="352"/>
      <c r="H8" s="353"/>
      <c r="I8" s="353"/>
      <c r="J8" s="353"/>
      <c r="K8" s="396"/>
      <c r="L8" s="396"/>
    </row>
    <row r="9" spans="2:12" ht="15.75" thickBot="1">
      <c r="B9" s="350"/>
      <c r="C9" s="247" t="s">
        <v>167</v>
      </c>
      <c r="D9" s="245"/>
      <c r="E9" s="244"/>
      <c r="F9" s="352"/>
      <c r="G9" s="352"/>
      <c r="H9" s="353"/>
      <c r="I9" s="353"/>
      <c r="J9" s="353"/>
      <c r="K9" s="396"/>
      <c r="L9" s="396"/>
    </row>
    <row r="10" spans="2:12" ht="17.100000000000001" customHeight="1" thickTop="1" thickBot="1">
      <c r="B10" s="350"/>
      <c r="C10" s="248" t="s">
        <v>15</v>
      </c>
      <c r="D10" s="250"/>
      <c r="E10" s="249"/>
      <c r="F10" s="354"/>
      <c r="G10" s="354"/>
      <c r="H10" s="358"/>
      <c r="I10" s="358"/>
      <c r="J10" s="358"/>
      <c r="K10" s="398"/>
      <c r="L10" s="398"/>
    </row>
    <row r="11" spans="2:12">
      <c r="B11" s="356"/>
      <c r="C11" s="252" t="s">
        <v>11</v>
      </c>
      <c r="D11" s="254"/>
      <c r="E11" s="253"/>
      <c r="F11" s="357">
        <v>1</v>
      </c>
      <c r="G11" s="357">
        <f>1</f>
        <v>1</v>
      </c>
      <c r="H11" s="359"/>
      <c r="I11" s="359">
        <v>1</v>
      </c>
      <c r="J11" s="359"/>
      <c r="K11" s="399">
        <v>1</v>
      </c>
      <c r="L11" s="399"/>
    </row>
    <row r="12" spans="2:12">
      <c r="B12" s="350"/>
      <c r="C12" s="235" t="s">
        <v>12</v>
      </c>
      <c r="D12" s="242"/>
      <c r="E12" s="241"/>
      <c r="F12" s="351"/>
      <c r="G12" s="351"/>
      <c r="H12" s="349"/>
      <c r="I12" s="349"/>
      <c r="J12" s="349"/>
      <c r="K12" s="395"/>
      <c r="L12" s="395"/>
    </row>
    <row r="13" spans="2:12">
      <c r="B13" s="350" t="s">
        <v>3</v>
      </c>
      <c r="C13" s="243" t="s">
        <v>13</v>
      </c>
      <c r="D13" s="245"/>
      <c r="E13" s="244"/>
      <c r="F13" s="352">
        <f>SUM(F11:F12)</f>
        <v>1</v>
      </c>
      <c r="G13" s="352">
        <v>1</v>
      </c>
      <c r="H13" s="353"/>
      <c r="I13" s="353">
        <v>1</v>
      </c>
      <c r="J13" s="353"/>
      <c r="K13" s="396">
        <v>1</v>
      </c>
      <c r="L13" s="396"/>
    </row>
    <row r="14" spans="2:12" ht="15.75" thickBot="1">
      <c r="B14" s="350"/>
      <c r="C14" s="247" t="s">
        <v>167</v>
      </c>
      <c r="D14" s="245"/>
      <c r="E14" s="244"/>
      <c r="F14" s="352"/>
      <c r="G14" s="352"/>
      <c r="H14" s="353"/>
      <c r="I14" s="353"/>
      <c r="J14" s="353"/>
      <c r="K14" s="396"/>
      <c r="L14" s="396"/>
    </row>
    <row r="15" spans="2:12" ht="17.100000000000001" customHeight="1" thickTop="1" thickBot="1">
      <c r="B15" s="350"/>
      <c r="C15" s="248" t="s">
        <v>15</v>
      </c>
      <c r="D15" s="250"/>
      <c r="E15" s="249"/>
      <c r="F15" s="354">
        <f>SUM(F13:F14)</f>
        <v>1</v>
      </c>
      <c r="G15" s="354">
        <v>1</v>
      </c>
      <c r="H15" s="358"/>
      <c r="I15" s="358">
        <v>1</v>
      </c>
      <c r="J15" s="358"/>
      <c r="K15" s="398">
        <v>1</v>
      </c>
      <c r="L15" s="398"/>
    </row>
    <row r="16" spans="2:12">
      <c r="B16" s="356"/>
      <c r="C16" s="252" t="s">
        <v>11</v>
      </c>
      <c r="D16" s="254"/>
      <c r="E16" s="253"/>
      <c r="F16" s="357"/>
      <c r="G16" s="357"/>
      <c r="H16" s="359"/>
      <c r="I16" s="359"/>
      <c r="J16" s="359">
        <v>1</v>
      </c>
      <c r="K16" s="399"/>
      <c r="L16" s="399"/>
    </row>
    <row r="17" spans="2:13">
      <c r="B17" s="350"/>
      <c r="C17" s="235" t="s">
        <v>12</v>
      </c>
      <c r="D17" s="242"/>
      <c r="E17" s="241"/>
      <c r="F17" s="351"/>
      <c r="G17" s="351"/>
      <c r="H17" s="349"/>
      <c r="I17" s="349"/>
      <c r="J17" s="349"/>
      <c r="K17" s="395"/>
      <c r="L17" s="395"/>
    </row>
    <row r="18" spans="2:13">
      <c r="B18" s="350" t="s">
        <v>4</v>
      </c>
      <c r="C18" s="243" t="s">
        <v>13</v>
      </c>
      <c r="D18" s="245"/>
      <c r="E18" s="245"/>
      <c r="F18" s="245"/>
      <c r="G18" s="352"/>
      <c r="H18" s="360"/>
      <c r="I18" s="360"/>
      <c r="J18" s="360">
        <v>1</v>
      </c>
      <c r="K18" s="400"/>
      <c r="L18" s="400"/>
    </row>
    <row r="19" spans="2:13" ht="15.75" thickBot="1">
      <c r="B19" s="350"/>
      <c r="C19" s="247" t="s">
        <v>167</v>
      </c>
      <c r="D19" s="245"/>
      <c r="E19" s="245"/>
      <c r="F19" s="245"/>
      <c r="G19" s="352"/>
      <c r="H19" s="353"/>
      <c r="I19" s="353"/>
      <c r="J19" s="353"/>
      <c r="K19" s="396"/>
      <c r="L19" s="396"/>
    </row>
    <row r="20" spans="2:13" ht="17.100000000000001" customHeight="1" thickTop="1" thickBot="1">
      <c r="B20" s="350"/>
      <c r="C20" s="248" t="s">
        <v>15</v>
      </c>
      <c r="D20" s="250"/>
      <c r="E20" s="250"/>
      <c r="F20" s="250"/>
      <c r="G20" s="354"/>
      <c r="H20" s="361"/>
      <c r="I20" s="361"/>
      <c r="J20" s="361">
        <v>1</v>
      </c>
      <c r="K20" s="401"/>
      <c r="L20" s="401"/>
    </row>
    <row r="21" spans="2:13">
      <c r="B21" s="356"/>
      <c r="C21" s="252" t="s">
        <v>11</v>
      </c>
      <c r="D21" s="254"/>
      <c r="E21" s="253"/>
      <c r="F21" s="357"/>
      <c r="G21" s="357"/>
      <c r="H21" s="359"/>
      <c r="I21" s="359"/>
      <c r="J21" s="359"/>
      <c r="K21" s="399">
        <v>1</v>
      </c>
      <c r="L21" s="399"/>
    </row>
    <row r="22" spans="2:13">
      <c r="B22" s="350"/>
      <c r="C22" s="235" t="s">
        <v>12</v>
      </c>
      <c r="D22" s="242"/>
      <c r="E22" s="241"/>
      <c r="F22" s="351"/>
      <c r="G22" s="351"/>
      <c r="H22" s="349"/>
      <c r="I22" s="349"/>
      <c r="J22" s="349"/>
      <c r="K22" s="395"/>
      <c r="L22" s="395"/>
    </row>
    <row r="23" spans="2:13">
      <c r="B23" s="350" t="s">
        <v>5</v>
      </c>
      <c r="C23" s="243" t="s">
        <v>13</v>
      </c>
      <c r="D23" s="245"/>
      <c r="E23" s="245"/>
      <c r="F23" s="245"/>
      <c r="G23" s="352"/>
      <c r="H23" s="360"/>
      <c r="I23" s="360"/>
      <c r="J23" s="360"/>
      <c r="K23" s="400">
        <v>1</v>
      </c>
      <c r="L23" s="400"/>
    </row>
    <row r="24" spans="2:13" ht="15.75" thickBot="1">
      <c r="B24" s="350"/>
      <c r="C24" s="247" t="s">
        <v>167</v>
      </c>
      <c r="D24" s="245"/>
      <c r="E24" s="244"/>
      <c r="F24" s="352"/>
      <c r="G24" s="352"/>
      <c r="H24" s="353"/>
      <c r="I24" s="353"/>
      <c r="J24" s="353"/>
      <c r="K24" s="396"/>
      <c r="L24" s="396"/>
    </row>
    <row r="25" spans="2:13" ht="17.100000000000001" customHeight="1" thickTop="1" thickBot="1">
      <c r="B25" s="350"/>
      <c r="C25" s="248" t="s">
        <v>15</v>
      </c>
      <c r="D25" s="250"/>
      <c r="E25" s="250"/>
      <c r="F25" s="250"/>
      <c r="G25" s="354"/>
      <c r="H25" s="361"/>
      <c r="I25" s="361"/>
      <c r="J25" s="361"/>
      <c r="K25" s="401">
        <v>1</v>
      </c>
      <c r="L25" s="401"/>
    </row>
    <row r="26" spans="2:13" ht="21" customHeight="1" thickTop="1">
      <c r="B26" s="362"/>
      <c r="C26" s="256" t="s">
        <v>11</v>
      </c>
      <c r="D26" s="258"/>
      <c r="E26" s="258"/>
      <c r="F26" s="258">
        <f>SUM(F6,F11,F16,F21)</f>
        <v>1</v>
      </c>
      <c r="G26" s="391">
        <f>SUM(G6,G11,G16,G21)</f>
        <v>1</v>
      </c>
      <c r="H26" s="361"/>
      <c r="I26" s="361">
        <v>1</v>
      </c>
      <c r="J26" s="361"/>
      <c r="K26" s="361">
        <v>2</v>
      </c>
      <c r="L26" s="361"/>
    </row>
    <row r="27" spans="2:13" ht="21" customHeight="1">
      <c r="B27" s="363"/>
      <c r="C27" s="259" t="s">
        <v>12</v>
      </c>
      <c r="D27" s="261"/>
      <c r="E27" s="261"/>
      <c r="F27" s="261"/>
      <c r="G27" s="392"/>
      <c r="H27" s="364"/>
      <c r="I27" s="364"/>
      <c r="J27" s="364"/>
      <c r="K27" s="364"/>
      <c r="L27" s="364"/>
    </row>
    <row r="28" spans="2:13" ht="21" customHeight="1">
      <c r="B28" s="365" t="s">
        <v>6</v>
      </c>
      <c r="C28" s="263" t="s">
        <v>13</v>
      </c>
      <c r="D28" s="265"/>
      <c r="E28" s="265"/>
      <c r="F28" s="265">
        <f>F26+F27</f>
        <v>1</v>
      </c>
      <c r="G28" s="393">
        <f>G26+G27</f>
        <v>1</v>
      </c>
      <c r="H28" s="366"/>
      <c r="I28" s="366">
        <v>1</v>
      </c>
      <c r="J28" s="366"/>
      <c r="K28" s="366">
        <v>2</v>
      </c>
      <c r="L28" s="366"/>
    </row>
    <row r="29" spans="2:13" ht="21" customHeight="1" thickBot="1">
      <c r="B29" s="363"/>
      <c r="C29" s="266" t="s">
        <v>167</v>
      </c>
      <c r="D29" s="265"/>
      <c r="E29" s="265"/>
      <c r="F29" s="265"/>
      <c r="G29" s="393"/>
      <c r="H29" s="366"/>
      <c r="I29" s="366"/>
      <c r="J29" s="366"/>
      <c r="K29" s="366"/>
      <c r="L29" s="366"/>
    </row>
    <row r="30" spans="2:13" ht="21" customHeight="1" thickTop="1" thickBot="1">
      <c r="B30" s="365"/>
      <c r="C30" s="267" t="s">
        <v>15</v>
      </c>
      <c r="D30" s="269">
        <v>0</v>
      </c>
      <c r="E30" s="269">
        <v>0</v>
      </c>
      <c r="F30" s="269">
        <f>F28+F29</f>
        <v>1</v>
      </c>
      <c r="G30" s="394">
        <f>G28+G29</f>
        <v>1</v>
      </c>
      <c r="H30" s="367">
        <v>0</v>
      </c>
      <c r="I30" s="367">
        <v>1</v>
      </c>
      <c r="J30" s="367">
        <v>1</v>
      </c>
      <c r="K30" s="367">
        <v>2</v>
      </c>
      <c r="L30" s="367">
        <v>0</v>
      </c>
    </row>
    <row r="31" spans="2:13" ht="16.5" thickTop="1">
      <c r="B31" s="368" t="s">
        <v>7</v>
      </c>
      <c r="C31" s="271"/>
      <c r="D31" s="272"/>
      <c r="E31" s="270"/>
      <c r="F31" s="369"/>
      <c r="G31" s="369"/>
      <c r="H31" s="408"/>
      <c r="I31" s="408"/>
      <c r="J31" s="370"/>
      <c r="K31" s="402"/>
      <c r="L31" s="402"/>
      <c r="M31" s="298"/>
    </row>
    <row r="32" spans="2:13" ht="16.5" thickBot="1">
      <c r="B32" s="371" t="s">
        <v>8</v>
      </c>
      <c r="C32" s="372"/>
      <c r="D32" s="274"/>
      <c r="E32" s="235"/>
      <c r="F32" s="373">
        <v>1</v>
      </c>
      <c r="G32" s="373">
        <v>1</v>
      </c>
      <c r="H32" s="409"/>
      <c r="I32" s="409">
        <v>1</v>
      </c>
      <c r="J32" s="374">
        <v>1</v>
      </c>
      <c r="K32" s="403">
        <v>2</v>
      </c>
      <c r="L32" s="403"/>
      <c r="M32" s="299"/>
    </row>
    <row r="33" spans="2:13" ht="15.75">
      <c r="B33" s="356" t="s">
        <v>9</v>
      </c>
      <c r="C33" s="276"/>
      <c r="D33" s="277"/>
      <c r="E33" s="252"/>
      <c r="F33" s="375">
        <v>1</v>
      </c>
      <c r="G33" s="375">
        <v>1</v>
      </c>
      <c r="H33" s="410"/>
      <c r="I33" s="410">
        <v>1</v>
      </c>
      <c r="J33" s="376">
        <v>1</v>
      </c>
      <c r="K33" s="404">
        <v>1</v>
      </c>
      <c r="L33" s="404"/>
      <c r="M33" s="298"/>
    </row>
    <row r="34" spans="2:13" ht="15.75">
      <c r="B34" s="377" t="s">
        <v>10</v>
      </c>
      <c r="C34" s="378"/>
      <c r="D34" s="380"/>
      <c r="E34" s="379"/>
      <c r="F34" s="381"/>
      <c r="G34" s="381"/>
      <c r="H34" s="411"/>
      <c r="I34" s="411"/>
      <c r="J34" s="382"/>
      <c r="K34" s="405">
        <v>1</v>
      </c>
      <c r="L34" s="405"/>
      <c r="M34" s="298"/>
    </row>
    <row r="35" spans="2:13" ht="25.5" customHeight="1">
      <c r="B35" s="509" t="s">
        <v>184</v>
      </c>
      <c r="C35" s="509"/>
      <c r="D35" s="509"/>
      <c r="E35" s="509"/>
      <c r="F35" s="509"/>
      <c r="G35" s="509"/>
      <c r="H35" s="509"/>
      <c r="I35" s="509"/>
      <c r="J35" s="509"/>
      <c r="K35" s="509"/>
      <c r="L35" s="509"/>
      <c r="M35" s="509"/>
    </row>
    <row r="36" spans="2:13">
      <c r="B36" s="282"/>
      <c r="C36" s="282"/>
    </row>
    <row r="56" spans="2:11" ht="15" customHeight="1"/>
    <row r="63" spans="2:11" hidden="1"/>
    <row r="64" spans="2:11" ht="28.5" hidden="1" customHeight="1">
      <c r="B64" s="233" t="s">
        <v>34</v>
      </c>
      <c r="C64" s="496"/>
      <c r="D64" s="497"/>
      <c r="E64" s="497"/>
      <c r="F64" s="497"/>
      <c r="G64" s="498"/>
      <c r="H64" s="498"/>
      <c r="I64" s="498"/>
      <c r="J64" s="498"/>
      <c r="K64" s="386"/>
    </row>
    <row r="65" spans="2:2" hidden="1">
      <c r="B65" s="239" t="s">
        <v>168</v>
      </c>
    </row>
    <row r="66" spans="2:2" hidden="1">
      <c r="B66" s="239" t="s">
        <v>169</v>
      </c>
    </row>
    <row r="67" spans="2:2" hidden="1">
      <c r="B67" s="239" t="s">
        <v>170</v>
      </c>
    </row>
    <row r="68" spans="2:2" hidden="1">
      <c r="B68" s="239" t="s">
        <v>171</v>
      </c>
    </row>
    <row r="69" spans="2:2" hidden="1">
      <c r="B69" s="239" t="s">
        <v>172</v>
      </c>
    </row>
    <row r="70" spans="2:2" hidden="1">
      <c r="B70" s="239" t="s">
        <v>173</v>
      </c>
    </row>
    <row r="71" spans="2:2" hidden="1">
      <c r="B71" s="239" t="s">
        <v>174</v>
      </c>
    </row>
    <row r="72" spans="2:2" hidden="1">
      <c r="B72" s="239" t="s">
        <v>175</v>
      </c>
    </row>
    <row r="73" spans="2:2" hidden="1">
      <c r="B73" s="239" t="s">
        <v>176</v>
      </c>
    </row>
    <row r="74" spans="2:2" hidden="1">
      <c r="B74" s="239" t="s">
        <v>177</v>
      </c>
    </row>
    <row r="75" spans="2:2" hidden="1">
      <c r="B75" s="239" t="s">
        <v>178</v>
      </c>
    </row>
    <row r="76" spans="2:2" hidden="1">
      <c r="B76" s="239" t="s">
        <v>179</v>
      </c>
    </row>
    <row r="77" spans="2:2" hidden="1">
      <c r="B77" s="239" t="s">
        <v>180</v>
      </c>
    </row>
    <row r="78" spans="2:2" hidden="1">
      <c r="B78" s="239" t="s">
        <v>181</v>
      </c>
    </row>
    <row r="79" spans="2:2" hidden="1">
      <c r="B79" s="239" t="s">
        <v>182</v>
      </c>
    </row>
    <row r="80" spans="2:2" hidden="1"/>
  </sheetData>
  <mergeCells count="8">
    <mergeCell ref="B35:M35"/>
    <mergeCell ref="C64:J64"/>
    <mergeCell ref="B1:L1"/>
    <mergeCell ref="B2:L2"/>
    <mergeCell ref="B3:L3"/>
    <mergeCell ref="B4:B5"/>
    <mergeCell ref="C4:C5"/>
    <mergeCell ref="D4:L4"/>
  </mergeCells>
  <printOptions horizontalCentered="1"/>
  <pageMargins left="0.51181102362204722" right="0.51181102362204722" top="0.51181102362204722" bottom="0.51181102362204722" header="0.31496062992125984" footer="0.31496062992125984"/>
  <pageSetup scale="95" orientation="portrait" r:id="rId1"/>
  <headerFooter alignWithMargins="0">
    <oddHeader>&amp;R&amp;"Trebuchet MS,Regular"Head Count Enrolment Report Fall 2015</oddHeader>
    <oddFooter>&amp;L&amp;"Lucida Sans Unicode,Regular"&amp;10Institutional Analysis and Planning&amp;C&amp;"Lucida Sans Unicode,Regular"&amp;10Page 81&amp;R&amp;"Lucida Sans Unicode,Regular"&amp;10December 2015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pageSetUpPr fitToPage="1"/>
  </sheetPr>
  <dimension ref="B1:O54"/>
  <sheetViews>
    <sheetView showGridLines="0" view="pageLayout" topLeftCell="A52" zoomScaleNormal="100" zoomScaleSheetLayoutView="100" workbookViewId="0">
      <selection activeCell="P7" sqref="P7"/>
    </sheetView>
  </sheetViews>
  <sheetFormatPr defaultRowHeight="15"/>
  <cols>
    <col min="1" max="1" width="6.21875" style="38" customWidth="1"/>
    <col min="2" max="2" width="9.6640625" style="38" customWidth="1"/>
    <col min="3" max="3" width="15.6640625" style="38" customWidth="1"/>
    <col min="4" max="7" width="8" style="38" hidden="1" customWidth="1"/>
    <col min="8" max="9" width="7.5546875" style="38" hidden="1" customWidth="1"/>
    <col min="10" max="14" width="8.77734375" style="38" customWidth="1"/>
    <col min="15" max="15" width="6.88671875" style="38" bestFit="1" customWidth="1"/>
    <col min="16" max="16384" width="8.88671875" style="38"/>
  </cols>
  <sheetData>
    <row r="1" spans="2:14" s="194" customFormat="1" ht="24" customHeight="1">
      <c r="B1" s="465" t="s">
        <v>0</v>
      </c>
      <c r="C1" s="465"/>
      <c r="D1" s="465"/>
      <c r="E1" s="465"/>
      <c r="F1" s="465"/>
      <c r="G1" s="465"/>
      <c r="H1" s="465"/>
      <c r="I1" s="465"/>
      <c r="J1" s="465"/>
      <c r="K1" s="465"/>
      <c r="L1" s="465"/>
      <c r="M1" s="465"/>
      <c r="N1" s="465"/>
    </row>
    <row r="2" spans="2:14" s="196" customFormat="1" ht="25.5" customHeight="1">
      <c r="B2" s="464" t="s">
        <v>33</v>
      </c>
      <c r="C2" s="464"/>
      <c r="D2" s="464"/>
      <c r="E2" s="464"/>
      <c r="F2" s="464"/>
      <c r="G2" s="464"/>
      <c r="H2" s="464"/>
      <c r="I2" s="464"/>
      <c r="J2" s="464"/>
      <c r="K2" s="464"/>
      <c r="L2" s="464"/>
      <c r="M2" s="464"/>
      <c r="N2" s="464"/>
    </row>
    <row r="3" spans="2:14" s="194" customFormat="1" ht="21" customHeight="1">
      <c r="B3" s="517" t="s">
        <v>154</v>
      </c>
      <c r="C3" s="517"/>
      <c r="D3" s="517"/>
      <c r="E3" s="517"/>
      <c r="F3" s="517"/>
      <c r="G3" s="517"/>
      <c r="H3" s="517"/>
      <c r="I3" s="517"/>
      <c r="J3" s="517"/>
      <c r="K3" s="517"/>
      <c r="L3" s="517"/>
      <c r="M3" s="517"/>
      <c r="N3" s="517"/>
    </row>
    <row r="4" spans="2:14" ht="17.25" customHeight="1">
      <c r="B4" s="515" t="s">
        <v>59</v>
      </c>
      <c r="C4" s="515" t="s">
        <v>60</v>
      </c>
      <c r="D4" s="512" t="s">
        <v>150</v>
      </c>
      <c r="E4" s="513"/>
      <c r="F4" s="513"/>
      <c r="G4" s="513"/>
      <c r="H4" s="513"/>
      <c r="I4" s="513"/>
      <c r="J4" s="513"/>
      <c r="K4" s="513"/>
      <c r="L4" s="513"/>
      <c r="M4" s="513"/>
      <c r="N4" s="514"/>
    </row>
    <row r="5" spans="2:14" ht="15.75" customHeight="1" thickBot="1">
      <c r="B5" s="516"/>
      <c r="C5" s="516"/>
      <c r="D5" s="414" t="s">
        <v>21</v>
      </c>
      <c r="E5" s="415" t="s">
        <v>51</v>
      </c>
      <c r="F5" s="415" t="s">
        <v>52</v>
      </c>
      <c r="G5" s="415" t="s">
        <v>53</v>
      </c>
      <c r="H5" s="415" t="s">
        <v>57</v>
      </c>
      <c r="I5" s="415" t="s">
        <v>69</v>
      </c>
      <c r="J5" s="415" t="s">
        <v>124</v>
      </c>
      <c r="K5" s="415" t="s">
        <v>146</v>
      </c>
      <c r="L5" s="416" t="s">
        <v>158</v>
      </c>
      <c r="M5" s="417" t="s">
        <v>166</v>
      </c>
      <c r="N5" s="417" t="s">
        <v>187</v>
      </c>
    </row>
    <row r="6" spans="2:14" ht="15.75" customHeight="1">
      <c r="B6" s="8"/>
      <c r="C6" s="8" t="s">
        <v>11</v>
      </c>
      <c r="D6" s="108">
        <v>49</v>
      </c>
      <c r="E6" s="109">
        <v>54</v>
      </c>
      <c r="F6" s="109">
        <v>49</v>
      </c>
      <c r="G6" s="109">
        <v>74</v>
      </c>
      <c r="H6" s="109">
        <v>84</v>
      </c>
      <c r="I6" s="109">
        <v>78</v>
      </c>
      <c r="J6" s="109">
        <v>100</v>
      </c>
      <c r="K6" s="109">
        <v>96</v>
      </c>
      <c r="L6" s="109">
        <v>102</v>
      </c>
      <c r="M6" s="109">
        <v>138</v>
      </c>
      <c r="N6" s="109">
        <v>101</v>
      </c>
    </row>
    <row r="7" spans="2:14">
      <c r="B7" s="7"/>
      <c r="C7" s="8" t="s">
        <v>12</v>
      </c>
      <c r="D7" s="42">
        <v>0</v>
      </c>
      <c r="E7" s="76">
        <v>0</v>
      </c>
      <c r="F7" s="76"/>
      <c r="G7" s="76"/>
      <c r="H7" s="76"/>
      <c r="I7" s="76"/>
      <c r="J7" s="76"/>
      <c r="K7" s="76"/>
      <c r="L7" s="76"/>
      <c r="M7" s="76"/>
      <c r="N7" s="76"/>
    </row>
    <row r="8" spans="2:14">
      <c r="B8" s="7" t="s">
        <v>2</v>
      </c>
      <c r="C8" s="3" t="s">
        <v>13</v>
      </c>
      <c r="D8" s="43">
        <f t="shared" ref="D8:I8" si="0">D6+D7</f>
        <v>49</v>
      </c>
      <c r="E8" s="77">
        <f t="shared" si="0"/>
        <v>54</v>
      </c>
      <c r="F8" s="77">
        <f t="shared" si="0"/>
        <v>49</v>
      </c>
      <c r="G8" s="77">
        <f t="shared" si="0"/>
        <v>74</v>
      </c>
      <c r="H8" s="77">
        <f t="shared" si="0"/>
        <v>84</v>
      </c>
      <c r="I8" s="77">
        <f t="shared" si="0"/>
        <v>78</v>
      </c>
      <c r="J8" s="77">
        <v>100</v>
      </c>
      <c r="K8" s="77">
        <v>96</v>
      </c>
      <c r="L8" s="77">
        <v>102</v>
      </c>
      <c r="M8" s="77">
        <v>138</v>
      </c>
      <c r="N8" s="77">
        <v>101</v>
      </c>
    </row>
    <row r="9" spans="2:14" ht="15.75" thickBot="1">
      <c r="B9" s="7"/>
      <c r="C9" s="2" t="s">
        <v>14</v>
      </c>
      <c r="D9" s="43">
        <v>0</v>
      </c>
      <c r="E9" s="77">
        <v>0</v>
      </c>
      <c r="F9" s="77"/>
      <c r="G9" s="77"/>
      <c r="H9" s="77"/>
      <c r="I9" s="77"/>
      <c r="J9" s="77"/>
      <c r="K9" s="77"/>
      <c r="L9" s="77"/>
      <c r="M9" s="77"/>
      <c r="N9" s="77"/>
    </row>
    <row r="10" spans="2:14" ht="17.100000000000001" customHeight="1" thickTop="1" thickBot="1">
      <c r="B10" s="7"/>
      <c r="C10" s="13" t="s">
        <v>15</v>
      </c>
      <c r="D10" s="44">
        <f t="shared" ref="D10:I10" si="1">D8+D9</f>
        <v>49</v>
      </c>
      <c r="E10" s="78">
        <f t="shared" si="1"/>
        <v>54</v>
      </c>
      <c r="F10" s="78">
        <f t="shared" si="1"/>
        <v>49</v>
      </c>
      <c r="G10" s="78">
        <f t="shared" si="1"/>
        <v>74</v>
      </c>
      <c r="H10" s="78">
        <f t="shared" si="1"/>
        <v>84</v>
      </c>
      <c r="I10" s="78">
        <f t="shared" si="1"/>
        <v>78</v>
      </c>
      <c r="J10" s="78">
        <v>100</v>
      </c>
      <c r="K10" s="78">
        <v>96</v>
      </c>
      <c r="L10" s="78">
        <v>102</v>
      </c>
      <c r="M10" s="78">
        <v>138</v>
      </c>
      <c r="N10" s="78">
        <v>101</v>
      </c>
    </row>
    <row r="11" spans="2:14">
      <c r="B11" s="4"/>
      <c r="C11" s="4" t="s">
        <v>11</v>
      </c>
      <c r="D11" s="45">
        <v>20</v>
      </c>
      <c r="E11" s="79">
        <v>35</v>
      </c>
      <c r="F11" s="79">
        <v>31</v>
      </c>
      <c r="G11" s="79">
        <v>19</v>
      </c>
      <c r="H11" s="79">
        <v>31</v>
      </c>
      <c r="I11" s="79">
        <v>17</v>
      </c>
      <c r="J11" s="79">
        <v>36</v>
      </c>
      <c r="K11" s="79">
        <v>32</v>
      </c>
      <c r="L11" s="79">
        <v>26</v>
      </c>
      <c r="M11" s="79">
        <v>35</v>
      </c>
      <c r="N11" s="79">
        <v>36</v>
      </c>
    </row>
    <row r="12" spans="2:14">
      <c r="B12" s="7"/>
      <c r="C12" s="8" t="s">
        <v>12</v>
      </c>
      <c r="D12" s="42">
        <v>0</v>
      </c>
      <c r="E12" s="76">
        <v>0</v>
      </c>
      <c r="F12" s="76"/>
      <c r="G12" s="76"/>
      <c r="H12" s="76"/>
      <c r="I12" s="76"/>
      <c r="J12" s="76"/>
      <c r="K12" s="76"/>
      <c r="L12" s="76"/>
      <c r="M12" s="76"/>
      <c r="N12" s="76"/>
    </row>
    <row r="13" spans="2:14">
      <c r="B13" s="7" t="s">
        <v>3</v>
      </c>
      <c r="C13" s="3" t="s">
        <v>13</v>
      </c>
      <c r="D13" s="43">
        <f t="shared" ref="D13:I13" si="2">D11+D12</f>
        <v>20</v>
      </c>
      <c r="E13" s="77">
        <f t="shared" si="2"/>
        <v>35</v>
      </c>
      <c r="F13" s="77">
        <f t="shared" si="2"/>
        <v>31</v>
      </c>
      <c r="G13" s="77">
        <f t="shared" si="2"/>
        <v>19</v>
      </c>
      <c r="H13" s="77">
        <f t="shared" si="2"/>
        <v>31</v>
      </c>
      <c r="I13" s="77">
        <f t="shared" si="2"/>
        <v>17</v>
      </c>
      <c r="J13" s="77">
        <v>36</v>
      </c>
      <c r="K13" s="77">
        <v>32</v>
      </c>
      <c r="L13" s="77">
        <v>26</v>
      </c>
      <c r="M13" s="77">
        <v>35</v>
      </c>
      <c r="N13" s="77">
        <v>36</v>
      </c>
    </row>
    <row r="14" spans="2:14" ht="15.75" thickBot="1">
      <c r="B14" s="7"/>
      <c r="C14" s="2" t="s">
        <v>14</v>
      </c>
      <c r="D14" s="43">
        <v>0</v>
      </c>
      <c r="E14" s="77">
        <v>0</v>
      </c>
      <c r="F14" s="77"/>
      <c r="G14" s="77"/>
      <c r="H14" s="77"/>
      <c r="I14" s="77"/>
      <c r="J14" s="77"/>
      <c r="K14" s="77"/>
      <c r="L14" s="77"/>
      <c r="M14" s="77"/>
      <c r="N14" s="77"/>
    </row>
    <row r="15" spans="2:14" ht="17.100000000000001" customHeight="1" thickTop="1" thickBot="1">
      <c r="B15" s="7"/>
      <c r="C15" s="13" t="s">
        <v>15</v>
      </c>
      <c r="D15" s="44">
        <f t="shared" ref="D15:I15" si="3">D13+D14</f>
        <v>20</v>
      </c>
      <c r="E15" s="78">
        <f t="shared" si="3"/>
        <v>35</v>
      </c>
      <c r="F15" s="78">
        <f t="shared" si="3"/>
        <v>31</v>
      </c>
      <c r="G15" s="78">
        <f t="shared" si="3"/>
        <v>19</v>
      </c>
      <c r="H15" s="78">
        <f t="shared" si="3"/>
        <v>31</v>
      </c>
      <c r="I15" s="78">
        <f t="shared" si="3"/>
        <v>17</v>
      </c>
      <c r="J15" s="78">
        <v>36</v>
      </c>
      <c r="K15" s="78">
        <v>32</v>
      </c>
      <c r="L15" s="78">
        <v>26</v>
      </c>
      <c r="M15" s="78">
        <v>35</v>
      </c>
      <c r="N15" s="78">
        <v>36</v>
      </c>
    </row>
    <row r="16" spans="2:14">
      <c r="B16" s="4"/>
      <c r="C16" s="4" t="s">
        <v>11</v>
      </c>
      <c r="D16" s="45">
        <v>18</v>
      </c>
      <c r="E16" s="79">
        <v>11</v>
      </c>
      <c r="F16" s="79">
        <v>29</v>
      </c>
      <c r="G16" s="79">
        <v>24</v>
      </c>
      <c r="H16" s="79">
        <v>17</v>
      </c>
      <c r="I16" s="79">
        <v>23</v>
      </c>
      <c r="J16" s="79">
        <v>14</v>
      </c>
      <c r="K16" s="79">
        <v>32</v>
      </c>
      <c r="L16" s="79">
        <v>30</v>
      </c>
      <c r="M16" s="79">
        <v>30</v>
      </c>
      <c r="N16" s="79">
        <v>30</v>
      </c>
    </row>
    <row r="17" spans="2:15">
      <c r="B17" s="7"/>
      <c r="C17" s="8" t="s">
        <v>12</v>
      </c>
      <c r="D17" s="42">
        <v>0</v>
      </c>
      <c r="E17" s="76">
        <v>0</v>
      </c>
      <c r="F17" s="76"/>
      <c r="G17" s="76"/>
      <c r="H17" s="76"/>
      <c r="I17" s="76"/>
      <c r="J17" s="76"/>
      <c r="K17" s="76"/>
      <c r="L17" s="76"/>
      <c r="M17" s="76"/>
      <c r="N17" s="76"/>
    </row>
    <row r="18" spans="2:15">
      <c r="B18" s="7" t="s">
        <v>4</v>
      </c>
      <c r="C18" s="3" t="s">
        <v>13</v>
      </c>
      <c r="D18" s="43">
        <f t="shared" ref="D18:I18" si="4">D16+D17</f>
        <v>18</v>
      </c>
      <c r="E18" s="77">
        <f t="shared" si="4"/>
        <v>11</v>
      </c>
      <c r="F18" s="77">
        <f t="shared" si="4"/>
        <v>29</v>
      </c>
      <c r="G18" s="77">
        <f t="shared" si="4"/>
        <v>24</v>
      </c>
      <c r="H18" s="77">
        <f t="shared" si="4"/>
        <v>17</v>
      </c>
      <c r="I18" s="77">
        <f t="shared" si="4"/>
        <v>23</v>
      </c>
      <c r="J18" s="77">
        <v>14</v>
      </c>
      <c r="K18" s="77">
        <v>32</v>
      </c>
      <c r="L18" s="77">
        <v>30</v>
      </c>
      <c r="M18" s="77">
        <v>30</v>
      </c>
      <c r="N18" s="77">
        <v>30</v>
      </c>
    </row>
    <row r="19" spans="2:15" ht="15.75" thickBot="1">
      <c r="B19" s="7"/>
      <c r="C19" s="2" t="s">
        <v>14</v>
      </c>
      <c r="D19" s="43">
        <v>0</v>
      </c>
      <c r="E19" s="77">
        <v>0</v>
      </c>
      <c r="F19" s="77"/>
      <c r="G19" s="77"/>
      <c r="H19" s="77"/>
      <c r="I19" s="77"/>
      <c r="J19" s="77"/>
      <c r="K19" s="77"/>
      <c r="L19" s="77"/>
      <c r="M19" s="77"/>
      <c r="N19" s="77"/>
    </row>
    <row r="20" spans="2:15" ht="17.100000000000001" customHeight="1" thickTop="1" thickBot="1">
      <c r="B20" s="7"/>
      <c r="C20" s="13" t="s">
        <v>15</v>
      </c>
      <c r="D20" s="44">
        <f t="shared" ref="D20:I20" si="5">D18+D19</f>
        <v>18</v>
      </c>
      <c r="E20" s="78">
        <f t="shared" si="5"/>
        <v>11</v>
      </c>
      <c r="F20" s="78">
        <f t="shared" si="5"/>
        <v>29</v>
      </c>
      <c r="G20" s="78">
        <f t="shared" si="5"/>
        <v>24</v>
      </c>
      <c r="H20" s="78">
        <f t="shared" si="5"/>
        <v>17</v>
      </c>
      <c r="I20" s="78">
        <f t="shared" si="5"/>
        <v>23</v>
      </c>
      <c r="J20" s="78">
        <v>14</v>
      </c>
      <c r="K20" s="78">
        <v>32</v>
      </c>
      <c r="L20" s="78">
        <v>30</v>
      </c>
      <c r="M20" s="78">
        <v>30</v>
      </c>
      <c r="N20" s="78">
        <v>30</v>
      </c>
    </row>
    <row r="21" spans="2:15">
      <c r="B21" s="4"/>
      <c r="C21" s="4" t="s">
        <v>11</v>
      </c>
      <c r="D21" s="45">
        <v>27</v>
      </c>
      <c r="E21" s="79">
        <v>13</v>
      </c>
      <c r="F21" s="79">
        <v>11</v>
      </c>
      <c r="G21" s="79">
        <v>27</v>
      </c>
      <c r="H21" s="79">
        <v>22</v>
      </c>
      <c r="I21" s="79">
        <v>13</v>
      </c>
      <c r="J21" s="79">
        <v>16</v>
      </c>
      <c r="K21" s="79">
        <v>20</v>
      </c>
      <c r="L21" s="79">
        <v>24</v>
      </c>
      <c r="M21" s="79">
        <v>30</v>
      </c>
      <c r="N21" s="79">
        <v>27</v>
      </c>
    </row>
    <row r="22" spans="2:15">
      <c r="B22" s="7"/>
      <c r="C22" s="8" t="s">
        <v>12</v>
      </c>
      <c r="D22" s="42">
        <v>0</v>
      </c>
      <c r="E22" s="76">
        <v>0</v>
      </c>
      <c r="F22" s="76"/>
      <c r="G22" s="76"/>
      <c r="H22" s="76"/>
      <c r="I22" s="76"/>
      <c r="J22" s="76"/>
      <c r="K22" s="76"/>
      <c r="L22" s="76"/>
      <c r="M22" s="76"/>
      <c r="N22" s="76"/>
    </row>
    <row r="23" spans="2:15">
      <c r="B23" s="7" t="s">
        <v>5</v>
      </c>
      <c r="C23" s="3" t="s">
        <v>13</v>
      </c>
      <c r="D23" s="43">
        <f t="shared" ref="D23:I23" si="6">D21+D22</f>
        <v>27</v>
      </c>
      <c r="E23" s="77">
        <f t="shared" si="6"/>
        <v>13</v>
      </c>
      <c r="F23" s="77">
        <f t="shared" si="6"/>
        <v>11</v>
      </c>
      <c r="G23" s="77">
        <f t="shared" si="6"/>
        <v>27</v>
      </c>
      <c r="H23" s="77">
        <f t="shared" si="6"/>
        <v>22</v>
      </c>
      <c r="I23" s="77">
        <f t="shared" si="6"/>
        <v>13</v>
      </c>
      <c r="J23" s="77">
        <v>16</v>
      </c>
      <c r="K23" s="77">
        <v>20</v>
      </c>
      <c r="L23" s="77">
        <v>24</v>
      </c>
      <c r="M23" s="77">
        <v>30</v>
      </c>
      <c r="N23" s="77">
        <v>27</v>
      </c>
    </row>
    <row r="24" spans="2:15" ht="15.75" thickBot="1">
      <c r="B24" s="7"/>
      <c r="C24" s="2" t="s">
        <v>14</v>
      </c>
      <c r="D24" s="43">
        <v>0</v>
      </c>
      <c r="E24" s="77">
        <v>0</v>
      </c>
      <c r="F24" s="77"/>
      <c r="G24" s="77"/>
      <c r="H24" s="77"/>
      <c r="I24" s="77"/>
      <c r="J24" s="77"/>
      <c r="K24" s="77"/>
      <c r="L24" s="77"/>
      <c r="M24" s="77"/>
      <c r="N24" s="77"/>
    </row>
    <row r="25" spans="2:15" ht="17.100000000000001" customHeight="1" thickTop="1" thickBot="1">
      <c r="B25" s="7"/>
      <c r="C25" s="13" t="s">
        <v>15</v>
      </c>
      <c r="D25" s="44">
        <f t="shared" ref="D25:I25" si="7">D23+D24</f>
        <v>27</v>
      </c>
      <c r="E25" s="78">
        <f t="shared" si="7"/>
        <v>13</v>
      </c>
      <c r="F25" s="78">
        <f t="shared" si="7"/>
        <v>11</v>
      </c>
      <c r="G25" s="78">
        <f t="shared" si="7"/>
        <v>27</v>
      </c>
      <c r="H25" s="78">
        <f t="shared" si="7"/>
        <v>22</v>
      </c>
      <c r="I25" s="78">
        <f t="shared" si="7"/>
        <v>13</v>
      </c>
      <c r="J25" s="78">
        <v>16</v>
      </c>
      <c r="K25" s="78">
        <v>20</v>
      </c>
      <c r="L25" s="78">
        <v>24</v>
      </c>
      <c r="M25" s="78">
        <v>30</v>
      </c>
      <c r="N25" s="78">
        <v>27</v>
      </c>
    </row>
    <row r="26" spans="2:15" ht="21" customHeight="1" thickTop="1">
      <c r="B26" s="46"/>
      <c r="C26" s="46" t="s">
        <v>11</v>
      </c>
      <c r="D26" s="47">
        <f t="shared" ref="D26:I26" si="8">SUM(D6,D11,D16,D21)</f>
        <v>114</v>
      </c>
      <c r="E26" s="80">
        <f t="shared" si="8"/>
        <v>113</v>
      </c>
      <c r="F26" s="80">
        <f t="shared" si="8"/>
        <v>120</v>
      </c>
      <c r="G26" s="80">
        <f t="shared" si="8"/>
        <v>144</v>
      </c>
      <c r="H26" s="80">
        <f t="shared" si="8"/>
        <v>154</v>
      </c>
      <c r="I26" s="80">
        <f t="shared" si="8"/>
        <v>131</v>
      </c>
      <c r="J26" s="80">
        <v>166</v>
      </c>
      <c r="K26" s="80">
        <v>180</v>
      </c>
      <c r="L26" s="80">
        <v>182</v>
      </c>
      <c r="M26" s="80">
        <v>233</v>
      </c>
      <c r="N26" s="80">
        <v>194</v>
      </c>
    </row>
    <row r="27" spans="2:15" ht="21" customHeight="1">
      <c r="B27" s="19"/>
      <c r="C27" s="19" t="s">
        <v>12</v>
      </c>
      <c r="D27" s="48">
        <f>SUM(D7,D12,D17,D22)</f>
        <v>0</v>
      </c>
      <c r="E27" s="81">
        <f>SUM(E7,E12,E17,E22)</f>
        <v>0</v>
      </c>
      <c r="F27" s="81"/>
      <c r="G27" s="81"/>
      <c r="H27" s="81"/>
      <c r="I27" s="81"/>
      <c r="J27" s="81"/>
      <c r="K27" s="81"/>
      <c r="L27" s="81"/>
      <c r="M27" s="81"/>
      <c r="N27" s="81"/>
    </row>
    <row r="28" spans="2:15" ht="21" customHeight="1">
      <c r="B28" s="22" t="s">
        <v>6</v>
      </c>
      <c r="C28" s="23" t="s">
        <v>13</v>
      </c>
      <c r="D28" s="49">
        <f t="shared" ref="D28:I28" si="9">D26+D27</f>
        <v>114</v>
      </c>
      <c r="E28" s="82">
        <f t="shared" si="9"/>
        <v>113</v>
      </c>
      <c r="F28" s="82">
        <f t="shared" si="9"/>
        <v>120</v>
      </c>
      <c r="G28" s="82">
        <f t="shared" si="9"/>
        <v>144</v>
      </c>
      <c r="H28" s="82">
        <f t="shared" si="9"/>
        <v>154</v>
      </c>
      <c r="I28" s="82">
        <f t="shared" si="9"/>
        <v>131</v>
      </c>
      <c r="J28" s="82">
        <v>166</v>
      </c>
      <c r="K28" s="82">
        <v>180</v>
      </c>
      <c r="L28" s="82">
        <v>182</v>
      </c>
      <c r="M28" s="82">
        <v>233</v>
      </c>
      <c r="N28" s="82">
        <v>194</v>
      </c>
    </row>
    <row r="29" spans="2:15" ht="21" customHeight="1" thickBot="1">
      <c r="B29" s="19"/>
      <c r="C29" s="26" t="s">
        <v>14</v>
      </c>
      <c r="D29" s="49">
        <f>SUM(D9,D14,D19,D24)</f>
        <v>0</v>
      </c>
      <c r="E29" s="82">
        <f>SUM(E9,E14,E19,E24)</f>
        <v>0</v>
      </c>
      <c r="F29" s="82"/>
      <c r="G29" s="82"/>
      <c r="H29" s="82"/>
      <c r="I29" s="82"/>
      <c r="J29" s="82"/>
      <c r="K29" s="82"/>
      <c r="L29" s="82"/>
      <c r="M29" s="82"/>
      <c r="N29" s="82"/>
    </row>
    <row r="30" spans="2:15" ht="21" customHeight="1" thickTop="1" thickBot="1">
      <c r="B30" s="22"/>
      <c r="C30" s="27" t="s">
        <v>15</v>
      </c>
      <c r="D30" s="50">
        <f t="shared" ref="D30:I30" si="10">D28+D29</f>
        <v>114</v>
      </c>
      <c r="E30" s="83">
        <f t="shared" si="10"/>
        <v>113</v>
      </c>
      <c r="F30" s="83">
        <f t="shared" si="10"/>
        <v>120</v>
      </c>
      <c r="G30" s="83">
        <f t="shared" si="10"/>
        <v>144</v>
      </c>
      <c r="H30" s="83">
        <f t="shared" si="10"/>
        <v>154</v>
      </c>
      <c r="I30" s="83">
        <f t="shared" si="10"/>
        <v>131</v>
      </c>
      <c r="J30" s="83">
        <v>166</v>
      </c>
      <c r="K30" s="83">
        <v>180</v>
      </c>
      <c r="L30" s="83">
        <v>182</v>
      </c>
      <c r="M30" s="83">
        <v>233</v>
      </c>
      <c r="N30" s="83">
        <v>194</v>
      </c>
    </row>
    <row r="31" spans="2:15" ht="16.5" thickTop="1">
      <c r="B31" s="29" t="s">
        <v>7</v>
      </c>
      <c r="C31" s="30"/>
      <c r="D31" s="29">
        <v>79</v>
      </c>
      <c r="E31" s="84">
        <v>76</v>
      </c>
      <c r="F31" s="84">
        <v>81</v>
      </c>
      <c r="G31" s="84">
        <v>104</v>
      </c>
      <c r="H31" s="84">
        <v>111</v>
      </c>
      <c r="I31" s="84">
        <v>91</v>
      </c>
      <c r="J31" s="84">
        <v>114</v>
      </c>
      <c r="K31" s="84">
        <v>129</v>
      </c>
      <c r="L31" s="84">
        <v>138</v>
      </c>
      <c r="M31" s="84">
        <v>163</v>
      </c>
      <c r="N31" s="211">
        <v>135</v>
      </c>
      <c r="O31" s="296">
        <f>N31/N30</f>
        <v>0.69587628865979378</v>
      </c>
    </row>
    <row r="32" spans="2:15" ht="16.5" thickBot="1">
      <c r="B32" s="8" t="s">
        <v>8</v>
      </c>
      <c r="C32" s="31"/>
      <c r="D32" s="8">
        <v>35</v>
      </c>
      <c r="E32" s="85">
        <v>37</v>
      </c>
      <c r="F32" s="85">
        <v>39</v>
      </c>
      <c r="G32" s="85">
        <v>40</v>
      </c>
      <c r="H32" s="85">
        <v>43</v>
      </c>
      <c r="I32" s="85">
        <v>40</v>
      </c>
      <c r="J32" s="85">
        <v>52</v>
      </c>
      <c r="K32" s="85">
        <v>51</v>
      </c>
      <c r="L32" s="85">
        <v>44</v>
      </c>
      <c r="M32" s="85">
        <v>70</v>
      </c>
      <c r="N32" s="212">
        <v>59</v>
      </c>
      <c r="O32" s="297">
        <f>N32/N30</f>
        <v>0.30412371134020616</v>
      </c>
    </row>
    <row r="33" spans="2:15" ht="15.75">
      <c r="B33" s="4" t="s">
        <v>9</v>
      </c>
      <c r="C33" s="34"/>
      <c r="D33" s="4">
        <v>99</v>
      </c>
      <c r="E33" s="86">
        <v>99</v>
      </c>
      <c r="F33" s="86">
        <v>105</v>
      </c>
      <c r="G33" s="86">
        <v>127</v>
      </c>
      <c r="H33" s="86">
        <v>135</v>
      </c>
      <c r="I33" s="86">
        <v>108</v>
      </c>
      <c r="J33" s="86">
        <v>153</v>
      </c>
      <c r="K33" s="86">
        <v>161</v>
      </c>
      <c r="L33" s="86">
        <v>160</v>
      </c>
      <c r="M33" s="86">
        <v>212</v>
      </c>
      <c r="N33" s="213">
        <v>179</v>
      </c>
      <c r="O33" s="296">
        <f>N33/N30</f>
        <v>0.92268041237113407</v>
      </c>
    </row>
    <row r="34" spans="2:15" ht="15.75">
      <c r="B34" s="8" t="s">
        <v>10</v>
      </c>
      <c r="C34" s="31"/>
      <c r="D34" s="8">
        <v>15</v>
      </c>
      <c r="E34" s="87">
        <v>14</v>
      </c>
      <c r="F34" s="87">
        <v>15</v>
      </c>
      <c r="G34" s="87">
        <v>17</v>
      </c>
      <c r="H34" s="87">
        <v>19</v>
      </c>
      <c r="I34" s="87">
        <v>23</v>
      </c>
      <c r="J34" s="87">
        <v>13</v>
      </c>
      <c r="K34" s="87">
        <v>19</v>
      </c>
      <c r="L34" s="87">
        <v>22</v>
      </c>
      <c r="M34" s="87">
        <v>21</v>
      </c>
      <c r="N34" s="214">
        <v>15</v>
      </c>
      <c r="O34" s="296">
        <f>N34/N30</f>
        <v>7.7319587628865982E-2</v>
      </c>
    </row>
    <row r="35" spans="2:15">
      <c r="B35" s="51"/>
      <c r="C35" s="51"/>
      <c r="D35" s="51"/>
    </row>
    <row r="36" spans="2:15">
      <c r="B36" s="37"/>
      <c r="C36" s="37"/>
    </row>
    <row r="54" spans="2:3" hidden="1">
      <c r="B54" s="38" t="s">
        <v>34</v>
      </c>
      <c r="C54" s="31" t="s">
        <v>35</v>
      </c>
    </row>
  </sheetData>
  <mergeCells count="6">
    <mergeCell ref="D4:N4"/>
    <mergeCell ref="B1:N1"/>
    <mergeCell ref="B2:N2"/>
    <mergeCell ref="B4:B5"/>
    <mergeCell ref="C4:C5"/>
    <mergeCell ref="B3:N3"/>
  </mergeCells>
  <phoneticPr fontId="0" type="noConversion"/>
  <printOptions horizontalCentered="1"/>
  <pageMargins left="0.51181102362204722" right="0.51181102362204722" top="0.51181102362204722" bottom="0.51181102362204722" header="0.31496062992125984" footer="0.31496062992125984"/>
  <pageSetup scale="83" orientation="portrait" r:id="rId1"/>
  <headerFooter alignWithMargins="0">
    <oddHeader>&amp;R&amp;"Trebuchet MS,Regular"Head Count Enrolment Report Fall 2015</oddHeader>
    <oddFooter>&amp;L&amp;"Lucida Sans Unicode,Regular"&amp;10Institutional Analysis and Planning&amp;C&amp;"Lucida Sans Unicode,Regular"&amp;10Page 82&amp;R&amp;"Lucida Sans Unicode,Regular"&amp;10December 2015</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B1:O54"/>
  <sheetViews>
    <sheetView showGridLines="0" view="pageLayout" topLeftCell="A34" zoomScaleNormal="100" zoomScaleSheetLayoutView="100" workbookViewId="0">
      <selection activeCell="P3" sqref="P3"/>
    </sheetView>
  </sheetViews>
  <sheetFormatPr defaultRowHeight="15"/>
  <cols>
    <col min="1" max="1" width="6.21875" style="38" customWidth="1"/>
    <col min="2" max="2" width="9.6640625" style="38" customWidth="1"/>
    <col min="3" max="3" width="15.6640625" style="38" customWidth="1"/>
    <col min="4" max="4" width="13.33203125" style="38" hidden="1" customWidth="1"/>
    <col min="5" max="9" width="7.5546875" style="38" hidden="1" customWidth="1"/>
    <col min="10" max="14" width="8.77734375" style="38" customWidth="1"/>
    <col min="15" max="15" width="6.88671875" style="38" bestFit="1" customWidth="1"/>
    <col min="16" max="16384" width="8.88671875" style="38"/>
  </cols>
  <sheetData>
    <row r="1" spans="2:14" s="194" customFormat="1" ht="24" customHeight="1">
      <c r="B1" s="465" t="s">
        <v>0</v>
      </c>
      <c r="C1" s="465"/>
      <c r="D1" s="465"/>
      <c r="E1" s="465"/>
      <c r="F1" s="465"/>
      <c r="G1" s="465"/>
      <c r="H1" s="465"/>
      <c r="I1" s="465"/>
      <c r="J1" s="465"/>
      <c r="K1" s="465"/>
      <c r="L1" s="465"/>
      <c r="M1" s="465"/>
      <c r="N1" s="465"/>
    </row>
    <row r="2" spans="2:14" s="196" customFormat="1" ht="25.5" customHeight="1">
      <c r="B2" s="464" t="s">
        <v>33</v>
      </c>
      <c r="C2" s="464"/>
      <c r="D2" s="464"/>
      <c r="E2" s="464"/>
      <c r="F2" s="464"/>
      <c r="G2" s="464"/>
      <c r="H2" s="464"/>
      <c r="I2" s="464"/>
      <c r="J2" s="464"/>
      <c r="K2" s="464"/>
      <c r="L2" s="464"/>
      <c r="M2" s="464"/>
      <c r="N2" s="464"/>
    </row>
    <row r="3" spans="2:14" s="194" customFormat="1" ht="21" customHeight="1">
      <c r="B3" s="523" t="s">
        <v>153</v>
      </c>
      <c r="C3" s="523"/>
      <c r="D3" s="523"/>
      <c r="E3" s="523"/>
      <c r="F3" s="523"/>
      <c r="G3" s="523"/>
      <c r="H3" s="523"/>
      <c r="I3" s="523"/>
      <c r="J3" s="523"/>
      <c r="K3" s="523"/>
      <c r="L3" s="523"/>
      <c r="M3" s="523"/>
      <c r="N3" s="523"/>
    </row>
    <row r="4" spans="2:14" ht="17.25" customHeight="1">
      <c r="B4" s="515" t="s">
        <v>59</v>
      </c>
      <c r="C4" s="515" t="s">
        <v>60</v>
      </c>
      <c r="D4" s="513" t="s">
        <v>149</v>
      </c>
      <c r="E4" s="518"/>
      <c r="F4" s="518"/>
      <c r="G4" s="518"/>
      <c r="H4" s="518"/>
      <c r="I4" s="518"/>
      <c r="J4" s="518"/>
      <c r="K4" s="518"/>
      <c r="L4" s="518"/>
      <c r="M4" s="518"/>
      <c r="N4" s="519"/>
    </row>
    <row r="5" spans="2:14" ht="15.75" customHeight="1" thickBot="1">
      <c r="B5" s="516"/>
      <c r="C5" s="516"/>
      <c r="D5" s="418" t="s">
        <v>151</v>
      </c>
      <c r="E5" s="418" t="s">
        <v>63</v>
      </c>
      <c r="F5" s="418" t="s">
        <v>147</v>
      </c>
      <c r="G5" s="418" t="s">
        <v>148</v>
      </c>
      <c r="H5" s="419" t="s">
        <v>57</v>
      </c>
      <c r="I5" s="419" t="s">
        <v>69</v>
      </c>
      <c r="J5" s="419" t="s">
        <v>124</v>
      </c>
      <c r="K5" s="419" t="s">
        <v>146</v>
      </c>
      <c r="L5" s="419" t="s">
        <v>158</v>
      </c>
      <c r="M5" s="419" t="s">
        <v>166</v>
      </c>
      <c r="N5" s="419" t="s">
        <v>187</v>
      </c>
    </row>
    <row r="6" spans="2:14">
      <c r="B6" s="8"/>
      <c r="C6" s="8" t="s">
        <v>11</v>
      </c>
      <c r="D6" s="520" t="s">
        <v>62</v>
      </c>
      <c r="E6" s="109">
        <v>5</v>
      </c>
      <c r="F6" s="109">
        <v>4</v>
      </c>
      <c r="G6" s="109">
        <v>10</v>
      </c>
      <c r="H6" s="109">
        <v>16</v>
      </c>
      <c r="I6" s="109">
        <v>5</v>
      </c>
      <c r="J6" s="109">
        <v>13</v>
      </c>
      <c r="K6" s="109">
        <v>19</v>
      </c>
      <c r="L6" s="109">
        <v>40</v>
      </c>
      <c r="M6" s="109">
        <v>69</v>
      </c>
      <c r="N6" s="109">
        <v>42</v>
      </c>
    </row>
    <row r="7" spans="2:14">
      <c r="B7" s="7"/>
      <c r="C7" s="8" t="s">
        <v>12</v>
      </c>
      <c r="D7" s="521"/>
      <c r="E7" s="76">
        <v>0</v>
      </c>
      <c r="F7" s="76"/>
      <c r="G7" s="76"/>
      <c r="H7" s="76"/>
      <c r="I7" s="76"/>
      <c r="J7" s="76"/>
      <c r="K7" s="76"/>
      <c r="L7" s="76"/>
      <c r="M7" s="76"/>
      <c r="N7" s="76"/>
    </row>
    <row r="8" spans="2:14">
      <c r="B8" s="7" t="s">
        <v>2</v>
      </c>
      <c r="C8" s="3" t="s">
        <v>13</v>
      </c>
      <c r="D8" s="521"/>
      <c r="E8" s="77">
        <v>5</v>
      </c>
      <c r="F8" s="77">
        <v>4</v>
      </c>
      <c r="G8" s="77">
        <v>10</v>
      </c>
      <c r="H8" s="77">
        <f t="shared" ref="H8:I8" si="0">H6+H7</f>
        <v>16</v>
      </c>
      <c r="I8" s="77">
        <f t="shared" si="0"/>
        <v>5</v>
      </c>
      <c r="J8" s="77">
        <v>13</v>
      </c>
      <c r="K8" s="77">
        <v>19</v>
      </c>
      <c r="L8" s="77">
        <v>40</v>
      </c>
      <c r="M8" s="77">
        <v>69</v>
      </c>
      <c r="N8" s="77">
        <v>42</v>
      </c>
    </row>
    <row r="9" spans="2:14" ht="15.75" thickBot="1">
      <c r="B9" s="7"/>
      <c r="C9" s="2" t="s">
        <v>14</v>
      </c>
      <c r="D9" s="522"/>
      <c r="E9" s="77">
        <v>0</v>
      </c>
      <c r="F9" s="77"/>
      <c r="G9" s="77"/>
      <c r="H9" s="77"/>
      <c r="I9" s="77"/>
      <c r="J9" s="77"/>
      <c r="K9" s="77"/>
      <c r="L9" s="77"/>
      <c r="M9" s="77"/>
      <c r="N9" s="77"/>
    </row>
    <row r="10" spans="2:14" ht="17.100000000000001" customHeight="1" thickTop="1" thickBot="1">
      <c r="B10" s="7"/>
      <c r="C10" s="13" t="s">
        <v>15</v>
      </c>
      <c r="D10" s="44"/>
      <c r="E10" s="78">
        <v>5</v>
      </c>
      <c r="F10" s="78">
        <v>4</v>
      </c>
      <c r="G10" s="78">
        <v>10</v>
      </c>
      <c r="H10" s="78">
        <f t="shared" ref="H10:I10" si="1">H8+H9</f>
        <v>16</v>
      </c>
      <c r="I10" s="78">
        <f t="shared" si="1"/>
        <v>5</v>
      </c>
      <c r="J10" s="78">
        <v>13</v>
      </c>
      <c r="K10" s="78">
        <v>19</v>
      </c>
      <c r="L10" s="78">
        <v>40</v>
      </c>
      <c r="M10" s="78">
        <v>69</v>
      </c>
      <c r="N10" s="78">
        <v>42</v>
      </c>
    </row>
    <row r="11" spans="2:14">
      <c r="B11" s="4"/>
      <c r="C11" s="4" t="s">
        <v>11</v>
      </c>
      <c r="D11" s="45"/>
      <c r="E11" s="79">
        <v>7</v>
      </c>
      <c r="F11" s="79">
        <v>4</v>
      </c>
      <c r="G11" s="79">
        <v>2</v>
      </c>
      <c r="H11" s="79">
        <v>7</v>
      </c>
      <c r="I11" s="79">
        <v>4</v>
      </c>
      <c r="J11" s="79">
        <v>7</v>
      </c>
      <c r="K11" s="79">
        <v>4</v>
      </c>
      <c r="L11" s="79">
        <v>7</v>
      </c>
      <c r="M11" s="79">
        <v>7</v>
      </c>
      <c r="N11" s="79">
        <v>16</v>
      </c>
    </row>
    <row r="12" spans="2:14">
      <c r="B12" s="7"/>
      <c r="C12" s="8" t="s">
        <v>12</v>
      </c>
      <c r="D12" s="42"/>
      <c r="E12" s="76">
        <v>0</v>
      </c>
      <c r="F12" s="76"/>
      <c r="G12" s="76"/>
      <c r="H12" s="76"/>
      <c r="I12" s="76"/>
      <c r="J12" s="76"/>
      <c r="K12" s="76"/>
      <c r="L12" s="76"/>
      <c r="M12" s="76"/>
      <c r="N12" s="76"/>
    </row>
    <row r="13" spans="2:14">
      <c r="B13" s="7" t="s">
        <v>3</v>
      </c>
      <c r="C13" s="3" t="s">
        <v>13</v>
      </c>
      <c r="D13" s="43"/>
      <c r="E13" s="77">
        <v>7</v>
      </c>
      <c r="F13" s="77">
        <v>4</v>
      </c>
      <c r="G13" s="77">
        <v>2</v>
      </c>
      <c r="H13" s="77">
        <f t="shared" ref="H13:I13" si="2">H11+H12</f>
        <v>7</v>
      </c>
      <c r="I13" s="77">
        <f t="shared" si="2"/>
        <v>4</v>
      </c>
      <c r="J13" s="77">
        <v>7</v>
      </c>
      <c r="K13" s="77">
        <v>4</v>
      </c>
      <c r="L13" s="77">
        <v>7</v>
      </c>
      <c r="M13" s="77">
        <v>7</v>
      </c>
      <c r="N13" s="77">
        <v>16</v>
      </c>
    </row>
    <row r="14" spans="2:14" ht="15.75" thickBot="1">
      <c r="B14" s="7"/>
      <c r="C14" s="2" t="s">
        <v>14</v>
      </c>
      <c r="D14" s="43"/>
      <c r="E14" s="77">
        <v>0</v>
      </c>
      <c r="F14" s="77"/>
      <c r="G14" s="77"/>
      <c r="H14" s="77"/>
      <c r="I14" s="77"/>
      <c r="J14" s="77"/>
      <c r="K14" s="77"/>
      <c r="L14" s="77"/>
      <c r="M14" s="77"/>
      <c r="N14" s="77"/>
    </row>
    <row r="15" spans="2:14" ht="17.100000000000001" customHeight="1" thickTop="1" thickBot="1">
      <c r="B15" s="7"/>
      <c r="C15" s="13" t="s">
        <v>15</v>
      </c>
      <c r="D15" s="44"/>
      <c r="E15" s="78">
        <v>7</v>
      </c>
      <c r="F15" s="78">
        <v>4</v>
      </c>
      <c r="G15" s="78">
        <v>2</v>
      </c>
      <c r="H15" s="78">
        <f t="shared" ref="H15:I15" si="3">H13+H14</f>
        <v>7</v>
      </c>
      <c r="I15" s="78">
        <f t="shared" si="3"/>
        <v>4</v>
      </c>
      <c r="J15" s="78">
        <v>7</v>
      </c>
      <c r="K15" s="78">
        <v>4</v>
      </c>
      <c r="L15" s="78">
        <v>7</v>
      </c>
      <c r="M15" s="78">
        <v>7</v>
      </c>
      <c r="N15" s="78">
        <v>16</v>
      </c>
    </row>
    <row r="16" spans="2:14">
      <c r="B16" s="4"/>
      <c r="C16" s="4" t="s">
        <v>11</v>
      </c>
      <c r="D16" s="45"/>
      <c r="E16" s="79">
        <v>3</v>
      </c>
      <c r="F16" s="79">
        <v>5</v>
      </c>
      <c r="G16" s="79">
        <v>4</v>
      </c>
      <c r="H16" s="79">
        <v>4</v>
      </c>
      <c r="I16" s="79">
        <v>6</v>
      </c>
      <c r="J16" s="79">
        <v>2</v>
      </c>
      <c r="K16" s="79">
        <v>4</v>
      </c>
      <c r="L16" s="79">
        <v>5</v>
      </c>
      <c r="M16" s="79">
        <v>9</v>
      </c>
      <c r="N16" s="79">
        <v>7</v>
      </c>
    </row>
    <row r="17" spans="2:15">
      <c r="B17" s="7"/>
      <c r="C17" s="8" t="s">
        <v>12</v>
      </c>
      <c r="D17" s="42"/>
      <c r="E17" s="76">
        <v>0</v>
      </c>
      <c r="F17" s="76"/>
      <c r="G17" s="76"/>
      <c r="H17" s="76"/>
      <c r="I17" s="76"/>
      <c r="J17" s="76"/>
      <c r="K17" s="76"/>
      <c r="L17" s="76"/>
      <c r="M17" s="76"/>
      <c r="N17" s="76"/>
    </row>
    <row r="18" spans="2:15">
      <c r="B18" s="7" t="s">
        <v>4</v>
      </c>
      <c r="C18" s="3" t="s">
        <v>13</v>
      </c>
      <c r="D18" s="43"/>
      <c r="E18" s="77">
        <v>3</v>
      </c>
      <c r="F18" s="77">
        <v>5</v>
      </c>
      <c r="G18" s="77">
        <v>4</v>
      </c>
      <c r="H18" s="77">
        <f t="shared" ref="H18:I18" si="4">H16+H17</f>
        <v>4</v>
      </c>
      <c r="I18" s="77">
        <f t="shared" si="4"/>
        <v>6</v>
      </c>
      <c r="J18" s="77">
        <v>2</v>
      </c>
      <c r="K18" s="77">
        <v>4</v>
      </c>
      <c r="L18" s="77">
        <v>5</v>
      </c>
      <c r="M18" s="77">
        <v>9</v>
      </c>
      <c r="N18" s="77">
        <v>7</v>
      </c>
    </row>
    <row r="19" spans="2:15" ht="15.75" thickBot="1">
      <c r="B19" s="7"/>
      <c r="C19" s="2" t="s">
        <v>14</v>
      </c>
      <c r="D19" s="43"/>
      <c r="E19" s="77">
        <v>0</v>
      </c>
      <c r="F19" s="77"/>
      <c r="G19" s="77"/>
      <c r="H19" s="77"/>
      <c r="I19" s="77"/>
      <c r="J19" s="77"/>
      <c r="K19" s="77"/>
      <c r="L19" s="77"/>
      <c r="M19" s="77"/>
      <c r="N19" s="77"/>
    </row>
    <row r="20" spans="2:15" ht="17.100000000000001" customHeight="1" thickTop="1" thickBot="1">
      <c r="B20" s="7"/>
      <c r="C20" s="13" t="s">
        <v>15</v>
      </c>
      <c r="D20" s="44"/>
      <c r="E20" s="78">
        <v>3</v>
      </c>
      <c r="F20" s="78">
        <v>5</v>
      </c>
      <c r="G20" s="78">
        <v>4</v>
      </c>
      <c r="H20" s="78">
        <f t="shared" ref="H20:I20" si="5">H18+H19</f>
        <v>4</v>
      </c>
      <c r="I20" s="78">
        <f t="shared" si="5"/>
        <v>6</v>
      </c>
      <c r="J20" s="78">
        <v>2</v>
      </c>
      <c r="K20" s="78">
        <v>4</v>
      </c>
      <c r="L20" s="78">
        <v>5</v>
      </c>
      <c r="M20" s="78">
        <v>9</v>
      </c>
      <c r="N20" s="78">
        <v>7</v>
      </c>
    </row>
    <row r="21" spans="2:15">
      <c r="B21" s="4"/>
      <c r="C21" s="4" t="s">
        <v>11</v>
      </c>
      <c r="D21" s="45"/>
      <c r="E21" s="79">
        <v>2</v>
      </c>
      <c r="F21" s="79">
        <v>2</v>
      </c>
      <c r="G21" s="79">
        <v>5</v>
      </c>
      <c r="H21" s="79">
        <v>4</v>
      </c>
      <c r="I21" s="79">
        <v>4</v>
      </c>
      <c r="J21" s="79">
        <v>6</v>
      </c>
      <c r="K21" s="79">
        <v>3</v>
      </c>
      <c r="L21" s="79">
        <v>3</v>
      </c>
      <c r="M21" s="79">
        <v>3</v>
      </c>
      <c r="N21" s="79">
        <v>3</v>
      </c>
    </row>
    <row r="22" spans="2:15">
      <c r="B22" s="7"/>
      <c r="C22" s="8" t="s">
        <v>12</v>
      </c>
      <c r="D22" s="42"/>
      <c r="E22" s="76">
        <v>0</v>
      </c>
      <c r="F22" s="76"/>
      <c r="G22" s="76"/>
      <c r="H22" s="76"/>
      <c r="I22" s="76"/>
      <c r="J22" s="76"/>
      <c r="K22" s="76"/>
      <c r="L22" s="76"/>
      <c r="M22" s="76"/>
      <c r="N22" s="76"/>
    </row>
    <row r="23" spans="2:15">
      <c r="B23" s="7" t="s">
        <v>5</v>
      </c>
      <c r="C23" s="3" t="s">
        <v>13</v>
      </c>
      <c r="D23" s="43"/>
      <c r="E23" s="77">
        <v>2</v>
      </c>
      <c r="F23" s="77">
        <v>2</v>
      </c>
      <c r="G23" s="77">
        <v>5</v>
      </c>
      <c r="H23" s="77">
        <f t="shared" ref="H23:I23" si="6">H21+H22</f>
        <v>4</v>
      </c>
      <c r="I23" s="77">
        <f t="shared" si="6"/>
        <v>4</v>
      </c>
      <c r="J23" s="77">
        <v>6</v>
      </c>
      <c r="K23" s="77">
        <v>3</v>
      </c>
      <c r="L23" s="77">
        <v>3</v>
      </c>
      <c r="M23" s="77">
        <v>3</v>
      </c>
      <c r="N23" s="77">
        <v>3</v>
      </c>
    </row>
    <row r="24" spans="2:15" ht="15.75" thickBot="1">
      <c r="B24" s="7"/>
      <c r="C24" s="2" t="s">
        <v>14</v>
      </c>
      <c r="D24" s="43"/>
      <c r="E24" s="77">
        <v>0</v>
      </c>
      <c r="F24" s="77"/>
      <c r="G24" s="77"/>
      <c r="H24" s="77"/>
      <c r="I24" s="77"/>
      <c r="J24" s="77"/>
      <c r="K24" s="77"/>
      <c r="L24" s="77"/>
      <c r="M24" s="77"/>
      <c r="N24" s="77"/>
    </row>
    <row r="25" spans="2:15" ht="17.100000000000001" customHeight="1" thickTop="1" thickBot="1">
      <c r="B25" s="7"/>
      <c r="C25" s="13" t="s">
        <v>15</v>
      </c>
      <c r="D25" s="44"/>
      <c r="E25" s="78">
        <v>2</v>
      </c>
      <c r="F25" s="78">
        <v>2</v>
      </c>
      <c r="G25" s="78">
        <v>5</v>
      </c>
      <c r="H25" s="78">
        <f t="shared" ref="H25:I25" si="7">H23+H24</f>
        <v>4</v>
      </c>
      <c r="I25" s="78">
        <f t="shared" si="7"/>
        <v>4</v>
      </c>
      <c r="J25" s="78">
        <v>6</v>
      </c>
      <c r="K25" s="78">
        <v>3</v>
      </c>
      <c r="L25" s="78">
        <v>3</v>
      </c>
      <c r="M25" s="78">
        <v>3</v>
      </c>
      <c r="N25" s="78">
        <v>3</v>
      </c>
    </row>
    <row r="26" spans="2:15" ht="21" customHeight="1" thickTop="1">
      <c r="B26" s="46"/>
      <c r="C26" s="46" t="s">
        <v>11</v>
      </c>
      <c r="D26" s="47"/>
      <c r="E26" s="80">
        <f t="shared" ref="E26:I26" si="8">SUM(E6,E11,E16,E21)</f>
        <v>17</v>
      </c>
      <c r="F26" s="80">
        <f t="shared" si="8"/>
        <v>15</v>
      </c>
      <c r="G26" s="80">
        <f t="shared" si="8"/>
        <v>21</v>
      </c>
      <c r="H26" s="80">
        <f t="shared" si="8"/>
        <v>31</v>
      </c>
      <c r="I26" s="80">
        <f t="shared" si="8"/>
        <v>19</v>
      </c>
      <c r="J26" s="80">
        <v>28</v>
      </c>
      <c r="K26" s="80">
        <v>30</v>
      </c>
      <c r="L26" s="80">
        <v>55</v>
      </c>
      <c r="M26" s="80">
        <v>88</v>
      </c>
      <c r="N26" s="80">
        <v>68</v>
      </c>
    </row>
    <row r="27" spans="2:15" ht="21" customHeight="1">
      <c r="B27" s="19"/>
      <c r="C27" s="19" t="s">
        <v>12</v>
      </c>
      <c r="D27" s="48"/>
      <c r="E27" s="81">
        <v>0</v>
      </c>
      <c r="F27" s="81"/>
      <c r="G27" s="81"/>
      <c r="H27" s="81"/>
      <c r="I27" s="81"/>
      <c r="J27" s="81"/>
      <c r="K27" s="81"/>
      <c r="L27" s="81"/>
      <c r="M27" s="81"/>
      <c r="N27" s="81"/>
    </row>
    <row r="28" spans="2:15" ht="21" customHeight="1">
      <c r="B28" s="22" t="s">
        <v>6</v>
      </c>
      <c r="C28" s="23" t="s">
        <v>13</v>
      </c>
      <c r="D28" s="49"/>
      <c r="E28" s="82">
        <f t="shared" ref="E28:I28" si="9">SUM(E8,E13,E18,E23)</f>
        <v>17</v>
      </c>
      <c r="F28" s="82">
        <f t="shared" si="9"/>
        <v>15</v>
      </c>
      <c r="G28" s="82">
        <f t="shared" si="9"/>
        <v>21</v>
      </c>
      <c r="H28" s="82">
        <f t="shared" si="9"/>
        <v>31</v>
      </c>
      <c r="I28" s="82">
        <f t="shared" si="9"/>
        <v>19</v>
      </c>
      <c r="J28" s="82">
        <v>28</v>
      </c>
      <c r="K28" s="82">
        <v>30</v>
      </c>
      <c r="L28" s="82">
        <v>55</v>
      </c>
      <c r="M28" s="82">
        <v>88</v>
      </c>
      <c r="N28" s="82">
        <v>68</v>
      </c>
    </row>
    <row r="29" spans="2:15" ht="21" customHeight="1" thickBot="1">
      <c r="B29" s="19"/>
      <c r="C29" s="26" t="s">
        <v>14</v>
      </c>
      <c r="D29" s="49"/>
      <c r="E29" s="82">
        <v>0</v>
      </c>
      <c r="F29" s="82"/>
      <c r="G29" s="82"/>
      <c r="H29" s="82"/>
      <c r="I29" s="82"/>
      <c r="J29" s="82"/>
      <c r="K29" s="82"/>
      <c r="L29" s="82"/>
      <c r="M29" s="82"/>
      <c r="N29" s="82"/>
    </row>
    <row r="30" spans="2:15" ht="21" customHeight="1" thickTop="1" thickBot="1">
      <c r="B30" s="22"/>
      <c r="C30" s="27" t="s">
        <v>15</v>
      </c>
      <c r="D30" s="50"/>
      <c r="E30" s="83">
        <f t="shared" ref="E30:I30" si="10">SUM(E10,E15,E20,E25)</f>
        <v>17</v>
      </c>
      <c r="F30" s="83">
        <f t="shared" si="10"/>
        <v>15</v>
      </c>
      <c r="G30" s="83">
        <f t="shared" si="10"/>
        <v>21</v>
      </c>
      <c r="H30" s="83">
        <f t="shared" si="10"/>
        <v>31</v>
      </c>
      <c r="I30" s="83">
        <f t="shared" si="10"/>
        <v>19</v>
      </c>
      <c r="J30" s="83">
        <v>28</v>
      </c>
      <c r="K30" s="83">
        <v>30</v>
      </c>
      <c r="L30" s="83">
        <v>55</v>
      </c>
      <c r="M30" s="83">
        <v>88</v>
      </c>
      <c r="N30" s="83">
        <v>68</v>
      </c>
    </row>
    <row r="31" spans="2:15" ht="16.5" thickTop="1">
      <c r="B31" s="29" t="s">
        <v>7</v>
      </c>
      <c r="C31" s="30"/>
      <c r="D31" s="29"/>
      <c r="E31" s="84">
        <v>14</v>
      </c>
      <c r="F31" s="84">
        <v>13</v>
      </c>
      <c r="G31" s="84">
        <v>18</v>
      </c>
      <c r="H31" s="84">
        <v>24</v>
      </c>
      <c r="I31" s="84">
        <v>14</v>
      </c>
      <c r="J31" s="84">
        <v>22</v>
      </c>
      <c r="K31" s="84">
        <v>20</v>
      </c>
      <c r="L31" s="84">
        <v>44</v>
      </c>
      <c r="M31" s="84">
        <v>63</v>
      </c>
      <c r="N31" s="211">
        <v>51</v>
      </c>
      <c r="O31" s="296">
        <f>N31/N30</f>
        <v>0.75</v>
      </c>
    </row>
    <row r="32" spans="2:15" ht="16.5" thickBot="1">
      <c r="B32" s="8" t="s">
        <v>8</v>
      </c>
      <c r="C32" s="31"/>
      <c r="D32" s="8"/>
      <c r="E32" s="85">
        <v>3</v>
      </c>
      <c r="F32" s="85">
        <v>2</v>
      </c>
      <c r="G32" s="85">
        <v>3</v>
      </c>
      <c r="H32" s="85">
        <v>7</v>
      </c>
      <c r="I32" s="85">
        <v>5</v>
      </c>
      <c r="J32" s="85">
        <v>6</v>
      </c>
      <c r="K32" s="85">
        <v>10</v>
      </c>
      <c r="L32" s="85">
        <v>11</v>
      </c>
      <c r="M32" s="85">
        <v>25</v>
      </c>
      <c r="N32" s="212">
        <v>17</v>
      </c>
      <c r="O32" s="297">
        <f>N32/N30</f>
        <v>0.25</v>
      </c>
    </row>
    <row r="33" spans="2:15" ht="15.75">
      <c r="B33" s="4" t="s">
        <v>9</v>
      </c>
      <c r="C33" s="34"/>
      <c r="D33" s="4"/>
      <c r="E33" s="86">
        <v>14</v>
      </c>
      <c r="F33" s="86">
        <v>13</v>
      </c>
      <c r="G33" s="86">
        <v>14</v>
      </c>
      <c r="H33" s="86">
        <v>25</v>
      </c>
      <c r="I33" s="86">
        <v>11</v>
      </c>
      <c r="J33" s="86">
        <v>25</v>
      </c>
      <c r="K33" s="86">
        <v>26</v>
      </c>
      <c r="L33" s="86">
        <v>52</v>
      </c>
      <c r="M33" s="86">
        <v>83</v>
      </c>
      <c r="N33" s="213">
        <v>66</v>
      </c>
      <c r="O33" s="296">
        <f>N33/N30</f>
        <v>0.97058823529411764</v>
      </c>
    </row>
    <row r="34" spans="2:15" ht="15.75">
      <c r="B34" s="8" t="s">
        <v>10</v>
      </c>
      <c r="C34" s="31"/>
      <c r="D34" s="8"/>
      <c r="E34" s="87">
        <v>3</v>
      </c>
      <c r="F34" s="87">
        <v>2</v>
      </c>
      <c r="G34" s="87">
        <v>7</v>
      </c>
      <c r="H34" s="87">
        <v>6</v>
      </c>
      <c r="I34" s="87">
        <v>8</v>
      </c>
      <c r="J34" s="87">
        <v>3</v>
      </c>
      <c r="K34" s="87">
        <v>4</v>
      </c>
      <c r="L34" s="87">
        <v>3</v>
      </c>
      <c r="M34" s="87">
        <v>5</v>
      </c>
      <c r="N34" s="214">
        <v>2</v>
      </c>
      <c r="O34" s="296">
        <f>N34/N30</f>
        <v>2.9411764705882353E-2</v>
      </c>
    </row>
    <row r="35" spans="2:15">
      <c r="B35" s="51"/>
      <c r="C35" s="51"/>
      <c r="D35" s="51"/>
    </row>
    <row r="36" spans="2:15">
      <c r="B36" s="37"/>
      <c r="C36" s="37"/>
    </row>
    <row r="54" spans="2:3" hidden="1">
      <c r="B54" s="38" t="s">
        <v>34</v>
      </c>
      <c r="C54" s="31" t="s">
        <v>35</v>
      </c>
    </row>
  </sheetData>
  <mergeCells count="7">
    <mergeCell ref="D4:N4"/>
    <mergeCell ref="D6:D9"/>
    <mergeCell ref="B1:N1"/>
    <mergeCell ref="B2:N2"/>
    <mergeCell ref="B3:N3"/>
    <mergeCell ref="B4:B5"/>
    <mergeCell ref="C4:C5"/>
  </mergeCells>
  <printOptions horizontalCentered="1"/>
  <pageMargins left="0.51181102362204722" right="0.51181102362204722" top="0.51181102362204722" bottom="0.51181102362204722" header="0.31496062992125984" footer="0.31496062992125984"/>
  <pageSetup scale="83" orientation="portrait" r:id="rId1"/>
  <headerFooter alignWithMargins="0">
    <oddHeader>&amp;R&amp;"Trebuchet MS,Regular"Head Count Enrolment Report Fall 2015</oddHeader>
    <oddFooter>&amp;L&amp;"Lucida Sans Unicode,Regular"&amp;10Institutional Analysis and Planning&amp;C&amp;"Lucida Sans Unicode,Regular"&amp;10Page 83&amp;R&amp;"Lucida Sans Unicode,Regular"&amp;10December 2015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sheetPr>
  <dimension ref="B1:S58"/>
  <sheetViews>
    <sheetView showGridLines="0" view="pageLayout" topLeftCell="A37" zoomScaleNormal="100" zoomScaleSheetLayoutView="100" workbookViewId="0">
      <selection activeCell="U6" sqref="U6"/>
    </sheetView>
  </sheetViews>
  <sheetFormatPr defaultColWidth="9.6640625" defaultRowHeight="15"/>
  <cols>
    <col min="1" max="1" width="6" style="38" customWidth="1"/>
    <col min="2" max="2" width="9.6640625" style="38" customWidth="1"/>
    <col min="3" max="3" width="15.6640625" style="38" customWidth="1"/>
    <col min="4" max="9" width="9.6640625" style="38" hidden="1" customWidth="1"/>
    <col min="10" max="11" width="8" style="38" hidden="1" customWidth="1"/>
    <col min="12" max="13" width="7.5546875" style="38" hidden="1" customWidth="1"/>
    <col min="14" max="18" width="8.77734375" style="38" customWidth="1"/>
    <col min="19" max="19" width="6.88671875" style="38" bestFit="1" customWidth="1"/>
    <col min="20" max="16384" width="9.6640625" style="38"/>
  </cols>
  <sheetData>
    <row r="1" spans="2:19" s="194" customFormat="1" ht="24" customHeight="1">
      <c r="B1" s="465" t="s">
        <v>0</v>
      </c>
      <c r="C1" s="465"/>
      <c r="D1" s="465"/>
      <c r="E1" s="465"/>
      <c r="F1" s="465"/>
      <c r="G1" s="465"/>
      <c r="H1" s="465"/>
      <c r="I1" s="465"/>
      <c r="J1" s="465"/>
      <c r="K1" s="465"/>
      <c r="L1" s="465"/>
      <c r="M1" s="465"/>
      <c r="N1" s="465"/>
      <c r="O1" s="465"/>
      <c r="P1" s="465"/>
      <c r="Q1" s="465"/>
      <c r="R1" s="465"/>
    </row>
    <row r="2" spans="2:19" s="196" customFormat="1" ht="25.5" customHeight="1">
      <c r="B2" s="464" t="s">
        <v>36</v>
      </c>
      <c r="C2" s="464"/>
      <c r="D2" s="464"/>
      <c r="E2" s="464"/>
      <c r="F2" s="464"/>
      <c r="G2" s="464"/>
      <c r="H2" s="464"/>
      <c r="I2" s="464"/>
      <c r="J2" s="464"/>
      <c r="K2" s="464"/>
      <c r="L2" s="464"/>
      <c r="M2" s="464"/>
      <c r="N2" s="464"/>
      <c r="O2" s="464"/>
      <c r="P2" s="464"/>
      <c r="Q2" s="464"/>
      <c r="R2" s="464"/>
      <c r="S2" s="332"/>
    </row>
    <row r="3" spans="2:19" s="194" customFormat="1" ht="21" customHeight="1">
      <c r="B3" s="192"/>
      <c r="C3" s="197"/>
      <c r="D3" s="197"/>
      <c r="E3" s="197"/>
      <c r="F3" s="197"/>
      <c r="G3" s="197"/>
      <c r="H3" s="197"/>
      <c r="I3" s="197"/>
      <c r="J3" s="195"/>
      <c r="K3" s="195"/>
      <c r="L3" s="195"/>
      <c r="M3" s="195"/>
      <c r="N3" s="195"/>
      <c r="O3" s="195"/>
      <c r="P3" s="195"/>
      <c r="Q3" s="195"/>
    </row>
    <row r="4" spans="2:19" ht="15.75" customHeight="1">
      <c r="B4" s="524" t="s">
        <v>59</v>
      </c>
      <c r="C4" s="515" t="s">
        <v>60</v>
      </c>
      <c r="H4" s="527" t="s">
        <v>145</v>
      </c>
      <c r="I4" s="528"/>
      <c r="J4" s="528"/>
      <c r="K4" s="528"/>
      <c r="L4" s="528"/>
      <c r="M4" s="528"/>
      <c r="N4" s="528"/>
      <c r="O4" s="528"/>
      <c r="P4" s="528"/>
      <c r="Q4" s="528"/>
      <c r="R4" s="529"/>
    </row>
    <row r="5" spans="2:19" s="106" customFormat="1" ht="16.5" thickBot="1">
      <c r="B5" s="525"/>
      <c r="C5" s="526"/>
      <c r="D5" s="107" t="s">
        <v>17</v>
      </c>
      <c r="E5" s="103" t="s">
        <v>18</v>
      </c>
      <c r="F5" s="103" t="s">
        <v>19</v>
      </c>
      <c r="G5" s="103" t="s">
        <v>20</v>
      </c>
      <c r="H5" s="104" t="s">
        <v>21</v>
      </c>
      <c r="I5" s="105" t="s">
        <v>51</v>
      </c>
      <c r="J5" s="105" t="s">
        <v>52</v>
      </c>
      <c r="K5" s="105" t="s">
        <v>53</v>
      </c>
      <c r="L5" s="104" t="s">
        <v>57</v>
      </c>
      <c r="M5" s="135" t="s">
        <v>69</v>
      </c>
      <c r="N5" s="135" t="s">
        <v>124</v>
      </c>
      <c r="O5" s="135" t="s">
        <v>146</v>
      </c>
      <c r="P5" s="138" t="s">
        <v>158</v>
      </c>
      <c r="Q5" s="138" t="s">
        <v>166</v>
      </c>
      <c r="R5" s="138" t="s">
        <v>187</v>
      </c>
    </row>
    <row r="6" spans="2:19" ht="15.75" thickTop="1">
      <c r="B6" s="8"/>
      <c r="C6" s="8" t="s">
        <v>11</v>
      </c>
      <c r="D6" s="41">
        <v>152</v>
      </c>
      <c r="E6" s="41">
        <v>181</v>
      </c>
      <c r="F6" s="41">
        <v>171</v>
      </c>
      <c r="G6" s="41">
        <v>186</v>
      </c>
      <c r="H6" s="41">
        <v>262</v>
      </c>
      <c r="I6" s="75">
        <v>174</v>
      </c>
      <c r="J6" s="75">
        <v>204</v>
      </c>
      <c r="K6" s="75">
        <v>184</v>
      </c>
      <c r="L6" s="75">
        <v>186</v>
      </c>
      <c r="M6" s="109">
        <f>96+91</f>
        <v>187</v>
      </c>
      <c r="N6" s="109">
        <v>217</v>
      </c>
      <c r="O6" s="109">
        <v>274</v>
      </c>
      <c r="P6" s="109">
        <v>226</v>
      </c>
      <c r="Q6" s="109">
        <v>216</v>
      </c>
      <c r="R6" s="109">
        <v>251</v>
      </c>
    </row>
    <row r="7" spans="2:19">
      <c r="B7" s="7"/>
      <c r="C7" s="8" t="s">
        <v>12</v>
      </c>
      <c r="D7" s="42">
        <v>1</v>
      </c>
      <c r="E7" s="42">
        <v>0</v>
      </c>
      <c r="F7" s="42">
        <v>0</v>
      </c>
      <c r="G7" s="42">
        <v>0</v>
      </c>
      <c r="H7" s="42">
        <v>2</v>
      </c>
      <c r="I7" s="76">
        <v>0</v>
      </c>
      <c r="J7" s="76"/>
      <c r="K7" s="76"/>
      <c r="L7" s="76"/>
      <c r="M7" s="76">
        <v>1</v>
      </c>
      <c r="N7" s="76">
        <v>3</v>
      </c>
      <c r="O7" s="76">
        <v>2</v>
      </c>
      <c r="P7" s="76">
        <v>1</v>
      </c>
      <c r="Q7" s="76">
        <v>2</v>
      </c>
      <c r="R7" s="76">
        <v>1</v>
      </c>
    </row>
    <row r="8" spans="2:19">
      <c r="B8" s="7" t="s">
        <v>2</v>
      </c>
      <c r="C8" s="3" t="s">
        <v>13</v>
      </c>
      <c r="D8" s="43">
        <f t="shared" ref="D8:M8" si="0">D6+D7</f>
        <v>153</v>
      </c>
      <c r="E8" s="43">
        <f t="shared" si="0"/>
        <v>181</v>
      </c>
      <c r="F8" s="43">
        <f t="shared" si="0"/>
        <v>171</v>
      </c>
      <c r="G8" s="43">
        <f t="shared" si="0"/>
        <v>186</v>
      </c>
      <c r="H8" s="43">
        <f t="shared" si="0"/>
        <v>264</v>
      </c>
      <c r="I8" s="77">
        <f t="shared" si="0"/>
        <v>174</v>
      </c>
      <c r="J8" s="77">
        <f t="shared" si="0"/>
        <v>204</v>
      </c>
      <c r="K8" s="77">
        <f t="shared" si="0"/>
        <v>184</v>
      </c>
      <c r="L8" s="77">
        <f t="shared" si="0"/>
        <v>186</v>
      </c>
      <c r="M8" s="77">
        <f t="shared" si="0"/>
        <v>188</v>
      </c>
      <c r="N8" s="77">
        <v>220</v>
      </c>
      <c r="O8" s="77">
        <v>276</v>
      </c>
      <c r="P8" s="77">
        <v>227</v>
      </c>
      <c r="Q8" s="77">
        <v>218</v>
      </c>
      <c r="R8" s="77">
        <v>252</v>
      </c>
    </row>
    <row r="9" spans="2:19" ht="15.75" thickBot="1">
      <c r="B9" s="7"/>
      <c r="C9" s="2" t="s">
        <v>14</v>
      </c>
      <c r="D9" s="43">
        <v>0</v>
      </c>
      <c r="E9" s="43">
        <v>0</v>
      </c>
      <c r="F9" s="43">
        <v>0</v>
      </c>
      <c r="G9" s="43">
        <v>0</v>
      </c>
      <c r="H9" s="43">
        <v>0</v>
      </c>
      <c r="I9" s="77">
        <v>0</v>
      </c>
      <c r="J9" s="77"/>
      <c r="K9" s="77"/>
      <c r="L9" s="77"/>
      <c r="M9" s="77"/>
      <c r="N9" s="77"/>
      <c r="O9" s="77"/>
      <c r="P9" s="77"/>
      <c r="Q9" s="77"/>
      <c r="R9" s="77"/>
    </row>
    <row r="10" spans="2:19" ht="17.100000000000001" customHeight="1" thickTop="1" thickBot="1">
      <c r="B10" s="7"/>
      <c r="C10" s="13" t="s">
        <v>15</v>
      </c>
      <c r="D10" s="44">
        <f t="shared" ref="D10:M10" si="1">D8+D9</f>
        <v>153</v>
      </c>
      <c r="E10" s="44">
        <f t="shared" si="1"/>
        <v>181</v>
      </c>
      <c r="F10" s="44">
        <f t="shared" si="1"/>
        <v>171</v>
      </c>
      <c r="G10" s="44">
        <f t="shared" si="1"/>
        <v>186</v>
      </c>
      <c r="H10" s="44">
        <f t="shared" si="1"/>
        <v>264</v>
      </c>
      <c r="I10" s="78">
        <f t="shared" si="1"/>
        <v>174</v>
      </c>
      <c r="J10" s="78">
        <f t="shared" si="1"/>
        <v>204</v>
      </c>
      <c r="K10" s="78">
        <f t="shared" si="1"/>
        <v>184</v>
      </c>
      <c r="L10" s="78">
        <f t="shared" si="1"/>
        <v>186</v>
      </c>
      <c r="M10" s="78">
        <f t="shared" si="1"/>
        <v>188</v>
      </c>
      <c r="N10" s="78">
        <v>220</v>
      </c>
      <c r="O10" s="78">
        <v>276</v>
      </c>
      <c r="P10" s="78">
        <v>227</v>
      </c>
      <c r="Q10" s="78">
        <v>218</v>
      </c>
      <c r="R10" s="78">
        <v>252</v>
      </c>
    </row>
    <row r="11" spans="2:19">
      <c r="B11" s="4"/>
      <c r="C11" s="4" t="s">
        <v>11</v>
      </c>
      <c r="D11" s="45">
        <v>83</v>
      </c>
      <c r="E11" s="45">
        <v>114</v>
      </c>
      <c r="F11" s="45">
        <v>139</v>
      </c>
      <c r="G11" s="45">
        <f>140+61</f>
        <v>201</v>
      </c>
      <c r="H11" s="45">
        <f>61+143</f>
        <v>204</v>
      </c>
      <c r="I11" s="79">
        <v>197</v>
      </c>
      <c r="J11" s="79">
        <v>189</v>
      </c>
      <c r="K11" s="79">
        <v>211</v>
      </c>
      <c r="L11" s="79">
        <v>202</v>
      </c>
      <c r="M11" s="79">
        <f>3+150+37</f>
        <v>190</v>
      </c>
      <c r="N11" s="79">
        <v>238</v>
      </c>
      <c r="O11" s="79">
        <v>232</v>
      </c>
      <c r="P11" s="79">
        <v>243</v>
      </c>
      <c r="Q11" s="79">
        <v>220</v>
      </c>
      <c r="R11" s="79">
        <v>228</v>
      </c>
    </row>
    <row r="12" spans="2:19">
      <c r="B12" s="7"/>
      <c r="C12" s="8" t="s">
        <v>12</v>
      </c>
      <c r="D12" s="42">
        <v>17</v>
      </c>
      <c r="E12" s="42">
        <v>7</v>
      </c>
      <c r="F12" s="42">
        <v>7</v>
      </c>
      <c r="G12" s="42">
        <v>9</v>
      </c>
      <c r="H12" s="42">
        <v>12</v>
      </c>
      <c r="I12" s="76">
        <v>21</v>
      </c>
      <c r="J12" s="76">
        <v>9</v>
      </c>
      <c r="K12" s="76">
        <v>11</v>
      </c>
      <c r="L12" s="76">
        <v>17</v>
      </c>
      <c r="M12" s="76">
        <f>1+1+1+4+9</f>
        <v>16</v>
      </c>
      <c r="N12" s="76">
        <v>11</v>
      </c>
      <c r="O12" s="76">
        <v>6</v>
      </c>
      <c r="P12" s="76">
        <v>19</v>
      </c>
      <c r="Q12" s="76">
        <v>15</v>
      </c>
      <c r="R12" s="76">
        <v>8</v>
      </c>
    </row>
    <row r="13" spans="2:19">
      <c r="B13" s="7" t="s">
        <v>3</v>
      </c>
      <c r="C13" s="3" t="s">
        <v>13</v>
      </c>
      <c r="D13" s="43">
        <f t="shared" ref="D13:M13" si="2">D11+D12</f>
        <v>100</v>
      </c>
      <c r="E13" s="43">
        <f t="shared" si="2"/>
        <v>121</v>
      </c>
      <c r="F13" s="43">
        <f t="shared" si="2"/>
        <v>146</v>
      </c>
      <c r="G13" s="43">
        <f t="shared" si="2"/>
        <v>210</v>
      </c>
      <c r="H13" s="43">
        <f t="shared" si="2"/>
        <v>216</v>
      </c>
      <c r="I13" s="77">
        <f t="shared" si="2"/>
        <v>218</v>
      </c>
      <c r="J13" s="77">
        <f t="shared" si="2"/>
        <v>198</v>
      </c>
      <c r="K13" s="77">
        <f t="shared" si="2"/>
        <v>222</v>
      </c>
      <c r="L13" s="77">
        <f t="shared" si="2"/>
        <v>219</v>
      </c>
      <c r="M13" s="77">
        <f t="shared" si="2"/>
        <v>206</v>
      </c>
      <c r="N13" s="77">
        <v>249</v>
      </c>
      <c r="O13" s="77">
        <v>238</v>
      </c>
      <c r="P13" s="77">
        <v>262</v>
      </c>
      <c r="Q13" s="77">
        <v>235</v>
      </c>
      <c r="R13" s="77">
        <v>236</v>
      </c>
    </row>
    <row r="14" spans="2:19" ht="15.75" thickBot="1">
      <c r="B14" s="7"/>
      <c r="C14" s="2" t="s">
        <v>14</v>
      </c>
      <c r="D14" s="43">
        <v>0</v>
      </c>
      <c r="E14" s="43">
        <v>0</v>
      </c>
      <c r="F14" s="43">
        <v>0</v>
      </c>
      <c r="G14" s="43">
        <v>0</v>
      </c>
      <c r="H14" s="43">
        <v>0</v>
      </c>
      <c r="I14" s="77">
        <v>0</v>
      </c>
      <c r="J14" s="77">
        <v>1</v>
      </c>
      <c r="K14" s="77"/>
      <c r="L14" s="77"/>
      <c r="M14" s="77"/>
      <c r="N14" s="77"/>
      <c r="O14" s="77"/>
      <c r="P14" s="77">
        <v>1</v>
      </c>
      <c r="Q14" s="77"/>
      <c r="R14" s="77"/>
    </row>
    <row r="15" spans="2:19" ht="17.100000000000001" customHeight="1" thickTop="1" thickBot="1">
      <c r="B15" s="7"/>
      <c r="C15" s="13" t="s">
        <v>15</v>
      </c>
      <c r="D15" s="44">
        <f t="shared" ref="D15:M15" si="3">D13+D14</f>
        <v>100</v>
      </c>
      <c r="E15" s="44">
        <f t="shared" si="3"/>
        <v>121</v>
      </c>
      <c r="F15" s="44">
        <f t="shared" si="3"/>
        <v>146</v>
      </c>
      <c r="G15" s="44">
        <f t="shared" si="3"/>
        <v>210</v>
      </c>
      <c r="H15" s="44">
        <f t="shared" si="3"/>
        <v>216</v>
      </c>
      <c r="I15" s="78">
        <f t="shared" si="3"/>
        <v>218</v>
      </c>
      <c r="J15" s="78">
        <f t="shared" si="3"/>
        <v>199</v>
      </c>
      <c r="K15" s="78">
        <f t="shared" si="3"/>
        <v>222</v>
      </c>
      <c r="L15" s="78">
        <f t="shared" si="3"/>
        <v>219</v>
      </c>
      <c r="M15" s="78">
        <f t="shared" si="3"/>
        <v>206</v>
      </c>
      <c r="N15" s="78">
        <v>249</v>
      </c>
      <c r="O15" s="78">
        <v>238</v>
      </c>
      <c r="P15" s="78">
        <v>263</v>
      </c>
      <c r="Q15" s="78">
        <v>235</v>
      </c>
      <c r="R15" s="78">
        <v>236</v>
      </c>
    </row>
    <row r="16" spans="2:19">
      <c r="B16" s="4"/>
      <c r="C16" s="4" t="s">
        <v>11</v>
      </c>
      <c r="D16" s="45">
        <v>95</v>
      </c>
      <c r="E16" s="45">
        <v>161</v>
      </c>
      <c r="F16" s="45">
        <v>192</v>
      </c>
      <c r="G16" s="45">
        <f>165+65</f>
        <v>230</v>
      </c>
      <c r="H16" s="45">
        <v>231</v>
      </c>
      <c r="I16" s="79">
        <v>195</v>
      </c>
      <c r="J16" s="79">
        <v>212</v>
      </c>
      <c r="K16" s="79">
        <v>173</v>
      </c>
      <c r="L16" s="79">
        <v>194</v>
      </c>
      <c r="M16" s="79">
        <f>40+125</f>
        <v>165</v>
      </c>
      <c r="N16" s="79">
        <v>159</v>
      </c>
      <c r="O16" s="79">
        <v>198</v>
      </c>
      <c r="P16" s="79">
        <v>206</v>
      </c>
      <c r="Q16" s="79">
        <v>215</v>
      </c>
      <c r="R16" s="79">
        <v>187</v>
      </c>
    </row>
    <row r="17" spans="2:19">
      <c r="B17" s="7"/>
      <c r="C17" s="8" t="s">
        <v>12</v>
      </c>
      <c r="D17" s="42">
        <v>24</v>
      </c>
      <c r="E17" s="42">
        <v>29</v>
      </c>
      <c r="F17" s="42">
        <v>27</v>
      </c>
      <c r="G17" s="42">
        <f>7+13</f>
        <v>20</v>
      </c>
      <c r="H17" s="42">
        <v>18</v>
      </c>
      <c r="I17" s="76">
        <v>17</v>
      </c>
      <c r="J17" s="76">
        <v>25</v>
      </c>
      <c r="K17" s="76">
        <v>12</v>
      </c>
      <c r="L17" s="76">
        <v>18</v>
      </c>
      <c r="M17" s="76">
        <f>1+1+16+5</f>
        <v>23</v>
      </c>
      <c r="N17" s="76">
        <v>14</v>
      </c>
      <c r="O17" s="76">
        <v>13</v>
      </c>
      <c r="P17" s="76">
        <v>7</v>
      </c>
      <c r="Q17" s="76">
        <v>15</v>
      </c>
      <c r="R17" s="76">
        <v>14</v>
      </c>
    </row>
    <row r="18" spans="2:19">
      <c r="B18" s="7" t="s">
        <v>4</v>
      </c>
      <c r="C18" s="3" t="s">
        <v>13</v>
      </c>
      <c r="D18" s="43">
        <f t="shared" ref="D18:M18" si="4">D16+D17</f>
        <v>119</v>
      </c>
      <c r="E18" s="43">
        <f t="shared" si="4"/>
        <v>190</v>
      </c>
      <c r="F18" s="43">
        <f t="shared" si="4"/>
        <v>219</v>
      </c>
      <c r="G18" s="43">
        <f t="shared" si="4"/>
        <v>250</v>
      </c>
      <c r="H18" s="43">
        <f t="shared" si="4"/>
        <v>249</v>
      </c>
      <c r="I18" s="77">
        <f t="shared" si="4"/>
        <v>212</v>
      </c>
      <c r="J18" s="77">
        <f t="shared" si="4"/>
        <v>237</v>
      </c>
      <c r="K18" s="77">
        <f t="shared" si="4"/>
        <v>185</v>
      </c>
      <c r="L18" s="77">
        <f t="shared" si="4"/>
        <v>212</v>
      </c>
      <c r="M18" s="77">
        <f t="shared" si="4"/>
        <v>188</v>
      </c>
      <c r="N18" s="77">
        <v>173</v>
      </c>
      <c r="O18" s="77">
        <v>211</v>
      </c>
      <c r="P18" s="77">
        <v>213</v>
      </c>
      <c r="Q18" s="77">
        <v>230</v>
      </c>
      <c r="R18" s="77">
        <v>201</v>
      </c>
    </row>
    <row r="19" spans="2:19" ht="15.75" thickBot="1">
      <c r="B19" s="7"/>
      <c r="C19" s="2" t="s">
        <v>14</v>
      </c>
      <c r="D19" s="43">
        <v>1</v>
      </c>
      <c r="E19" s="43">
        <v>0</v>
      </c>
      <c r="F19" s="43">
        <v>0</v>
      </c>
      <c r="G19" s="43">
        <v>0</v>
      </c>
      <c r="H19" s="43">
        <v>0</v>
      </c>
      <c r="I19" s="77">
        <v>0</v>
      </c>
      <c r="J19" s="77"/>
      <c r="K19" s="77">
        <v>1</v>
      </c>
      <c r="L19" s="77"/>
      <c r="M19" s="77"/>
      <c r="N19" s="77">
        <v>1</v>
      </c>
      <c r="O19" s="77"/>
      <c r="P19" s="77">
        <v>1</v>
      </c>
      <c r="Q19" s="77">
        <v>2</v>
      </c>
      <c r="R19" s="77"/>
    </row>
    <row r="20" spans="2:19" ht="17.100000000000001" customHeight="1" thickTop="1" thickBot="1">
      <c r="B20" s="7"/>
      <c r="C20" s="13" t="s">
        <v>15</v>
      </c>
      <c r="D20" s="44">
        <f t="shared" ref="D20:M20" si="5">D18+D19</f>
        <v>120</v>
      </c>
      <c r="E20" s="44">
        <f t="shared" si="5"/>
        <v>190</v>
      </c>
      <c r="F20" s="44">
        <f t="shared" si="5"/>
        <v>219</v>
      </c>
      <c r="G20" s="44">
        <f t="shared" si="5"/>
        <v>250</v>
      </c>
      <c r="H20" s="44">
        <f t="shared" si="5"/>
        <v>249</v>
      </c>
      <c r="I20" s="78">
        <f t="shared" si="5"/>
        <v>212</v>
      </c>
      <c r="J20" s="78">
        <f t="shared" si="5"/>
        <v>237</v>
      </c>
      <c r="K20" s="78">
        <f t="shared" si="5"/>
        <v>186</v>
      </c>
      <c r="L20" s="78">
        <f t="shared" si="5"/>
        <v>212</v>
      </c>
      <c r="M20" s="78">
        <f t="shared" si="5"/>
        <v>188</v>
      </c>
      <c r="N20" s="78">
        <v>174</v>
      </c>
      <c r="O20" s="78">
        <v>211</v>
      </c>
      <c r="P20" s="78">
        <v>214</v>
      </c>
      <c r="Q20" s="78">
        <v>232</v>
      </c>
      <c r="R20" s="78">
        <v>201</v>
      </c>
    </row>
    <row r="21" spans="2:19">
      <c r="B21" s="4"/>
      <c r="C21" s="4" t="s">
        <v>11</v>
      </c>
      <c r="D21" s="45">
        <v>39</v>
      </c>
      <c r="E21" s="45">
        <v>129</v>
      </c>
      <c r="F21" s="45">
        <v>148</v>
      </c>
      <c r="G21" s="45">
        <f>54+53</f>
        <v>107</v>
      </c>
      <c r="H21" s="45">
        <f>60+87</f>
        <v>147</v>
      </c>
      <c r="I21" s="79">
        <v>142</v>
      </c>
      <c r="J21" s="79">
        <v>153</v>
      </c>
      <c r="K21" s="79">
        <v>182</v>
      </c>
      <c r="L21" s="79">
        <v>161</v>
      </c>
      <c r="M21" s="79">
        <f>48+123</f>
        <v>171</v>
      </c>
      <c r="N21" s="79">
        <v>149</v>
      </c>
      <c r="O21" s="79">
        <v>146</v>
      </c>
      <c r="P21" s="79">
        <v>194</v>
      </c>
      <c r="Q21" s="79">
        <v>188</v>
      </c>
      <c r="R21" s="79">
        <v>210</v>
      </c>
    </row>
    <row r="22" spans="2:19">
      <c r="B22" s="7"/>
      <c r="C22" s="8" t="s">
        <v>12</v>
      </c>
      <c r="D22" s="42">
        <v>13</v>
      </c>
      <c r="E22" s="42">
        <v>13</v>
      </c>
      <c r="F22" s="42">
        <v>11</v>
      </c>
      <c r="G22" s="42">
        <v>9</v>
      </c>
      <c r="H22" s="42">
        <v>7</v>
      </c>
      <c r="I22" s="76">
        <v>5</v>
      </c>
      <c r="J22" s="76">
        <v>5</v>
      </c>
      <c r="K22" s="76">
        <v>13</v>
      </c>
      <c r="L22" s="76">
        <v>8</v>
      </c>
      <c r="M22" s="76">
        <f>1+1+1+6+5</f>
        <v>14</v>
      </c>
      <c r="N22" s="76">
        <v>11</v>
      </c>
      <c r="O22" s="76">
        <v>9</v>
      </c>
      <c r="P22" s="76">
        <v>9</v>
      </c>
      <c r="Q22" s="76">
        <v>8</v>
      </c>
      <c r="R22" s="76">
        <v>12</v>
      </c>
    </row>
    <row r="23" spans="2:19">
      <c r="B23" s="7" t="s">
        <v>5</v>
      </c>
      <c r="C23" s="3" t="s">
        <v>13</v>
      </c>
      <c r="D23" s="43">
        <f t="shared" ref="D23:M23" si="6">D21+D22</f>
        <v>52</v>
      </c>
      <c r="E23" s="43">
        <f t="shared" si="6"/>
        <v>142</v>
      </c>
      <c r="F23" s="43">
        <f t="shared" si="6"/>
        <v>159</v>
      </c>
      <c r="G23" s="43">
        <f t="shared" si="6"/>
        <v>116</v>
      </c>
      <c r="H23" s="43">
        <f t="shared" si="6"/>
        <v>154</v>
      </c>
      <c r="I23" s="77">
        <f t="shared" si="6"/>
        <v>147</v>
      </c>
      <c r="J23" s="77">
        <f t="shared" si="6"/>
        <v>158</v>
      </c>
      <c r="K23" s="77">
        <f t="shared" si="6"/>
        <v>195</v>
      </c>
      <c r="L23" s="77">
        <f t="shared" si="6"/>
        <v>169</v>
      </c>
      <c r="M23" s="77">
        <f t="shared" si="6"/>
        <v>185</v>
      </c>
      <c r="N23" s="77">
        <v>160</v>
      </c>
      <c r="O23" s="77">
        <v>155</v>
      </c>
      <c r="P23" s="77">
        <v>203</v>
      </c>
      <c r="Q23" s="77">
        <v>196</v>
      </c>
      <c r="R23" s="77">
        <v>222</v>
      </c>
    </row>
    <row r="24" spans="2:19" ht="15.75" thickBot="1">
      <c r="B24" s="7"/>
      <c r="C24" s="2" t="s">
        <v>14</v>
      </c>
      <c r="D24" s="43">
        <v>0</v>
      </c>
      <c r="E24" s="43">
        <v>0</v>
      </c>
      <c r="F24" s="43">
        <v>0</v>
      </c>
      <c r="G24" s="43">
        <v>0</v>
      </c>
      <c r="H24" s="43">
        <v>0</v>
      </c>
      <c r="I24" s="77">
        <v>0</v>
      </c>
      <c r="J24" s="77"/>
      <c r="K24" s="77"/>
      <c r="L24" s="77"/>
      <c r="M24" s="77">
        <v>1</v>
      </c>
      <c r="N24" s="77"/>
      <c r="O24" s="77"/>
      <c r="P24" s="77"/>
      <c r="Q24" s="77">
        <v>1</v>
      </c>
      <c r="R24" s="77">
        <v>1</v>
      </c>
    </row>
    <row r="25" spans="2:19" ht="17.100000000000001" customHeight="1" thickTop="1" thickBot="1">
      <c r="B25" s="7"/>
      <c r="C25" s="13" t="s">
        <v>15</v>
      </c>
      <c r="D25" s="44">
        <f t="shared" ref="D25:M25" si="7">D23+D24</f>
        <v>52</v>
      </c>
      <c r="E25" s="44">
        <f t="shared" si="7"/>
        <v>142</v>
      </c>
      <c r="F25" s="44">
        <f t="shared" si="7"/>
        <v>159</v>
      </c>
      <c r="G25" s="44">
        <f t="shared" si="7"/>
        <v>116</v>
      </c>
      <c r="H25" s="44">
        <f t="shared" si="7"/>
        <v>154</v>
      </c>
      <c r="I25" s="78">
        <f t="shared" si="7"/>
        <v>147</v>
      </c>
      <c r="J25" s="78">
        <f t="shared" si="7"/>
        <v>158</v>
      </c>
      <c r="K25" s="78">
        <f t="shared" si="7"/>
        <v>195</v>
      </c>
      <c r="L25" s="78">
        <f t="shared" si="7"/>
        <v>169</v>
      </c>
      <c r="M25" s="78">
        <f t="shared" si="7"/>
        <v>186</v>
      </c>
      <c r="N25" s="78">
        <v>160</v>
      </c>
      <c r="O25" s="78">
        <v>155</v>
      </c>
      <c r="P25" s="78">
        <v>203</v>
      </c>
      <c r="Q25" s="78">
        <v>197</v>
      </c>
      <c r="R25" s="78">
        <v>223</v>
      </c>
    </row>
    <row r="26" spans="2:19" ht="21" customHeight="1" thickTop="1">
      <c r="B26" s="46"/>
      <c r="C26" s="46" t="s">
        <v>11</v>
      </c>
      <c r="D26" s="47">
        <f t="shared" ref="D26:H27" si="8">SUM(D6,D11,D16,D21)</f>
        <v>369</v>
      </c>
      <c r="E26" s="47">
        <f t="shared" si="8"/>
        <v>585</v>
      </c>
      <c r="F26" s="47">
        <f t="shared" si="8"/>
        <v>650</v>
      </c>
      <c r="G26" s="47">
        <f t="shared" si="8"/>
        <v>724</v>
      </c>
      <c r="H26" s="47">
        <f t="shared" si="8"/>
        <v>844</v>
      </c>
      <c r="I26" s="80">
        <f t="shared" ref="I26:L27" si="9">SUM(I6,I11,I16,I21)</f>
        <v>708</v>
      </c>
      <c r="J26" s="80">
        <f t="shared" si="9"/>
        <v>758</v>
      </c>
      <c r="K26" s="80">
        <f>SUM(K6,K11,K16,K21)</f>
        <v>750</v>
      </c>
      <c r="L26" s="80">
        <f t="shared" si="9"/>
        <v>743</v>
      </c>
      <c r="M26" s="80">
        <f t="shared" ref="M26:M27" si="10">SUM(M6,M11,M16,M21)</f>
        <v>713</v>
      </c>
      <c r="N26" s="80">
        <v>763</v>
      </c>
      <c r="O26" s="80">
        <v>850</v>
      </c>
      <c r="P26" s="80">
        <v>869</v>
      </c>
      <c r="Q26" s="80">
        <v>839</v>
      </c>
      <c r="R26" s="80">
        <v>876</v>
      </c>
    </row>
    <row r="27" spans="2:19" ht="21" customHeight="1">
      <c r="B27" s="19"/>
      <c r="C27" s="19" t="s">
        <v>12</v>
      </c>
      <c r="D27" s="48">
        <f t="shared" si="8"/>
        <v>55</v>
      </c>
      <c r="E27" s="48">
        <f t="shared" si="8"/>
        <v>49</v>
      </c>
      <c r="F27" s="48">
        <f t="shared" si="8"/>
        <v>45</v>
      </c>
      <c r="G27" s="48">
        <f t="shared" si="8"/>
        <v>38</v>
      </c>
      <c r="H27" s="48">
        <f t="shared" si="8"/>
        <v>39</v>
      </c>
      <c r="I27" s="81">
        <f t="shared" si="9"/>
        <v>43</v>
      </c>
      <c r="J27" s="81">
        <f t="shared" si="9"/>
        <v>39</v>
      </c>
      <c r="K27" s="81">
        <f>SUM(K7,K12,K17,K22)</f>
        <v>36</v>
      </c>
      <c r="L27" s="81">
        <f t="shared" si="9"/>
        <v>43</v>
      </c>
      <c r="M27" s="81">
        <f t="shared" si="10"/>
        <v>54</v>
      </c>
      <c r="N27" s="81">
        <v>39</v>
      </c>
      <c r="O27" s="81">
        <v>30</v>
      </c>
      <c r="P27" s="81">
        <v>36</v>
      </c>
      <c r="Q27" s="81">
        <v>40</v>
      </c>
      <c r="R27" s="81">
        <v>35</v>
      </c>
    </row>
    <row r="28" spans="2:19" ht="21" customHeight="1">
      <c r="B28" s="22" t="s">
        <v>6</v>
      </c>
      <c r="C28" s="23" t="s">
        <v>13</v>
      </c>
      <c r="D28" s="49">
        <f t="shared" ref="D28:M28" si="11">D26+D27</f>
        <v>424</v>
      </c>
      <c r="E28" s="49">
        <f t="shared" si="11"/>
        <v>634</v>
      </c>
      <c r="F28" s="49">
        <f t="shared" si="11"/>
        <v>695</v>
      </c>
      <c r="G28" s="49">
        <f t="shared" si="11"/>
        <v>762</v>
      </c>
      <c r="H28" s="49">
        <f t="shared" si="11"/>
        <v>883</v>
      </c>
      <c r="I28" s="82">
        <f t="shared" si="11"/>
        <v>751</v>
      </c>
      <c r="J28" s="82">
        <f t="shared" si="11"/>
        <v>797</v>
      </c>
      <c r="K28" s="82">
        <f t="shared" si="11"/>
        <v>786</v>
      </c>
      <c r="L28" s="82">
        <f t="shared" si="11"/>
        <v>786</v>
      </c>
      <c r="M28" s="82">
        <f t="shared" si="11"/>
        <v>767</v>
      </c>
      <c r="N28" s="82">
        <v>802</v>
      </c>
      <c r="O28" s="82">
        <v>880</v>
      </c>
      <c r="P28" s="82">
        <v>905</v>
      </c>
      <c r="Q28" s="82">
        <v>879</v>
      </c>
      <c r="R28" s="82">
        <v>911</v>
      </c>
    </row>
    <row r="29" spans="2:19" ht="21" customHeight="1" thickBot="1">
      <c r="B29" s="19"/>
      <c r="C29" s="26" t="s">
        <v>14</v>
      </c>
      <c r="D29" s="49">
        <f t="shared" ref="D29:I29" si="12">SUM(D9,D14,D19,D24)</f>
        <v>1</v>
      </c>
      <c r="E29" s="49">
        <f t="shared" si="12"/>
        <v>0</v>
      </c>
      <c r="F29" s="49">
        <f t="shared" si="12"/>
        <v>0</v>
      </c>
      <c r="G29" s="49">
        <f t="shared" si="12"/>
        <v>0</v>
      </c>
      <c r="H29" s="49">
        <f t="shared" si="12"/>
        <v>0</v>
      </c>
      <c r="I29" s="82">
        <f t="shared" si="12"/>
        <v>0</v>
      </c>
      <c r="J29" s="82">
        <f t="shared" ref="J29:M29" si="13">SUM(J9,J14,J19,J24)</f>
        <v>1</v>
      </c>
      <c r="K29" s="82">
        <f t="shared" si="13"/>
        <v>1</v>
      </c>
      <c r="L29" s="82"/>
      <c r="M29" s="82">
        <f t="shared" si="13"/>
        <v>1</v>
      </c>
      <c r="N29" s="82">
        <v>1</v>
      </c>
      <c r="O29" s="82"/>
      <c r="P29" s="82">
        <v>2</v>
      </c>
      <c r="Q29" s="82">
        <v>3</v>
      </c>
      <c r="R29" s="82">
        <v>1</v>
      </c>
    </row>
    <row r="30" spans="2:19" ht="21" customHeight="1" thickTop="1" thickBot="1">
      <c r="B30" s="22"/>
      <c r="C30" s="27" t="s">
        <v>15</v>
      </c>
      <c r="D30" s="50">
        <f t="shared" ref="D30:M30" si="14">D28+D29</f>
        <v>425</v>
      </c>
      <c r="E30" s="50">
        <f t="shared" si="14"/>
        <v>634</v>
      </c>
      <c r="F30" s="50">
        <f t="shared" si="14"/>
        <v>695</v>
      </c>
      <c r="G30" s="50">
        <f t="shared" si="14"/>
        <v>762</v>
      </c>
      <c r="H30" s="50">
        <f t="shared" si="14"/>
        <v>883</v>
      </c>
      <c r="I30" s="83">
        <f t="shared" si="14"/>
        <v>751</v>
      </c>
      <c r="J30" s="83">
        <f t="shared" si="14"/>
        <v>798</v>
      </c>
      <c r="K30" s="83">
        <f t="shared" si="14"/>
        <v>787</v>
      </c>
      <c r="L30" s="83">
        <f t="shared" si="14"/>
        <v>786</v>
      </c>
      <c r="M30" s="83">
        <f t="shared" si="14"/>
        <v>768</v>
      </c>
      <c r="N30" s="83">
        <v>803</v>
      </c>
      <c r="O30" s="83">
        <v>880</v>
      </c>
      <c r="P30" s="83">
        <v>907</v>
      </c>
      <c r="Q30" s="83">
        <v>882</v>
      </c>
      <c r="R30" s="83">
        <v>912</v>
      </c>
    </row>
    <row r="31" spans="2:19" ht="16.5" thickTop="1">
      <c r="B31" s="29" t="s">
        <v>7</v>
      </c>
      <c r="C31" s="30"/>
      <c r="D31" s="29">
        <v>13</v>
      </c>
      <c r="E31" s="29">
        <v>18</v>
      </c>
      <c r="F31" s="29">
        <v>19</v>
      </c>
      <c r="G31" s="29">
        <v>17</v>
      </c>
      <c r="H31" s="29">
        <v>19</v>
      </c>
      <c r="I31" s="84">
        <v>16</v>
      </c>
      <c r="J31" s="84">
        <v>13</v>
      </c>
      <c r="K31" s="84">
        <v>19</v>
      </c>
      <c r="L31" s="84">
        <v>21</v>
      </c>
      <c r="M31" s="84">
        <v>18</v>
      </c>
      <c r="N31" s="84">
        <v>23</v>
      </c>
      <c r="O31" s="84">
        <v>34</v>
      </c>
      <c r="P31" s="84">
        <v>48</v>
      </c>
      <c r="Q31" s="84">
        <v>49</v>
      </c>
      <c r="R31" s="211">
        <v>49</v>
      </c>
      <c r="S31" s="296">
        <f>R31/R30</f>
        <v>5.3728070175438597E-2</v>
      </c>
    </row>
    <row r="32" spans="2:19" ht="16.5" thickBot="1">
      <c r="B32" s="8" t="s">
        <v>8</v>
      </c>
      <c r="C32" s="31"/>
      <c r="D32" s="8">
        <v>412</v>
      </c>
      <c r="E32" s="8">
        <v>616</v>
      </c>
      <c r="F32" s="8">
        <v>676</v>
      </c>
      <c r="G32" s="8">
        <v>745</v>
      </c>
      <c r="H32" s="8">
        <v>864</v>
      </c>
      <c r="I32" s="85">
        <v>735</v>
      </c>
      <c r="J32" s="85">
        <v>785</v>
      </c>
      <c r="K32" s="85">
        <v>768</v>
      </c>
      <c r="L32" s="85">
        <v>765</v>
      </c>
      <c r="M32" s="85">
        <v>750</v>
      </c>
      <c r="N32" s="85">
        <v>780</v>
      </c>
      <c r="O32" s="85">
        <v>846</v>
      </c>
      <c r="P32" s="85">
        <v>859</v>
      </c>
      <c r="Q32" s="85">
        <v>833</v>
      </c>
      <c r="R32" s="212">
        <v>863</v>
      </c>
      <c r="S32" s="297">
        <f>R32/R30</f>
        <v>0.94627192982456143</v>
      </c>
    </row>
    <row r="33" spans="2:19" ht="15.75">
      <c r="B33" s="4" t="s">
        <v>9</v>
      </c>
      <c r="C33" s="34"/>
      <c r="D33" s="4">
        <v>413</v>
      </c>
      <c r="E33" s="4">
        <v>614</v>
      </c>
      <c r="F33" s="4">
        <v>677</v>
      </c>
      <c r="G33" s="4">
        <v>736</v>
      </c>
      <c r="H33" s="4">
        <v>851</v>
      </c>
      <c r="I33" s="86">
        <v>712</v>
      </c>
      <c r="J33" s="86">
        <v>757</v>
      </c>
      <c r="K33" s="86">
        <v>754</v>
      </c>
      <c r="L33" s="86">
        <v>733</v>
      </c>
      <c r="M33" s="86">
        <v>717</v>
      </c>
      <c r="N33" s="86">
        <v>770</v>
      </c>
      <c r="O33" s="86">
        <v>846</v>
      </c>
      <c r="P33" s="86">
        <v>876</v>
      </c>
      <c r="Q33" s="86">
        <v>853</v>
      </c>
      <c r="R33" s="213">
        <v>880</v>
      </c>
      <c r="S33" s="296">
        <f>R33/R30</f>
        <v>0.96491228070175439</v>
      </c>
    </row>
    <row r="34" spans="2:19" ht="15.75">
      <c r="B34" s="8" t="s">
        <v>10</v>
      </c>
      <c r="C34" s="31"/>
      <c r="D34" s="8">
        <v>12</v>
      </c>
      <c r="E34" s="8">
        <v>20</v>
      </c>
      <c r="F34" s="8">
        <v>18</v>
      </c>
      <c r="G34" s="8">
        <v>26</v>
      </c>
      <c r="H34" s="8">
        <v>32</v>
      </c>
      <c r="I34" s="87">
        <v>39</v>
      </c>
      <c r="J34" s="87">
        <v>41</v>
      </c>
      <c r="K34" s="87">
        <v>33</v>
      </c>
      <c r="L34" s="87">
        <v>53</v>
      </c>
      <c r="M34" s="87">
        <v>51</v>
      </c>
      <c r="N34" s="87">
        <v>33</v>
      </c>
      <c r="O34" s="87">
        <v>34</v>
      </c>
      <c r="P34" s="87">
        <v>31</v>
      </c>
      <c r="Q34" s="87">
        <v>29</v>
      </c>
      <c r="R34" s="214">
        <v>32</v>
      </c>
      <c r="S34" s="296">
        <f>R34/R30</f>
        <v>3.5087719298245612E-2</v>
      </c>
    </row>
    <row r="35" spans="2:19">
      <c r="B35" s="40"/>
      <c r="C35" s="40"/>
      <c r="D35" s="40"/>
      <c r="E35" s="40"/>
      <c r="F35" s="40"/>
      <c r="G35" s="40"/>
      <c r="H35" s="40"/>
    </row>
    <row r="36" spans="2:19">
      <c r="B36" s="37"/>
      <c r="C36" s="37"/>
      <c r="D36" s="37"/>
      <c r="E36" s="37"/>
      <c r="F36" s="37"/>
    </row>
    <row r="54" spans="2:3" hidden="1">
      <c r="B54" s="38" t="s">
        <v>34</v>
      </c>
      <c r="C54" s="31" t="s">
        <v>127</v>
      </c>
    </row>
    <row r="55" spans="2:3" hidden="1">
      <c r="C55" s="31" t="s">
        <v>125</v>
      </c>
    </row>
    <row r="56" spans="2:3" hidden="1">
      <c r="C56" s="31" t="s">
        <v>128</v>
      </c>
    </row>
    <row r="57" spans="2:3" hidden="1">
      <c r="C57" s="31" t="s">
        <v>23</v>
      </c>
    </row>
    <row r="58" spans="2:3" hidden="1">
      <c r="C58" s="31" t="s">
        <v>126</v>
      </c>
    </row>
  </sheetData>
  <mergeCells count="5">
    <mergeCell ref="B4:B5"/>
    <mergeCell ref="C4:C5"/>
    <mergeCell ref="H4:R4"/>
    <mergeCell ref="B1:R1"/>
    <mergeCell ref="B2:R2"/>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84&amp;R&amp;"Lucida Sans Unicode,Regular"&amp;10December 2015</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sheetPr>
  <dimension ref="B1:O55"/>
  <sheetViews>
    <sheetView showGridLines="0" view="pageLayout" topLeftCell="A40" zoomScaleNormal="100" zoomScaleSheetLayoutView="100" workbookViewId="0">
      <selection activeCell="S29" sqref="S29"/>
    </sheetView>
  </sheetViews>
  <sheetFormatPr defaultColWidth="9.6640625" defaultRowHeight="15.75"/>
  <cols>
    <col min="1" max="1" width="6.21875" style="38" customWidth="1"/>
    <col min="2" max="2" width="9.6640625" style="38" customWidth="1"/>
    <col min="3" max="3" width="15.6640625" style="38" customWidth="1"/>
    <col min="4" max="8" width="8" style="38" hidden="1" customWidth="1"/>
    <col min="9" max="9" width="7.5546875" style="38" hidden="1" customWidth="1"/>
    <col min="10" max="13" width="8.77734375" style="38" customWidth="1"/>
    <col min="14" max="14" width="8.77734375" style="136" customWidth="1"/>
    <col min="15" max="15" width="6.88671875" style="38" bestFit="1" customWidth="1"/>
    <col min="16" max="16384" width="9.6640625" style="38"/>
  </cols>
  <sheetData>
    <row r="1" spans="2:15" s="194" customFormat="1" ht="24" customHeight="1">
      <c r="B1" s="465" t="s">
        <v>0</v>
      </c>
      <c r="C1" s="465"/>
      <c r="D1" s="465"/>
      <c r="E1" s="465"/>
      <c r="F1" s="465"/>
      <c r="G1" s="465"/>
      <c r="H1" s="465"/>
      <c r="I1" s="465"/>
      <c r="J1" s="465"/>
      <c r="K1" s="465"/>
      <c r="L1" s="465"/>
      <c r="M1" s="465"/>
      <c r="N1" s="465"/>
      <c r="O1" s="465"/>
    </row>
    <row r="2" spans="2:15" s="196" customFormat="1" ht="25.5" customHeight="1">
      <c r="B2" s="464" t="s">
        <v>161</v>
      </c>
      <c r="C2" s="464"/>
      <c r="D2" s="464"/>
      <c r="E2" s="464"/>
      <c r="F2" s="464"/>
      <c r="G2" s="464"/>
      <c r="H2" s="464"/>
      <c r="I2" s="464"/>
      <c r="J2" s="464"/>
      <c r="K2" s="464"/>
      <c r="L2" s="464"/>
      <c r="M2" s="464"/>
      <c r="N2" s="464"/>
      <c r="O2" s="464"/>
    </row>
    <row r="3" spans="2:15" s="194" customFormat="1" ht="21" customHeight="1">
      <c r="B3" s="192"/>
      <c r="C3" s="197"/>
      <c r="D3" s="197"/>
      <c r="E3" s="197"/>
      <c r="F3" s="195"/>
      <c r="G3" s="195"/>
      <c r="H3" s="195"/>
      <c r="I3" s="195"/>
      <c r="J3" s="195"/>
      <c r="K3" s="195"/>
      <c r="L3" s="195"/>
      <c r="M3" s="195"/>
      <c r="N3" s="199"/>
    </row>
    <row r="4" spans="2:15" ht="15.75" customHeight="1">
      <c r="B4" s="524" t="s">
        <v>59</v>
      </c>
      <c r="C4" s="524" t="s">
        <v>60</v>
      </c>
      <c r="D4" s="481" t="s">
        <v>150</v>
      </c>
      <c r="E4" s="482"/>
      <c r="F4" s="482"/>
      <c r="G4" s="482"/>
      <c r="H4" s="482"/>
      <c r="I4" s="482"/>
      <c r="J4" s="482"/>
      <c r="K4" s="482"/>
      <c r="L4" s="482"/>
      <c r="M4" s="482"/>
      <c r="N4" s="483"/>
    </row>
    <row r="5" spans="2:15" s="106" customFormat="1">
      <c r="B5" s="531"/>
      <c r="C5" s="531"/>
      <c r="D5" s="324" t="s">
        <v>21</v>
      </c>
      <c r="E5" s="325" t="s">
        <v>51</v>
      </c>
      <c r="F5" s="104" t="s">
        <v>52</v>
      </c>
      <c r="G5" s="104" t="s">
        <v>53</v>
      </c>
      <c r="H5" s="104" t="s">
        <v>66</v>
      </c>
      <c r="I5" s="139" t="s">
        <v>69</v>
      </c>
      <c r="J5" s="139" t="s">
        <v>124</v>
      </c>
      <c r="K5" s="139" t="s">
        <v>146</v>
      </c>
      <c r="L5" s="321" t="s">
        <v>158</v>
      </c>
      <c r="M5" s="137" t="s">
        <v>166</v>
      </c>
      <c r="N5" s="137" t="s">
        <v>187</v>
      </c>
    </row>
    <row r="6" spans="2:15" ht="15.75" customHeight="1">
      <c r="B6" s="8"/>
      <c r="C6" s="8" t="s">
        <v>11</v>
      </c>
      <c r="D6" s="8">
        <f>SUM('COMM-jb'!H6,'FILM-jb'!H6,'PCUL-jb'!H6)</f>
        <v>203</v>
      </c>
      <c r="E6" s="85">
        <f>SUM('COMM-jb'!I6,'FILM-jb'!I6,'PCUL-jb'!I6)</f>
        <v>250</v>
      </c>
      <c r="F6" s="85">
        <v>238</v>
      </c>
      <c r="G6" s="85">
        <v>213</v>
      </c>
      <c r="H6" s="85">
        <v>194</v>
      </c>
      <c r="I6" s="85">
        <v>209</v>
      </c>
      <c r="J6" s="85">
        <v>217</v>
      </c>
      <c r="K6" s="201">
        <v>295</v>
      </c>
      <c r="L6" s="201">
        <v>307</v>
      </c>
      <c r="M6" s="201">
        <v>303</v>
      </c>
      <c r="N6" s="201">
        <v>268</v>
      </c>
    </row>
    <row r="7" spans="2:15" ht="15">
      <c r="B7" s="7"/>
      <c r="C7" s="8" t="s">
        <v>12</v>
      </c>
      <c r="D7" s="8">
        <f>SUM('COMM-jb'!H7,'FILM-jb'!H7,'PCUL-jb'!H7)</f>
        <v>1</v>
      </c>
      <c r="E7" s="85">
        <f>SUM('COMM-jb'!I7,'FILM-jb'!I7,'PCUL-jb'!I7)</f>
        <v>1</v>
      </c>
      <c r="F7" s="85"/>
      <c r="G7" s="85">
        <v>1</v>
      </c>
      <c r="H7" s="85">
        <v>1</v>
      </c>
      <c r="I7" s="85"/>
      <c r="J7" s="85"/>
      <c r="K7" s="201"/>
      <c r="L7" s="201"/>
      <c r="M7" s="201"/>
      <c r="N7" s="201">
        <v>1</v>
      </c>
    </row>
    <row r="8" spans="2:15" ht="15">
      <c r="B8" s="7" t="s">
        <v>2</v>
      </c>
      <c r="C8" s="3" t="s">
        <v>13</v>
      </c>
      <c r="D8" s="43">
        <f t="shared" ref="D8:I8" si="0">D6+D7</f>
        <v>204</v>
      </c>
      <c r="E8" s="77">
        <f t="shared" si="0"/>
        <v>251</v>
      </c>
      <c r="F8" s="77">
        <f t="shared" si="0"/>
        <v>238</v>
      </c>
      <c r="G8" s="77">
        <f t="shared" si="0"/>
        <v>214</v>
      </c>
      <c r="H8" s="77">
        <f t="shared" si="0"/>
        <v>195</v>
      </c>
      <c r="I8" s="77">
        <f t="shared" si="0"/>
        <v>209</v>
      </c>
      <c r="J8" s="77">
        <v>217</v>
      </c>
      <c r="K8" s="202">
        <v>295</v>
      </c>
      <c r="L8" s="202">
        <v>307</v>
      </c>
      <c r="M8" s="202">
        <v>303</v>
      </c>
      <c r="N8" s="202">
        <v>269</v>
      </c>
    </row>
    <row r="9" spans="2:15" thickBot="1">
      <c r="B9" s="7"/>
      <c r="C9" s="2" t="s">
        <v>14</v>
      </c>
      <c r="D9" s="2">
        <f>SUM('COMM-jb'!H9,'FILM-jb'!H9,'PCUL-jb'!H9)</f>
        <v>0</v>
      </c>
      <c r="E9" s="88">
        <f>SUM('COMM-jb'!I9,'FILM-jb'!I9,'PCUL-jb'!I9)</f>
        <v>0</v>
      </c>
      <c r="F9" s="88"/>
      <c r="G9" s="88"/>
      <c r="H9" s="88"/>
      <c r="I9" s="88"/>
      <c r="J9" s="88"/>
      <c r="K9" s="203"/>
      <c r="L9" s="203"/>
      <c r="M9" s="203"/>
      <c r="N9" s="203"/>
    </row>
    <row r="10" spans="2:15" ht="17.100000000000001" customHeight="1" thickTop="1" thickBot="1">
      <c r="B10" s="7"/>
      <c r="C10" s="13" t="s">
        <v>15</v>
      </c>
      <c r="D10" s="44">
        <f t="shared" ref="D10:I10" si="1">D8+D9</f>
        <v>204</v>
      </c>
      <c r="E10" s="78">
        <f t="shared" si="1"/>
        <v>251</v>
      </c>
      <c r="F10" s="78">
        <f t="shared" si="1"/>
        <v>238</v>
      </c>
      <c r="G10" s="78">
        <f t="shared" si="1"/>
        <v>214</v>
      </c>
      <c r="H10" s="78">
        <f t="shared" si="1"/>
        <v>195</v>
      </c>
      <c r="I10" s="78">
        <f t="shared" si="1"/>
        <v>209</v>
      </c>
      <c r="J10" s="78">
        <v>217</v>
      </c>
      <c r="K10" s="204">
        <v>295</v>
      </c>
      <c r="L10" s="204">
        <v>307</v>
      </c>
      <c r="M10" s="204">
        <v>303</v>
      </c>
      <c r="N10" s="204">
        <v>269</v>
      </c>
    </row>
    <row r="11" spans="2:15" ht="15">
      <c r="B11" s="4"/>
      <c r="C11" s="4" t="s">
        <v>11</v>
      </c>
      <c r="D11" s="4">
        <f>SUM('COMM-jb'!H11,'FILM-jb'!H11,'PCUL-jb'!H11)</f>
        <v>158</v>
      </c>
      <c r="E11" s="86">
        <f>SUM('COMM-jb'!I11,'FILM-jb'!I11,'PCUL-jb'!I11)</f>
        <v>244</v>
      </c>
      <c r="F11" s="86">
        <v>200</v>
      </c>
      <c r="G11" s="86">
        <v>193</v>
      </c>
      <c r="H11" s="86">
        <v>166</v>
      </c>
      <c r="I11" s="86">
        <v>153</v>
      </c>
      <c r="J11" s="86">
        <v>172</v>
      </c>
      <c r="K11" s="205">
        <v>150</v>
      </c>
      <c r="L11" s="205">
        <v>199</v>
      </c>
      <c r="M11" s="205">
        <v>183</v>
      </c>
      <c r="N11" s="205">
        <v>206</v>
      </c>
    </row>
    <row r="12" spans="2:15" ht="15">
      <c r="B12" s="7"/>
      <c r="C12" s="8" t="s">
        <v>12</v>
      </c>
      <c r="D12" s="8">
        <v>6</v>
      </c>
      <c r="E12" s="85">
        <f>'COMM-jb'!I12+'FILM-jb'!I12+'PCUL-jb'!I12</f>
        <v>9</v>
      </c>
      <c r="F12" s="85">
        <v>6</v>
      </c>
      <c r="G12" s="85">
        <v>2</v>
      </c>
      <c r="H12" s="85">
        <v>2</v>
      </c>
      <c r="I12" s="85">
        <v>1</v>
      </c>
      <c r="J12" s="85">
        <v>1</v>
      </c>
      <c r="K12" s="201">
        <v>2</v>
      </c>
      <c r="L12" s="201">
        <v>1</v>
      </c>
      <c r="M12" s="201">
        <v>1</v>
      </c>
      <c r="N12" s="201">
        <v>1</v>
      </c>
    </row>
    <row r="13" spans="2:15" ht="15">
      <c r="B13" s="7" t="s">
        <v>3</v>
      </c>
      <c r="C13" s="3" t="s">
        <v>13</v>
      </c>
      <c r="D13" s="43">
        <f t="shared" ref="D13:I13" si="2">D11+D12</f>
        <v>164</v>
      </c>
      <c r="E13" s="77">
        <f t="shared" si="2"/>
        <v>253</v>
      </c>
      <c r="F13" s="77">
        <f t="shared" si="2"/>
        <v>206</v>
      </c>
      <c r="G13" s="77">
        <f t="shared" si="2"/>
        <v>195</v>
      </c>
      <c r="H13" s="77">
        <f t="shared" si="2"/>
        <v>168</v>
      </c>
      <c r="I13" s="77">
        <f t="shared" si="2"/>
        <v>154</v>
      </c>
      <c r="J13" s="77">
        <v>173</v>
      </c>
      <c r="K13" s="202">
        <v>152</v>
      </c>
      <c r="L13" s="202">
        <v>200</v>
      </c>
      <c r="M13" s="202">
        <v>184</v>
      </c>
      <c r="N13" s="202">
        <v>207</v>
      </c>
    </row>
    <row r="14" spans="2:15" thickBot="1">
      <c r="B14" s="7"/>
      <c r="C14" s="2" t="s">
        <v>14</v>
      </c>
      <c r="D14" s="2">
        <f>SUM('COMM-jb'!H14,'FILM-jb'!H14,'PCUL-jb'!H14)</f>
        <v>0</v>
      </c>
      <c r="E14" s="88">
        <f>SUM('COMM-jb'!I14,'FILM-jb'!I14,'PCUL-jb'!I14)</f>
        <v>0</v>
      </c>
      <c r="F14" s="88"/>
      <c r="G14" s="88"/>
      <c r="H14" s="88"/>
      <c r="I14" s="88"/>
      <c r="J14" s="88"/>
      <c r="K14" s="203"/>
      <c r="L14" s="203"/>
      <c r="M14" s="203"/>
      <c r="N14" s="203"/>
    </row>
    <row r="15" spans="2:15" ht="17.100000000000001" customHeight="1" thickTop="1" thickBot="1">
      <c r="B15" s="7"/>
      <c r="C15" s="13" t="s">
        <v>15</v>
      </c>
      <c r="D15" s="44">
        <f t="shared" ref="D15:I15" si="3">D13+D14</f>
        <v>164</v>
      </c>
      <c r="E15" s="78">
        <f t="shared" si="3"/>
        <v>253</v>
      </c>
      <c r="F15" s="78">
        <f t="shared" si="3"/>
        <v>206</v>
      </c>
      <c r="G15" s="78">
        <f t="shared" si="3"/>
        <v>195</v>
      </c>
      <c r="H15" s="78">
        <f t="shared" si="3"/>
        <v>168</v>
      </c>
      <c r="I15" s="78">
        <f t="shared" si="3"/>
        <v>154</v>
      </c>
      <c r="J15" s="78">
        <v>173</v>
      </c>
      <c r="K15" s="204">
        <v>152</v>
      </c>
      <c r="L15" s="204">
        <v>200</v>
      </c>
      <c r="M15" s="204">
        <v>184</v>
      </c>
      <c r="N15" s="204">
        <v>207</v>
      </c>
    </row>
    <row r="16" spans="2:15" ht="15">
      <c r="B16" s="4"/>
      <c r="C16" s="4" t="s">
        <v>11</v>
      </c>
      <c r="D16" s="4">
        <f>SUM('COMM-jb'!H16,'FILM-jb'!H16,'PCUL-jb'!H16)</f>
        <v>141</v>
      </c>
      <c r="E16" s="86">
        <f>SUM('COMM-jb'!I16,'FILM-jb'!I16,'PCUL-jb'!I16)</f>
        <v>140</v>
      </c>
      <c r="F16" s="86">
        <v>193</v>
      </c>
      <c r="G16" s="86">
        <v>168</v>
      </c>
      <c r="H16" s="86">
        <v>153</v>
      </c>
      <c r="I16" s="86">
        <v>125</v>
      </c>
      <c r="J16" s="86">
        <v>140</v>
      </c>
      <c r="K16" s="205">
        <v>150</v>
      </c>
      <c r="L16" s="205">
        <v>119</v>
      </c>
      <c r="M16" s="205">
        <v>153</v>
      </c>
      <c r="N16" s="205">
        <v>147</v>
      </c>
    </row>
    <row r="17" spans="2:15" ht="15">
      <c r="B17" s="7"/>
      <c r="C17" s="8" t="s">
        <v>12</v>
      </c>
      <c r="D17" s="8">
        <f>SUM('COMM-jb'!H17,'FILM-jb'!H17,'PCUL-jb'!H17)</f>
        <v>6</v>
      </c>
      <c r="E17" s="85">
        <f>SUM('COMM-jb'!I17,'FILM-jb'!I17,'PCUL-jb'!I17)</f>
        <v>11</v>
      </c>
      <c r="F17" s="85">
        <v>6</v>
      </c>
      <c r="G17" s="85">
        <v>5</v>
      </c>
      <c r="H17" s="85">
        <v>2</v>
      </c>
      <c r="I17" s="85">
        <v>1</v>
      </c>
      <c r="J17" s="85">
        <v>2</v>
      </c>
      <c r="K17" s="201">
        <v>2</v>
      </c>
      <c r="L17" s="201">
        <v>2</v>
      </c>
      <c r="M17" s="201">
        <v>1</v>
      </c>
      <c r="N17" s="201"/>
    </row>
    <row r="18" spans="2:15" ht="15">
      <c r="B18" s="7" t="s">
        <v>4</v>
      </c>
      <c r="C18" s="3" t="s">
        <v>13</v>
      </c>
      <c r="D18" s="43">
        <f t="shared" ref="D18:I18" si="4">D16+D17</f>
        <v>147</v>
      </c>
      <c r="E18" s="77">
        <f t="shared" si="4"/>
        <v>151</v>
      </c>
      <c r="F18" s="77">
        <f t="shared" si="4"/>
        <v>199</v>
      </c>
      <c r="G18" s="77">
        <f t="shared" si="4"/>
        <v>173</v>
      </c>
      <c r="H18" s="77">
        <f t="shared" si="4"/>
        <v>155</v>
      </c>
      <c r="I18" s="77">
        <f t="shared" si="4"/>
        <v>126</v>
      </c>
      <c r="J18" s="77">
        <v>142</v>
      </c>
      <c r="K18" s="202">
        <v>152</v>
      </c>
      <c r="L18" s="202">
        <v>121</v>
      </c>
      <c r="M18" s="202">
        <v>154</v>
      </c>
      <c r="N18" s="202">
        <v>147</v>
      </c>
    </row>
    <row r="19" spans="2:15" thickBot="1">
      <c r="B19" s="7"/>
      <c r="C19" s="2" t="s">
        <v>14</v>
      </c>
      <c r="D19" s="2">
        <f>SUM('COMM-jb'!H19,'FILM-jb'!H19,'PCUL-jb'!H19)</f>
        <v>0</v>
      </c>
      <c r="E19" s="88">
        <f>SUM('COMM-jb'!I19,'FILM-jb'!I19,'PCUL-jb'!I19)</f>
        <v>1</v>
      </c>
      <c r="F19" s="88"/>
      <c r="G19" s="88"/>
      <c r="H19" s="88"/>
      <c r="I19" s="88"/>
      <c r="J19" s="88"/>
      <c r="K19" s="203"/>
      <c r="L19" s="203"/>
      <c r="M19" s="203"/>
      <c r="N19" s="203"/>
    </row>
    <row r="20" spans="2:15" ht="17.100000000000001" customHeight="1" thickTop="1" thickBot="1">
      <c r="B20" s="7"/>
      <c r="C20" s="13" t="s">
        <v>15</v>
      </c>
      <c r="D20" s="44">
        <f t="shared" ref="D20:I20" si="5">D18+D19</f>
        <v>147</v>
      </c>
      <c r="E20" s="78">
        <f t="shared" si="5"/>
        <v>152</v>
      </c>
      <c r="F20" s="78">
        <f t="shared" si="5"/>
        <v>199</v>
      </c>
      <c r="G20" s="78">
        <f t="shared" si="5"/>
        <v>173</v>
      </c>
      <c r="H20" s="78">
        <f t="shared" si="5"/>
        <v>155</v>
      </c>
      <c r="I20" s="78">
        <f t="shared" si="5"/>
        <v>126</v>
      </c>
      <c r="J20" s="78">
        <v>142</v>
      </c>
      <c r="K20" s="204">
        <v>152</v>
      </c>
      <c r="L20" s="204">
        <v>121</v>
      </c>
      <c r="M20" s="204">
        <v>154</v>
      </c>
      <c r="N20" s="204">
        <v>147</v>
      </c>
    </row>
    <row r="21" spans="2:15" ht="15">
      <c r="B21" s="4"/>
      <c r="C21" s="4" t="s">
        <v>11</v>
      </c>
      <c r="D21" s="4">
        <f>SUM('COMM-jb'!H21,'FILM-jb'!H21,'PCUL-jb'!H21)</f>
        <v>93</v>
      </c>
      <c r="E21" s="86">
        <f>SUM('COMM-jb'!I21,'FILM-jb'!I21,'PCUL-jb'!I21)</f>
        <v>45</v>
      </c>
      <c r="F21" s="86">
        <v>89</v>
      </c>
      <c r="G21" s="86">
        <v>87</v>
      </c>
      <c r="H21" s="86">
        <v>72</v>
      </c>
      <c r="I21" s="86">
        <v>68</v>
      </c>
      <c r="J21" s="86">
        <v>76</v>
      </c>
      <c r="K21" s="205">
        <v>66</v>
      </c>
      <c r="L21" s="205">
        <v>60</v>
      </c>
      <c r="M21" s="205">
        <v>72</v>
      </c>
      <c r="N21" s="205">
        <v>103</v>
      </c>
    </row>
    <row r="22" spans="2:15" ht="15">
      <c r="B22" s="7"/>
      <c r="C22" s="8" t="s">
        <v>12</v>
      </c>
      <c r="D22" s="8">
        <f>SUM('COMM-jb'!H22,'FILM-jb'!H22,'PCUL-jb'!H22)</f>
        <v>10</v>
      </c>
      <c r="E22" s="85">
        <f>SUM('COMM-jb'!I22,'FILM-jb'!I22,'PCUL-jb'!I22)</f>
        <v>2</v>
      </c>
      <c r="F22" s="85">
        <v>9</v>
      </c>
      <c r="G22" s="85">
        <v>6</v>
      </c>
      <c r="H22" s="85">
        <v>3</v>
      </c>
      <c r="I22" s="85">
        <v>2</v>
      </c>
      <c r="J22" s="85">
        <v>1</v>
      </c>
      <c r="K22" s="201">
        <v>3</v>
      </c>
      <c r="L22" s="201"/>
      <c r="M22" s="201">
        <v>2</v>
      </c>
      <c r="N22" s="201">
        <v>1</v>
      </c>
    </row>
    <row r="23" spans="2:15" ht="15">
      <c r="B23" s="7" t="s">
        <v>5</v>
      </c>
      <c r="C23" s="3" t="s">
        <v>13</v>
      </c>
      <c r="D23" s="43">
        <f t="shared" ref="D23:I23" si="6">D21+D22</f>
        <v>103</v>
      </c>
      <c r="E23" s="77">
        <f t="shared" si="6"/>
        <v>47</v>
      </c>
      <c r="F23" s="77">
        <f t="shared" si="6"/>
        <v>98</v>
      </c>
      <c r="G23" s="77">
        <f t="shared" si="6"/>
        <v>93</v>
      </c>
      <c r="H23" s="77">
        <f t="shared" si="6"/>
        <v>75</v>
      </c>
      <c r="I23" s="77">
        <f t="shared" si="6"/>
        <v>70</v>
      </c>
      <c r="J23" s="77">
        <v>77</v>
      </c>
      <c r="K23" s="202">
        <v>69</v>
      </c>
      <c r="L23" s="202">
        <v>60</v>
      </c>
      <c r="M23" s="202">
        <v>74</v>
      </c>
      <c r="N23" s="202">
        <v>104</v>
      </c>
    </row>
    <row r="24" spans="2:15" thickBot="1">
      <c r="B24" s="7"/>
      <c r="C24" s="2" t="s">
        <v>14</v>
      </c>
      <c r="D24" s="2">
        <f>SUM('COMM-jb'!H24,'FILM-jb'!H24,'PCUL-jb'!H24)</f>
        <v>0</v>
      </c>
      <c r="E24" s="88">
        <f>SUM('COMM-jb'!I24,'FILM-jb'!I24,'PCUL-jb'!I24)</f>
        <v>0</v>
      </c>
      <c r="F24" s="88"/>
      <c r="G24" s="88"/>
      <c r="H24" s="88"/>
      <c r="I24" s="88"/>
      <c r="J24" s="88"/>
      <c r="K24" s="203"/>
      <c r="L24" s="203"/>
      <c r="M24" s="203"/>
      <c r="N24" s="203"/>
    </row>
    <row r="25" spans="2:15" ht="17.100000000000001" customHeight="1" thickTop="1" thickBot="1">
      <c r="B25" s="7"/>
      <c r="C25" s="13" t="s">
        <v>15</v>
      </c>
      <c r="D25" s="44">
        <f t="shared" ref="D25:I25" si="7">D23+D24</f>
        <v>103</v>
      </c>
      <c r="E25" s="78">
        <f t="shared" si="7"/>
        <v>47</v>
      </c>
      <c r="F25" s="78">
        <f t="shared" si="7"/>
        <v>98</v>
      </c>
      <c r="G25" s="78">
        <f t="shared" si="7"/>
        <v>93</v>
      </c>
      <c r="H25" s="78">
        <f t="shared" si="7"/>
        <v>75</v>
      </c>
      <c r="I25" s="78">
        <f t="shared" si="7"/>
        <v>70</v>
      </c>
      <c r="J25" s="78">
        <v>77</v>
      </c>
      <c r="K25" s="204">
        <v>69</v>
      </c>
      <c r="L25" s="204">
        <v>60</v>
      </c>
      <c r="M25" s="204">
        <v>74</v>
      </c>
      <c r="N25" s="204">
        <v>104</v>
      </c>
    </row>
    <row r="26" spans="2:15" ht="21" customHeight="1">
      <c r="B26" s="16"/>
      <c r="C26" s="16" t="s">
        <v>11</v>
      </c>
      <c r="D26" s="53">
        <f>SUM(D6,D11,D16,D21)</f>
        <v>595</v>
      </c>
      <c r="E26" s="89">
        <f t="shared" ref="E26:F30" si="8">SUM(E6,E11,E16,E21)</f>
        <v>679</v>
      </c>
      <c r="F26" s="89">
        <f t="shared" si="8"/>
        <v>720</v>
      </c>
      <c r="G26" s="89">
        <f t="shared" ref="G26:I26" si="9">SUM(G6,G11,G16,G21)</f>
        <v>661</v>
      </c>
      <c r="H26" s="89">
        <f t="shared" si="9"/>
        <v>585</v>
      </c>
      <c r="I26" s="89">
        <f t="shared" si="9"/>
        <v>555</v>
      </c>
      <c r="J26" s="89">
        <v>605</v>
      </c>
      <c r="K26" s="89">
        <v>661</v>
      </c>
      <c r="L26" s="89">
        <v>685</v>
      </c>
      <c r="M26" s="89">
        <v>711</v>
      </c>
      <c r="N26" s="89">
        <v>724</v>
      </c>
    </row>
    <row r="27" spans="2:15" ht="21" customHeight="1">
      <c r="B27" s="19"/>
      <c r="C27" s="19" t="s">
        <v>12</v>
      </c>
      <c r="D27" s="48">
        <f>SUM(D7,D12,D17,D22)</f>
        <v>23</v>
      </c>
      <c r="E27" s="81">
        <f t="shared" si="8"/>
        <v>23</v>
      </c>
      <c r="F27" s="81">
        <f t="shared" si="8"/>
        <v>21</v>
      </c>
      <c r="G27" s="81">
        <f t="shared" ref="G27:H30" si="10">SUM(G7,G12,G17,G22)</f>
        <v>14</v>
      </c>
      <c r="H27" s="81">
        <f t="shared" si="10"/>
        <v>8</v>
      </c>
      <c r="I27" s="81">
        <f t="shared" ref="I27:I30" si="11">SUM(I7,I12,I17,I22)</f>
        <v>4</v>
      </c>
      <c r="J27" s="81">
        <v>4</v>
      </c>
      <c r="K27" s="81">
        <v>7</v>
      </c>
      <c r="L27" s="81">
        <v>3</v>
      </c>
      <c r="M27" s="81">
        <v>4</v>
      </c>
      <c r="N27" s="81">
        <v>3</v>
      </c>
    </row>
    <row r="28" spans="2:15" ht="21" customHeight="1">
      <c r="B28" s="22" t="s">
        <v>6</v>
      </c>
      <c r="C28" s="23" t="s">
        <v>13</v>
      </c>
      <c r="D28" s="49">
        <f>SUM(D8,D13,D18,D23)</f>
        <v>618</v>
      </c>
      <c r="E28" s="82">
        <f t="shared" si="8"/>
        <v>702</v>
      </c>
      <c r="F28" s="82">
        <f t="shared" si="8"/>
        <v>741</v>
      </c>
      <c r="G28" s="82">
        <f t="shared" si="10"/>
        <v>675</v>
      </c>
      <c r="H28" s="82">
        <f t="shared" si="10"/>
        <v>593</v>
      </c>
      <c r="I28" s="82">
        <f t="shared" si="11"/>
        <v>559</v>
      </c>
      <c r="J28" s="82">
        <v>609</v>
      </c>
      <c r="K28" s="82">
        <v>668</v>
      </c>
      <c r="L28" s="82">
        <v>688</v>
      </c>
      <c r="M28" s="82">
        <v>715</v>
      </c>
      <c r="N28" s="82">
        <v>727</v>
      </c>
    </row>
    <row r="29" spans="2:15" ht="21" customHeight="1" thickBot="1">
      <c r="B29" s="19"/>
      <c r="C29" s="26" t="s">
        <v>14</v>
      </c>
      <c r="D29" s="49">
        <f>SUM(D9,D14,D19,D24)</f>
        <v>0</v>
      </c>
      <c r="E29" s="82">
        <f t="shared" si="8"/>
        <v>1</v>
      </c>
      <c r="F29" s="82"/>
      <c r="G29" s="82"/>
      <c r="H29" s="82"/>
      <c r="I29" s="82"/>
      <c r="J29" s="82"/>
      <c r="K29" s="82"/>
      <c r="L29" s="82"/>
      <c r="M29" s="82"/>
      <c r="N29" s="82"/>
    </row>
    <row r="30" spans="2:15" ht="21" customHeight="1" thickTop="1">
      <c r="B30" s="22"/>
      <c r="C30" s="27" t="s">
        <v>15</v>
      </c>
      <c r="D30" s="50">
        <f>SUM(D10,D15,D20,D25)</f>
        <v>618</v>
      </c>
      <c r="E30" s="83">
        <f t="shared" si="8"/>
        <v>703</v>
      </c>
      <c r="F30" s="83">
        <f t="shared" si="8"/>
        <v>741</v>
      </c>
      <c r="G30" s="83">
        <f t="shared" si="10"/>
        <v>675</v>
      </c>
      <c r="H30" s="83">
        <f t="shared" si="10"/>
        <v>593</v>
      </c>
      <c r="I30" s="83">
        <f t="shared" si="11"/>
        <v>559</v>
      </c>
      <c r="J30" s="83">
        <v>609</v>
      </c>
      <c r="K30" s="83">
        <v>668</v>
      </c>
      <c r="L30" s="83">
        <v>688</v>
      </c>
      <c r="M30" s="83">
        <v>715</v>
      </c>
      <c r="N30" s="83">
        <v>727</v>
      </c>
    </row>
    <row r="31" spans="2:15">
      <c r="B31" s="117" t="s">
        <v>7</v>
      </c>
      <c r="C31" s="118"/>
      <c r="D31" s="119">
        <v>222</v>
      </c>
      <c r="E31" s="120">
        <v>274</v>
      </c>
      <c r="F31" s="120">
        <v>305</v>
      </c>
      <c r="G31" s="120">
        <v>288</v>
      </c>
      <c r="H31" s="120">
        <v>220</v>
      </c>
      <c r="I31" s="120">
        <v>231</v>
      </c>
      <c r="J31" s="120">
        <v>286</v>
      </c>
      <c r="K31" s="120">
        <v>313</v>
      </c>
      <c r="L31" s="120">
        <v>328</v>
      </c>
      <c r="M31" s="120">
        <v>349</v>
      </c>
      <c r="N31" s="227">
        <v>342</v>
      </c>
      <c r="O31" s="296">
        <f>N31/N30</f>
        <v>0.47042640990371387</v>
      </c>
    </row>
    <row r="32" spans="2:15" ht="16.5" thickBot="1">
      <c r="B32" s="121" t="s">
        <v>8</v>
      </c>
      <c r="C32" s="99"/>
      <c r="D32" s="8">
        <v>396</v>
      </c>
      <c r="E32" s="85">
        <v>429</v>
      </c>
      <c r="F32" s="85">
        <v>436</v>
      </c>
      <c r="G32" s="85">
        <v>387</v>
      </c>
      <c r="H32" s="85">
        <v>373</v>
      </c>
      <c r="I32" s="85">
        <v>328</v>
      </c>
      <c r="J32" s="85">
        <v>323</v>
      </c>
      <c r="K32" s="85">
        <v>355</v>
      </c>
      <c r="L32" s="85">
        <v>360</v>
      </c>
      <c r="M32" s="85">
        <v>366</v>
      </c>
      <c r="N32" s="212">
        <v>385</v>
      </c>
      <c r="O32" s="297">
        <f>N32/N30</f>
        <v>0.52957359009628613</v>
      </c>
    </row>
    <row r="33" spans="2:15">
      <c r="B33" s="122" t="s">
        <v>9</v>
      </c>
      <c r="C33" s="34"/>
      <c r="D33" s="4">
        <v>560</v>
      </c>
      <c r="E33" s="86">
        <v>643</v>
      </c>
      <c r="F33" s="86">
        <v>675</v>
      </c>
      <c r="G33" s="86">
        <v>616</v>
      </c>
      <c r="H33" s="86">
        <v>537</v>
      </c>
      <c r="I33" s="86">
        <v>514</v>
      </c>
      <c r="J33" s="86">
        <v>552</v>
      </c>
      <c r="K33" s="86">
        <v>599</v>
      </c>
      <c r="L33" s="86">
        <v>641</v>
      </c>
      <c r="M33" s="86">
        <v>667</v>
      </c>
      <c r="N33" s="213">
        <v>685</v>
      </c>
      <c r="O33" s="296">
        <f>N33/N30</f>
        <v>0.94222833562585973</v>
      </c>
    </row>
    <row r="34" spans="2:15">
      <c r="B34" s="123" t="s">
        <v>10</v>
      </c>
      <c r="C34" s="124"/>
      <c r="D34" s="125">
        <v>58</v>
      </c>
      <c r="E34" s="126">
        <v>60</v>
      </c>
      <c r="F34" s="126">
        <v>66</v>
      </c>
      <c r="G34" s="126">
        <v>59</v>
      </c>
      <c r="H34" s="126">
        <v>56</v>
      </c>
      <c r="I34" s="126">
        <v>45</v>
      </c>
      <c r="J34" s="126">
        <v>57</v>
      </c>
      <c r="K34" s="126">
        <v>69</v>
      </c>
      <c r="L34" s="126">
        <v>47</v>
      </c>
      <c r="M34" s="126">
        <v>48</v>
      </c>
      <c r="N34" s="228">
        <v>42</v>
      </c>
      <c r="O34" s="296">
        <f>N34/N30</f>
        <v>5.7771664374140302E-2</v>
      </c>
    </row>
    <row r="35" spans="2:15" ht="27" customHeight="1">
      <c r="B35" s="530" t="s">
        <v>159</v>
      </c>
      <c r="C35" s="530"/>
      <c r="D35" s="530"/>
      <c r="E35" s="530"/>
      <c r="F35" s="530"/>
      <c r="G35" s="530"/>
      <c r="H35" s="530"/>
      <c r="I35" s="530"/>
      <c r="J35" s="530"/>
      <c r="K35" s="530"/>
      <c r="L35" s="530"/>
      <c r="M35" s="530"/>
      <c r="N35" s="530"/>
    </row>
    <row r="36" spans="2:15">
      <c r="B36" s="333"/>
      <c r="C36" s="116"/>
      <c r="D36" s="116"/>
      <c r="E36" s="52"/>
      <c r="F36" s="52"/>
      <c r="G36" s="52"/>
      <c r="H36" s="52"/>
      <c r="I36" s="52"/>
      <c r="J36" s="52"/>
      <c r="K36" s="52"/>
      <c r="L36" s="52"/>
      <c r="M36" s="52"/>
    </row>
    <row r="37" spans="2:15">
      <c r="B37" s="52"/>
      <c r="E37" s="52"/>
      <c r="F37" s="52"/>
      <c r="G37" s="52"/>
      <c r="H37" s="52"/>
      <c r="I37" s="52"/>
      <c r="J37" s="52"/>
      <c r="K37" s="52"/>
      <c r="L37" s="52"/>
      <c r="M37" s="52"/>
    </row>
    <row r="38" spans="2:15">
      <c r="B38" s="52"/>
      <c r="E38" s="52"/>
      <c r="F38" s="52"/>
      <c r="G38" s="52"/>
      <c r="H38" s="52"/>
      <c r="I38" s="52"/>
      <c r="J38" s="52"/>
      <c r="K38" s="52"/>
      <c r="L38" s="52"/>
      <c r="M38" s="52"/>
    </row>
    <row r="39" spans="2:15">
      <c r="B39" s="52"/>
      <c r="E39" s="52"/>
      <c r="F39" s="52"/>
      <c r="G39" s="52"/>
      <c r="H39" s="52"/>
      <c r="I39" s="52"/>
      <c r="J39" s="52"/>
      <c r="K39" s="52"/>
      <c r="L39" s="52"/>
      <c r="M39" s="52"/>
    </row>
    <row r="40" spans="2:15">
      <c r="B40" s="52"/>
      <c r="E40" s="52"/>
      <c r="F40" s="52"/>
      <c r="G40" s="52"/>
      <c r="H40" s="52"/>
      <c r="I40" s="52"/>
      <c r="J40" s="52"/>
      <c r="K40" s="52"/>
      <c r="L40" s="52"/>
      <c r="M40" s="52"/>
    </row>
    <row r="41" spans="2:15">
      <c r="B41" s="52"/>
      <c r="E41" s="52"/>
      <c r="F41" s="52"/>
      <c r="G41" s="52"/>
      <c r="H41" s="52"/>
      <c r="I41" s="52"/>
      <c r="J41" s="52"/>
      <c r="K41" s="52"/>
      <c r="L41" s="52"/>
      <c r="M41" s="52"/>
    </row>
    <row r="42" spans="2:15">
      <c r="B42" s="52"/>
      <c r="E42" s="52"/>
      <c r="F42" s="52"/>
      <c r="G42" s="52"/>
      <c r="H42" s="52"/>
      <c r="I42" s="52"/>
      <c r="J42" s="52"/>
      <c r="K42" s="52"/>
      <c r="L42" s="52"/>
      <c r="M42" s="52"/>
    </row>
    <row r="43" spans="2:15">
      <c r="B43" s="52"/>
      <c r="E43" s="52"/>
      <c r="F43" s="52"/>
      <c r="G43" s="52"/>
      <c r="H43" s="52"/>
      <c r="I43" s="52"/>
      <c r="J43" s="52"/>
      <c r="K43" s="52"/>
      <c r="L43" s="52"/>
      <c r="M43" s="52"/>
    </row>
    <row r="44" spans="2:15">
      <c r="B44" s="52"/>
      <c r="E44" s="52"/>
      <c r="F44" s="52"/>
      <c r="G44" s="52"/>
      <c r="H44" s="52"/>
      <c r="I44" s="52"/>
      <c r="J44" s="52"/>
      <c r="K44" s="52"/>
      <c r="L44" s="52"/>
      <c r="M44" s="52"/>
    </row>
    <row r="45" spans="2:15">
      <c r="B45" s="52"/>
      <c r="E45" s="52"/>
      <c r="F45" s="52"/>
      <c r="G45" s="52"/>
      <c r="H45" s="52"/>
      <c r="I45" s="52"/>
      <c r="J45" s="52"/>
      <c r="K45" s="52"/>
      <c r="L45" s="52"/>
      <c r="M45" s="52"/>
    </row>
    <row r="46" spans="2:15">
      <c r="B46" s="52"/>
      <c r="E46" s="52"/>
      <c r="F46" s="52"/>
      <c r="G46" s="52"/>
      <c r="H46" s="52"/>
      <c r="I46" s="52"/>
      <c r="J46" s="52"/>
      <c r="K46" s="52"/>
      <c r="L46" s="52"/>
      <c r="M46" s="52"/>
    </row>
    <row r="47" spans="2:15">
      <c r="B47" s="52"/>
      <c r="E47" s="52"/>
      <c r="F47" s="52"/>
      <c r="G47" s="52"/>
      <c r="H47" s="52"/>
      <c r="I47" s="52"/>
      <c r="J47" s="52"/>
      <c r="K47" s="52"/>
      <c r="L47" s="52"/>
      <c r="M47" s="52"/>
    </row>
    <row r="48" spans="2:15">
      <c r="B48" s="52"/>
      <c r="E48" s="52"/>
      <c r="F48" s="52"/>
      <c r="G48" s="52"/>
      <c r="H48" s="52"/>
      <c r="I48" s="52"/>
      <c r="J48" s="52"/>
      <c r="K48" s="52"/>
      <c r="L48" s="52"/>
      <c r="M48" s="52"/>
    </row>
    <row r="49" spans="2:13">
      <c r="B49" s="52"/>
      <c r="E49" s="52"/>
      <c r="F49" s="52"/>
      <c r="G49" s="52"/>
      <c r="H49" s="52"/>
      <c r="I49" s="52"/>
      <c r="J49" s="52"/>
      <c r="K49" s="52"/>
      <c r="L49" s="52"/>
      <c r="M49" s="52"/>
    </row>
    <row r="50" spans="2:13">
      <c r="B50" s="52"/>
      <c r="E50" s="52"/>
      <c r="F50" s="52"/>
      <c r="G50" s="52"/>
      <c r="H50" s="52"/>
      <c r="I50" s="52"/>
      <c r="J50" s="52"/>
      <c r="K50" s="52"/>
      <c r="L50" s="52"/>
      <c r="M50" s="52"/>
    </row>
    <row r="51" spans="2:13">
      <c r="B51" s="52"/>
      <c r="E51" s="52"/>
      <c r="F51" s="52"/>
      <c r="G51" s="52"/>
      <c r="H51" s="52"/>
      <c r="I51" s="52"/>
      <c r="J51" s="52"/>
      <c r="K51" s="52"/>
      <c r="L51" s="52"/>
      <c r="M51" s="52"/>
    </row>
    <row r="52" spans="2:13">
      <c r="B52" s="52"/>
      <c r="E52" s="52"/>
      <c r="F52" s="52"/>
      <c r="G52" s="52"/>
      <c r="H52" s="52"/>
      <c r="I52" s="52"/>
      <c r="J52" s="52"/>
      <c r="K52" s="52"/>
      <c r="L52" s="52"/>
      <c r="M52" s="52"/>
    </row>
    <row r="53" spans="2:13">
      <c r="B53" s="52"/>
      <c r="E53" s="52"/>
      <c r="F53" s="52"/>
      <c r="G53" s="52"/>
      <c r="H53" s="52"/>
      <c r="I53" s="52"/>
      <c r="J53" s="52"/>
      <c r="K53" s="52"/>
      <c r="L53" s="52"/>
      <c r="M53" s="52"/>
    </row>
    <row r="54" spans="2:13">
      <c r="B54" s="52"/>
      <c r="E54" s="52"/>
      <c r="F54" s="52"/>
      <c r="G54" s="52"/>
      <c r="H54" s="52"/>
      <c r="I54" s="52"/>
      <c r="J54" s="52"/>
      <c r="K54" s="52"/>
      <c r="L54" s="52"/>
      <c r="M54" s="52"/>
    </row>
    <row r="55" spans="2:13">
      <c r="B55" s="52"/>
      <c r="E55" s="52"/>
      <c r="F55" s="52"/>
      <c r="G55" s="52"/>
      <c r="H55" s="52"/>
      <c r="I55" s="52"/>
      <c r="J55" s="52"/>
      <c r="K55" s="52"/>
      <c r="L55" s="52"/>
      <c r="M55" s="52"/>
    </row>
  </sheetData>
  <mergeCells count="6">
    <mergeCell ref="B35:N35"/>
    <mergeCell ref="B2:O2"/>
    <mergeCell ref="B1:O1"/>
    <mergeCell ref="D4:N4"/>
    <mergeCell ref="B4:B5"/>
    <mergeCell ref="C4:C5"/>
  </mergeCells>
  <phoneticPr fontId="0" type="noConversion"/>
  <printOptions horizontalCentered="1"/>
  <pageMargins left="0.51181102362204722" right="0.51181102362204722" top="0.51181102362204722" bottom="0.51181102362204722" header="0.31496062992125984" footer="0.31496062992125984"/>
  <pageSetup scale="79" orientation="portrait" r:id="rId1"/>
  <headerFooter alignWithMargins="0">
    <oddHeader>&amp;R&amp;"Trebuchet MS,Regular"Head Count Enrolment Report Fall 2015</oddHeader>
    <oddFooter>&amp;L&amp;"Lucida Sans Unicode,Regular"&amp;10Institutional Analysis and Planning&amp;C&amp;"Lucida Sans Unicode,Regular"&amp;10Page 85&amp;R&amp;"Lucida Sans Unicode,Regular"&amp;10December 2015</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B1:O55"/>
  <sheetViews>
    <sheetView showGridLines="0" view="pageLayout" topLeftCell="A31" zoomScaleNormal="85" zoomScaleSheetLayoutView="100" workbookViewId="0">
      <selection activeCell="P5" sqref="P5"/>
    </sheetView>
  </sheetViews>
  <sheetFormatPr defaultColWidth="9.6640625" defaultRowHeight="15"/>
  <cols>
    <col min="1" max="1" width="6.21875" style="239" customWidth="1"/>
    <col min="2" max="2" width="9.6640625" style="239" customWidth="1"/>
    <col min="3" max="3" width="15.6640625" style="239" customWidth="1"/>
    <col min="4" max="4" width="13.33203125" style="239" hidden="1" customWidth="1"/>
    <col min="5" max="9" width="7.5546875" style="239" hidden="1" customWidth="1"/>
    <col min="10" max="14" width="8.77734375" style="239" customWidth="1"/>
    <col min="15" max="15" width="6.88671875" style="239" bestFit="1" customWidth="1"/>
    <col min="16" max="16384" width="9.6640625" style="239"/>
  </cols>
  <sheetData>
    <row r="1" spans="2:15" s="230" customFormat="1" ht="24" customHeight="1">
      <c r="B1" s="536" t="s">
        <v>0</v>
      </c>
      <c r="C1" s="536"/>
      <c r="D1" s="536"/>
      <c r="E1" s="536"/>
      <c r="F1" s="536"/>
      <c r="G1" s="536"/>
      <c r="H1" s="536"/>
      <c r="I1" s="536"/>
      <c r="J1" s="536"/>
      <c r="K1" s="536"/>
      <c r="L1" s="536"/>
      <c r="M1" s="536"/>
      <c r="N1" s="536"/>
      <c r="O1" s="536"/>
    </row>
    <row r="2" spans="2:15" s="231" customFormat="1" ht="25.5" customHeight="1">
      <c r="B2" s="500" t="s">
        <v>162</v>
      </c>
      <c r="C2" s="500"/>
      <c r="D2" s="500"/>
      <c r="E2" s="500"/>
      <c r="F2" s="500"/>
      <c r="G2" s="500"/>
      <c r="H2" s="500"/>
      <c r="I2" s="500"/>
      <c r="J2" s="500"/>
      <c r="K2" s="500"/>
      <c r="L2" s="500"/>
      <c r="M2" s="500"/>
      <c r="N2" s="500"/>
      <c r="O2" s="500"/>
    </row>
    <row r="3" spans="2:15" s="230" customFormat="1" ht="21" customHeight="1">
      <c r="B3" s="501" t="s">
        <v>153</v>
      </c>
      <c r="C3" s="501"/>
      <c r="D3" s="501"/>
      <c r="E3" s="501"/>
      <c r="F3" s="501"/>
      <c r="G3" s="501"/>
      <c r="H3" s="501"/>
      <c r="I3" s="501"/>
      <c r="J3" s="501"/>
      <c r="K3" s="501"/>
      <c r="L3" s="501"/>
      <c r="M3" s="501"/>
      <c r="N3" s="501"/>
    </row>
    <row r="4" spans="2:15" ht="15.75" customHeight="1">
      <c r="B4" s="502" t="s">
        <v>59</v>
      </c>
      <c r="C4" s="502" t="s">
        <v>60</v>
      </c>
      <c r="D4" s="537" t="s">
        <v>149</v>
      </c>
      <c r="E4" s="537"/>
      <c r="F4" s="537"/>
      <c r="G4" s="537"/>
      <c r="H4" s="537"/>
      <c r="I4" s="537"/>
      <c r="J4" s="537"/>
      <c r="K4" s="537"/>
      <c r="L4" s="537"/>
      <c r="M4" s="537"/>
      <c r="N4" s="538"/>
    </row>
    <row r="5" spans="2:15" s="233" customFormat="1" ht="15.75">
      <c r="B5" s="503"/>
      <c r="C5" s="503"/>
      <c r="D5" s="428" t="s">
        <v>64</v>
      </c>
      <c r="E5" s="428" t="s">
        <v>63</v>
      </c>
      <c r="F5" s="428" t="s">
        <v>147</v>
      </c>
      <c r="G5" s="428" t="s">
        <v>148</v>
      </c>
      <c r="H5" s="429" t="s">
        <v>57</v>
      </c>
      <c r="I5" s="430" t="s">
        <v>69</v>
      </c>
      <c r="J5" s="430" t="s">
        <v>124</v>
      </c>
      <c r="K5" s="430" t="s">
        <v>146</v>
      </c>
      <c r="L5" s="430" t="s">
        <v>158</v>
      </c>
      <c r="M5" s="430" t="s">
        <v>166</v>
      </c>
      <c r="N5" s="430" t="s">
        <v>187</v>
      </c>
    </row>
    <row r="6" spans="2:15">
      <c r="B6" s="235"/>
      <c r="C6" s="235" t="s">
        <v>11</v>
      </c>
      <c r="D6" s="532" t="s">
        <v>62</v>
      </c>
      <c r="E6" s="274">
        <v>41</v>
      </c>
      <c r="F6" s="274">
        <v>46</v>
      </c>
      <c r="G6" s="274">
        <v>34</v>
      </c>
      <c r="H6" s="274">
        <v>1</v>
      </c>
      <c r="I6" s="274"/>
      <c r="J6" s="431"/>
      <c r="K6" s="431"/>
      <c r="L6" s="431"/>
      <c r="M6" s="431"/>
      <c r="N6" s="431"/>
    </row>
    <row r="7" spans="2:15">
      <c r="B7" s="240"/>
      <c r="C7" s="235" t="s">
        <v>12</v>
      </c>
      <c r="D7" s="533"/>
      <c r="E7" s="274">
        <v>0</v>
      </c>
      <c r="F7" s="274"/>
      <c r="G7" s="274"/>
      <c r="H7" s="274"/>
      <c r="I7" s="274"/>
      <c r="J7" s="431"/>
      <c r="K7" s="431"/>
      <c r="L7" s="431"/>
      <c r="M7" s="431"/>
      <c r="N7" s="431"/>
    </row>
    <row r="8" spans="2:15">
      <c r="B8" s="240" t="s">
        <v>2</v>
      </c>
      <c r="C8" s="243" t="s">
        <v>13</v>
      </c>
      <c r="D8" s="533"/>
      <c r="E8" s="245">
        <v>41</v>
      </c>
      <c r="F8" s="245">
        <v>46</v>
      </c>
      <c r="G8" s="245">
        <v>34</v>
      </c>
      <c r="H8" s="245">
        <f>H6+H7</f>
        <v>1</v>
      </c>
      <c r="I8" s="245"/>
      <c r="J8" s="360"/>
      <c r="K8" s="360"/>
      <c r="L8" s="360"/>
      <c r="M8" s="360"/>
      <c r="N8" s="360"/>
    </row>
    <row r="9" spans="2:15" ht="15.75" thickBot="1">
      <c r="B9" s="240"/>
      <c r="C9" s="247" t="s">
        <v>14</v>
      </c>
      <c r="D9" s="534"/>
      <c r="E9" s="432">
        <v>0</v>
      </c>
      <c r="F9" s="432"/>
      <c r="G9" s="432"/>
      <c r="H9" s="432"/>
      <c r="I9" s="432"/>
      <c r="J9" s="433"/>
      <c r="K9" s="433"/>
      <c r="L9" s="433"/>
      <c r="M9" s="433"/>
      <c r="N9" s="433"/>
    </row>
    <row r="10" spans="2:15" ht="17.100000000000001" customHeight="1" thickTop="1" thickBot="1">
      <c r="B10" s="240"/>
      <c r="C10" s="248" t="s">
        <v>15</v>
      </c>
      <c r="D10" s="249"/>
      <c r="E10" s="250">
        <v>41</v>
      </c>
      <c r="F10" s="250">
        <v>46</v>
      </c>
      <c r="G10" s="250">
        <v>34</v>
      </c>
      <c r="H10" s="250">
        <f>H8+H9</f>
        <v>1</v>
      </c>
      <c r="I10" s="250"/>
      <c r="J10" s="361"/>
      <c r="K10" s="361"/>
      <c r="L10" s="361"/>
      <c r="M10" s="361"/>
      <c r="N10" s="361"/>
    </row>
    <row r="11" spans="2:15">
      <c r="B11" s="252"/>
      <c r="C11" s="252" t="s">
        <v>11</v>
      </c>
      <c r="D11" s="252"/>
      <c r="E11" s="277">
        <v>18</v>
      </c>
      <c r="F11" s="277">
        <v>15</v>
      </c>
      <c r="G11" s="277">
        <v>12</v>
      </c>
      <c r="H11" s="277">
        <v>7</v>
      </c>
      <c r="I11" s="277">
        <v>1</v>
      </c>
      <c r="J11" s="434"/>
      <c r="K11" s="434"/>
      <c r="L11" s="434"/>
      <c r="M11" s="434"/>
      <c r="N11" s="434"/>
    </row>
    <row r="12" spans="2:15">
      <c r="B12" s="240"/>
      <c r="C12" s="235" t="s">
        <v>12</v>
      </c>
      <c r="D12" s="235"/>
      <c r="E12" s="274">
        <v>0</v>
      </c>
      <c r="F12" s="274"/>
      <c r="G12" s="274"/>
      <c r="H12" s="274"/>
      <c r="I12" s="274"/>
      <c r="J12" s="431"/>
      <c r="K12" s="431"/>
      <c r="L12" s="431"/>
      <c r="M12" s="431"/>
      <c r="N12" s="431"/>
    </row>
    <row r="13" spans="2:15">
      <c r="B13" s="240" t="s">
        <v>3</v>
      </c>
      <c r="C13" s="243" t="s">
        <v>13</v>
      </c>
      <c r="D13" s="244"/>
      <c r="E13" s="245">
        <v>18</v>
      </c>
      <c r="F13" s="245">
        <v>15</v>
      </c>
      <c r="G13" s="245">
        <v>12</v>
      </c>
      <c r="H13" s="245">
        <f>H11+H12</f>
        <v>7</v>
      </c>
      <c r="I13" s="245">
        <f>I11+I12</f>
        <v>1</v>
      </c>
      <c r="J13" s="360"/>
      <c r="K13" s="360"/>
      <c r="L13" s="360"/>
      <c r="M13" s="360"/>
      <c r="N13" s="360"/>
    </row>
    <row r="14" spans="2:15" ht="15.75" thickBot="1">
      <c r="B14" s="240"/>
      <c r="C14" s="247" t="s">
        <v>14</v>
      </c>
      <c r="D14" s="247"/>
      <c r="E14" s="432">
        <v>0</v>
      </c>
      <c r="F14" s="432"/>
      <c r="G14" s="432"/>
      <c r="H14" s="432"/>
      <c r="I14" s="432"/>
      <c r="J14" s="433"/>
      <c r="K14" s="433"/>
      <c r="L14" s="433"/>
      <c r="M14" s="433"/>
      <c r="N14" s="433"/>
    </row>
    <row r="15" spans="2:15" ht="17.100000000000001" customHeight="1" thickTop="1" thickBot="1">
      <c r="B15" s="240"/>
      <c r="C15" s="248" t="s">
        <v>15</v>
      </c>
      <c r="D15" s="249"/>
      <c r="E15" s="250">
        <v>18</v>
      </c>
      <c r="F15" s="250">
        <v>15</v>
      </c>
      <c r="G15" s="250">
        <v>12</v>
      </c>
      <c r="H15" s="250">
        <f>H13+H14</f>
        <v>7</v>
      </c>
      <c r="I15" s="250">
        <f>I13+I14</f>
        <v>1</v>
      </c>
      <c r="J15" s="361"/>
      <c r="K15" s="361"/>
      <c r="L15" s="361"/>
      <c r="M15" s="361"/>
      <c r="N15" s="361"/>
    </row>
    <row r="16" spans="2:15">
      <c r="B16" s="252"/>
      <c r="C16" s="252" t="s">
        <v>11</v>
      </c>
      <c r="D16" s="252"/>
      <c r="E16" s="277">
        <v>18</v>
      </c>
      <c r="F16" s="277">
        <v>7</v>
      </c>
      <c r="G16" s="277">
        <v>13</v>
      </c>
      <c r="H16" s="277">
        <v>12</v>
      </c>
      <c r="I16" s="277">
        <v>6</v>
      </c>
      <c r="J16" s="434"/>
      <c r="K16" s="434"/>
      <c r="L16" s="434"/>
      <c r="M16" s="434"/>
      <c r="N16" s="434"/>
    </row>
    <row r="17" spans="2:15">
      <c r="B17" s="240"/>
      <c r="C17" s="235" t="s">
        <v>12</v>
      </c>
      <c r="D17" s="235"/>
      <c r="E17" s="274">
        <v>0</v>
      </c>
      <c r="F17" s="274"/>
      <c r="G17" s="274"/>
      <c r="H17" s="274"/>
      <c r="I17" s="274"/>
      <c r="J17" s="431"/>
      <c r="K17" s="431"/>
      <c r="L17" s="431"/>
      <c r="M17" s="431"/>
      <c r="N17" s="431"/>
    </row>
    <row r="18" spans="2:15">
      <c r="B18" s="240" t="s">
        <v>4</v>
      </c>
      <c r="C18" s="243" t="s">
        <v>13</v>
      </c>
      <c r="D18" s="244"/>
      <c r="E18" s="245">
        <v>18</v>
      </c>
      <c r="F18" s="245">
        <v>7</v>
      </c>
      <c r="G18" s="245">
        <v>13</v>
      </c>
      <c r="H18" s="245">
        <f>H16+H17</f>
        <v>12</v>
      </c>
      <c r="I18" s="245">
        <f>I16+I17</f>
        <v>6</v>
      </c>
      <c r="J18" s="360"/>
      <c r="K18" s="360"/>
      <c r="L18" s="360"/>
      <c r="M18" s="360"/>
      <c r="N18" s="360"/>
    </row>
    <row r="19" spans="2:15" ht="15.75" thickBot="1">
      <c r="B19" s="240"/>
      <c r="C19" s="247" t="s">
        <v>14</v>
      </c>
      <c r="D19" s="247"/>
      <c r="E19" s="432">
        <v>0</v>
      </c>
      <c r="F19" s="432"/>
      <c r="G19" s="432"/>
      <c r="H19" s="432"/>
      <c r="I19" s="432"/>
      <c r="J19" s="433"/>
      <c r="K19" s="433"/>
      <c r="L19" s="433"/>
      <c r="M19" s="433"/>
      <c r="N19" s="433"/>
    </row>
    <row r="20" spans="2:15" ht="17.100000000000001" customHeight="1" thickTop="1" thickBot="1">
      <c r="B20" s="240"/>
      <c r="C20" s="248" t="s">
        <v>15</v>
      </c>
      <c r="D20" s="249"/>
      <c r="E20" s="250">
        <v>18</v>
      </c>
      <c r="F20" s="250">
        <v>7</v>
      </c>
      <c r="G20" s="250">
        <v>13</v>
      </c>
      <c r="H20" s="250">
        <f>H18+H19</f>
        <v>12</v>
      </c>
      <c r="I20" s="250">
        <f>I18+I19</f>
        <v>6</v>
      </c>
      <c r="J20" s="361"/>
      <c r="K20" s="361"/>
      <c r="L20" s="361"/>
      <c r="M20" s="361"/>
      <c r="N20" s="361"/>
    </row>
    <row r="21" spans="2:15">
      <c r="B21" s="252"/>
      <c r="C21" s="252" t="s">
        <v>11</v>
      </c>
      <c r="D21" s="252"/>
      <c r="E21" s="277">
        <v>11</v>
      </c>
      <c r="F21" s="277">
        <v>13</v>
      </c>
      <c r="G21" s="277">
        <v>2</v>
      </c>
      <c r="H21" s="277">
        <v>3</v>
      </c>
      <c r="I21" s="277">
        <v>4</v>
      </c>
      <c r="J21" s="434"/>
      <c r="K21" s="434"/>
      <c r="L21" s="434"/>
      <c r="M21" s="434"/>
      <c r="N21" s="434"/>
    </row>
    <row r="22" spans="2:15">
      <c r="B22" s="240"/>
      <c r="C22" s="235" t="s">
        <v>12</v>
      </c>
      <c r="D22" s="235"/>
      <c r="E22" s="274">
        <v>0</v>
      </c>
      <c r="F22" s="274"/>
      <c r="G22" s="274"/>
      <c r="H22" s="274"/>
      <c r="I22" s="274"/>
      <c r="J22" s="431"/>
      <c r="K22" s="431"/>
      <c r="L22" s="431"/>
      <c r="M22" s="431"/>
      <c r="N22" s="431"/>
    </row>
    <row r="23" spans="2:15">
      <c r="B23" s="240" t="s">
        <v>5</v>
      </c>
      <c r="C23" s="243" t="s">
        <v>13</v>
      </c>
      <c r="D23" s="244"/>
      <c r="E23" s="245">
        <v>11</v>
      </c>
      <c r="F23" s="245">
        <v>13</v>
      </c>
      <c r="G23" s="245">
        <v>2</v>
      </c>
      <c r="H23" s="245">
        <f>H21+H22</f>
        <v>3</v>
      </c>
      <c r="I23" s="245">
        <f>I21+I22</f>
        <v>4</v>
      </c>
      <c r="J23" s="360"/>
      <c r="K23" s="360"/>
      <c r="L23" s="360"/>
      <c r="M23" s="360"/>
      <c r="N23" s="360"/>
    </row>
    <row r="24" spans="2:15" ht="15.75" thickBot="1">
      <c r="B24" s="240"/>
      <c r="C24" s="247" t="s">
        <v>14</v>
      </c>
      <c r="D24" s="247"/>
      <c r="E24" s="432">
        <v>0</v>
      </c>
      <c r="F24" s="432"/>
      <c r="G24" s="432"/>
      <c r="H24" s="432"/>
      <c r="I24" s="432"/>
      <c r="J24" s="433"/>
      <c r="K24" s="433"/>
      <c r="L24" s="433"/>
      <c r="M24" s="433"/>
      <c r="N24" s="433"/>
    </row>
    <row r="25" spans="2:15" ht="17.100000000000001" customHeight="1" thickTop="1" thickBot="1">
      <c r="B25" s="240"/>
      <c r="C25" s="248" t="s">
        <v>15</v>
      </c>
      <c r="D25" s="249"/>
      <c r="E25" s="250">
        <v>11</v>
      </c>
      <c r="F25" s="250">
        <v>13</v>
      </c>
      <c r="G25" s="250">
        <v>2</v>
      </c>
      <c r="H25" s="250">
        <f>H23+H24</f>
        <v>3</v>
      </c>
      <c r="I25" s="250">
        <f>I23+I24</f>
        <v>4</v>
      </c>
      <c r="J25" s="361"/>
      <c r="K25" s="361"/>
      <c r="L25" s="361"/>
      <c r="M25" s="361"/>
      <c r="N25" s="361"/>
    </row>
    <row r="26" spans="2:15" ht="21" customHeight="1">
      <c r="B26" s="435"/>
      <c r="C26" s="435" t="s">
        <v>11</v>
      </c>
      <c r="D26" s="436"/>
      <c r="E26" s="437">
        <f t="shared" ref="E26:I26" si="0">SUM(E6,E11,E16,E21)</f>
        <v>88</v>
      </c>
      <c r="F26" s="437">
        <f t="shared" si="0"/>
        <v>81</v>
      </c>
      <c r="G26" s="437">
        <f t="shared" si="0"/>
        <v>61</v>
      </c>
      <c r="H26" s="437">
        <f t="shared" si="0"/>
        <v>23</v>
      </c>
      <c r="I26" s="437">
        <f t="shared" si="0"/>
        <v>11</v>
      </c>
      <c r="J26" s="438"/>
      <c r="K26" s="438"/>
      <c r="L26" s="437"/>
      <c r="M26" s="437"/>
      <c r="N26" s="437"/>
    </row>
    <row r="27" spans="2:15" ht="21" customHeight="1">
      <c r="B27" s="259"/>
      <c r="C27" s="259" t="s">
        <v>12</v>
      </c>
      <c r="D27" s="260"/>
      <c r="E27" s="261">
        <v>0</v>
      </c>
      <c r="F27" s="261"/>
      <c r="G27" s="261"/>
      <c r="H27" s="261"/>
      <c r="I27" s="261"/>
      <c r="J27" s="364"/>
      <c r="K27" s="364"/>
      <c r="L27" s="261"/>
      <c r="M27" s="261"/>
      <c r="N27" s="261"/>
    </row>
    <row r="28" spans="2:15" ht="21" customHeight="1">
      <c r="B28" s="262" t="s">
        <v>6</v>
      </c>
      <c r="C28" s="263" t="s">
        <v>13</v>
      </c>
      <c r="D28" s="264"/>
      <c r="E28" s="265">
        <f t="shared" ref="E28:I28" si="1">SUM(E8,E13,E18,E23)</f>
        <v>88</v>
      </c>
      <c r="F28" s="265">
        <f t="shared" si="1"/>
        <v>81</v>
      </c>
      <c r="G28" s="265">
        <f t="shared" si="1"/>
        <v>61</v>
      </c>
      <c r="H28" s="265">
        <f t="shared" si="1"/>
        <v>23</v>
      </c>
      <c r="I28" s="265">
        <f t="shared" si="1"/>
        <v>11</v>
      </c>
      <c r="J28" s="366"/>
      <c r="K28" s="366"/>
      <c r="L28" s="265"/>
      <c r="M28" s="265"/>
      <c r="N28" s="265"/>
    </row>
    <row r="29" spans="2:15" ht="21" customHeight="1" thickBot="1">
      <c r="B29" s="259"/>
      <c r="C29" s="266" t="s">
        <v>14</v>
      </c>
      <c r="D29" s="264"/>
      <c r="E29" s="265">
        <v>0</v>
      </c>
      <c r="F29" s="265"/>
      <c r="G29" s="265"/>
      <c r="H29" s="265"/>
      <c r="I29" s="265"/>
      <c r="J29" s="366"/>
      <c r="K29" s="366"/>
      <c r="L29" s="265"/>
      <c r="M29" s="265"/>
      <c r="N29" s="265"/>
    </row>
    <row r="30" spans="2:15" ht="21" customHeight="1" thickTop="1">
      <c r="B30" s="262"/>
      <c r="C30" s="267" t="s">
        <v>15</v>
      </c>
      <c r="D30" s="268"/>
      <c r="E30" s="269">
        <f t="shared" ref="E30:I30" si="2">SUM(E10,E15,E20,E25)</f>
        <v>88</v>
      </c>
      <c r="F30" s="269">
        <f t="shared" si="2"/>
        <v>81</v>
      </c>
      <c r="G30" s="269">
        <f t="shared" si="2"/>
        <v>61</v>
      </c>
      <c r="H30" s="269">
        <f t="shared" si="2"/>
        <v>23</v>
      </c>
      <c r="I30" s="269">
        <f t="shared" si="2"/>
        <v>11</v>
      </c>
      <c r="J30" s="367"/>
      <c r="K30" s="367"/>
      <c r="L30" s="439"/>
      <c r="M30" s="439"/>
      <c r="N30" s="439"/>
    </row>
    <row r="31" spans="2:15" ht="15.75">
      <c r="B31" s="440" t="s">
        <v>7</v>
      </c>
      <c r="C31" s="441"/>
      <c r="D31" s="442"/>
      <c r="E31" s="443">
        <v>17</v>
      </c>
      <c r="F31" s="443">
        <v>22</v>
      </c>
      <c r="G31" s="443">
        <v>14</v>
      </c>
      <c r="H31" s="443">
        <v>8</v>
      </c>
      <c r="I31" s="443">
        <v>5</v>
      </c>
      <c r="J31" s="444"/>
      <c r="K31" s="444"/>
      <c r="L31" s="261"/>
      <c r="M31" s="261"/>
      <c r="N31" s="261"/>
      <c r="O31" s="298"/>
    </row>
    <row r="32" spans="2:15" ht="16.5" thickBot="1">
      <c r="B32" s="371" t="s">
        <v>8</v>
      </c>
      <c r="C32" s="372"/>
      <c r="D32" s="235"/>
      <c r="E32" s="274">
        <v>71</v>
      </c>
      <c r="F32" s="274">
        <v>59</v>
      </c>
      <c r="G32" s="274">
        <v>47</v>
      </c>
      <c r="H32" s="274">
        <v>15</v>
      </c>
      <c r="I32" s="274">
        <v>6</v>
      </c>
      <c r="J32" s="431"/>
      <c r="K32" s="431"/>
      <c r="L32" s="261"/>
      <c r="M32" s="260"/>
      <c r="N32" s="260"/>
      <c r="O32" s="426"/>
    </row>
    <row r="33" spans="2:15" ht="15.75">
      <c r="B33" s="356" t="s">
        <v>9</v>
      </c>
      <c r="C33" s="276"/>
      <c r="D33" s="252"/>
      <c r="E33" s="277">
        <v>74</v>
      </c>
      <c r="F33" s="277">
        <v>73</v>
      </c>
      <c r="G33" s="277">
        <v>52</v>
      </c>
      <c r="H33" s="277">
        <v>15</v>
      </c>
      <c r="I33" s="277">
        <v>7</v>
      </c>
      <c r="J33" s="434"/>
      <c r="K33" s="434"/>
      <c r="L33" s="437"/>
      <c r="M33" s="445"/>
      <c r="N33" s="445"/>
      <c r="O33" s="426"/>
    </row>
    <row r="34" spans="2:15" ht="15.75">
      <c r="B34" s="377" t="s">
        <v>10</v>
      </c>
      <c r="C34" s="378"/>
      <c r="D34" s="379"/>
      <c r="E34" s="380">
        <v>14</v>
      </c>
      <c r="F34" s="380">
        <v>8</v>
      </c>
      <c r="G34" s="380">
        <v>9</v>
      </c>
      <c r="H34" s="380">
        <v>8</v>
      </c>
      <c r="I34" s="380">
        <v>4</v>
      </c>
      <c r="J34" s="451"/>
      <c r="K34" s="446"/>
      <c r="L34" s="447"/>
      <c r="M34" s="448"/>
      <c r="N34" s="448"/>
      <c r="O34" s="298"/>
    </row>
    <row r="35" spans="2:15" ht="29.25" customHeight="1">
      <c r="B35" s="535" t="s">
        <v>160</v>
      </c>
      <c r="C35" s="535"/>
      <c r="D35" s="535"/>
      <c r="E35" s="535"/>
      <c r="F35" s="535"/>
      <c r="G35" s="535"/>
      <c r="H35" s="535"/>
      <c r="I35" s="535"/>
      <c r="J35" s="535"/>
      <c r="K35" s="535"/>
      <c r="L35" s="535"/>
      <c r="M35" s="535"/>
      <c r="N35" s="535"/>
    </row>
    <row r="36" spans="2:15" hidden="1">
      <c r="B36" s="449"/>
      <c r="C36" s="449"/>
      <c r="D36" s="449"/>
      <c r="E36" s="450"/>
      <c r="F36" s="450"/>
      <c r="G36" s="450"/>
      <c r="H36" s="450"/>
      <c r="I36" s="450"/>
      <c r="J36" s="450"/>
      <c r="K36" s="450"/>
      <c r="L36" s="450"/>
      <c r="M36" s="450"/>
    </row>
    <row r="37" spans="2:15" hidden="1">
      <c r="B37" s="450"/>
      <c r="E37" s="450"/>
      <c r="F37" s="450"/>
      <c r="G37" s="450"/>
      <c r="H37" s="450"/>
      <c r="I37" s="450"/>
      <c r="J37" s="450"/>
      <c r="K37" s="450"/>
      <c r="L37" s="450"/>
      <c r="M37" s="450"/>
    </row>
    <row r="38" spans="2:15" hidden="1">
      <c r="B38" s="450"/>
      <c r="E38" s="450"/>
      <c r="F38" s="450"/>
      <c r="G38" s="450"/>
      <c r="H38" s="450"/>
      <c r="I38" s="450"/>
      <c r="J38" s="450"/>
      <c r="K38" s="450"/>
      <c r="L38" s="450"/>
      <c r="M38" s="450"/>
    </row>
    <row r="39" spans="2:15" hidden="1">
      <c r="B39" s="450"/>
      <c r="E39" s="450"/>
      <c r="F39" s="450"/>
      <c r="G39" s="450"/>
      <c r="H39" s="450"/>
      <c r="I39" s="450"/>
      <c r="J39" s="450"/>
      <c r="K39" s="450"/>
      <c r="L39" s="450"/>
      <c r="M39" s="450"/>
    </row>
    <row r="40" spans="2:15" hidden="1">
      <c r="B40" s="450"/>
      <c r="E40" s="450"/>
      <c r="F40" s="450"/>
      <c r="G40" s="450"/>
      <c r="H40" s="450"/>
      <c r="I40" s="450"/>
      <c r="J40" s="450"/>
      <c r="K40" s="450"/>
      <c r="L40" s="450"/>
      <c r="M40" s="450"/>
    </row>
    <row r="41" spans="2:15" hidden="1">
      <c r="B41" s="450"/>
      <c r="E41" s="450"/>
      <c r="F41" s="450"/>
      <c r="G41" s="450"/>
      <c r="H41" s="450"/>
      <c r="I41" s="450"/>
      <c r="J41" s="450"/>
      <c r="K41" s="450"/>
      <c r="L41" s="450"/>
      <c r="M41" s="450"/>
    </row>
    <row r="42" spans="2:15" hidden="1">
      <c r="B42" s="450"/>
      <c r="E42" s="450"/>
      <c r="F42" s="450"/>
      <c r="G42" s="450"/>
      <c r="H42" s="450"/>
      <c r="I42" s="450"/>
      <c r="J42" s="450"/>
      <c r="K42" s="450"/>
      <c r="L42" s="450"/>
      <c r="M42" s="450"/>
    </row>
    <row r="43" spans="2:15" hidden="1">
      <c r="B43" s="450"/>
      <c r="E43" s="450"/>
      <c r="F43" s="450"/>
      <c r="G43" s="450"/>
      <c r="H43" s="450"/>
      <c r="I43" s="450"/>
      <c r="J43" s="450"/>
      <c r="K43" s="450"/>
      <c r="L43" s="450"/>
      <c r="M43" s="450"/>
    </row>
    <row r="44" spans="2:15" hidden="1">
      <c r="B44" s="450"/>
      <c r="E44" s="450"/>
      <c r="F44" s="450"/>
      <c r="G44" s="450"/>
      <c r="H44" s="450"/>
      <c r="I44" s="450"/>
      <c r="J44" s="450"/>
      <c r="K44" s="450"/>
      <c r="L44" s="450"/>
      <c r="M44" s="450"/>
    </row>
    <row r="45" spans="2:15" hidden="1">
      <c r="B45" s="450"/>
      <c r="E45" s="450"/>
      <c r="F45" s="450"/>
      <c r="G45" s="450"/>
      <c r="H45" s="450"/>
      <c r="I45" s="450"/>
      <c r="J45" s="450"/>
      <c r="K45" s="450"/>
      <c r="L45" s="450"/>
      <c r="M45" s="450"/>
    </row>
    <row r="46" spans="2:15" hidden="1">
      <c r="B46" s="450"/>
      <c r="E46" s="450"/>
      <c r="F46" s="450"/>
      <c r="G46" s="450"/>
      <c r="H46" s="450"/>
      <c r="I46" s="450"/>
      <c r="J46" s="450"/>
      <c r="K46" s="450"/>
      <c r="L46" s="450"/>
      <c r="M46" s="450"/>
    </row>
    <row r="47" spans="2:15" hidden="1">
      <c r="B47" s="450"/>
      <c r="E47" s="450"/>
      <c r="F47" s="450"/>
      <c r="G47" s="450"/>
      <c r="H47" s="450"/>
      <c r="I47" s="450"/>
      <c r="J47" s="450"/>
      <c r="K47" s="450"/>
      <c r="L47" s="450"/>
      <c r="M47" s="450"/>
    </row>
    <row r="48" spans="2:15" hidden="1">
      <c r="B48" s="450"/>
      <c r="E48" s="450"/>
      <c r="F48" s="450"/>
      <c r="G48" s="450"/>
      <c r="H48" s="450"/>
      <c r="I48" s="450"/>
      <c r="J48" s="450"/>
      <c r="K48" s="450"/>
      <c r="L48" s="450"/>
      <c r="M48" s="450"/>
    </row>
    <row r="49" spans="2:13" hidden="1">
      <c r="B49" s="450"/>
      <c r="E49" s="450"/>
      <c r="F49" s="450"/>
      <c r="G49" s="450"/>
      <c r="H49" s="450"/>
      <c r="I49" s="450"/>
      <c r="J49" s="450"/>
      <c r="K49" s="450"/>
      <c r="L49" s="450"/>
      <c r="M49" s="450"/>
    </row>
    <row r="50" spans="2:13" hidden="1">
      <c r="B50" s="450"/>
      <c r="E50" s="450"/>
      <c r="F50" s="450"/>
      <c r="G50" s="450"/>
      <c r="H50" s="450"/>
      <c r="I50" s="450"/>
      <c r="J50" s="450"/>
      <c r="K50" s="450"/>
      <c r="L50" s="450"/>
      <c r="M50" s="450"/>
    </row>
    <row r="51" spans="2:13" hidden="1">
      <c r="B51" s="450"/>
      <c r="E51" s="450"/>
      <c r="F51" s="450"/>
      <c r="G51" s="450"/>
      <c r="H51" s="450"/>
      <c r="I51" s="450"/>
      <c r="J51" s="450"/>
      <c r="K51" s="450"/>
      <c r="L51" s="450"/>
      <c r="M51" s="450"/>
    </row>
    <row r="52" spans="2:13" hidden="1">
      <c r="B52" s="450"/>
      <c r="E52" s="450"/>
      <c r="F52" s="450"/>
      <c r="G52" s="450"/>
      <c r="H52" s="450"/>
      <c r="I52" s="450"/>
      <c r="J52" s="450"/>
      <c r="K52" s="450"/>
      <c r="L52" s="450"/>
      <c r="M52" s="450"/>
    </row>
    <row r="53" spans="2:13" hidden="1">
      <c r="B53" s="450"/>
      <c r="E53" s="450"/>
      <c r="F53" s="450"/>
      <c r="G53" s="450"/>
      <c r="H53" s="450"/>
      <c r="I53" s="450"/>
      <c r="J53" s="450"/>
      <c r="K53" s="450"/>
      <c r="L53" s="450"/>
      <c r="M53" s="450"/>
    </row>
    <row r="54" spans="2:13" hidden="1">
      <c r="B54" s="450"/>
      <c r="E54" s="450"/>
      <c r="F54" s="450"/>
      <c r="G54" s="450"/>
      <c r="H54" s="450"/>
      <c r="I54" s="450"/>
      <c r="J54" s="450"/>
      <c r="K54" s="450"/>
      <c r="L54" s="450"/>
      <c r="M54" s="450"/>
    </row>
    <row r="55" spans="2:13" hidden="1">
      <c r="B55" s="450"/>
      <c r="E55" s="450"/>
      <c r="F55" s="450"/>
      <c r="G55" s="450"/>
      <c r="H55" s="450"/>
      <c r="I55" s="450"/>
      <c r="J55" s="450"/>
      <c r="K55" s="450"/>
      <c r="L55" s="450"/>
      <c r="M55" s="450"/>
    </row>
  </sheetData>
  <mergeCells count="8">
    <mergeCell ref="D6:D9"/>
    <mergeCell ref="B35:N35"/>
    <mergeCell ref="B1:O1"/>
    <mergeCell ref="B2:O2"/>
    <mergeCell ref="B3:N3"/>
    <mergeCell ref="B4:B5"/>
    <mergeCell ref="C4:C5"/>
    <mergeCell ref="D4:N4"/>
  </mergeCells>
  <printOptions horizontalCentered="1"/>
  <pageMargins left="0.51181102362204722" right="0.51181102362204722" top="0.51181102362204722" bottom="0.51181102362204722" header="0.31496062992125984" footer="0.31496062992125984"/>
  <pageSetup scale="97" orientation="portrait" r:id="rId1"/>
  <headerFooter alignWithMargins="0">
    <oddHeader>&amp;R&amp;"Trebuchet MS,Regular"Head Count Enrolment Report Fall 2015</oddHeader>
    <oddFooter>&amp;L&amp;"Lucida Sans Unicode,Regular"&amp;10Institutional Analysis and Planning&amp;C&amp;"Lucida Sans Unicode,Regular"&amp;10Page 86&amp;R&amp;"Lucida Sans Unicode,Regular"&amp;10December 2015</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B1:S63"/>
  <sheetViews>
    <sheetView showGridLines="0" view="pageLayout" topLeftCell="A41" zoomScaleNormal="100" zoomScaleSheetLayoutView="100" workbookViewId="0">
      <selection activeCell="R66" sqref="R66"/>
    </sheetView>
  </sheetViews>
  <sheetFormatPr defaultColWidth="9.6640625" defaultRowHeight="15"/>
  <cols>
    <col min="1" max="1" width="6" style="38" customWidth="1"/>
    <col min="2" max="2" width="9.6640625" style="38" customWidth="1"/>
    <col min="3" max="3" width="15.6640625" style="38" customWidth="1"/>
    <col min="4" max="9" width="9.6640625" style="38" hidden="1" customWidth="1"/>
    <col min="10" max="11" width="8" style="38" hidden="1" customWidth="1"/>
    <col min="12" max="13" width="7.5546875" style="38" hidden="1" customWidth="1"/>
    <col min="14" max="18" width="8.77734375" style="38" customWidth="1"/>
    <col min="19" max="19" width="6.88671875" style="38" bestFit="1" customWidth="1"/>
    <col min="20" max="16384" width="9.6640625" style="38"/>
  </cols>
  <sheetData>
    <row r="1" spans="2:19" s="194" customFormat="1" ht="24" customHeight="1">
      <c r="B1" s="465" t="s">
        <v>0</v>
      </c>
      <c r="C1" s="465"/>
      <c r="D1" s="465"/>
      <c r="E1" s="465"/>
      <c r="F1" s="465"/>
      <c r="G1" s="465"/>
      <c r="H1" s="465"/>
      <c r="I1" s="465"/>
      <c r="J1" s="465"/>
      <c r="K1" s="465"/>
      <c r="L1" s="465"/>
      <c r="M1" s="465"/>
      <c r="N1" s="465"/>
      <c r="O1" s="465"/>
      <c r="P1" s="465"/>
      <c r="Q1" s="465"/>
      <c r="R1" s="465"/>
      <c r="S1" s="465"/>
    </row>
    <row r="2" spans="2:19" s="196" customFormat="1" ht="25.5" customHeight="1">
      <c r="B2" s="464" t="s">
        <v>120</v>
      </c>
      <c r="C2" s="464"/>
      <c r="D2" s="464"/>
      <c r="E2" s="464"/>
      <c r="F2" s="464"/>
      <c r="G2" s="464"/>
      <c r="H2" s="464"/>
      <c r="I2" s="464"/>
      <c r="J2" s="464"/>
      <c r="K2" s="464"/>
      <c r="L2" s="464"/>
      <c r="M2" s="464"/>
      <c r="N2" s="464"/>
      <c r="O2" s="464"/>
      <c r="P2" s="464"/>
      <c r="Q2" s="464"/>
      <c r="R2" s="464"/>
      <c r="S2" s="464"/>
    </row>
    <row r="3" spans="2:19" s="194" customFormat="1" ht="21" customHeight="1">
      <c r="B3" s="192"/>
      <c r="C3" s="197"/>
      <c r="D3" s="197"/>
      <c r="E3" s="197"/>
      <c r="F3" s="197"/>
      <c r="G3" s="197"/>
      <c r="H3" s="197"/>
      <c r="I3" s="197"/>
      <c r="J3" s="195"/>
      <c r="K3" s="195"/>
      <c r="L3" s="195"/>
      <c r="M3" s="195"/>
      <c r="N3" s="195"/>
      <c r="O3" s="195"/>
      <c r="P3" s="195"/>
      <c r="Q3" s="195"/>
    </row>
    <row r="4" spans="2:19" ht="15.75" customHeight="1">
      <c r="B4" s="524" t="s">
        <v>59</v>
      </c>
      <c r="C4" s="524" t="s">
        <v>60</v>
      </c>
      <c r="D4" s="110"/>
      <c r="E4" s="110"/>
      <c r="F4" s="110"/>
      <c r="G4" s="110"/>
      <c r="H4" s="527" t="s">
        <v>145</v>
      </c>
      <c r="I4" s="528"/>
      <c r="J4" s="528"/>
      <c r="K4" s="528"/>
      <c r="L4" s="528"/>
      <c r="M4" s="528"/>
      <c r="N4" s="528"/>
      <c r="O4" s="528"/>
      <c r="P4" s="528"/>
      <c r="Q4" s="528"/>
      <c r="R4" s="529"/>
    </row>
    <row r="5" spans="2:19" s="106" customFormat="1" ht="15.75">
      <c r="B5" s="531"/>
      <c r="C5" s="531"/>
      <c r="D5" s="111" t="s">
        <v>17</v>
      </c>
      <c r="E5" s="111" t="s">
        <v>18</v>
      </c>
      <c r="F5" s="111" t="s">
        <v>19</v>
      </c>
      <c r="G5" s="111" t="s">
        <v>20</v>
      </c>
      <c r="H5" s="111" t="s">
        <v>21</v>
      </c>
      <c r="I5" s="111" t="s">
        <v>51</v>
      </c>
      <c r="J5" s="111" t="s">
        <v>52</v>
      </c>
      <c r="K5" s="111" t="s">
        <v>53</v>
      </c>
      <c r="L5" s="111" t="s">
        <v>57</v>
      </c>
      <c r="M5" s="111" t="s">
        <v>69</v>
      </c>
      <c r="N5" s="111" t="s">
        <v>124</v>
      </c>
      <c r="O5" s="111" t="s">
        <v>146</v>
      </c>
      <c r="P5" s="137" t="s">
        <v>158</v>
      </c>
      <c r="Q5" s="137" t="s">
        <v>166</v>
      </c>
      <c r="R5" s="137" t="s">
        <v>187</v>
      </c>
    </row>
    <row r="6" spans="2:19">
      <c r="B6" s="8"/>
      <c r="C6" s="8" t="s">
        <v>11</v>
      </c>
      <c r="D6" s="108">
        <f>81+2</f>
        <v>83</v>
      </c>
      <c r="E6" s="108">
        <f>1+65</f>
        <v>66</v>
      </c>
      <c r="F6" s="108">
        <f>53+13+28</f>
        <v>94</v>
      </c>
      <c r="G6" s="108">
        <f>43+48</f>
        <v>91</v>
      </c>
      <c r="H6" s="108">
        <f>49+46+7</f>
        <v>102</v>
      </c>
      <c r="I6" s="109">
        <v>162</v>
      </c>
      <c r="J6" s="109">
        <v>146</v>
      </c>
      <c r="K6" s="109">
        <v>137</v>
      </c>
      <c r="L6" s="109">
        <v>132</v>
      </c>
      <c r="M6" s="109">
        <f>72+4+53</f>
        <v>129</v>
      </c>
      <c r="N6" s="109">
        <v>142</v>
      </c>
      <c r="O6" s="109">
        <v>211</v>
      </c>
      <c r="P6" s="109">
        <v>242</v>
      </c>
      <c r="Q6" s="109">
        <v>261</v>
      </c>
      <c r="R6" s="109">
        <v>228</v>
      </c>
    </row>
    <row r="7" spans="2:19">
      <c r="B7" s="7"/>
      <c r="C7" s="8" t="s">
        <v>12</v>
      </c>
      <c r="D7" s="42">
        <v>0</v>
      </c>
      <c r="E7" s="42">
        <v>1</v>
      </c>
      <c r="F7" s="42">
        <v>1</v>
      </c>
      <c r="G7" s="42">
        <v>1</v>
      </c>
      <c r="H7" s="42">
        <v>0</v>
      </c>
      <c r="I7" s="76">
        <v>0</v>
      </c>
      <c r="J7" s="76"/>
      <c r="K7" s="76"/>
      <c r="L7" s="76"/>
      <c r="M7" s="76"/>
      <c r="N7" s="76"/>
      <c r="O7" s="76"/>
      <c r="P7" s="76"/>
      <c r="Q7" s="76"/>
      <c r="R7" s="76"/>
    </row>
    <row r="8" spans="2:19">
      <c r="B8" s="7" t="s">
        <v>2</v>
      </c>
      <c r="C8" s="3" t="s">
        <v>13</v>
      </c>
      <c r="D8" s="43">
        <f t="shared" ref="D8:M8" si="0">D6+D7</f>
        <v>83</v>
      </c>
      <c r="E8" s="43">
        <f t="shared" si="0"/>
        <v>67</v>
      </c>
      <c r="F8" s="43">
        <f t="shared" si="0"/>
        <v>95</v>
      </c>
      <c r="G8" s="43">
        <f t="shared" si="0"/>
        <v>92</v>
      </c>
      <c r="H8" s="43">
        <f t="shared" si="0"/>
        <v>102</v>
      </c>
      <c r="I8" s="77">
        <f t="shared" si="0"/>
        <v>162</v>
      </c>
      <c r="J8" s="77">
        <f t="shared" si="0"/>
        <v>146</v>
      </c>
      <c r="K8" s="77">
        <f t="shared" si="0"/>
        <v>137</v>
      </c>
      <c r="L8" s="77">
        <f t="shared" si="0"/>
        <v>132</v>
      </c>
      <c r="M8" s="77">
        <f t="shared" si="0"/>
        <v>129</v>
      </c>
      <c r="N8" s="77">
        <v>142</v>
      </c>
      <c r="O8" s="77">
        <v>211</v>
      </c>
      <c r="P8" s="77">
        <v>242</v>
      </c>
      <c r="Q8" s="77">
        <v>261</v>
      </c>
      <c r="R8" s="77">
        <v>228</v>
      </c>
    </row>
    <row r="9" spans="2:19" ht="15.75" thickBot="1">
      <c r="B9" s="7"/>
      <c r="C9" s="2" t="s">
        <v>14</v>
      </c>
      <c r="D9" s="43">
        <v>0</v>
      </c>
      <c r="E9" s="43">
        <v>0</v>
      </c>
      <c r="F9" s="43">
        <v>0</v>
      </c>
      <c r="G9" s="43">
        <v>0</v>
      </c>
      <c r="H9" s="43">
        <v>0</v>
      </c>
      <c r="I9" s="77">
        <v>0</v>
      </c>
      <c r="J9" s="77"/>
      <c r="K9" s="77"/>
      <c r="L9" s="77"/>
      <c r="M9" s="77"/>
      <c r="N9" s="77"/>
      <c r="O9" s="77"/>
      <c r="P9" s="77"/>
      <c r="Q9" s="77"/>
      <c r="R9" s="77"/>
    </row>
    <row r="10" spans="2:19" ht="17.100000000000001" customHeight="1" thickTop="1" thickBot="1">
      <c r="B10" s="7"/>
      <c r="C10" s="13" t="s">
        <v>15</v>
      </c>
      <c r="D10" s="44">
        <f t="shared" ref="D10:M10" si="1">D8+D9</f>
        <v>83</v>
      </c>
      <c r="E10" s="44">
        <f t="shared" si="1"/>
        <v>67</v>
      </c>
      <c r="F10" s="44">
        <f t="shared" si="1"/>
        <v>95</v>
      </c>
      <c r="G10" s="44">
        <f t="shared" si="1"/>
        <v>92</v>
      </c>
      <c r="H10" s="44">
        <f t="shared" si="1"/>
        <v>102</v>
      </c>
      <c r="I10" s="78">
        <f t="shared" si="1"/>
        <v>162</v>
      </c>
      <c r="J10" s="78">
        <f t="shared" si="1"/>
        <v>146</v>
      </c>
      <c r="K10" s="78">
        <f t="shared" si="1"/>
        <v>137</v>
      </c>
      <c r="L10" s="78">
        <f t="shared" si="1"/>
        <v>132</v>
      </c>
      <c r="M10" s="78">
        <f t="shared" si="1"/>
        <v>129</v>
      </c>
      <c r="N10" s="78">
        <v>142</v>
      </c>
      <c r="O10" s="78">
        <v>211</v>
      </c>
      <c r="P10" s="78">
        <v>242</v>
      </c>
      <c r="Q10" s="78">
        <v>261</v>
      </c>
      <c r="R10" s="78">
        <v>228</v>
      </c>
    </row>
    <row r="11" spans="2:19">
      <c r="B11" s="4"/>
      <c r="C11" s="4" t="s">
        <v>11</v>
      </c>
      <c r="D11" s="45">
        <f>94+0</f>
        <v>94</v>
      </c>
      <c r="E11" s="45">
        <f>1+100</f>
        <v>101</v>
      </c>
      <c r="F11" s="45">
        <f>76+40</f>
        <v>116</v>
      </c>
      <c r="G11" s="45">
        <f>56+37+5</f>
        <v>98</v>
      </c>
      <c r="H11" s="45">
        <f>67+42+1</f>
        <v>110</v>
      </c>
      <c r="I11" s="79">
        <v>146</v>
      </c>
      <c r="J11" s="79">
        <v>118</v>
      </c>
      <c r="K11" s="79">
        <v>125</v>
      </c>
      <c r="L11" s="79">
        <v>104</v>
      </c>
      <c r="M11" s="79">
        <f>60+3+37</f>
        <v>100</v>
      </c>
      <c r="N11" s="79">
        <v>131</v>
      </c>
      <c r="O11" s="79">
        <v>106</v>
      </c>
      <c r="P11" s="79">
        <v>143</v>
      </c>
      <c r="Q11" s="79">
        <v>144</v>
      </c>
      <c r="R11" s="79">
        <v>172</v>
      </c>
    </row>
    <row r="12" spans="2:19">
      <c r="B12" s="7"/>
      <c r="C12" s="8" t="s">
        <v>12</v>
      </c>
      <c r="D12" s="42">
        <v>3</v>
      </c>
      <c r="E12" s="42">
        <v>8</v>
      </c>
      <c r="F12" s="42">
        <v>5</v>
      </c>
      <c r="G12" s="42">
        <v>4</v>
      </c>
      <c r="H12" s="42">
        <v>3</v>
      </c>
      <c r="I12" s="76">
        <v>0</v>
      </c>
      <c r="J12" s="76"/>
      <c r="K12" s="76"/>
      <c r="L12" s="76"/>
      <c r="M12" s="76"/>
      <c r="N12" s="76"/>
      <c r="O12" s="76"/>
      <c r="P12" s="76"/>
      <c r="Q12" s="76"/>
      <c r="R12" s="76"/>
    </row>
    <row r="13" spans="2:19">
      <c r="B13" s="7" t="s">
        <v>3</v>
      </c>
      <c r="C13" s="3" t="s">
        <v>13</v>
      </c>
      <c r="D13" s="43">
        <f t="shared" ref="D13:M13" si="2">D11+D12</f>
        <v>97</v>
      </c>
      <c r="E13" s="43">
        <f t="shared" si="2"/>
        <v>109</v>
      </c>
      <c r="F13" s="43">
        <f t="shared" si="2"/>
        <v>121</v>
      </c>
      <c r="G13" s="43">
        <f t="shared" si="2"/>
        <v>102</v>
      </c>
      <c r="H13" s="43">
        <f t="shared" si="2"/>
        <v>113</v>
      </c>
      <c r="I13" s="77">
        <f t="shared" si="2"/>
        <v>146</v>
      </c>
      <c r="J13" s="77">
        <f t="shared" si="2"/>
        <v>118</v>
      </c>
      <c r="K13" s="77">
        <f t="shared" si="2"/>
        <v>125</v>
      </c>
      <c r="L13" s="77">
        <f t="shared" si="2"/>
        <v>104</v>
      </c>
      <c r="M13" s="77">
        <f t="shared" si="2"/>
        <v>100</v>
      </c>
      <c r="N13" s="77">
        <v>131</v>
      </c>
      <c r="O13" s="77">
        <v>106</v>
      </c>
      <c r="P13" s="77">
        <v>143</v>
      </c>
      <c r="Q13" s="77">
        <v>144</v>
      </c>
      <c r="R13" s="77">
        <v>172</v>
      </c>
    </row>
    <row r="14" spans="2:19" ht="15.75" thickBot="1">
      <c r="B14" s="7"/>
      <c r="C14" s="2" t="s">
        <v>14</v>
      </c>
      <c r="D14" s="43">
        <v>0</v>
      </c>
      <c r="E14" s="43">
        <v>0</v>
      </c>
      <c r="F14" s="43">
        <v>0</v>
      </c>
      <c r="G14" s="43">
        <v>0</v>
      </c>
      <c r="H14" s="43">
        <v>0</v>
      </c>
      <c r="I14" s="77">
        <v>0</v>
      </c>
      <c r="J14" s="77"/>
      <c r="K14" s="77"/>
      <c r="L14" s="77"/>
      <c r="M14" s="77"/>
      <c r="N14" s="77"/>
      <c r="O14" s="77"/>
      <c r="P14" s="77"/>
      <c r="Q14" s="77"/>
      <c r="R14" s="77"/>
    </row>
    <row r="15" spans="2:19" ht="17.100000000000001" customHeight="1" thickTop="1" thickBot="1">
      <c r="B15" s="7"/>
      <c r="C15" s="13" t="s">
        <v>15</v>
      </c>
      <c r="D15" s="44">
        <f t="shared" ref="D15:M15" si="3">D13+D14</f>
        <v>97</v>
      </c>
      <c r="E15" s="44">
        <f t="shared" si="3"/>
        <v>109</v>
      </c>
      <c r="F15" s="44">
        <f t="shared" si="3"/>
        <v>121</v>
      </c>
      <c r="G15" s="44">
        <f t="shared" si="3"/>
        <v>102</v>
      </c>
      <c r="H15" s="44">
        <f t="shared" si="3"/>
        <v>113</v>
      </c>
      <c r="I15" s="78">
        <f t="shared" si="3"/>
        <v>146</v>
      </c>
      <c r="J15" s="78">
        <f t="shared" si="3"/>
        <v>118</v>
      </c>
      <c r="K15" s="78">
        <f t="shared" si="3"/>
        <v>125</v>
      </c>
      <c r="L15" s="78">
        <f t="shared" si="3"/>
        <v>104</v>
      </c>
      <c r="M15" s="78">
        <f t="shared" si="3"/>
        <v>100</v>
      </c>
      <c r="N15" s="78">
        <v>131</v>
      </c>
      <c r="O15" s="78">
        <v>106</v>
      </c>
      <c r="P15" s="78">
        <v>143</v>
      </c>
      <c r="Q15" s="78">
        <v>144</v>
      </c>
      <c r="R15" s="78">
        <v>172</v>
      </c>
    </row>
    <row r="16" spans="2:19">
      <c r="B16" s="4"/>
      <c r="C16" s="4" t="s">
        <v>11</v>
      </c>
      <c r="D16" s="45">
        <v>131</v>
      </c>
      <c r="E16" s="45">
        <f>0+107</f>
        <v>107</v>
      </c>
      <c r="F16" s="45">
        <f>75+48</f>
        <v>123</v>
      </c>
      <c r="G16" s="45">
        <f>68+47+4</f>
        <v>119</v>
      </c>
      <c r="H16" s="45">
        <f>66+48</f>
        <v>114</v>
      </c>
      <c r="I16" s="79">
        <v>109</v>
      </c>
      <c r="J16" s="79">
        <v>118</v>
      </c>
      <c r="K16" s="79">
        <v>104</v>
      </c>
      <c r="L16" s="79">
        <v>99</v>
      </c>
      <c r="M16" s="79">
        <f>47+5+27</f>
        <v>79</v>
      </c>
      <c r="N16" s="79">
        <v>93</v>
      </c>
      <c r="O16" s="79">
        <v>115</v>
      </c>
      <c r="P16" s="79">
        <v>87</v>
      </c>
      <c r="Q16" s="79">
        <v>109</v>
      </c>
      <c r="R16" s="79">
        <v>118</v>
      </c>
    </row>
    <row r="17" spans="2:19">
      <c r="B17" s="7"/>
      <c r="C17" s="8" t="s">
        <v>12</v>
      </c>
      <c r="D17" s="42">
        <v>12</v>
      </c>
      <c r="E17" s="42">
        <v>3</v>
      </c>
      <c r="F17" s="42">
        <v>8</v>
      </c>
      <c r="G17" s="42">
        <v>4</v>
      </c>
      <c r="H17" s="42">
        <v>4</v>
      </c>
      <c r="I17" s="76">
        <v>7</v>
      </c>
      <c r="J17" s="76">
        <v>3</v>
      </c>
      <c r="K17" s="76"/>
      <c r="L17" s="76"/>
      <c r="M17" s="76"/>
      <c r="N17" s="76"/>
      <c r="O17" s="76"/>
      <c r="P17" s="76"/>
      <c r="Q17" s="76"/>
      <c r="R17" s="76"/>
    </row>
    <row r="18" spans="2:19">
      <c r="B18" s="7" t="s">
        <v>4</v>
      </c>
      <c r="C18" s="3" t="s">
        <v>13</v>
      </c>
      <c r="D18" s="43">
        <f t="shared" ref="D18:M18" si="4">D16+D17</f>
        <v>143</v>
      </c>
      <c r="E18" s="43">
        <f t="shared" si="4"/>
        <v>110</v>
      </c>
      <c r="F18" s="43">
        <f t="shared" si="4"/>
        <v>131</v>
      </c>
      <c r="G18" s="43">
        <f t="shared" si="4"/>
        <v>123</v>
      </c>
      <c r="H18" s="43">
        <f t="shared" si="4"/>
        <v>118</v>
      </c>
      <c r="I18" s="77">
        <f t="shared" si="4"/>
        <v>116</v>
      </c>
      <c r="J18" s="77">
        <f t="shared" si="4"/>
        <v>121</v>
      </c>
      <c r="K18" s="77">
        <f t="shared" si="4"/>
        <v>104</v>
      </c>
      <c r="L18" s="77">
        <f t="shared" si="4"/>
        <v>99</v>
      </c>
      <c r="M18" s="77">
        <f t="shared" si="4"/>
        <v>79</v>
      </c>
      <c r="N18" s="77">
        <v>93</v>
      </c>
      <c r="O18" s="77">
        <v>115</v>
      </c>
      <c r="P18" s="77">
        <v>87</v>
      </c>
      <c r="Q18" s="77">
        <v>109</v>
      </c>
      <c r="R18" s="77">
        <v>118</v>
      </c>
    </row>
    <row r="19" spans="2:19" ht="15.75" thickBot="1">
      <c r="B19" s="7"/>
      <c r="C19" s="2" t="s">
        <v>14</v>
      </c>
      <c r="D19" s="43">
        <v>0</v>
      </c>
      <c r="E19" s="43">
        <v>0</v>
      </c>
      <c r="F19" s="43">
        <v>0</v>
      </c>
      <c r="G19" s="43">
        <v>0</v>
      </c>
      <c r="H19" s="43">
        <v>0</v>
      </c>
      <c r="I19" s="77">
        <v>0</v>
      </c>
      <c r="J19" s="77"/>
      <c r="K19" s="77"/>
      <c r="L19" s="77"/>
      <c r="M19" s="77"/>
      <c r="N19" s="77"/>
      <c r="O19" s="77"/>
      <c r="P19" s="77"/>
      <c r="Q19" s="77"/>
      <c r="R19" s="77"/>
    </row>
    <row r="20" spans="2:19" ht="17.100000000000001" customHeight="1" thickTop="1" thickBot="1">
      <c r="B20" s="7"/>
      <c r="C20" s="13" t="s">
        <v>15</v>
      </c>
      <c r="D20" s="44">
        <f t="shared" ref="D20:M20" si="5">D18+D19</f>
        <v>143</v>
      </c>
      <c r="E20" s="44">
        <f t="shared" si="5"/>
        <v>110</v>
      </c>
      <c r="F20" s="44">
        <f t="shared" si="5"/>
        <v>131</v>
      </c>
      <c r="G20" s="44">
        <f t="shared" si="5"/>
        <v>123</v>
      </c>
      <c r="H20" s="44">
        <f t="shared" si="5"/>
        <v>118</v>
      </c>
      <c r="I20" s="78">
        <f t="shared" si="5"/>
        <v>116</v>
      </c>
      <c r="J20" s="78">
        <f t="shared" si="5"/>
        <v>121</v>
      </c>
      <c r="K20" s="78">
        <f t="shared" si="5"/>
        <v>104</v>
      </c>
      <c r="L20" s="78">
        <f t="shared" si="5"/>
        <v>99</v>
      </c>
      <c r="M20" s="78">
        <f t="shared" si="5"/>
        <v>79</v>
      </c>
      <c r="N20" s="78">
        <v>93</v>
      </c>
      <c r="O20" s="78">
        <v>115</v>
      </c>
      <c r="P20" s="78">
        <v>87</v>
      </c>
      <c r="Q20" s="78">
        <v>109</v>
      </c>
      <c r="R20" s="78">
        <v>118</v>
      </c>
    </row>
    <row r="21" spans="2:19">
      <c r="B21" s="4"/>
      <c r="C21" s="4" t="s">
        <v>11</v>
      </c>
      <c r="D21" s="45">
        <v>32</v>
      </c>
      <c r="E21" s="45">
        <f>0+49</f>
        <v>49</v>
      </c>
      <c r="F21" s="45">
        <f>42+26</f>
        <v>68</v>
      </c>
      <c r="G21" s="45">
        <f>49+19+8</f>
        <v>76</v>
      </c>
      <c r="H21" s="45">
        <f>51+24</f>
        <v>75</v>
      </c>
      <c r="I21" s="79">
        <v>37</v>
      </c>
      <c r="J21" s="79">
        <v>73</v>
      </c>
      <c r="K21" s="79">
        <v>59</v>
      </c>
      <c r="L21" s="79">
        <v>51</v>
      </c>
      <c r="M21" s="79">
        <f>31+2+13</f>
        <v>46</v>
      </c>
      <c r="N21" s="79">
        <v>54</v>
      </c>
      <c r="O21" s="79">
        <v>44</v>
      </c>
      <c r="P21" s="79">
        <v>45</v>
      </c>
      <c r="Q21" s="79">
        <v>46</v>
      </c>
      <c r="R21" s="79">
        <v>72</v>
      </c>
    </row>
    <row r="22" spans="2:19">
      <c r="B22" s="7"/>
      <c r="C22" s="8" t="s">
        <v>12</v>
      </c>
      <c r="D22" s="42">
        <v>4</v>
      </c>
      <c r="E22" s="42">
        <v>6</v>
      </c>
      <c r="F22" s="42">
        <v>3</v>
      </c>
      <c r="G22" s="42">
        <v>7</v>
      </c>
      <c r="H22" s="42">
        <v>6</v>
      </c>
      <c r="I22" s="76">
        <v>1</v>
      </c>
      <c r="J22" s="76">
        <v>6</v>
      </c>
      <c r="K22" s="76">
        <v>3</v>
      </c>
      <c r="L22" s="76">
        <v>1</v>
      </c>
      <c r="M22" s="76">
        <v>1</v>
      </c>
      <c r="N22" s="76"/>
      <c r="O22" s="76"/>
      <c r="P22" s="76"/>
      <c r="Q22" s="76"/>
      <c r="R22" s="76"/>
    </row>
    <row r="23" spans="2:19">
      <c r="B23" s="7" t="s">
        <v>5</v>
      </c>
      <c r="C23" s="3" t="s">
        <v>13</v>
      </c>
      <c r="D23" s="43">
        <f t="shared" ref="D23:M23" si="6">D21+D22</f>
        <v>36</v>
      </c>
      <c r="E23" s="43">
        <f t="shared" si="6"/>
        <v>55</v>
      </c>
      <c r="F23" s="43">
        <f t="shared" si="6"/>
        <v>71</v>
      </c>
      <c r="G23" s="43">
        <f t="shared" si="6"/>
        <v>83</v>
      </c>
      <c r="H23" s="43">
        <f t="shared" si="6"/>
        <v>81</v>
      </c>
      <c r="I23" s="77">
        <f t="shared" si="6"/>
        <v>38</v>
      </c>
      <c r="J23" s="77">
        <f t="shared" si="6"/>
        <v>79</v>
      </c>
      <c r="K23" s="77">
        <f t="shared" si="6"/>
        <v>62</v>
      </c>
      <c r="L23" s="77">
        <f t="shared" si="6"/>
        <v>52</v>
      </c>
      <c r="M23" s="77">
        <f t="shared" si="6"/>
        <v>47</v>
      </c>
      <c r="N23" s="77">
        <v>54</v>
      </c>
      <c r="O23" s="77">
        <v>44</v>
      </c>
      <c r="P23" s="77">
        <v>45</v>
      </c>
      <c r="Q23" s="77">
        <v>46</v>
      </c>
      <c r="R23" s="77">
        <v>72</v>
      </c>
    </row>
    <row r="24" spans="2:19" ht="15.75" thickBot="1">
      <c r="B24" s="7"/>
      <c r="C24" s="2" t="s">
        <v>14</v>
      </c>
      <c r="D24" s="43">
        <v>0</v>
      </c>
      <c r="E24" s="43">
        <v>0</v>
      </c>
      <c r="F24" s="43">
        <v>0</v>
      </c>
      <c r="G24" s="43">
        <v>0</v>
      </c>
      <c r="H24" s="43">
        <v>0</v>
      </c>
      <c r="I24" s="77">
        <v>0</v>
      </c>
      <c r="J24" s="77"/>
      <c r="K24" s="77"/>
      <c r="L24" s="77"/>
      <c r="M24" s="77"/>
      <c r="N24" s="77"/>
      <c r="O24" s="77"/>
      <c r="P24" s="77"/>
      <c r="Q24" s="77"/>
      <c r="R24" s="77"/>
    </row>
    <row r="25" spans="2:19" ht="17.100000000000001" customHeight="1" thickTop="1" thickBot="1">
      <c r="B25" s="7"/>
      <c r="C25" s="13" t="s">
        <v>15</v>
      </c>
      <c r="D25" s="44">
        <f t="shared" ref="D25:M25" si="7">D23+D24</f>
        <v>36</v>
      </c>
      <c r="E25" s="44">
        <f t="shared" si="7"/>
        <v>55</v>
      </c>
      <c r="F25" s="44">
        <f t="shared" si="7"/>
        <v>71</v>
      </c>
      <c r="G25" s="44">
        <f t="shared" si="7"/>
        <v>83</v>
      </c>
      <c r="H25" s="44">
        <f t="shared" si="7"/>
        <v>81</v>
      </c>
      <c r="I25" s="78">
        <f t="shared" si="7"/>
        <v>38</v>
      </c>
      <c r="J25" s="78">
        <f t="shared" si="7"/>
        <v>79</v>
      </c>
      <c r="K25" s="78">
        <f t="shared" si="7"/>
        <v>62</v>
      </c>
      <c r="L25" s="78">
        <f t="shared" si="7"/>
        <v>52</v>
      </c>
      <c r="M25" s="78">
        <f t="shared" si="7"/>
        <v>47</v>
      </c>
      <c r="N25" s="78">
        <v>54</v>
      </c>
      <c r="O25" s="78">
        <v>44</v>
      </c>
      <c r="P25" s="78">
        <v>45</v>
      </c>
      <c r="Q25" s="78">
        <v>46</v>
      </c>
      <c r="R25" s="78">
        <v>72</v>
      </c>
    </row>
    <row r="26" spans="2:19" ht="21" customHeight="1" thickTop="1">
      <c r="B26" s="46"/>
      <c r="C26" s="46" t="s">
        <v>11</v>
      </c>
      <c r="D26" s="47">
        <f t="shared" ref="D26:H27" si="8">SUM(D6,D11,D16,D21)</f>
        <v>340</v>
      </c>
      <c r="E26" s="47">
        <f t="shared" si="8"/>
        <v>323</v>
      </c>
      <c r="F26" s="47">
        <f t="shared" si="8"/>
        <v>401</v>
      </c>
      <c r="G26" s="47">
        <f t="shared" si="8"/>
        <v>384</v>
      </c>
      <c r="H26" s="47">
        <f t="shared" si="8"/>
        <v>401</v>
      </c>
      <c r="I26" s="80">
        <f t="shared" ref="I26:J30" si="9">SUM(I6,I11,I16,I21)</f>
        <v>454</v>
      </c>
      <c r="J26" s="80">
        <f t="shared" si="9"/>
        <v>455</v>
      </c>
      <c r="K26" s="80">
        <f t="shared" ref="K26:L30" si="10">SUM(K6,K11,K16,K21)</f>
        <v>425</v>
      </c>
      <c r="L26" s="80">
        <f t="shared" si="10"/>
        <v>386</v>
      </c>
      <c r="M26" s="80">
        <f>SUM(M6,M11,M16,M21)</f>
        <v>354</v>
      </c>
      <c r="N26" s="80">
        <v>420</v>
      </c>
      <c r="O26" s="80">
        <v>476</v>
      </c>
      <c r="P26" s="80">
        <v>517</v>
      </c>
      <c r="Q26" s="80">
        <v>560</v>
      </c>
      <c r="R26" s="80">
        <v>590</v>
      </c>
    </row>
    <row r="27" spans="2:19" ht="21" customHeight="1">
      <c r="B27" s="19"/>
      <c r="C27" s="19" t="s">
        <v>12</v>
      </c>
      <c r="D27" s="48">
        <f t="shared" si="8"/>
        <v>19</v>
      </c>
      <c r="E27" s="48">
        <f t="shared" si="8"/>
        <v>18</v>
      </c>
      <c r="F27" s="48">
        <f t="shared" si="8"/>
        <v>17</v>
      </c>
      <c r="G27" s="48">
        <f t="shared" si="8"/>
        <v>16</v>
      </c>
      <c r="H27" s="48">
        <f t="shared" si="8"/>
        <v>13</v>
      </c>
      <c r="I27" s="81">
        <f t="shared" si="9"/>
        <v>8</v>
      </c>
      <c r="J27" s="81">
        <f t="shared" si="9"/>
        <v>9</v>
      </c>
      <c r="K27" s="81">
        <f t="shared" si="10"/>
        <v>3</v>
      </c>
      <c r="L27" s="81">
        <f t="shared" si="10"/>
        <v>1</v>
      </c>
      <c r="M27" s="81">
        <f>SUM(M7,M12,M17,M22)</f>
        <v>1</v>
      </c>
      <c r="N27" s="81"/>
      <c r="O27" s="81"/>
      <c r="P27" s="81"/>
      <c r="Q27" s="81"/>
      <c r="R27" s="81"/>
    </row>
    <row r="28" spans="2:19" ht="21" customHeight="1">
      <c r="B28" s="22" t="s">
        <v>6</v>
      </c>
      <c r="C28" s="23" t="s">
        <v>13</v>
      </c>
      <c r="D28" s="49">
        <f>D26+D27</f>
        <v>359</v>
      </c>
      <c r="E28" s="49">
        <f>E26+E27</f>
        <v>341</v>
      </c>
      <c r="F28" s="49">
        <f t="shared" ref="F28:H30" si="11">SUM(F8,F13,F18,F23)</f>
        <v>418</v>
      </c>
      <c r="G28" s="49">
        <f t="shared" si="11"/>
        <v>400</v>
      </c>
      <c r="H28" s="49">
        <f t="shared" si="11"/>
        <v>414</v>
      </c>
      <c r="I28" s="82">
        <f t="shared" si="9"/>
        <v>462</v>
      </c>
      <c r="J28" s="82">
        <f t="shared" si="9"/>
        <v>464</v>
      </c>
      <c r="K28" s="82">
        <f t="shared" si="10"/>
        <v>428</v>
      </c>
      <c r="L28" s="82">
        <f t="shared" si="10"/>
        <v>387</v>
      </c>
      <c r="M28" s="82">
        <f>SUM(M8,M13,M18,M23)</f>
        <v>355</v>
      </c>
      <c r="N28" s="82">
        <v>420</v>
      </c>
      <c r="O28" s="82">
        <v>476</v>
      </c>
      <c r="P28" s="82">
        <v>517</v>
      </c>
      <c r="Q28" s="82">
        <v>560</v>
      </c>
      <c r="R28" s="82">
        <v>590</v>
      </c>
    </row>
    <row r="29" spans="2:19" ht="21" customHeight="1" thickBot="1">
      <c r="B29" s="19"/>
      <c r="C29" s="26" t="s">
        <v>14</v>
      </c>
      <c r="D29" s="49">
        <f>SUM(D9,D14,D19,D24)</f>
        <v>0</v>
      </c>
      <c r="E29" s="49">
        <f>SUM(E9,E14,E19,E24)</f>
        <v>0</v>
      </c>
      <c r="F29" s="49">
        <f t="shared" si="11"/>
        <v>0</v>
      </c>
      <c r="G29" s="49">
        <f t="shared" si="11"/>
        <v>0</v>
      </c>
      <c r="H29" s="49">
        <f t="shared" si="11"/>
        <v>0</v>
      </c>
      <c r="I29" s="82">
        <f t="shared" si="9"/>
        <v>0</v>
      </c>
      <c r="J29" s="82"/>
      <c r="K29" s="82"/>
      <c r="L29" s="82"/>
      <c r="M29" s="82"/>
      <c r="N29" s="82"/>
      <c r="O29" s="82"/>
      <c r="P29" s="82"/>
      <c r="Q29" s="82"/>
      <c r="R29" s="82"/>
    </row>
    <row r="30" spans="2:19" ht="21" customHeight="1" thickTop="1" thickBot="1">
      <c r="B30" s="22"/>
      <c r="C30" s="27" t="s">
        <v>15</v>
      </c>
      <c r="D30" s="50">
        <f>D28+D29</f>
        <v>359</v>
      </c>
      <c r="E30" s="50">
        <f>E28+E29</f>
        <v>341</v>
      </c>
      <c r="F30" s="50">
        <f t="shared" si="11"/>
        <v>418</v>
      </c>
      <c r="G30" s="50">
        <f t="shared" si="11"/>
        <v>400</v>
      </c>
      <c r="H30" s="50">
        <f t="shared" si="11"/>
        <v>414</v>
      </c>
      <c r="I30" s="83">
        <f t="shared" si="9"/>
        <v>462</v>
      </c>
      <c r="J30" s="83">
        <f t="shared" si="9"/>
        <v>464</v>
      </c>
      <c r="K30" s="83">
        <f t="shared" si="10"/>
        <v>428</v>
      </c>
      <c r="L30" s="83">
        <f t="shared" si="10"/>
        <v>387</v>
      </c>
      <c r="M30" s="83">
        <f>SUM(M10,M15,M20,M25)</f>
        <v>355</v>
      </c>
      <c r="N30" s="83">
        <v>420</v>
      </c>
      <c r="O30" s="83">
        <v>476</v>
      </c>
      <c r="P30" s="83">
        <v>517</v>
      </c>
      <c r="Q30" s="83">
        <v>560</v>
      </c>
      <c r="R30" s="83">
        <v>590</v>
      </c>
    </row>
    <row r="31" spans="2:19" ht="16.5" thickTop="1">
      <c r="B31" s="29" t="s">
        <v>7</v>
      </c>
      <c r="C31" s="30"/>
      <c r="D31" s="29">
        <f>150+9</f>
        <v>159</v>
      </c>
      <c r="E31" s="29">
        <f>10+131</f>
        <v>141</v>
      </c>
      <c r="F31" s="29">
        <f>157+9</f>
        <v>166</v>
      </c>
      <c r="G31" s="29">
        <v>142</v>
      </c>
      <c r="H31" s="29">
        <f>78+43+5</f>
        <v>126</v>
      </c>
      <c r="I31" s="84">
        <v>157</v>
      </c>
      <c r="J31" s="84">
        <v>178</v>
      </c>
      <c r="K31" s="84">
        <v>175</v>
      </c>
      <c r="L31" s="84">
        <v>129</v>
      </c>
      <c r="M31" s="84">
        <f>94+11+32+1</f>
        <v>138</v>
      </c>
      <c r="N31" s="84">
        <v>181</v>
      </c>
      <c r="O31" s="84">
        <v>218</v>
      </c>
      <c r="P31" s="84">
        <v>242</v>
      </c>
      <c r="Q31" s="84">
        <v>267</v>
      </c>
      <c r="R31" s="211">
        <v>270</v>
      </c>
      <c r="S31" s="296">
        <f>R31/R30</f>
        <v>0.4576271186440678</v>
      </c>
    </row>
    <row r="32" spans="2:19" ht="16.5" thickBot="1">
      <c r="B32" s="8" t="s">
        <v>8</v>
      </c>
      <c r="C32" s="31"/>
      <c r="D32" s="8">
        <f>188+12</f>
        <v>200</v>
      </c>
      <c r="E32" s="8">
        <f>10+190</f>
        <v>200</v>
      </c>
      <c r="F32" s="8">
        <f>244+8</f>
        <v>252</v>
      </c>
      <c r="G32" s="8">
        <v>258</v>
      </c>
      <c r="H32" s="8">
        <f>414-126</f>
        <v>288</v>
      </c>
      <c r="I32" s="85">
        <v>305</v>
      </c>
      <c r="J32" s="85">
        <v>286</v>
      </c>
      <c r="K32" s="85">
        <v>253</v>
      </c>
      <c r="L32" s="85">
        <v>258</v>
      </c>
      <c r="M32" s="85">
        <f>116+3+98</f>
        <v>217</v>
      </c>
      <c r="N32" s="85">
        <v>239</v>
      </c>
      <c r="O32" s="85">
        <v>258</v>
      </c>
      <c r="P32" s="85">
        <v>275</v>
      </c>
      <c r="Q32" s="85">
        <v>293</v>
      </c>
      <c r="R32" s="212">
        <v>320</v>
      </c>
      <c r="S32" s="297">
        <f>R32/R30</f>
        <v>0.5423728813559322</v>
      </c>
    </row>
    <row r="33" spans="2:19" ht="15.75">
      <c r="B33" s="4" t="s">
        <v>9</v>
      </c>
      <c r="C33" s="34"/>
      <c r="D33" s="4">
        <f>311+19</f>
        <v>330</v>
      </c>
      <c r="E33" s="4">
        <f>18+301</f>
        <v>319</v>
      </c>
      <c r="F33" s="4">
        <f>207+18+119+17+11</f>
        <v>372</v>
      </c>
      <c r="G33" s="4">
        <f>400-55</f>
        <v>345</v>
      </c>
      <c r="H33" s="4">
        <f>414-51</f>
        <v>363</v>
      </c>
      <c r="I33" s="86">
        <v>417</v>
      </c>
      <c r="J33" s="86">
        <v>419</v>
      </c>
      <c r="K33" s="86">
        <v>392</v>
      </c>
      <c r="L33" s="86">
        <v>349</v>
      </c>
      <c r="M33" s="86">
        <f>193+11+124+1</f>
        <v>329</v>
      </c>
      <c r="N33" s="86">
        <v>385</v>
      </c>
      <c r="O33" s="86">
        <v>426</v>
      </c>
      <c r="P33" s="86">
        <v>480</v>
      </c>
      <c r="Q33" s="86">
        <v>526</v>
      </c>
      <c r="R33" s="213">
        <v>559</v>
      </c>
      <c r="S33" s="296">
        <f>R33/R30</f>
        <v>0.94745762711864412</v>
      </c>
    </row>
    <row r="34" spans="2:19" ht="15.75">
      <c r="B34" s="8" t="s">
        <v>10</v>
      </c>
      <c r="C34" s="31"/>
      <c r="D34" s="8">
        <v>19</v>
      </c>
      <c r="E34" s="8">
        <v>22</v>
      </c>
      <c r="F34" s="8">
        <v>46</v>
      </c>
      <c r="G34" s="8">
        <v>55</v>
      </c>
      <c r="H34" s="8">
        <f>32+18+1</f>
        <v>51</v>
      </c>
      <c r="I34" s="87">
        <v>45</v>
      </c>
      <c r="J34" s="87">
        <v>45</v>
      </c>
      <c r="K34" s="87">
        <v>36</v>
      </c>
      <c r="L34" s="87">
        <v>38</v>
      </c>
      <c r="M34" s="87">
        <f>17+3+6</f>
        <v>26</v>
      </c>
      <c r="N34" s="87">
        <v>35</v>
      </c>
      <c r="O34" s="87">
        <v>50</v>
      </c>
      <c r="P34" s="87">
        <v>37</v>
      </c>
      <c r="Q34" s="87">
        <v>34</v>
      </c>
      <c r="R34" s="214">
        <v>31</v>
      </c>
      <c r="S34" s="296">
        <f>R34/R30</f>
        <v>5.254237288135593E-2</v>
      </c>
    </row>
    <row r="35" spans="2:19">
      <c r="B35" s="40"/>
      <c r="C35" s="40"/>
      <c r="D35" s="40"/>
      <c r="E35" s="40"/>
      <c r="F35" s="40"/>
      <c r="G35" s="40"/>
      <c r="H35" s="40"/>
    </row>
    <row r="36" spans="2:19">
      <c r="B36" s="37"/>
      <c r="C36" s="37"/>
      <c r="D36" s="37"/>
      <c r="E36" s="37"/>
      <c r="F36" s="37"/>
    </row>
    <row r="54" spans="2:3" hidden="1">
      <c r="B54" s="38" t="s">
        <v>34</v>
      </c>
      <c r="C54" s="31" t="s">
        <v>135</v>
      </c>
    </row>
    <row r="55" spans="2:3" hidden="1">
      <c r="C55" s="31" t="s">
        <v>136</v>
      </c>
    </row>
    <row r="56" spans="2:3" hidden="1">
      <c r="C56" s="31" t="s">
        <v>133</v>
      </c>
    </row>
    <row r="57" spans="2:3" hidden="1">
      <c r="C57" s="31" t="s">
        <v>137</v>
      </c>
    </row>
    <row r="58" spans="2:3" hidden="1">
      <c r="C58" s="31" t="s">
        <v>129</v>
      </c>
    </row>
    <row r="59" spans="2:3" hidden="1">
      <c r="C59" s="31" t="s">
        <v>134</v>
      </c>
    </row>
    <row r="60" spans="2:3" hidden="1">
      <c r="C60" s="31" t="s">
        <v>130</v>
      </c>
    </row>
    <row r="61" spans="2:3" hidden="1">
      <c r="C61" s="31" t="s">
        <v>131</v>
      </c>
    </row>
    <row r="62" spans="2:3" hidden="1">
      <c r="C62" s="31" t="s">
        <v>132</v>
      </c>
    </row>
    <row r="63" spans="2:3" hidden="1">
      <c r="C63" s="31" t="s">
        <v>138</v>
      </c>
    </row>
  </sheetData>
  <mergeCells count="5">
    <mergeCell ref="B4:B5"/>
    <mergeCell ref="C4:C5"/>
    <mergeCell ref="H4:R4"/>
    <mergeCell ref="B1:S1"/>
    <mergeCell ref="B2:S2"/>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87&amp;R&amp;"Lucida Sans Unicode,Regular"&amp;10December 2015</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B1:S56"/>
  <sheetViews>
    <sheetView showGridLines="0" view="pageLayout" topLeftCell="A42" zoomScaleNormal="100" zoomScaleSheetLayoutView="100" workbookViewId="0">
      <selection activeCell="R35" sqref="R35"/>
    </sheetView>
  </sheetViews>
  <sheetFormatPr defaultColWidth="9.6640625" defaultRowHeight="15"/>
  <cols>
    <col min="1" max="1" width="6" style="38" customWidth="1"/>
    <col min="2" max="2" width="9.6640625" style="38" customWidth="1"/>
    <col min="3" max="3" width="15.6640625" style="38" customWidth="1"/>
    <col min="4" max="9" width="9.6640625" style="38" hidden="1" customWidth="1"/>
    <col min="10" max="11" width="8" style="38" hidden="1" customWidth="1"/>
    <col min="12" max="13" width="7.5546875" style="38" hidden="1" customWidth="1"/>
    <col min="14" max="18" width="8.77734375" style="38" customWidth="1"/>
    <col min="19" max="19" width="6.88671875" style="38" bestFit="1" customWidth="1"/>
    <col min="20" max="16384" width="9.6640625" style="38"/>
  </cols>
  <sheetData>
    <row r="1" spans="2:18" s="194" customFormat="1" ht="24" customHeight="1">
      <c r="B1" s="465" t="s">
        <v>0</v>
      </c>
      <c r="C1" s="465"/>
      <c r="D1" s="465"/>
      <c r="E1" s="465"/>
      <c r="F1" s="465"/>
      <c r="G1" s="465"/>
      <c r="H1" s="465"/>
      <c r="I1" s="465"/>
      <c r="J1" s="465"/>
      <c r="K1" s="465"/>
      <c r="L1" s="465"/>
      <c r="M1" s="465"/>
      <c r="N1" s="465"/>
      <c r="O1" s="465"/>
      <c r="P1" s="465"/>
      <c r="Q1" s="465"/>
      <c r="R1" s="465"/>
    </row>
    <row r="2" spans="2:18" s="196" customFormat="1" ht="25.5" customHeight="1">
      <c r="B2" s="464" t="s">
        <v>37</v>
      </c>
      <c r="C2" s="464"/>
      <c r="D2" s="464"/>
      <c r="E2" s="464"/>
      <c r="F2" s="464"/>
      <c r="G2" s="464"/>
      <c r="H2" s="464"/>
      <c r="I2" s="464"/>
      <c r="J2" s="464"/>
      <c r="K2" s="464"/>
      <c r="L2" s="464"/>
      <c r="M2" s="464"/>
      <c r="N2" s="464"/>
      <c r="O2" s="464"/>
      <c r="P2" s="464"/>
      <c r="Q2" s="464"/>
      <c r="R2" s="464"/>
    </row>
    <row r="3" spans="2:18" s="194" customFormat="1" ht="21" customHeight="1">
      <c r="B3" s="192"/>
      <c r="C3" s="197"/>
      <c r="D3" s="197"/>
      <c r="E3" s="197"/>
      <c r="F3" s="197"/>
      <c r="G3" s="197"/>
      <c r="H3" s="197"/>
      <c r="I3" s="197"/>
      <c r="J3" s="195"/>
      <c r="K3" s="195"/>
      <c r="L3" s="195"/>
      <c r="M3" s="195"/>
      <c r="N3" s="195"/>
      <c r="O3" s="195"/>
      <c r="P3" s="195"/>
      <c r="Q3" s="195"/>
    </row>
    <row r="4" spans="2:18" ht="15.75" customHeight="1">
      <c r="B4" s="524" t="s">
        <v>59</v>
      </c>
      <c r="C4" s="524" t="s">
        <v>60</v>
      </c>
      <c r="D4" s="110"/>
      <c r="E4" s="110"/>
      <c r="F4" s="110"/>
      <c r="G4" s="110"/>
      <c r="H4" s="481" t="s">
        <v>145</v>
      </c>
      <c r="I4" s="482"/>
      <c r="J4" s="482"/>
      <c r="K4" s="482"/>
      <c r="L4" s="482"/>
      <c r="M4" s="482"/>
      <c r="N4" s="482"/>
      <c r="O4" s="482"/>
      <c r="P4" s="482"/>
      <c r="Q4" s="482"/>
      <c r="R4" s="483"/>
    </row>
    <row r="5" spans="2:18" s="106" customFormat="1" ht="15.75">
      <c r="B5" s="531"/>
      <c r="C5" s="531"/>
      <c r="D5" s="111" t="s">
        <v>17</v>
      </c>
      <c r="E5" s="111" t="s">
        <v>18</v>
      </c>
      <c r="F5" s="111" t="s">
        <v>19</v>
      </c>
      <c r="G5" s="111" t="s">
        <v>20</v>
      </c>
      <c r="H5" s="111" t="s">
        <v>21</v>
      </c>
      <c r="I5" s="111" t="s">
        <v>51</v>
      </c>
      <c r="J5" s="111" t="s">
        <v>52</v>
      </c>
      <c r="K5" s="111" t="s">
        <v>53</v>
      </c>
      <c r="L5" s="111" t="s">
        <v>57</v>
      </c>
      <c r="M5" s="111" t="s">
        <v>69</v>
      </c>
      <c r="N5" s="111" t="s">
        <v>124</v>
      </c>
      <c r="O5" s="111" t="s">
        <v>146</v>
      </c>
      <c r="P5" s="137" t="s">
        <v>158</v>
      </c>
      <c r="Q5" s="137" t="s">
        <v>166</v>
      </c>
      <c r="R5" s="137" t="s">
        <v>187</v>
      </c>
    </row>
    <row r="6" spans="2:18">
      <c r="B6" s="8"/>
      <c r="C6" s="8" t="s">
        <v>11</v>
      </c>
      <c r="D6" s="108">
        <v>34</v>
      </c>
      <c r="E6" s="108">
        <v>28</v>
      </c>
      <c r="F6" s="108">
        <v>26</v>
      </c>
      <c r="G6" s="108">
        <v>40</v>
      </c>
      <c r="H6" s="108">
        <v>61</v>
      </c>
      <c r="I6" s="109">
        <v>56</v>
      </c>
      <c r="J6" s="109">
        <v>58</v>
      </c>
      <c r="K6" s="109">
        <v>40</v>
      </c>
      <c r="L6" s="109">
        <v>32</v>
      </c>
      <c r="M6" s="109">
        <v>48</v>
      </c>
      <c r="N6" s="109">
        <v>58</v>
      </c>
      <c r="O6" s="109">
        <v>64</v>
      </c>
      <c r="P6" s="109">
        <v>54</v>
      </c>
      <c r="Q6" s="109">
        <v>34</v>
      </c>
      <c r="R6" s="109">
        <v>36</v>
      </c>
    </row>
    <row r="7" spans="2:18">
      <c r="B7" s="7"/>
      <c r="C7" s="8" t="s">
        <v>12</v>
      </c>
      <c r="D7" s="42">
        <v>0</v>
      </c>
      <c r="E7" s="42">
        <v>1</v>
      </c>
      <c r="F7" s="42">
        <v>1</v>
      </c>
      <c r="G7" s="42">
        <v>1</v>
      </c>
      <c r="H7" s="42">
        <v>1</v>
      </c>
      <c r="I7" s="76">
        <v>1</v>
      </c>
      <c r="J7" s="76"/>
      <c r="K7" s="76">
        <v>1</v>
      </c>
      <c r="L7" s="76">
        <v>1</v>
      </c>
      <c r="M7" s="76"/>
      <c r="N7" s="76"/>
      <c r="O7" s="76"/>
      <c r="P7" s="76"/>
      <c r="Q7" s="76"/>
      <c r="R7" s="76">
        <v>1</v>
      </c>
    </row>
    <row r="8" spans="2:18">
      <c r="B8" s="7" t="s">
        <v>2</v>
      </c>
      <c r="C8" s="3" t="s">
        <v>13</v>
      </c>
      <c r="D8" s="43">
        <f t="shared" ref="D8:M8" si="0">D6+D7</f>
        <v>34</v>
      </c>
      <c r="E8" s="43">
        <f t="shared" si="0"/>
        <v>29</v>
      </c>
      <c r="F8" s="43">
        <f t="shared" si="0"/>
        <v>27</v>
      </c>
      <c r="G8" s="43">
        <f t="shared" si="0"/>
        <v>41</v>
      </c>
      <c r="H8" s="43">
        <f t="shared" si="0"/>
        <v>62</v>
      </c>
      <c r="I8" s="77">
        <f t="shared" si="0"/>
        <v>57</v>
      </c>
      <c r="J8" s="77">
        <f t="shared" si="0"/>
        <v>58</v>
      </c>
      <c r="K8" s="77">
        <f t="shared" si="0"/>
        <v>41</v>
      </c>
      <c r="L8" s="77">
        <f t="shared" si="0"/>
        <v>33</v>
      </c>
      <c r="M8" s="77">
        <f t="shared" si="0"/>
        <v>48</v>
      </c>
      <c r="N8" s="77">
        <v>58</v>
      </c>
      <c r="O8" s="77">
        <v>64</v>
      </c>
      <c r="P8" s="77">
        <v>54</v>
      </c>
      <c r="Q8" s="77">
        <v>34</v>
      </c>
      <c r="R8" s="77">
        <v>37</v>
      </c>
    </row>
    <row r="9" spans="2:18" ht="14.1" customHeight="1" thickBot="1">
      <c r="B9" s="7"/>
      <c r="C9" s="2" t="s">
        <v>14</v>
      </c>
      <c r="D9" s="43">
        <v>0</v>
      </c>
      <c r="E9" s="43">
        <v>0</v>
      </c>
      <c r="F9" s="43">
        <v>0</v>
      </c>
      <c r="G9" s="43">
        <v>0</v>
      </c>
      <c r="H9" s="43">
        <v>0</v>
      </c>
      <c r="I9" s="77">
        <v>0</v>
      </c>
      <c r="J9" s="77"/>
      <c r="K9" s="77"/>
      <c r="L9" s="77"/>
      <c r="M9" s="77"/>
      <c r="N9" s="77"/>
      <c r="O9" s="77"/>
      <c r="P9" s="77"/>
      <c r="Q9" s="77"/>
      <c r="R9" s="77"/>
    </row>
    <row r="10" spans="2:18" ht="17.100000000000001" customHeight="1" thickTop="1" thickBot="1">
      <c r="B10" s="7"/>
      <c r="C10" s="13" t="s">
        <v>15</v>
      </c>
      <c r="D10" s="44">
        <f t="shared" ref="D10:M10" si="1">D8+D9</f>
        <v>34</v>
      </c>
      <c r="E10" s="44">
        <f t="shared" si="1"/>
        <v>29</v>
      </c>
      <c r="F10" s="44">
        <f t="shared" si="1"/>
        <v>27</v>
      </c>
      <c r="G10" s="44">
        <f t="shared" si="1"/>
        <v>41</v>
      </c>
      <c r="H10" s="44">
        <f t="shared" si="1"/>
        <v>62</v>
      </c>
      <c r="I10" s="78">
        <f t="shared" si="1"/>
        <v>57</v>
      </c>
      <c r="J10" s="78">
        <f t="shared" si="1"/>
        <v>58</v>
      </c>
      <c r="K10" s="78">
        <f t="shared" si="1"/>
        <v>41</v>
      </c>
      <c r="L10" s="78">
        <f t="shared" si="1"/>
        <v>33</v>
      </c>
      <c r="M10" s="78">
        <f t="shared" si="1"/>
        <v>48</v>
      </c>
      <c r="N10" s="78">
        <v>58</v>
      </c>
      <c r="O10" s="78">
        <v>64</v>
      </c>
      <c r="P10" s="78">
        <v>54</v>
      </c>
      <c r="Q10" s="78">
        <v>34</v>
      </c>
      <c r="R10" s="78">
        <v>37</v>
      </c>
    </row>
    <row r="11" spans="2:18">
      <c r="B11" s="4"/>
      <c r="C11" s="4" t="s">
        <v>11</v>
      </c>
      <c r="D11" s="45">
        <v>12</v>
      </c>
      <c r="E11" s="45">
        <v>20</v>
      </c>
      <c r="F11" s="45">
        <v>17</v>
      </c>
      <c r="G11" s="45">
        <v>20</v>
      </c>
      <c r="H11" s="45">
        <v>33</v>
      </c>
      <c r="I11" s="79">
        <v>59</v>
      </c>
      <c r="J11" s="79">
        <v>42</v>
      </c>
      <c r="K11" s="79">
        <v>30</v>
      </c>
      <c r="L11" s="79">
        <v>29</v>
      </c>
      <c r="M11" s="79">
        <v>22</v>
      </c>
      <c r="N11" s="79">
        <v>33</v>
      </c>
      <c r="O11" s="79">
        <v>28</v>
      </c>
      <c r="P11" s="79">
        <v>41</v>
      </c>
      <c r="Q11" s="79">
        <v>28</v>
      </c>
      <c r="R11" s="79">
        <v>23</v>
      </c>
    </row>
    <row r="12" spans="2:18">
      <c r="B12" s="7"/>
      <c r="C12" s="8" t="s">
        <v>12</v>
      </c>
      <c r="D12" s="42">
        <v>2</v>
      </c>
      <c r="E12" s="42">
        <v>7</v>
      </c>
      <c r="F12" s="42">
        <v>2</v>
      </c>
      <c r="G12" s="42">
        <v>4</v>
      </c>
      <c r="H12" s="42">
        <v>4</v>
      </c>
      <c r="I12" s="76">
        <v>7</v>
      </c>
      <c r="J12" s="76">
        <v>5</v>
      </c>
      <c r="K12" s="76">
        <v>2</v>
      </c>
      <c r="L12" s="76">
        <v>2</v>
      </c>
      <c r="M12" s="76">
        <v>1</v>
      </c>
      <c r="N12" s="76">
        <v>1</v>
      </c>
      <c r="O12" s="76">
        <v>2</v>
      </c>
      <c r="P12" s="76">
        <v>1</v>
      </c>
      <c r="Q12" s="76">
        <v>1</v>
      </c>
      <c r="R12" s="76">
        <v>1</v>
      </c>
    </row>
    <row r="13" spans="2:18">
      <c r="B13" s="7" t="s">
        <v>3</v>
      </c>
      <c r="C13" s="3" t="s">
        <v>13</v>
      </c>
      <c r="D13" s="43">
        <f t="shared" ref="D13:M13" si="2">D11+D12</f>
        <v>14</v>
      </c>
      <c r="E13" s="43">
        <f t="shared" si="2"/>
        <v>27</v>
      </c>
      <c r="F13" s="43">
        <f t="shared" si="2"/>
        <v>19</v>
      </c>
      <c r="G13" s="43">
        <f t="shared" si="2"/>
        <v>24</v>
      </c>
      <c r="H13" s="43">
        <f t="shared" si="2"/>
        <v>37</v>
      </c>
      <c r="I13" s="77">
        <f t="shared" si="2"/>
        <v>66</v>
      </c>
      <c r="J13" s="77">
        <f t="shared" si="2"/>
        <v>47</v>
      </c>
      <c r="K13" s="77">
        <f t="shared" si="2"/>
        <v>32</v>
      </c>
      <c r="L13" s="77">
        <f t="shared" si="2"/>
        <v>31</v>
      </c>
      <c r="M13" s="77">
        <f t="shared" si="2"/>
        <v>23</v>
      </c>
      <c r="N13" s="77">
        <v>34</v>
      </c>
      <c r="O13" s="77">
        <v>30</v>
      </c>
      <c r="P13" s="77">
        <v>42</v>
      </c>
      <c r="Q13" s="77">
        <v>29</v>
      </c>
      <c r="R13" s="77">
        <v>24</v>
      </c>
    </row>
    <row r="14" spans="2:18" ht="15.75" thickBot="1">
      <c r="B14" s="7"/>
      <c r="C14" s="2" t="s">
        <v>14</v>
      </c>
      <c r="D14" s="43">
        <v>0</v>
      </c>
      <c r="E14" s="43">
        <v>0</v>
      </c>
      <c r="F14" s="43">
        <v>0</v>
      </c>
      <c r="G14" s="43">
        <v>0</v>
      </c>
      <c r="H14" s="43">
        <v>0</v>
      </c>
      <c r="I14" s="77">
        <v>0</v>
      </c>
      <c r="J14" s="77"/>
      <c r="K14" s="77"/>
      <c r="L14" s="77"/>
      <c r="M14" s="77"/>
      <c r="N14" s="77"/>
      <c r="O14" s="77"/>
      <c r="P14" s="77"/>
      <c r="Q14" s="77"/>
      <c r="R14" s="77"/>
    </row>
    <row r="15" spans="2:18" ht="17.100000000000001" customHeight="1" thickTop="1" thickBot="1">
      <c r="B15" s="7"/>
      <c r="C15" s="13" t="s">
        <v>15</v>
      </c>
      <c r="D15" s="44">
        <f t="shared" ref="D15:M15" si="3">D13+D14</f>
        <v>14</v>
      </c>
      <c r="E15" s="44">
        <f t="shared" si="3"/>
        <v>27</v>
      </c>
      <c r="F15" s="44">
        <f t="shared" si="3"/>
        <v>19</v>
      </c>
      <c r="G15" s="44">
        <f t="shared" si="3"/>
        <v>24</v>
      </c>
      <c r="H15" s="44">
        <f t="shared" si="3"/>
        <v>37</v>
      </c>
      <c r="I15" s="78">
        <f t="shared" si="3"/>
        <v>66</v>
      </c>
      <c r="J15" s="78">
        <f t="shared" si="3"/>
        <v>47</v>
      </c>
      <c r="K15" s="78">
        <f t="shared" si="3"/>
        <v>32</v>
      </c>
      <c r="L15" s="78">
        <f t="shared" si="3"/>
        <v>31</v>
      </c>
      <c r="M15" s="78">
        <f t="shared" si="3"/>
        <v>23</v>
      </c>
      <c r="N15" s="78">
        <v>34</v>
      </c>
      <c r="O15" s="78">
        <v>30</v>
      </c>
      <c r="P15" s="78">
        <v>42</v>
      </c>
      <c r="Q15" s="78">
        <v>29</v>
      </c>
      <c r="R15" s="78">
        <v>24</v>
      </c>
    </row>
    <row r="16" spans="2:18">
      <c r="B16" s="4"/>
      <c r="C16" s="4" t="s">
        <v>11</v>
      </c>
      <c r="D16" s="45">
        <v>19</v>
      </c>
      <c r="E16" s="45">
        <v>11</v>
      </c>
      <c r="F16" s="45">
        <v>17</v>
      </c>
      <c r="G16" s="45">
        <v>16</v>
      </c>
      <c r="H16" s="45">
        <v>19</v>
      </c>
      <c r="I16" s="79">
        <v>21</v>
      </c>
      <c r="J16" s="79">
        <v>47</v>
      </c>
      <c r="K16" s="79">
        <v>37</v>
      </c>
      <c r="L16" s="79">
        <v>29</v>
      </c>
      <c r="M16" s="79">
        <v>24</v>
      </c>
      <c r="N16" s="79">
        <v>30</v>
      </c>
      <c r="O16" s="79">
        <v>27</v>
      </c>
      <c r="P16" s="79">
        <v>19</v>
      </c>
      <c r="Q16" s="79">
        <v>30</v>
      </c>
      <c r="R16" s="79">
        <v>21</v>
      </c>
    </row>
    <row r="17" spans="2:19">
      <c r="B17" s="7"/>
      <c r="C17" s="8" t="s">
        <v>12</v>
      </c>
      <c r="D17" s="42">
        <v>1</v>
      </c>
      <c r="E17" s="42">
        <v>5</v>
      </c>
      <c r="F17" s="42">
        <v>7</v>
      </c>
      <c r="G17" s="42">
        <v>4</v>
      </c>
      <c r="H17" s="42">
        <v>2</v>
      </c>
      <c r="I17" s="76">
        <v>3</v>
      </c>
      <c r="J17" s="76">
        <v>3</v>
      </c>
      <c r="K17" s="76">
        <v>4</v>
      </c>
      <c r="L17" s="76">
        <v>1</v>
      </c>
      <c r="M17" s="76">
        <v>1</v>
      </c>
      <c r="N17" s="76">
        <v>2</v>
      </c>
      <c r="O17" s="76">
        <v>2</v>
      </c>
      <c r="P17" s="76">
        <v>2</v>
      </c>
      <c r="Q17" s="76">
        <v>1</v>
      </c>
      <c r="R17" s="76"/>
    </row>
    <row r="18" spans="2:19">
      <c r="B18" s="7" t="s">
        <v>4</v>
      </c>
      <c r="C18" s="3" t="s">
        <v>13</v>
      </c>
      <c r="D18" s="43">
        <f t="shared" ref="D18:M18" si="4">D16+D17</f>
        <v>20</v>
      </c>
      <c r="E18" s="43">
        <f t="shared" si="4"/>
        <v>16</v>
      </c>
      <c r="F18" s="43">
        <f t="shared" si="4"/>
        <v>24</v>
      </c>
      <c r="G18" s="43">
        <f t="shared" si="4"/>
        <v>20</v>
      </c>
      <c r="H18" s="43">
        <f t="shared" si="4"/>
        <v>21</v>
      </c>
      <c r="I18" s="77">
        <f t="shared" si="4"/>
        <v>24</v>
      </c>
      <c r="J18" s="77">
        <f t="shared" si="4"/>
        <v>50</v>
      </c>
      <c r="K18" s="77">
        <f t="shared" si="4"/>
        <v>41</v>
      </c>
      <c r="L18" s="77">
        <f t="shared" si="4"/>
        <v>30</v>
      </c>
      <c r="M18" s="77">
        <f t="shared" si="4"/>
        <v>25</v>
      </c>
      <c r="N18" s="77">
        <v>32</v>
      </c>
      <c r="O18" s="77">
        <v>29</v>
      </c>
      <c r="P18" s="77">
        <v>21</v>
      </c>
      <c r="Q18" s="77">
        <v>31</v>
      </c>
      <c r="R18" s="77">
        <v>21</v>
      </c>
    </row>
    <row r="19" spans="2:19" ht="15.75" thickBot="1">
      <c r="B19" s="7"/>
      <c r="C19" s="2" t="s">
        <v>14</v>
      </c>
      <c r="D19" s="43">
        <v>0</v>
      </c>
      <c r="E19" s="43">
        <v>0</v>
      </c>
      <c r="F19" s="43">
        <v>0</v>
      </c>
      <c r="G19" s="43">
        <v>0</v>
      </c>
      <c r="H19" s="43">
        <v>0</v>
      </c>
      <c r="I19" s="77">
        <v>1</v>
      </c>
      <c r="J19" s="77"/>
      <c r="K19" s="77"/>
      <c r="L19" s="77"/>
      <c r="M19" s="77"/>
      <c r="N19" s="77"/>
      <c r="O19" s="77"/>
      <c r="P19" s="77"/>
      <c r="Q19" s="77"/>
      <c r="R19" s="77"/>
    </row>
    <row r="20" spans="2:19" ht="17.100000000000001" customHeight="1" thickTop="1" thickBot="1">
      <c r="B20" s="7"/>
      <c r="C20" s="13" t="s">
        <v>15</v>
      </c>
      <c r="D20" s="44">
        <f t="shared" ref="D20:M20" si="5">D18+D19</f>
        <v>20</v>
      </c>
      <c r="E20" s="44">
        <f t="shared" si="5"/>
        <v>16</v>
      </c>
      <c r="F20" s="44">
        <f t="shared" si="5"/>
        <v>24</v>
      </c>
      <c r="G20" s="44">
        <f t="shared" si="5"/>
        <v>20</v>
      </c>
      <c r="H20" s="44">
        <f t="shared" si="5"/>
        <v>21</v>
      </c>
      <c r="I20" s="78">
        <f t="shared" si="5"/>
        <v>25</v>
      </c>
      <c r="J20" s="78">
        <f t="shared" si="5"/>
        <v>50</v>
      </c>
      <c r="K20" s="78">
        <f t="shared" si="5"/>
        <v>41</v>
      </c>
      <c r="L20" s="78">
        <f t="shared" si="5"/>
        <v>30</v>
      </c>
      <c r="M20" s="78">
        <f t="shared" si="5"/>
        <v>25</v>
      </c>
      <c r="N20" s="78">
        <v>32</v>
      </c>
      <c r="O20" s="78">
        <v>29</v>
      </c>
      <c r="P20" s="78">
        <v>21</v>
      </c>
      <c r="Q20" s="78">
        <v>31</v>
      </c>
      <c r="R20" s="78">
        <v>21</v>
      </c>
    </row>
    <row r="21" spans="2:19">
      <c r="B21" s="4"/>
      <c r="C21" s="4" t="s">
        <v>11</v>
      </c>
      <c r="D21" s="45">
        <v>0</v>
      </c>
      <c r="E21" s="45">
        <v>6</v>
      </c>
      <c r="F21" s="45">
        <v>11</v>
      </c>
      <c r="G21" s="45">
        <v>12</v>
      </c>
      <c r="H21" s="45">
        <v>10</v>
      </c>
      <c r="I21" s="79">
        <v>5</v>
      </c>
      <c r="J21" s="79">
        <v>10</v>
      </c>
      <c r="K21" s="79">
        <v>14</v>
      </c>
      <c r="L21" s="79">
        <v>16</v>
      </c>
      <c r="M21" s="79">
        <v>12</v>
      </c>
      <c r="N21" s="79">
        <v>12</v>
      </c>
      <c r="O21" s="79">
        <v>17</v>
      </c>
      <c r="P21" s="79">
        <v>8</v>
      </c>
      <c r="Q21" s="79">
        <v>15</v>
      </c>
      <c r="R21" s="79">
        <v>20</v>
      </c>
    </row>
    <row r="22" spans="2:19">
      <c r="B22" s="7"/>
      <c r="C22" s="8" t="s">
        <v>12</v>
      </c>
      <c r="D22" s="42">
        <v>2</v>
      </c>
      <c r="E22" s="42">
        <v>3</v>
      </c>
      <c r="F22" s="42">
        <v>5</v>
      </c>
      <c r="G22" s="42">
        <v>4</v>
      </c>
      <c r="H22" s="42">
        <v>4</v>
      </c>
      <c r="I22" s="76">
        <v>1</v>
      </c>
      <c r="J22" s="76">
        <v>4</v>
      </c>
      <c r="K22" s="76">
        <v>3</v>
      </c>
      <c r="L22" s="76">
        <v>2</v>
      </c>
      <c r="M22" s="76">
        <v>1</v>
      </c>
      <c r="N22" s="76">
        <v>1</v>
      </c>
      <c r="O22" s="76">
        <v>3</v>
      </c>
      <c r="P22" s="76"/>
      <c r="Q22" s="76">
        <v>2</v>
      </c>
      <c r="R22" s="76">
        <v>1</v>
      </c>
    </row>
    <row r="23" spans="2:19">
      <c r="B23" s="7" t="s">
        <v>5</v>
      </c>
      <c r="C23" s="3" t="s">
        <v>13</v>
      </c>
      <c r="D23" s="43">
        <f t="shared" ref="D23:M23" si="6">D21+D22</f>
        <v>2</v>
      </c>
      <c r="E23" s="43">
        <f t="shared" si="6"/>
        <v>9</v>
      </c>
      <c r="F23" s="43">
        <f t="shared" si="6"/>
        <v>16</v>
      </c>
      <c r="G23" s="43">
        <f t="shared" si="6"/>
        <v>16</v>
      </c>
      <c r="H23" s="43">
        <f t="shared" si="6"/>
        <v>14</v>
      </c>
      <c r="I23" s="77">
        <f t="shared" si="6"/>
        <v>6</v>
      </c>
      <c r="J23" s="77">
        <f t="shared" si="6"/>
        <v>14</v>
      </c>
      <c r="K23" s="77">
        <f t="shared" si="6"/>
        <v>17</v>
      </c>
      <c r="L23" s="77">
        <f t="shared" si="6"/>
        <v>18</v>
      </c>
      <c r="M23" s="77">
        <f t="shared" si="6"/>
        <v>13</v>
      </c>
      <c r="N23" s="77">
        <v>13</v>
      </c>
      <c r="O23" s="77">
        <v>20</v>
      </c>
      <c r="P23" s="77">
        <v>8</v>
      </c>
      <c r="Q23" s="77">
        <v>17</v>
      </c>
      <c r="R23" s="77">
        <v>21</v>
      </c>
    </row>
    <row r="24" spans="2:19" ht="15.75" thickBot="1">
      <c r="B24" s="7"/>
      <c r="C24" s="2" t="s">
        <v>14</v>
      </c>
      <c r="D24" s="43">
        <v>0</v>
      </c>
      <c r="E24" s="43">
        <v>0</v>
      </c>
      <c r="F24" s="43">
        <v>0</v>
      </c>
      <c r="G24" s="43">
        <v>0</v>
      </c>
      <c r="H24" s="43">
        <v>0</v>
      </c>
      <c r="I24" s="77">
        <v>0</v>
      </c>
      <c r="J24" s="77"/>
      <c r="K24" s="77"/>
      <c r="L24" s="77"/>
      <c r="M24" s="77"/>
      <c r="N24" s="77"/>
      <c r="O24" s="77"/>
      <c r="P24" s="77"/>
      <c r="Q24" s="77"/>
      <c r="R24" s="77"/>
    </row>
    <row r="25" spans="2:19" ht="17.100000000000001" customHeight="1" thickTop="1" thickBot="1">
      <c r="B25" s="7"/>
      <c r="C25" s="13" t="s">
        <v>15</v>
      </c>
      <c r="D25" s="44">
        <f t="shared" ref="D25:M25" si="7">D23+D24</f>
        <v>2</v>
      </c>
      <c r="E25" s="44">
        <f t="shared" si="7"/>
        <v>9</v>
      </c>
      <c r="F25" s="44">
        <f t="shared" si="7"/>
        <v>16</v>
      </c>
      <c r="G25" s="44">
        <f t="shared" si="7"/>
        <v>16</v>
      </c>
      <c r="H25" s="44">
        <f t="shared" si="7"/>
        <v>14</v>
      </c>
      <c r="I25" s="78">
        <f t="shared" si="7"/>
        <v>6</v>
      </c>
      <c r="J25" s="78">
        <f t="shared" si="7"/>
        <v>14</v>
      </c>
      <c r="K25" s="78">
        <f t="shared" si="7"/>
        <v>17</v>
      </c>
      <c r="L25" s="78">
        <f t="shared" si="7"/>
        <v>18</v>
      </c>
      <c r="M25" s="78">
        <f t="shared" si="7"/>
        <v>13</v>
      </c>
      <c r="N25" s="78">
        <v>13</v>
      </c>
      <c r="O25" s="78">
        <v>20</v>
      </c>
      <c r="P25" s="78">
        <v>8</v>
      </c>
      <c r="Q25" s="78">
        <v>17</v>
      </c>
      <c r="R25" s="78">
        <v>21</v>
      </c>
    </row>
    <row r="26" spans="2:19" ht="21" customHeight="1" thickTop="1">
      <c r="B26" s="46"/>
      <c r="C26" s="46" t="s">
        <v>11</v>
      </c>
      <c r="D26" s="47">
        <f t="shared" ref="D26:H27" si="8">SUM(D6,D11,D16,D21)</f>
        <v>65</v>
      </c>
      <c r="E26" s="47">
        <f t="shared" si="8"/>
        <v>65</v>
      </c>
      <c r="F26" s="47">
        <f t="shared" si="8"/>
        <v>71</v>
      </c>
      <c r="G26" s="47">
        <f t="shared" si="8"/>
        <v>88</v>
      </c>
      <c r="H26" s="47">
        <f t="shared" si="8"/>
        <v>123</v>
      </c>
      <c r="I26" s="80">
        <f t="shared" ref="I26:J30" si="9">SUM(I6,I11,I16,I21)</f>
        <v>141</v>
      </c>
      <c r="J26" s="80">
        <f t="shared" si="9"/>
        <v>157</v>
      </c>
      <c r="K26" s="80">
        <f t="shared" ref="K26:L30" si="10">SUM(K6,K11,K16,K21)</f>
        <v>121</v>
      </c>
      <c r="L26" s="80">
        <f t="shared" si="10"/>
        <v>106</v>
      </c>
      <c r="M26" s="80">
        <f>SUM(M6,M11,M16,M21)</f>
        <v>106</v>
      </c>
      <c r="N26" s="80">
        <v>133</v>
      </c>
      <c r="O26" s="80">
        <v>136</v>
      </c>
      <c r="P26" s="80">
        <v>122</v>
      </c>
      <c r="Q26" s="80">
        <v>107</v>
      </c>
      <c r="R26" s="80">
        <v>103</v>
      </c>
    </row>
    <row r="27" spans="2:19" ht="21" customHeight="1">
      <c r="B27" s="19"/>
      <c r="C27" s="19" t="s">
        <v>12</v>
      </c>
      <c r="D27" s="48">
        <f t="shared" si="8"/>
        <v>5</v>
      </c>
      <c r="E27" s="48">
        <f t="shared" si="8"/>
        <v>16</v>
      </c>
      <c r="F27" s="48">
        <f t="shared" si="8"/>
        <v>15</v>
      </c>
      <c r="G27" s="48">
        <f t="shared" si="8"/>
        <v>13</v>
      </c>
      <c r="H27" s="48">
        <f t="shared" si="8"/>
        <v>11</v>
      </c>
      <c r="I27" s="81">
        <f t="shared" si="9"/>
        <v>12</v>
      </c>
      <c r="J27" s="81">
        <f t="shared" si="9"/>
        <v>12</v>
      </c>
      <c r="K27" s="81">
        <f t="shared" si="10"/>
        <v>10</v>
      </c>
      <c r="L27" s="81">
        <f t="shared" si="10"/>
        <v>6</v>
      </c>
      <c r="M27" s="81">
        <f>SUM(M7,M12,M17,M22)</f>
        <v>3</v>
      </c>
      <c r="N27" s="81">
        <v>4</v>
      </c>
      <c r="O27" s="81">
        <v>7</v>
      </c>
      <c r="P27" s="81">
        <v>3</v>
      </c>
      <c r="Q27" s="81">
        <v>4</v>
      </c>
      <c r="R27" s="81"/>
    </row>
    <row r="28" spans="2:19" ht="21" customHeight="1">
      <c r="B28" s="22" t="s">
        <v>6</v>
      </c>
      <c r="C28" s="23" t="s">
        <v>13</v>
      </c>
      <c r="D28" s="49">
        <f>D26+D27</f>
        <v>70</v>
      </c>
      <c r="E28" s="49">
        <f>E26+E27</f>
        <v>81</v>
      </c>
      <c r="F28" s="49">
        <f t="shared" ref="F28:H30" si="11">SUM(F8,F13,F18,F23)</f>
        <v>86</v>
      </c>
      <c r="G28" s="49">
        <f t="shared" si="11"/>
        <v>101</v>
      </c>
      <c r="H28" s="49">
        <f t="shared" si="11"/>
        <v>134</v>
      </c>
      <c r="I28" s="82">
        <f t="shared" si="9"/>
        <v>153</v>
      </c>
      <c r="J28" s="82">
        <f t="shared" si="9"/>
        <v>169</v>
      </c>
      <c r="K28" s="82">
        <f t="shared" si="10"/>
        <v>131</v>
      </c>
      <c r="L28" s="82">
        <f t="shared" si="10"/>
        <v>112</v>
      </c>
      <c r="M28" s="82">
        <f>SUM(M8,M13,M18,M23)</f>
        <v>109</v>
      </c>
      <c r="N28" s="82">
        <v>137</v>
      </c>
      <c r="O28" s="82">
        <v>143</v>
      </c>
      <c r="P28" s="82">
        <v>125</v>
      </c>
      <c r="Q28" s="82">
        <v>111</v>
      </c>
      <c r="R28" s="82">
        <v>103</v>
      </c>
    </row>
    <row r="29" spans="2:19" ht="21" customHeight="1" thickBot="1">
      <c r="B29" s="19"/>
      <c r="C29" s="26" t="s">
        <v>14</v>
      </c>
      <c r="D29" s="49">
        <f>SUM(D9,D14,D19,D24)</f>
        <v>0</v>
      </c>
      <c r="E29" s="49">
        <f>SUM(E9,E14,E19,E24)</f>
        <v>0</v>
      </c>
      <c r="F29" s="49">
        <f t="shared" si="11"/>
        <v>0</v>
      </c>
      <c r="G29" s="49">
        <f t="shared" si="11"/>
        <v>0</v>
      </c>
      <c r="H29" s="49">
        <f t="shared" si="11"/>
        <v>0</v>
      </c>
      <c r="I29" s="82">
        <f t="shared" si="9"/>
        <v>1</v>
      </c>
      <c r="J29" s="82"/>
      <c r="K29" s="82"/>
      <c r="L29" s="82"/>
      <c r="M29" s="82"/>
      <c r="N29" s="82"/>
      <c r="O29" s="82"/>
      <c r="P29" s="82"/>
      <c r="Q29" s="82"/>
      <c r="R29" s="82"/>
    </row>
    <row r="30" spans="2:19" ht="21" customHeight="1" thickTop="1" thickBot="1">
      <c r="B30" s="22"/>
      <c r="C30" s="27" t="s">
        <v>15</v>
      </c>
      <c r="D30" s="50">
        <f>D28+D29</f>
        <v>70</v>
      </c>
      <c r="E30" s="50">
        <f>E28+E29</f>
        <v>81</v>
      </c>
      <c r="F30" s="50">
        <f t="shared" si="11"/>
        <v>86</v>
      </c>
      <c r="G30" s="50">
        <f t="shared" si="11"/>
        <v>101</v>
      </c>
      <c r="H30" s="50">
        <f t="shared" si="11"/>
        <v>134</v>
      </c>
      <c r="I30" s="83">
        <f t="shared" si="9"/>
        <v>154</v>
      </c>
      <c r="J30" s="83">
        <f t="shared" si="9"/>
        <v>169</v>
      </c>
      <c r="K30" s="83">
        <f t="shared" si="10"/>
        <v>131</v>
      </c>
      <c r="L30" s="83">
        <f t="shared" si="10"/>
        <v>112</v>
      </c>
      <c r="M30" s="83">
        <f>SUM(M10,M15,M20,M25)</f>
        <v>109</v>
      </c>
      <c r="N30" s="83">
        <v>137</v>
      </c>
      <c r="O30" s="83">
        <v>143</v>
      </c>
      <c r="P30" s="83">
        <v>125</v>
      </c>
      <c r="Q30" s="83">
        <v>111</v>
      </c>
      <c r="R30" s="83">
        <v>103</v>
      </c>
    </row>
    <row r="31" spans="2:19" ht="16.5" thickTop="1">
      <c r="B31" s="29" t="s">
        <v>7</v>
      </c>
      <c r="C31" s="30"/>
      <c r="D31" s="29">
        <v>45</v>
      </c>
      <c r="E31" s="29">
        <v>50</v>
      </c>
      <c r="F31" s="29">
        <f>49+9</f>
        <v>58</v>
      </c>
      <c r="G31" s="29">
        <v>62</v>
      </c>
      <c r="H31" s="29">
        <f>70+7</f>
        <v>77</v>
      </c>
      <c r="I31" s="84">
        <v>92</v>
      </c>
      <c r="J31" s="84">
        <v>102</v>
      </c>
      <c r="K31" s="84">
        <v>85</v>
      </c>
      <c r="L31" s="84">
        <v>72</v>
      </c>
      <c r="M31" s="84">
        <f>67+1</f>
        <v>68</v>
      </c>
      <c r="N31" s="84">
        <v>89</v>
      </c>
      <c r="O31" s="84">
        <v>81</v>
      </c>
      <c r="P31" s="84">
        <v>71</v>
      </c>
      <c r="Q31" s="84">
        <v>68</v>
      </c>
      <c r="R31" s="211">
        <v>59</v>
      </c>
      <c r="S31" s="296">
        <f>R31/R30</f>
        <v>0.57281553398058249</v>
      </c>
    </row>
    <row r="32" spans="2:19" ht="16.5" thickBot="1">
      <c r="B32" s="8" t="s">
        <v>8</v>
      </c>
      <c r="C32" s="31"/>
      <c r="D32" s="8">
        <v>25</v>
      </c>
      <c r="E32" s="8">
        <v>31</v>
      </c>
      <c r="F32" s="8">
        <f>24+4</f>
        <v>28</v>
      </c>
      <c r="G32" s="8">
        <v>39</v>
      </c>
      <c r="H32" s="8">
        <f>134-77</f>
        <v>57</v>
      </c>
      <c r="I32" s="85">
        <v>62</v>
      </c>
      <c r="J32" s="85">
        <v>67</v>
      </c>
      <c r="K32" s="85">
        <v>46</v>
      </c>
      <c r="L32" s="85">
        <v>40</v>
      </c>
      <c r="M32" s="85">
        <f>39+2</f>
        <v>41</v>
      </c>
      <c r="N32" s="85">
        <v>48</v>
      </c>
      <c r="O32" s="85">
        <v>62</v>
      </c>
      <c r="P32" s="85">
        <v>54</v>
      </c>
      <c r="Q32" s="85">
        <v>43</v>
      </c>
      <c r="R32" s="212">
        <v>44</v>
      </c>
      <c r="S32" s="297">
        <f>R32/R30</f>
        <v>0.42718446601941745</v>
      </c>
    </row>
    <row r="33" spans="2:19" ht="15.75">
      <c r="B33" s="4" t="s">
        <v>9</v>
      </c>
      <c r="C33" s="34"/>
      <c r="D33" s="4">
        <v>64</v>
      </c>
      <c r="E33" s="4">
        <f>56+8+7</f>
        <v>71</v>
      </c>
      <c r="F33" s="4">
        <f>68+14</f>
        <v>82</v>
      </c>
      <c r="G33" s="4">
        <v>90</v>
      </c>
      <c r="H33" s="4">
        <f>134-5</f>
        <v>129</v>
      </c>
      <c r="I33" s="86">
        <v>145</v>
      </c>
      <c r="J33" s="86">
        <v>159</v>
      </c>
      <c r="K33" s="86">
        <v>118</v>
      </c>
      <c r="L33" s="86">
        <v>100</v>
      </c>
      <c r="M33" s="86">
        <f>95+3</f>
        <v>98</v>
      </c>
      <c r="N33" s="86">
        <v>124</v>
      </c>
      <c r="O33" s="86">
        <v>128</v>
      </c>
      <c r="P33" s="86">
        <v>116</v>
      </c>
      <c r="Q33" s="86">
        <v>102</v>
      </c>
      <c r="R33" s="213">
        <v>97</v>
      </c>
      <c r="S33" s="296">
        <f>R33/R30</f>
        <v>0.94174757281553401</v>
      </c>
    </row>
    <row r="34" spans="2:19" ht="15.75">
      <c r="B34" s="8" t="s">
        <v>10</v>
      </c>
      <c r="C34" s="31"/>
      <c r="D34" s="8">
        <v>6</v>
      </c>
      <c r="E34" s="8">
        <v>10</v>
      </c>
      <c r="F34" s="8">
        <v>4</v>
      </c>
      <c r="G34" s="8">
        <v>11</v>
      </c>
      <c r="H34" s="8">
        <f>4+1</f>
        <v>5</v>
      </c>
      <c r="I34" s="87">
        <v>9</v>
      </c>
      <c r="J34" s="87">
        <v>10</v>
      </c>
      <c r="K34" s="87">
        <v>13</v>
      </c>
      <c r="L34" s="87">
        <v>12</v>
      </c>
      <c r="M34" s="87">
        <v>11</v>
      </c>
      <c r="N34" s="87">
        <v>13</v>
      </c>
      <c r="O34" s="87">
        <v>15</v>
      </c>
      <c r="P34" s="87">
        <v>9</v>
      </c>
      <c r="Q34" s="87">
        <v>9</v>
      </c>
      <c r="R34" s="214">
        <v>6</v>
      </c>
      <c r="S34" s="296">
        <f>R34/R30</f>
        <v>5.8252427184466021E-2</v>
      </c>
    </row>
    <row r="35" spans="2:19" ht="15.75">
      <c r="B35" s="40"/>
      <c r="C35" s="40"/>
      <c r="D35" s="40"/>
      <c r="E35" s="40"/>
      <c r="F35" s="40"/>
      <c r="G35" s="40"/>
      <c r="H35" s="40"/>
      <c r="P35" s="136"/>
      <c r="Q35" s="136"/>
      <c r="R35" s="136"/>
    </row>
    <row r="36" spans="2:19">
      <c r="B36" s="37"/>
      <c r="C36" s="37"/>
      <c r="D36" s="37"/>
      <c r="E36" s="37"/>
      <c r="F36" s="37"/>
    </row>
    <row r="54" spans="2:3" hidden="1">
      <c r="B54" s="38" t="s">
        <v>34</v>
      </c>
      <c r="C54" s="31"/>
    </row>
    <row r="55" spans="2:3" hidden="1">
      <c r="B55" s="31" t="s">
        <v>38</v>
      </c>
    </row>
    <row r="56" spans="2:3" hidden="1">
      <c r="B56" s="31" t="s">
        <v>94</v>
      </c>
    </row>
  </sheetData>
  <mergeCells count="5">
    <mergeCell ref="B4:B5"/>
    <mergeCell ref="C4:C5"/>
    <mergeCell ref="H4:R4"/>
    <mergeCell ref="B1:R1"/>
    <mergeCell ref="B2:R2"/>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88&amp;R&amp;"Lucida Sans Unicode,Regular"&amp;10December 2015</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B1:S53"/>
  <sheetViews>
    <sheetView showGridLines="0" view="pageLayout" topLeftCell="A48" zoomScaleNormal="100" zoomScaleSheetLayoutView="100" workbookViewId="0">
      <selection activeCell="R35" sqref="R35"/>
    </sheetView>
  </sheetViews>
  <sheetFormatPr defaultColWidth="9.6640625" defaultRowHeight="15"/>
  <cols>
    <col min="1" max="1" width="6" style="38" customWidth="1"/>
    <col min="2" max="2" width="9.6640625" style="38" customWidth="1"/>
    <col min="3" max="3" width="15.6640625" style="38" customWidth="1"/>
    <col min="4" max="9" width="9.6640625" style="38" hidden="1" customWidth="1"/>
    <col min="10" max="11" width="8" style="38" hidden="1" customWidth="1"/>
    <col min="12" max="13" width="7.5546875" style="38" hidden="1" customWidth="1"/>
    <col min="14" max="18" width="8.77734375" style="38" customWidth="1"/>
    <col min="19" max="19" width="6.88671875" style="38" bestFit="1" customWidth="1"/>
    <col min="20" max="16384" width="9.6640625" style="38"/>
  </cols>
  <sheetData>
    <row r="1" spans="2:18" s="194" customFormat="1" ht="24" customHeight="1">
      <c r="B1" s="465" t="s">
        <v>0</v>
      </c>
      <c r="C1" s="465"/>
      <c r="D1" s="465"/>
      <c r="E1" s="465"/>
      <c r="F1" s="465"/>
      <c r="G1" s="465"/>
      <c r="H1" s="465"/>
      <c r="I1" s="465"/>
      <c r="J1" s="465"/>
      <c r="K1" s="465"/>
      <c r="L1" s="465"/>
      <c r="M1" s="465"/>
      <c r="N1" s="465"/>
      <c r="O1" s="465"/>
      <c r="P1" s="465"/>
      <c r="Q1" s="465"/>
      <c r="R1" s="465"/>
    </row>
    <row r="2" spans="2:18" s="196" customFormat="1" ht="25.5" customHeight="1">
      <c r="B2" s="464" t="s">
        <v>39</v>
      </c>
      <c r="C2" s="464"/>
      <c r="D2" s="464"/>
      <c r="E2" s="464"/>
      <c r="F2" s="464"/>
      <c r="G2" s="464"/>
      <c r="H2" s="464"/>
      <c r="I2" s="464"/>
      <c r="J2" s="464"/>
      <c r="K2" s="464"/>
      <c r="L2" s="464"/>
      <c r="M2" s="464"/>
      <c r="N2" s="464"/>
      <c r="O2" s="464"/>
      <c r="P2" s="464"/>
      <c r="Q2" s="464"/>
      <c r="R2" s="464"/>
    </row>
    <row r="3" spans="2:18" s="194" customFormat="1" ht="21" customHeight="1">
      <c r="B3" s="192"/>
      <c r="C3" s="197"/>
      <c r="D3" s="197"/>
      <c r="E3" s="197"/>
      <c r="F3" s="197"/>
      <c r="G3" s="197"/>
      <c r="H3" s="197"/>
      <c r="I3" s="197"/>
      <c r="J3" s="195"/>
      <c r="K3" s="195"/>
      <c r="L3" s="195"/>
      <c r="M3" s="195"/>
      <c r="N3" s="195"/>
      <c r="O3" s="195"/>
      <c r="P3" s="195"/>
      <c r="Q3" s="195"/>
    </row>
    <row r="4" spans="2:18" ht="15.75" customHeight="1">
      <c r="B4" s="524" t="s">
        <v>59</v>
      </c>
      <c r="C4" s="524" t="s">
        <v>60</v>
      </c>
      <c r="D4" s="110"/>
      <c r="E4" s="110"/>
      <c r="F4" s="110"/>
      <c r="G4" s="110"/>
      <c r="H4" s="481" t="s">
        <v>145</v>
      </c>
      <c r="I4" s="482"/>
      <c r="J4" s="482"/>
      <c r="K4" s="482"/>
      <c r="L4" s="482"/>
      <c r="M4" s="482"/>
      <c r="N4" s="482"/>
      <c r="O4" s="482"/>
      <c r="P4" s="482"/>
      <c r="Q4" s="482"/>
      <c r="R4" s="483"/>
    </row>
    <row r="5" spans="2:18" s="106" customFormat="1" ht="15.75">
      <c r="B5" s="531"/>
      <c r="C5" s="531"/>
      <c r="D5" s="111" t="s">
        <v>17</v>
      </c>
      <c r="E5" s="111" t="s">
        <v>18</v>
      </c>
      <c r="F5" s="111" t="s">
        <v>19</v>
      </c>
      <c r="G5" s="111" t="s">
        <v>20</v>
      </c>
      <c r="H5" s="111" t="s">
        <v>21</v>
      </c>
      <c r="I5" s="111" t="s">
        <v>51</v>
      </c>
      <c r="J5" s="111" t="s">
        <v>52</v>
      </c>
      <c r="K5" s="111" t="s">
        <v>53</v>
      </c>
      <c r="L5" s="111" t="s">
        <v>57</v>
      </c>
      <c r="M5" s="111" t="s">
        <v>69</v>
      </c>
      <c r="N5" s="111" t="s">
        <v>124</v>
      </c>
      <c r="O5" s="111" t="s">
        <v>146</v>
      </c>
      <c r="P5" s="137" t="s">
        <v>158</v>
      </c>
      <c r="Q5" s="137" t="s">
        <v>166</v>
      </c>
      <c r="R5" s="137" t="s">
        <v>187</v>
      </c>
    </row>
    <row r="6" spans="2:18">
      <c r="B6" s="8"/>
      <c r="C6" s="8" t="s">
        <v>11</v>
      </c>
      <c r="D6" s="108">
        <v>0</v>
      </c>
      <c r="E6" s="108">
        <v>5</v>
      </c>
      <c r="F6" s="108">
        <v>16</v>
      </c>
      <c r="G6" s="108">
        <v>24</v>
      </c>
      <c r="H6" s="108">
        <v>40</v>
      </c>
      <c r="I6" s="109">
        <v>32</v>
      </c>
      <c r="J6" s="109">
        <v>34</v>
      </c>
      <c r="K6" s="109">
        <v>36</v>
      </c>
      <c r="L6" s="109">
        <v>30</v>
      </c>
      <c r="M6" s="109">
        <v>32</v>
      </c>
      <c r="N6" s="109">
        <v>17</v>
      </c>
      <c r="O6" s="109">
        <v>20</v>
      </c>
      <c r="P6" s="109">
        <v>11</v>
      </c>
      <c r="Q6" s="109">
        <v>8</v>
      </c>
      <c r="R6" s="109">
        <v>4</v>
      </c>
    </row>
    <row r="7" spans="2:18">
      <c r="B7" s="7"/>
      <c r="C7" s="8" t="s">
        <v>12</v>
      </c>
      <c r="D7" s="42">
        <v>0</v>
      </c>
      <c r="E7" s="42">
        <v>0</v>
      </c>
      <c r="F7" s="42">
        <v>0</v>
      </c>
      <c r="G7" s="42">
        <v>0</v>
      </c>
      <c r="H7" s="42">
        <v>0</v>
      </c>
      <c r="I7" s="76">
        <v>0</v>
      </c>
      <c r="J7" s="76"/>
      <c r="K7" s="76"/>
      <c r="L7" s="76"/>
      <c r="M7" s="76"/>
      <c r="N7" s="76"/>
      <c r="O7" s="76"/>
      <c r="P7" s="76"/>
      <c r="Q7" s="76"/>
      <c r="R7" s="76"/>
    </row>
    <row r="8" spans="2:18">
      <c r="B8" s="7" t="s">
        <v>2</v>
      </c>
      <c r="C8" s="3" t="s">
        <v>13</v>
      </c>
      <c r="D8" s="43">
        <f t="shared" ref="D8:M8" si="0">D6+D7</f>
        <v>0</v>
      </c>
      <c r="E8" s="43">
        <f t="shared" si="0"/>
        <v>5</v>
      </c>
      <c r="F8" s="43">
        <f t="shared" si="0"/>
        <v>16</v>
      </c>
      <c r="G8" s="43">
        <f t="shared" si="0"/>
        <v>24</v>
      </c>
      <c r="H8" s="43">
        <f t="shared" si="0"/>
        <v>40</v>
      </c>
      <c r="I8" s="77">
        <f t="shared" si="0"/>
        <v>32</v>
      </c>
      <c r="J8" s="77">
        <f t="shared" si="0"/>
        <v>34</v>
      </c>
      <c r="K8" s="77">
        <f t="shared" si="0"/>
        <v>36</v>
      </c>
      <c r="L8" s="77">
        <f t="shared" si="0"/>
        <v>30</v>
      </c>
      <c r="M8" s="77">
        <f t="shared" si="0"/>
        <v>32</v>
      </c>
      <c r="N8" s="77">
        <v>17</v>
      </c>
      <c r="O8" s="77">
        <v>20</v>
      </c>
      <c r="P8" s="77">
        <v>11</v>
      </c>
      <c r="Q8" s="77">
        <v>8</v>
      </c>
      <c r="R8" s="77">
        <v>4</v>
      </c>
    </row>
    <row r="9" spans="2:18" ht="15.75" thickBot="1">
      <c r="B9" s="7"/>
      <c r="C9" s="2" t="s">
        <v>14</v>
      </c>
      <c r="D9" s="43">
        <v>0</v>
      </c>
      <c r="E9" s="43">
        <v>0</v>
      </c>
      <c r="F9" s="43">
        <v>0</v>
      </c>
      <c r="G9" s="43">
        <v>0</v>
      </c>
      <c r="H9" s="43">
        <v>0</v>
      </c>
      <c r="I9" s="77">
        <v>0</v>
      </c>
      <c r="J9" s="77"/>
      <c r="K9" s="77"/>
      <c r="L9" s="77"/>
      <c r="M9" s="77"/>
      <c r="N9" s="77"/>
      <c r="O9" s="77"/>
      <c r="P9" s="77"/>
      <c r="Q9" s="77"/>
      <c r="R9" s="77"/>
    </row>
    <row r="10" spans="2:18" ht="17.100000000000001" customHeight="1" thickTop="1" thickBot="1">
      <c r="B10" s="7"/>
      <c r="C10" s="13" t="s">
        <v>15</v>
      </c>
      <c r="D10" s="44">
        <f t="shared" ref="D10:M10" si="1">D8+D9</f>
        <v>0</v>
      </c>
      <c r="E10" s="44">
        <f t="shared" si="1"/>
        <v>5</v>
      </c>
      <c r="F10" s="44">
        <f t="shared" si="1"/>
        <v>16</v>
      </c>
      <c r="G10" s="44">
        <f t="shared" si="1"/>
        <v>24</v>
      </c>
      <c r="H10" s="44">
        <f t="shared" si="1"/>
        <v>40</v>
      </c>
      <c r="I10" s="78">
        <f t="shared" si="1"/>
        <v>32</v>
      </c>
      <c r="J10" s="78">
        <f t="shared" si="1"/>
        <v>34</v>
      </c>
      <c r="K10" s="78">
        <f t="shared" si="1"/>
        <v>36</v>
      </c>
      <c r="L10" s="78">
        <f t="shared" si="1"/>
        <v>30</v>
      </c>
      <c r="M10" s="78">
        <f t="shared" si="1"/>
        <v>32</v>
      </c>
      <c r="N10" s="78">
        <v>17</v>
      </c>
      <c r="O10" s="78">
        <v>20</v>
      </c>
      <c r="P10" s="78">
        <v>11</v>
      </c>
      <c r="Q10" s="78">
        <v>8</v>
      </c>
      <c r="R10" s="78">
        <v>4</v>
      </c>
    </row>
    <row r="11" spans="2:18">
      <c r="B11" s="4"/>
      <c r="C11" s="4" t="s">
        <v>11</v>
      </c>
      <c r="D11" s="45">
        <v>1</v>
      </c>
      <c r="E11" s="45">
        <v>3</v>
      </c>
      <c r="F11" s="45">
        <v>7</v>
      </c>
      <c r="G11" s="45">
        <v>8</v>
      </c>
      <c r="H11" s="45">
        <v>15</v>
      </c>
      <c r="I11" s="79">
        <v>39</v>
      </c>
      <c r="J11" s="79">
        <v>40</v>
      </c>
      <c r="K11" s="79">
        <v>38</v>
      </c>
      <c r="L11" s="79">
        <v>33</v>
      </c>
      <c r="M11" s="79">
        <v>31</v>
      </c>
      <c r="N11" s="79">
        <v>8</v>
      </c>
      <c r="O11" s="79">
        <v>16</v>
      </c>
      <c r="P11" s="79">
        <v>15</v>
      </c>
      <c r="Q11" s="79">
        <v>11</v>
      </c>
      <c r="R11" s="79">
        <v>11</v>
      </c>
    </row>
    <row r="12" spans="2:18">
      <c r="B12" s="7"/>
      <c r="C12" s="8" t="s">
        <v>12</v>
      </c>
      <c r="D12" s="42">
        <v>0</v>
      </c>
      <c r="E12" s="42">
        <v>0</v>
      </c>
      <c r="F12" s="42">
        <v>0</v>
      </c>
      <c r="G12" s="42">
        <v>0</v>
      </c>
      <c r="H12" s="42">
        <v>1</v>
      </c>
      <c r="I12" s="76">
        <v>2</v>
      </c>
      <c r="J12" s="76">
        <v>1</v>
      </c>
      <c r="K12" s="76"/>
      <c r="L12" s="76"/>
      <c r="M12" s="76"/>
      <c r="N12" s="76"/>
      <c r="O12" s="76"/>
      <c r="P12" s="76"/>
      <c r="Q12" s="76"/>
      <c r="R12" s="76"/>
    </row>
    <row r="13" spans="2:18">
      <c r="B13" s="7" t="s">
        <v>3</v>
      </c>
      <c r="C13" s="3" t="s">
        <v>13</v>
      </c>
      <c r="D13" s="43">
        <f t="shared" ref="D13:M13" si="2">D11+D12</f>
        <v>1</v>
      </c>
      <c r="E13" s="43">
        <f t="shared" si="2"/>
        <v>3</v>
      </c>
      <c r="F13" s="43">
        <f t="shared" si="2"/>
        <v>7</v>
      </c>
      <c r="G13" s="43">
        <f t="shared" si="2"/>
        <v>8</v>
      </c>
      <c r="H13" s="43">
        <f t="shared" si="2"/>
        <v>16</v>
      </c>
      <c r="I13" s="77">
        <f t="shared" si="2"/>
        <v>41</v>
      </c>
      <c r="J13" s="77">
        <f t="shared" si="2"/>
        <v>41</v>
      </c>
      <c r="K13" s="77">
        <f t="shared" si="2"/>
        <v>38</v>
      </c>
      <c r="L13" s="77">
        <f t="shared" si="2"/>
        <v>33</v>
      </c>
      <c r="M13" s="77">
        <f t="shared" si="2"/>
        <v>31</v>
      </c>
      <c r="N13" s="77">
        <v>8</v>
      </c>
      <c r="O13" s="77">
        <v>16</v>
      </c>
      <c r="P13" s="77">
        <v>15</v>
      </c>
      <c r="Q13" s="77">
        <v>11</v>
      </c>
      <c r="R13" s="77">
        <v>11</v>
      </c>
    </row>
    <row r="14" spans="2:18" ht="15.75" thickBot="1">
      <c r="B14" s="7"/>
      <c r="C14" s="2" t="s">
        <v>14</v>
      </c>
      <c r="D14" s="43">
        <v>0</v>
      </c>
      <c r="E14" s="43">
        <v>0</v>
      </c>
      <c r="F14" s="43">
        <v>0</v>
      </c>
      <c r="G14" s="43">
        <v>0</v>
      </c>
      <c r="H14" s="43">
        <v>0</v>
      </c>
      <c r="I14" s="77">
        <v>0</v>
      </c>
      <c r="J14" s="77"/>
      <c r="K14" s="77"/>
      <c r="L14" s="77"/>
      <c r="M14" s="77"/>
      <c r="N14" s="77"/>
      <c r="O14" s="77"/>
      <c r="P14" s="77"/>
      <c r="Q14" s="77"/>
      <c r="R14" s="77"/>
    </row>
    <row r="15" spans="2:18" ht="17.100000000000001" customHeight="1" thickTop="1" thickBot="1">
      <c r="B15" s="7"/>
      <c r="C15" s="13" t="s">
        <v>15</v>
      </c>
      <c r="D15" s="44">
        <f t="shared" ref="D15:M15" si="3">D13+D14</f>
        <v>1</v>
      </c>
      <c r="E15" s="44">
        <f t="shared" si="3"/>
        <v>3</v>
      </c>
      <c r="F15" s="44">
        <f t="shared" si="3"/>
        <v>7</v>
      </c>
      <c r="G15" s="44">
        <f t="shared" si="3"/>
        <v>8</v>
      </c>
      <c r="H15" s="44">
        <f t="shared" si="3"/>
        <v>16</v>
      </c>
      <c r="I15" s="78">
        <f t="shared" si="3"/>
        <v>41</v>
      </c>
      <c r="J15" s="78">
        <f t="shared" si="3"/>
        <v>41</v>
      </c>
      <c r="K15" s="78">
        <f t="shared" si="3"/>
        <v>38</v>
      </c>
      <c r="L15" s="78">
        <f t="shared" si="3"/>
        <v>33</v>
      </c>
      <c r="M15" s="78">
        <f t="shared" si="3"/>
        <v>31</v>
      </c>
      <c r="N15" s="78">
        <v>8</v>
      </c>
      <c r="O15" s="78">
        <v>16</v>
      </c>
      <c r="P15" s="78">
        <v>15</v>
      </c>
      <c r="Q15" s="78">
        <v>11</v>
      </c>
      <c r="R15" s="78">
        <v>11</v>
      </c>
    </row>
    <row r="16" spans="2:18">
      <c r="B16" s="4"/>
      <c r="C16" s="4" t="s">
        <v>11</v>
      </c>
      <c r="D16" s="45">
        <v>3</v>
      </c>
      <c r="E16" s="45">
        <v>4</v>
      </c>
      <c r="F16" s="45">
        <v>2</v>
      </c>
      <c r="G16" s="45">
        <v>7</v>
      </c>
      <c r="H16" s="45">
        <v>8</v>
      </c>
      <c r="I16" s="79">
        <v>10</v>
      </c>
      <c r="J16" s="79">
        <v>28</v>
      </c>
      <c r="K16" s="79">
        <v>27</v>
      </c>
      <c r="L16" s="79">
        <v>25</v>
      </c>
      <c r="M16" s="79">
        <v>22</v>
      </c>
      <c r="N16" s="79">
        <v>17</v>
      </c>
      <c r="O16" s="79">
        <v>8</v>
      </c>
      <c r="P16" s="79">
        <v>13</v>
      </c>
      <c r="Q16" s="79">
        <v>14</v>
      </c>
      <c r="R16" s="79">
        <v>8</v>
      </c>
    </row>
    <row r="17" spans="2:19">
      <c r="B17" s="7"/>
      <c r="C17" s="8" t="s">
        <v>12</v>
      </c>
      <c r="D17" s="42">
        <v>1</v>
      </c>
      <c r="E17" s="42">
        <v>0</v>
      </c>
      <c r="F17" s="42">
        <v>0</v>
      </c>
      <c r="G17" s="42">
        <v>1</v>
      </c>
      <c r="H17" s="42">
        <v>0</v>
      </c>
      <c r="I17" s="76">
        <v>1</v>
      </c>
      <c r="J17" s="76">
        <v>2</v>
      </c>
      <c r="K17" s="76">
        <v>1</v>
      </c>
      <c r="L17" s="76">
        <v>1</v>
      </c>
      <c r="M17" s="76"/>
      <c r="N17" s="76"/>
      <c r="O17" s="76"/>
      <c r="P17" s="76"/>
      <c r="Q17" s="76"/>
      <c r="R17" s="76"/>
    </row>
    <row r="18" spans="2:19">
      <c r="B18" s="7" t="s">
        <v>4</v>
      </c>
      <c r="C18" s="3" t="s">
        <v>13</v>
      </c>
      <c r="D18" s="43">
        <f t="shared" ref="D18:M18" si="4">D16+D17</f>
        <v>4</v>
      </c>
      <c r="E18" s="43">
        <f t="shared" si="4"/>
        <v>4</v>
      </c>
      <c r="F18" s="43">
        <f t="shared" si="4"/>
        <v>2</v>
      </c>
      <c r="G18" s="43">
        <f t="shared" si="4"/>
        <v>8</v>
      </c>
      <c r="H18" s="43">
        <f t="shared" si="4"/>
        <v>8</v>
      </c>
      <c r="I18" s="77">
        <f t="shared" si="4"/>
        <v>11</v>
      </c>
      <c r="J18" s="77">
        <f t="shared" si="4"/>
        <v>30</v>
      </c>
      <c r="K18" s="77">
        <f t="shared" si="4"/>
        <v>28</v>
      </c>
      <c r="L18" s="77">
        <f t="shared" si="4"/>
        <v>26</v>
      </c>
      <c r="M18" s="77">
        <f t="shared" si="4"/>
        <v>22</v>
      </c>
      <c r="N18" s="77">
        <v>17</v>
      </c>
      <c r="O18" s="77">
        <v>8</v>
      </c>
      <c r="P18" s="77">
        <v>13</v>
      </c>
      <c r="Q18" s="77">
        <v>14</v>
      </c>
      <c r="R18" s="77">
        <v>8</v>
      </c>
    </row>
    <row r="19" spans="2:19" ht="15.75" thickBot="1">
      <c r="B19" s="7"/>
      <c r="C19" s="2" t="s">
        <v>14</v>
      </c>
      <c r="D19" s="43">
        <v>0</v>
      </c>
      <c r="E19" s="43">
        <v>0</v>
      </c>
      <c r="F19" s="43">
        <v>0</v>
      </c>
      <c r="G19" s="43">
        <v>0</v>
      </c>
      <c r="H19" s="43">
        <v>0</v>
      </c>
      <c r="I19" s="77">
        <v>0</v>
      </c>
      <c r="J19" s="77"/>
      <c r="K19" s="77"/>
      <c r="L19" s="77"/>
      <c r="M19" s="77"/>
      <c r="N19" s="77"/>
      <c r="O19" s="77"/>
      <c r="P19" s="77"/>
      <c r="Q19" s="77"/>
      <c r="R19" s="77"/>
    </row>
    <row r="20" spans="2:19" ht="17.100000000000001" customHeight="1" thickTop="1" thickBot="1">
      <c r="B20" s="7"/>
      <c r="C20" s="13" t="s">
        <v>15</v>
      </c>
      <c r="D20" s="44">
        <f t="shared" ref="D20:M20" si="5">D18+D19</f>
        <v>4</v>
      </c>
      <c r="E20" s="44">
        <f t="shared" si="5"/>
        <v>4</v>
      </c>
      <c r="F20" s="44">
        <f t="shared" si="5"/>
        <v>2</v>
      </c>
      <c r="G20" s="44">
        <f t="shared" si="5"/>
        <v>8</v>
      </c>
      <c r="H20" s="44">
        <f t="shared" si="5"/>
        <v>8</v>
      </c>
      <c r="I20" s="78">
        <f t="shared" si="5"/>
        <v>11</v>
      </c>
      <c r="J20" s="78">
        <f t="shared" si="5"/>
        <v>30</v>
      </c>
      <c r="K20" s="78">
        <f t="shared" si="5"/>
        <v>28</v>
      </c>
      <c r="L20" s="78">
        <f t="shared" si="5"/>
        <v>26</v>
      </c>
      <c r="M20" s="78">
        <f t="shared" si="5"/>
        <v>22</v>
      </c>
      <c r="N20" s="78">
        <v>17</v>
      </c>
      <c r="O20" s="78">
        <v>8</v>
      </c>
      <c r="P20" s="78">
        <v>13</v>
      </c>
      <c r="Q20" s="78">
        <v>14</v>
      </c>
      <c r="R20" s="78">
        <v>8</v>
      </c>
    </row>
    <row r="21" spans="2:19">
      <c r="B21" s="4"/>
      <c r="C21" s="4" t="s">
        <v>11</v>
      </c>
      <c r="D21" s="45">
        <v>0</v>
      </c>
      <c r="E21" s="45">
        <v>2</v>
      </c>
      <c r="F21" s="45">
        <v>0</v>
      </c>
      <c r="G21" s="45">
        <v>1</v>
      </c>
      <c r="H21" s="45">
        <v>8</v>
      </c>
      <c r="I21" s="79">
        <v>3</v>
      </c>
      <c r="J21" s="79">
        <v>6</v>
      </c>
      <c r="K21" s="79">
        <v>14</v>
      </c>
      <c r="L21" s="79">
        <v>5</v>
      </c>
      <c r="M21" s="79">
        <v>10</v>
      </c>
      <c r="N21" s="79">
        <v>10</v>
      </c>
      <c r="O21" s="79">
        <v>5</v>
      </c>
      <c r="P21" s="79">
        <v>7</v>
      </c>
      <c r="Q21" s="79">
        <v>11</v>
      </c>
      <c r="R21" s="79">
        <v>11</v>
      </c>
    </row>
    <row r="22" spans="2:19">
      <c r="B22" s="7"/>
      <c r="C22" s="8" t="s">
        <v>12</v>
      </c>
      <c r="D22" s="42">
        <v>0</v>
      </c>
      <c r="E22" s="42">
        <v>1</v>
      </c>
      <c r="F22" s="42">
        <v>1</v>
      </c>
      <c r="G22" s="42">
        <v>1</v>
      </c>
      <c r="H22" s="42">
        <v>0</v>
      </c>
      <c r="I22" s="76">
        <v>0</v>
      </c>
      <c r="J22" s="76">
        <v>1</v>
      </c>
      <c r="K22" s="76"/>
      <c r="L22" s="76"/>
      <c r="M22" s="76"/>
      <c r="N22" s="76"/>
      <c r="O22" s="76"/>
      <c r="P22" s="76"/>
      <c r="Q22" s="76"/>
      <c r="R22" s="76"/>
    </row>
    <row r="23" spans="2:19">
      <c r="B23" s="7" t="s">
        <v>5</v>
      </c>
      <c r="C23" s="3" t="s">
        <v>13</v>
      </c>
      <c r="D23" s="43">
        <f t="shared" ref="D23:M23" si="6">D21+D22</f>
        <v>0</v>
      </c>
      <c r="E23" s="43">
        <f t="shared" si="6"/>
        <v>3</v>
      </c>
      <c r="F23" s="43">
        <f t="shared" si="6"/>
        <v>1</v>
      </c>
      <c r="G23" s="43">
        <f t="shared" si="6"/>
        <v>2</v>
      </c>
      <c r="H23" s="43">
        <f t="shared" si="6"/>
        <v>8</v>
      </c>
      <c r="I23" s="77">
        <f t="shared" si="6"/>
        <v>3</v>
      </c>
      <c r="J23" s="77">
        <f t="shared" si="6"/>
        <v>7</v>
      </c>
      <c r="K23" s="77">
        <f t="shared" si="6"/>
        <v>14</v>
      </c>
      <c r="L23" s="77">
        <f t="shared" si="6"/>
        <v>5</v>
      </c>
      <c r="M23" s="77">
        <f t="shared" si="6"/>
        <v>10</v>
      </c>
      <c r="N23" s="77">
        <v>10</v>
      </c>
      <c r="O23" s="77">
        <v>5</v>
      </c>
      <c r="P23" s="77">
        <v>7</v>
      </c>
      <c r="Q23" s="77">
        <v>11</v>
      </c>
      <c r="R23" s="77">
        <v>11</v>
      </c>
    </row>
    <row r="24" spans="2:19" ht="15.75" thickBot="1">
      <c r="B24" s="7"/>
      <c r="C24" s="2" t="s">
        <v>14</v>
      </c>
      <c r="D24" s="43">
        <v>0</v>
      </c>
      <c r="E24" s="43">
        <v>0</v>
      </c>
      <c r="F24" s="43">
        <v>0</v>
      </c>
      <c r="G24" s="43">
        <v>0</v>
      </c>
      <c r="H24" s="43">
        <v>0</v>
      </c>
      <c r="I24" s="77">
        <v>0</v>
      </c>
      <c r="J24" s="77"/>
      <c r="K24" s="77"/>
      <c r="L24" s="77"/>
      <c r="M24" s="77"/>
      <c r="N24" s="77"/>
      <c r="O24" s="77"/>
      <c r="P24" s="77"/>
      <c r="Q24" s="77"/>
      <c r="R24" s="77"/>
    </row>
    <row r="25" spans="2:19" ht="17.100000000000001" customHeight="1" thickTop="1" thickBot="1">
      <c r="B25" s="7"/>
      <c r="C25" s="13" t="s">
        <v>15</v>
      </c>
      <c r="D25" s="44">
        <f t="shared" ref="D25:M25" si="7">D23+D24</f>
        <v>0</v>
      </c>
      <c r="E25" s="44">
        <f t="shared" si="7"/>
        <v>3</v>
      </c>
      <c r="F25" s="44">
        <f t="shared" si="7"/>
        <v>1</v>
      </c>
      <c r="G25" s="44">
        <f t="shared" si="7"/>
        <v>2</v>
      </c>
      <c r="H25" s="44">
        <f t="shared" si="7"/>
        <v>8</v>
      </c>
      <c r="I25" s="78">
        <f t="shared" si="7"/>
        <v>3</v>
      </c>
      <c r="J25" s="78">
        <f t="shared" si="7"/>
        <v>7</v>
      </c>
      <c r="K25" s="78">
        <f t="shared" si="7"/>
        <v>14</v>
      </c>
      <c r="L25" s="78">
        <f t="shared" si="7"/>
        <v>5</v>
      </c>
      <c r="M25" s="78">
        <f t="shared" si="7"/>
        <v>10</v>
      </c>
      <c r="N25" s="78">
        <v>10</v>
      </c>
      <c r="O25" s="78">
        <v>5</v>
      </c>
      <c r="P25" s="78">
        <v>7</v>
      </c>
      <c r="Q25" s="78">
        <v>11</v>
      </c>
      <c r="R25" s="78">
        <v>11</v>
      </c>
    </row>
    <row r="26" spans="2:19" ht="21" customHeight="1" thickTop="1">
      <c r="B26" s="46"/>
      <c r="C26" s="46" t="s">
        <v>11</v>
      </c>
      <c r="D26" s="47">
        <f t="shared" ref="D26:H27" si="8">SUM(D6,D11,D16,D21)</f>
        <v>4</v>
      </c>
      <c r="E26" s="47">
        <f t="shared" si="8"/>
        <v>14</v>
      </c>
      <c r="F26" s="47">
        <f t="shared" si="8"/>
        <v>25</v>
      </c>
      <c r="G26" s="47">
        <f t="shared" si="8"/>
        <v>40</v>
      </c>
      <c r="H26" s="47">
        <f t="shared" si="8"/>
        <v>71</v>
      </c>
      <c r="I26" s="80">
        <f t="shared" ref="I26:J30" si="9">SUM(I6,I11,I16,I21)</f>
        <v>84</v>
      </c>
      <c r="J26" s="80">
        <f t="shared" si="9"/>
        <v>108</v>
      </c>
      <c r="K26" s="80">
        <f t="shared" ref="K26:L30" si="10">SUM(K6,K11,K16,K21)</f>
        <v>115</v>
      </c>
      <c r="L26" s="80">
        <f t="shared" si="10"/>
        <v>93</v>
      </c>
      <c r="M26" s="80">
        <f>SUM(M6,M11,M16,M21)</f>
        <v>95</v>
      </c>
      <c r="N26" s="80">
        <v>52</v>
      </c>
      <c r="O26" s="80">
        <v>49</v>
      </c>
      <c r="P26" s="80">
        <v>46</v>
      </c>
      <c r="Q26" s="80">
        <v>44</v>
      </c>
      <c r="R26" s="80">
        <v>34</v>
      </c>
    </row>
    <row r="27" spans="2:19" ht="21" customHeight="1">
      <c r="B27" s="19"/>
      <c r="C27" s="19" t="s">
        <v>12</v>
      </c>
      <c r="D27" s="48">
        <f t="shared" si="8"/>
        <v>1</v>
      </c>
      <c r="E27" s="48">
        <f t="shared" si="8"/>
        <v>1</v>
      </c>
      <c r="F27" s="48">
        <f t="shared" si="8"/>
        <v>1</v>
      </c>
      <c r="G27" s="48">
        <f t="shared" si="8"/>
        <v>2</v>
      </c>
      <c r="H27" s="48">
        <f t="shared" si="8"/>
        <v>1</v>
      </c>
      <c r="I27" s="81">
        <f t="shared" si="9"/>
        <v>3</v>
      </c>
      <c r="J27" s="81">
        <f t="shared" si="9"/>
        <v>4</v>
      </c>
      <c r="K27" s="81">
        <f t="shared" si="10"/>
        <v>1</v>
      </c>
      <c r="L27" s="81">
        <f t="shared" si="10"/>
        <v>1</v>
      </c>
      <c r="M27" s="81"/>
      <c r="N27" s="81"/>
      <c r="O27" s="81"/>
      <c r="P27" s="81"/>
      <c r="Q27" s="81"/>
      <c r="R27" s="81"/>
    </row>
    <row r="28" spans="2:19" ht="21" customHeight="1">
      <c r="B28" s="22" t="s">
        <v>6</v>
      </c>
      <c r="C28" s="23" t="s">
        <v>13</v>
      </c>
      <c r="D28" s="49">
        <f>D26+D27</f>
        <v>5</v>
      </c>
      <c r="E28" s="49">
        <f>E26+E27</f>
        <v>15</v>
      </c>
      <c r="F28" s="49">
        <f t="shared" ref="F28:H30" si="11">SUM(F8,F13,F18,F23)</f>
        <v>26</v>
      </c>
      <c r="G28" s="49">
        <f t="shared" si="11"/>
        <v>42</v>
      </c>
      <c r="H28" s="49">
        <f t="shared" si="11"/>
        <v>72</v>
      </c>
      <c r="I28" s="82">
        <f t="shared" si="9"/>
        <v>87</v>
      </c>
      <c r="J28" s="82">
        <f t="shared" si="9"/>
        <v>112</v>
      </c>
      <c r="K28" s="82">
        <f t="shared" si="10"/>
        <v>116</v>
      </c>
      <c r="L28" s="82">
        <f t="shared" si="10"/>
        <v>94</v>
      </c>
      <c r="M28" s="82">
        <f>SUM(M8,M13,M18,M23)</f>
        <v>95</v>
      </c>
      <c r="N28" s="82">
        <v>52</v>
      </c>
      <c r="O28" s="82">
        <v>49</v>
      </c>
      <c r="P28" s="82">
        <v>46</v>
      </c>
      <c r="Q28" s="82">
        <v>44</v>
      </c>
      <c r="R28" s="82">
        <v>34</v>
      </c>
    </row>
    <row r="29" spans="2:19" ht="21" customHeight="1" thickBot="1">
      <c r="B29" s="19"/>
      <c r="C29" s="26" t="s">
        <v>14</v>
      </c>
      <c r="D29" s="49">
        <f>SUM(D9,D14,D19,D24)</f>
        <v>0</v>
      </c>
      <c r="E29" s="49">
        <f>SUM(E9,E14,E19,E24)</f>
        <v>0</v>
      </c>
      <c r="F29" s="49">
        <f t="shared" si="11"/>
        <v>0</v>
      </c>
      <c r="G29" s="49">
        <f t="shared" si="11"/>
        <v>0</v>
      </c>
      <c r="H29" s="49">
        <f t="shared" si="11"/>
        <v>0</v>
      </c>
      <c r="I29" s="82">
        <f t="shared" si="9"/>
        <v>0</v>
      </c>
      <c r="J29" s="82"/>
      <c r="K29" s="82"/>
      <c r="L29" s="82"/>
      <c r="M29" s="82"/>
      <c r="N29" s="82"/>
      <c r="O29" s="82"/>
      <c r="P29" s="82"/>
      <c r="Q29" s="82"/>
      <c r="R29" s="82"/>
    </row>
    <row r="30" spans="2:19" ht="21" customHeight="1" thickTop="1" thickBot="1">
      <c r="B30" s="22"/>
      <c r="C30" s="27" t="s">
        <v>15</v>
      </c>
      <c r="D30" s="50">
        <f>D28+D29</f>
        <v>5</v>
      </c>
      <c r="E30" s="50">
        <f>E28+E29</f>
        <v>15</v>
      </c>
      <c r="F30" s="50">
        <f t="shared" si="11"/>
        <v>26</v>
      </c>
      <c r="G30" s="50">
        <f t="shared" si="11"/>
        <v>42</v>
      </c>
      <c r="H30" s="50">
        <f t="shared" si="11"/>
        <v>72</v>
      </c>
      <c r="I30" s="83">
        <f t="shared" si="9"/>
        <v>87</v>
      </c>
      <c r="J30" s="83">
        <f t="shared" si="9"/>
        <v>112</v>
      </c>
      <c r="K30" s="83">
        <f t="shared" si="10"/>
        <v>116</v>
      </c>
      <c r="L30" s="83">
        <f t="shared" si="10"/>
        <v>94</v>
      </c>
      <c r="M30" s="83">
        <f>SUM(M10,M15,M20,M25)</f>
        <v>95</v>
      </c>
      <c r="N30" s="83">
        <v>52</v>
      </c>
      <c r="O30" s="83">
        <v>49</v>
      </c>
      <c r="P30" s="83">
        <v>46</v>
      </c>
      <c r="Q30" s="83">
        <v>44</v>
      </c>
      <c r="R30" s="83">
        <v>34</v>
      </c>
    </row>
    <row r="31" spans="2:19" ht="16.5" thickTop="1">
      <c r="B31" s="29" t="s">
        <v>7</v>
      </c>
      <c r="C31" s="30"/>
      <c r="D31" s="29">
        <v>3</v>
      </c>
      <c r="E31" s="29">
        <v>5</v>
      </c>
      <c r="F31" s="29">
        <v>13</v>
      </c>
      <c r="G31" s="29">
        <v>14</v>
      </c>
      <c r="H31" s="29">
        <v>20</v>
      </c>
      <c r="I31" s="84">
        <v>25</v>
      </c>
      <c r="J31" s="84">
        <v>26</v>
      </c>
      <c r="K31" s="84">
        <v>28</v>
      </c>
      <c r="L31" s="84">
        <v>19</v>
      </c>
      <c r="M31" s="84">
        <f>25</f>
        <v>25</v>
      </c>
      <c r="N31" s="84">
        <v>16</v>
      </c>
      <c r="O31" s="84">
        <v>14</v>
      </c>
      <c r="P31" s="84">
        <v>15</v>
      </c>
      <c r="Q31" s="84">
        <v>14</v>
      </c>
      <c r="R31" s="211">
        <v>13</v>
      </c>
      <c r="S31" s="296">
        <f>R31/R30</f>
        <v>0.38235294117647056</v>
      </c>
    </row>
    <row r="32" spans="2:19" ht="16.5" thickBot="1">
      <c r="B32" s="8" t="s">
        <v>8</v>
      </c>
      <c r="C32" s="31"/>
      <c r="D32" s="8">
        <v>2</v>
      </c>
      <c r="E32" s="8">
        <v>10</v>
      </c>
      <c r="F32" s="8">
        <v>13</v>
      </c>
      <c r="G32" s="8">
        <v>28</v>
      </c>
      <c r="H32" s="8">
        <v>52</v>
      </c>
      <c r="I32" s="85">
        <v>62</v>
      </c>
      <c r="J32" s="85">
        <v>86</v>
      </c>
      <c r="K32" s="85">
        <v>88</v>
      </c>
      <c r="L32" s="85">
        <v>75</v>
      </c>
      <c r="M32" s="85">
        <v>70</v>
      </c>
      <c r="N32" s="85">
        <v>36</v>
      </c>
      <c r="O32" s="85">
        <v>35</v>
      </c>
      <c r="P32" s="85">
        <v>31</v>
      </c>
      <c r="Q32" s="85">
        <v>30</v>
      </c>
      <c r="R32" s="212">
        <v>21</v>
      </c>
      <c r="S32" s="297">
        <f>R32/R30</f>
        <v>0.61764705882352944</v>
      </c>
    </row>
    <row r="33" spans="2:19" ht="15.75">
      <c r="B33" s="4" t="s">
        <v>9</v>
      </c>
      <c r="C33" s="34"/>
      <c r="D33" s="4">
        <v>5</v>
      </c>
      <c r="E33" s="4">
        <v>13</v>
      </c>
      <c r="F33" s="4">
        <v>26</v>
      </c>
      <c r="G33" s="4">
        <v>42</v>
      </c>
      <c r="H33" s="4">
        <v>69</v>
      </c>
      <c r="I33" s="86">
        <v>81</v>
      </c>
      <c r="J33" s="86">
        <v>101</v>
      </c>
      <c r="K33" s="86">
        <v>106</v>
      </c>
      <c r="L33" s="86">
        <v>88</v>
      </c>
      <c r="M33" s="86">
        <v>87</v>
      </c>
      <c r="N33" s="86">
        <v>43</v>
      </c>
      <c r="O33" s="86">
        <v>45</v>
      </c>
      <c r="P33" s="86">
        <v>45</v>
      </c>
      <c r="Q33" s="86">
        <v>39</v>
      </c>
      <c r="R33" s="213">
        <v>29</v>
      </c>
      <c r="S33" s="296">
        <f>R33/R30</f>
        <v>0.8529411764705882</v>
      </c>
    </row>
    <row r="34" spans="2:19" ht="15.75">
      <c r="B34" s="8" t="s">
        <v>10</v>
      </c>
      <c r="C34" s="31"/>
      <c r="D34" s="8">
        <v>0</v>
      </c>
      <c r="E34" s="8">
        <v>2</v>
      </c>
      <c r="F34" s="8">
        <v>0</v>
      </c>
      <c r="G34" s="8">
        <v>0</v>
      </c>
      <c r="H34" s="8">
        <v>3</v>
      </c>
      <c r="I34" s="87">
        <v>6</v>
      </c>
      <c r="J34" s="87">
        <v>11</v>
      </c>
      <c r="K34" s="87">
        <v>10</v>
      </c>
      <c r="L34" s="87">
        <v>6</v>
      </c>
      <c r="M34" s="87">
        <v>8</v>
      </c>
      <c r="N34" s="87">
        <v>9</v>
      </c>
      <c r="O34" s="87">
        <v>4</v>
      </c>
      <c r="P34" s="87">
        <v>1</v>
      </c>
      <c r="Q34" s="87">
        <v>5</v>
      </c>
      <c r="R34" s="214">
        <v>5</v>
      </c>
      <c r="S34" s="296">
        <f>R34/R30</f>
        <v>0.14705882352941177</v>
      </c>
    </row>
    <row r="35" spans="2:19">
      <c r="B35" s="40"/>
      <c r="C35" s="40"/>
      <c r="D35" s="40"/>
      <c r="E35" s="40"/>
      <c r="F35" s="40"/>
      <c r="G35" s="40"/>
      <c r="H35" s="40"/>
    </row>
    <row r="36" spans="2:19">
      <c r="B36" s="37"/>
      <c r="C36" s="37"/>
      <c r="D36" s="37"/>
      <c r="E36" s="37"/>
      <c r="F36" s="37"/>
    </row>
    <row r="53" spans="2:3" hidden="1">
      <c r="B53" s="38" t="s">
        <v>34</v>
      </c>
      <c r="C53" s="31" t="s">
        <v>40</v>
      </c>
    </row>
  </sheetData>
  <mergeCells count="5">
    <mergeCell ref="B4:B5"/>
    <mergeCell ref="C4:C5"/>
    <mergeCell ref="H4:R4"/>
    <mergeCell ref="B1:R1"/>
    <mergeCell ref="B2:R2"/>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89&amp;R&amp;"Lucida Sans Unicode,Regular"&amp;10December 2015</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sheetPr>
  <dimension ref="A1:O58"/>
  <sheetViews>
    <sheetView showGridLines="0" view="pageLayout" topLeftCell="A35" zoomScaleNormal="100" zoomScaleSheetLayoutView="100" workbookViewId="0">
      <selection activeCell="N35" sqref="N35"/>
    </sheetView>
  </sheetViews>
  <sheetFormatPr defaultColWidth="9.6640625" defaultRowHeight="15.75"/>
  <cols>
    <col min="1" max="1" width="6.21875" style="136" customWidth="1"/>
    <col min="2" max="2" width="9.6640625" style="38" customWidth="1"/>
    <col min="3" max="3" width="15.6640625" style="38" customWidth="1"/>
    <col min="4" max="4" width="8" style="38" hidden="1" customWidth="1"/>
    <col min="5" max="5" width="0.5546875" style="38" hidden="1" customWidth="1"/>
    <col min="6" max="7" width="8" style="38" hidden="1" customWidth="1"/>
    <col min="8" max="9" width="7.5546875" style="38" hidden="1" customWidth="1"/>
    <col min="10" max="13" width="8.77734375" style="38" customWidth="1"/>
    <col min="14" max="14" width="8.77734375" style="136" customWidth="1"/>
    <col min="15" max="15" width="6.88671875" style="38" bestFit="1" customWidth="1"/>
    <col min="16" max="16384" width="9.6640625" style="38"/>
  </cols>
  <sheetData>
    <row r="1" spans="1:14" s="194" customFormat="1" ht="24" customHeight="1">
      <c r="A1" s="199"/>
      <c r="B1" s="465" t="s">
        <v>0</v>
      </c>
      <c r="C1" s="465"/>
      <c r="D1" s="465"/>
      <c r="E1" s="465"/>
      <c r="F1" s="465"/>
      <c r="G1" s="465"/>
      <c r="H1" s="465"/>
      <c r="I1" s="465"/>
      <c r="J1" s="465"/>
      <c r="K1" s="465"/>
      <c r="L1" s="465"/>
      <c r="M1" s="465"/>
      <c r="N1" s="465"/>
    </row>
    <row r="2" spans="1:14" s="196" customFormat="1" ht="25.5" customHeight="1">
      <c r="A2" s="200"/>
      <c r="B2" s="464" t="s">
        <v>41</v>
      </c>
      <c r="C2" s="464"/>
      <c r="D2" s="464"/>
      <c r="E2" s="464"/>
      <c r="F2" s="464"/>
      <c r="G2" s="464"/>
      <c r="H2" s="464"/>
      <c r="I2" s="464"/>
      <c r="J2" s="464"/>
      <c r="K2" s="464"/>
      <c r="L2" s="464"/>
      <c r="M2" s="464"/>
      <c r="N2" s="464"/>
    </row>
    <row r="3" spans="1:14" s="194" customFormat="1" ht="21" customHeight="1">
      <c r="A3" s="199"/>
      <c r="B3" s="523" t="s">
        <v>61</v>
      </c>
      <c r="C3" s="523"/>
      <c r="D3" s="523"/>
      <c r="E3" s="523"/>
      <c r="F3" s="523"/>
      <c r="G3" s="523"/>
      <c r="H3" s="523"/>
      <c r="I3" s="523"/>
      <c r="J3" s="523"/>
      <c r="K3" s="523"/>
      <c r="L3" s="523"/>
      <c r="M3" s="523"/>
      <c r="N3" s="523"/>
    </row>
    <row r="4" spans="1:14" ht="15.75" customHeight="1">
      <c r="B4" s="524" t="s">
        <v>59</v>
      </c>
      <c r="C4" s="524" t="s">
        <v>60</v>
      </c>
      <c r="D4" s="527" t="s">
        <v>150</v>
      </c>
      <c r="E4" s="528"/>
      <c r="F4" s="528"/>
      <c r="G4" s="528"/>
      <c r="H4" s="528"/>
      <c r="I4" s="528"/>
      <c r="J4" s="528"/>
      <c r="K4" s="528"/>
      <c r="L4" s="528"/>
      <c r="M4" s="528"/>
      <c r="N4" s="529"/>
    </row>
    <row r="5" spans="1:14" s="106" customFormat="1" ht="15.75" customHeight="1">
      <c r="A5" s="136"/>
      <c r="B5" s="531"/>
      <c r="C5" s="531"/>
      <c r="D5" s="111" t="s">
        <v>21</v>
      </c>
      <c r="E5" s="111" t="s">
        <v>51</v>
      </c>
      <c r="F5" s="111" t="s">
        <v>52</v>
      </c>
      <c r="G5" s="322" t="s">
        <v>53</v>
      </c>
      <c r="H5" s="111" t="s">
        <v>57</v>
      </c>
      <c r="I5" s="111" t="s">
        <v>69</v>
      </c>
      <c r="J5" s="111" t="s">
        <v>124</v>
      </c>
      <c r="K5" s="111" t="s">
        <v>146</v>
      </c>
      <c r="L5" s="137" t="s">
        <v>158</v>
      </c>
      <c r="M5" s="137" t="s">
        <v>166</v>
      </c>
      <c r="N5" s="137" t="s">
        <v>187</v>
      </c>
    </row>
    <row r="6" spans="1:14" ht="16.5" customHeight="1">
      <c r="B6" s="8"/>
      <c r="C6" s="8" t="s">
        <v>11</v>
      </c>
      <c r="D6" s="109">
        <v>39</v>
      </c>
      <c r="E6" s="109">
        <v>58</v>
      </c>
      <c r="F6" s="109">
        <v>44</v>
      </c>
      <c r="G6" s="109">
        <v>30</v>
      </c>
      <c r="H6" s="109">
        <v>36</v>
      </c>
      <c r="I6" s="109">
        <v>56</v>
      </c>
      <c r="J6" s="109">
        <v>46</v>
      </c>
      <c r="K6" s="206">
        <v>47</v>
      </c>
      <c r="L6" s="206">
        <v>61</v>
      </c>
      <c r="M6" s="206">
        <v>62</v>
      </c>
      <c r="N6" s="206">
        <v>49</v>
      </c>
    </row>
    <row r="7" spans="1:14">
      <c r="B7" s="7"/>
      <c r="C7" s="8" t="s">
        <v>12</v>
      </c>
      <c r="D7" s="76">
        <v>2</v>
      </c>
      <c r="E7" s="76">
        <v>2</v>
      </c>
      <c r="F7" s="76">
        <v>2</v>
      </c>
      <c r="G7" s="76">
        <v>2</v>
      </c>
      <c r="H7" s="76">
        <v>5</v>
      </c>
      <c r="I7" s="76">
        <v>2</v>
      </c>
      <c r="J7" s="76">
        <v>2</v>
      </c>
      <c r="K7" s="206"/>
      <c r="L7" s="206"/>
      <c r="M7" s="206">
        <v>2</v>
      </c>
      <c r="N7" s="206"/>
    </row>
    <row r="8" spans="1:14">
      <c r="B8" s="7" t="s">
        <v>2</v>
      </c>
      <c r="C8" s="3" t="s">
        <v>13</v>
      </c>
      <c r="D8" s="77">
        <f>D6+D7</f>
        <v>41</v>
      </c>
      <c r="E8" s="77">
        <f>E6+E7</f>
        <v>60</v>
      </c>
      <c r="F8" s="77">
        <f>F6+F7</f>
        <v>46</v>
      </c>
      <c r="G8" s="77">
        <f>G6+G7</f>
        <v>32</v>
      </c>
      <c r="H8" s="77">
        <f t="shared" ref="H8:I8" si="0">SUM(H6:H7)</f>
        <v>41</v>
      </c>
      <c r="I8" s="77">
        <f t="shared" si="0"/>
        <v>58</v>
      </c>
      <c r="J8" s="77">
        <v>48</v>
      </c>
      <c r="K8" s="202">
        <v>47</v>
      </c>
      <c r="L8" s="202">
        <v>61</v>
      </c>
      <c r="M8" s="202">
        <v>64</v>
      </c>
      <c r="N8" s="202">
        <v>49</v>
      </c>
    </row>
    <row r="9" spans="1:14" ht="16.5" thickBot="1">
      <c r="B9" s="7"/>
      <c r="C9" s="2" t="s">
        <v>14</v>
      </c>
      <c r="D9" s="77">
        <v>0</v>
      </c>
      <c r="E9" s="77">
        <v>0</v>
      </c>
      <c r="F9" s="77"/>
      <c r="G9" s="77"/>
      <c r="H9" s="77"/>
      <c r="I9" s="77">
        <v>1</v>
      </c>
      <c r="J9" s="77"/>
      <c r="K9" s="202"/>
      <c r="L9" s="202"/>
      <c r="M9" s="202"/>
      <c r="N9" s="202"/>
    </row>
    <row r="10" spans="1:14" ht="17.100000000000001" customHeight="1" thickTop="1" thickBot="1">
      <c r="B10" s="7"/>
      <c r="C10" s="13" t="s">
        <v>15</v>
      </c>
      <c r="D10" s="78">
        <f>D8+D9</f>
        <v>41</v>
      </c>
      <c r="E10" s="78">
        <f>E8+E9</f>
        <v>60</v>
      </c>
      <c r="F10" s="78">
        <f>F8+F9</f>
        <v>46</v>
      </c>
      <c r="G10" s="78">
        <f>G8+G9</f>
        <v>32</v>
      </c>
      <c r="H10" s="78">
        <f t="shared" ref="H10:I10" si="1">SUM(H8:H9)</f>
        <v>41</v>
      </c>
      <c r="I10" s="78">
        <f t="shared" si="1"/>
        <v>59</v>
      </c>
      <c r="J10" s="78">
        <v>48</v>
      </c>
      <c r="K10" s="204">
        <v>47</v>
      </c>
      <c r="L10" s="204">
        <v>61</v>
      </c>
      <c r="M10" s="204">
        <v>64</v>
      </c>
      <c r="N10" s="204">
        <v>49</v>
      </c>
    </row>
    <row r="11" spans="1:14">
      <c r="B11" s="4"/>
      <c r="C11" s="4" t="s">
        <v>11</v>
      </c>
      <c r="D11" s="79">
        <v>27</v>
      </c>
      <c r="E11" s="79">
        <v>39</v>
      </c>
      <c r="F11" s="79">
        <v>78</v>
      </c>
      <c r="G11" s="79">
        <v>69</v>
      </c>
      <c r="H11" s="79">
        <v>45</v>
      </c>
      <c r="I11" s="79">
        <v>53</v>
      </c>
      <c r="J11" s="79">
        <v>66</v>
      </c>
      <c r="K11" s="207">
        <v>61</v>
      </c>
      <c r="L11" s="207">
        <v>68</v>
      </c>
      <c r="M11" s="207">
        <v>87</v>
      </c>
      <c r="N11" s="207">
        <v>94</v>
      </c>
    </row>
    <row r="12" spans="1:14">
      <c r="B12" s="7"/>
      <c r="C12" s="8" t="s">
        <v>12</v>
      </c>
      <c r="D12" s="76">
        <v>2</v>
      </c>
      <c r="E12" s="76">
        <v>1</v>
      </c>
      <c r="F12" s="76">
        <v>5</v>
      </c>
      <c r="G12" s="76">
        <v>4</v>
      </c>
      <c r="H12" s="76">
        <v>2</v>
      </c>
      <c r="I12" s="76">
        <v>5</v>
      </c>
      <c r="J12" s="76">
        <v>7</v>
      </c>
      <c r="K12" s="206">
        <v>5</v>
      </c>
      <c r="L12" s="206">
        <v>4</v>
      </c>
      <c r="M12" s="206"/>
      <c r="N12" s="206">
        <v>3</v>
      </c>
    </row>
    <row r="13" spans="1:14">
      <c r="B13" s="7" t="s">
        <v>3</v>
      </c>
      <c r="C13" s="3" t="s">
        <v>13</v>
      </c>
      <c r="D13" s="77">
        <f>D11+D12</f>
        <v>29</v>
      </c>
      <c r="E13" s="77">
        <f>E11+E12</f>
        <v>40</v>
      </c>
      <c r="F13" s="77">
        <f>F11+F12</f>
        <v>83</v>
      </c>
      <c r="G13" s="77">
        <f>G11+G12</f>
        <v>73</v>
      </c>
      <c r="H13" s="77">
        <f t="shared" ref="H13:I13" si="2">SUM(H11:H12)</f>
        <v>47</v>
      </c>
      <c r="I13" s="77">
        <f t="shared" si="2"/>
        <v>58</v>
      </c>
      <c r="J13" s="77">
        <v>73</v>
      </c>
      <c r="K13" s="202">
        <v>66</v>
      </c>
      <c r="L13" s="202">
        <v>72</v>
      </c>
      <c r="M13" s="202">
        <v>88</v>
      </c>
      <c r="N13" s="202">
        <v>97</v>
      </c>
    </row>
    <row r="14" spans="1:14" ht="16.5" thickBot="1">
      <c r="B14" s="7"/>
      <c r="C14" s="2" t="s">
        <v>14</v>
      </c>
      <c r="D14" s="77">
        <v>0</v>
      </c>
      <c r="E14" s="77">
        <v>0</v>
      </c>
      <c r="F14" s="77"/>
      <c r="G14" s="77">
        <v>1</v>
      </c>
      <c r="H14" s="77"/>
      <c r="I14" s="77">
        <v>1</v>
      </c>
      <c r="J14" s="77"/>
      <c r="K14" s="202"/>
      <c r="L14" s="202">
        <v>1</v>
      </c>
      <c r="M14" s="202">
        <v>1</v>
      </c>
      <c r="N14" s="202"/>
    </row>
    <row r="15" spans="1:14" ht="17.100000000000001" customHeight="1" thickTop="1" thickBot="1">
      <c r="B15" s="7"/>
      <c r="C15" s="13" t="s">
        <v>15</v>
      </c>
      <c r="D15" s="78">
        <f>D13+D14</f>
        <v>29</v>
      </c>
      <c r="E15" s="78">
        <f>E13+E14</f>
        <v>40</v>
      </c>
      <c r="F15" s="78">
        <f>F13+F14</f>
        <v>83</v>
      </c>
      <c r="G15" s="78">
        <f>G13+G14</f>
        <v>74</v>
      </c>
      <c r="H15" s="78">
        <f t="shared" ref="H15:I15" si="3">SUM(H13:H14)</f>
        <v>47</v>
      </c>
      <c r="I15" s="78">
        <f t="shared" si="3"/>
        <v>59</v>
      </c>
      <c r="J15" s="78">
        <v>73</v>
      </c>
      <c r="K15" s="204">
        <v>66</v>
      </c>
      <c r="L15" s="204">
        <v>73</v>
      </c>
      <c r="M15" s="204">
        <v>88</v>
      </c>
      <c r="N15" s="204">
        <v>97</v>
      </c>
    </row>
    <row r="16" spans="1:14">
      <c r="B16" s="4"/>
      <c r="C16" s="4" t="s">
        <v>11</v>
      </c>
      <c r="D16" s="79">
        <v>27</v>
      </c>
      <c r="E16" s="79">
        <v>38</v>
      </c>
      <c r="F16" s="79">
        <v>53</v>
      </c>
      <c r="G16" s="79">
        <v>70</v>
      </c>
      <c r="H16" s="79">
        <v>52</v>
      </c>
      <c r="I16" s="79">
        <v>48</v>
      </c>
      <c r="J16" s="79">
        <v>75</v>
      </c>
      <c r="K16" s="207">
        <v>80</v>
      </c>
      <c r="L16" s="207">
        <v>67</v>
      </c>
      <c r="M16" s="207">
        <v>70</v>
      </c>
      <c r="N16" s="207">
        <v>100</v>
      </c>
    </row>
    <row r="17" spans="2:15">
      <c r="B17" s="7"/>
      <c r="C17" s="8" t="s">
        <v>12</v>
      </c>
      <c r="D17" s="76">
        <v>5</v>
      </c>
      <c r="E17" s="76">
        <v>4</v>
      </c>
      <c r="F17" s="76">
        <v>3</v>
      </c>
      <c r="G17" s="76">
        <v>4</v>
      </c>
      <c r="H17" s="76">
        <v>2</v>
      </c>
      <c r="I17" s="76">
        <v>5</v>
      </c>
      <c r="J17" s="76">
        <v>5</v>
      </c>
      <c r="K17" s="206">
        <v>4</v>
      </c>
      <c r="L17" s="206">
        <v>3</v>
      </c>
      <c r="M17" s="206">
        <v>1</v>
      </c>
      <c r="N17" s="206">
        <v>3</v>
      </c>
    </row>
    <row r="18" spans="2:15">
      <c r="B18" s="7" t="s">
        <v>4</v>
      </c>
      <c r="C18" s="3" t="s">
        <v>13</v>
      </c>
      <c r="D18" s="77">
        <f>D16+D17</f>
        <v>32</v>
      </c>
      <c r="E18" s="77">
        <f>E16+E17</f>
        <v>42</v>
      </c>
      <c r="F18" s="77">
        <f>F16+F17</f>
        <v>56</v>
      </c>
      <c r="G18" s="77">
        <f>G16+G17</f>
        <v>74</v>
      </c>
      <c r="H18" s="77">
        <f t="shared" ref="H18:I18" si="4">SUM(H16:H17)</f>
        <v>54</v>
      </c>
      <c r="I18" s="77">
        <f t="shared" si="4"/>
        <v>53</v>
      </c>
      <c r="J18" s="77">
        <v>80</v>
      </c>
      <c r="K18" s="202">
        <v>84</v>
      </c>
      <c r="L18" s="202">
        <v>70</v>
      </c>
      <c r="M18" s="202">
        <v>71</v>
      </c>
      <c r="N18" s="202">
        <v>103</v>
      </c>
    </row>
    <row r="19" spans="2:15" ht="16.5" thickBot="1">
      <c r="B19" s="7"/>
      <c r="C19" s="2" t="s">
        <v>14</v>
      </c>
      <c r="D19" s="77">
        <v>0</v>
      </c>
      <c r="E19" s="77">
        <v>0</v>
      </c>
      <c r="F19" s="77"/>
      <c r="G19" s="77"/>
      <c r="H19" s="77"/>
      <c r="I19" s="77"/>
      <c r="J19" s="77">
        <v>1</v>
      </c>
      <c r="K19" s="202"/>
      <c r="L19" s="202">
        <v>1</v>
      </c>
      <c r="M19" s="202">
        <v>3</v>
      </c>
      <c r="N19" s="202">
        <v>1</v>
      </c>
    </row>
    <row r="20" spans="2:15" ht="17.100000000000001" customHeight="1" thickTop="1" thickBot="1">
      <c r="B20" s="7"/>
      <c r="C20" s="13" t="s">
        <v>15</v>
      </c>
      <c r="D20" s="78">
        <f>D18+D19</f>
        <v>32</v>
      </c>
      <c r="E20" s="78">
        <f>E18+E19</f>
        <v>42</v>
      </c>
      <c r="F20" s="78">
        <f>F18+F19</f>
        <v>56</v>
      </c>
      <c r="G20" s="78">
        <f>G18+G19</f>
        <v>74</v>
      </c>
      <c r="H20" s="78">
        <f t="shared" ref="H20:I20" si="5">SUM(H18:H19)</f>
        <v>54</v>
      </c>
      <c r="I20" s="78">
        <f t="shared" si="5"/>
        <v>53</v>
      </c>
      <c r="J20" s="78">
        <v>81</v>
      </c>
      <c r="K20" s="204">
        <v>84</v>
      </c>
      <c r="L20" s="204">
        <v>71</v>
      </c>
      <c r="M20" s="204">
        <v>74</v>
      </c>
      <c r="N20" s="204">
        <v>104</v>
      </c>
    </row>
    <row r="21" spans="2:15">
      <c r="B21" s="4"/>
      <c r="C21" s="4" t="s">
        <v>11</v>
      </c>
      <c r="D21" s="79">
        <v>27</v>
      </c>
      <c r="E21" s="79">
        <v>13</v>
      </c>
      <c r="F21" s="79">
        <v>23</v>
      </c>
      <c r="G21" s="79">
        <v>32</v>
      </c>
      <c r="H21" s="79">
        <v>12</v>
      </c>
      <c r="I21" s="79">
        <v>17</v>
      </c>
      <c r="J21" s="79">
        <v>20</v>
      </c>
      <c r="K21" s="207">
        <v>27</v>
      </c>
      <c r="L21" s="207">
        <v>31</v>
      </c>
      <c r="M21" s="207">
        <v>28</v>
      </c>
      <c r="N21" s="207">
        <v>38</v>
      </c>
    </row>
    <row r="22" spans="2:15">
      <c r="B22" s="7"/>
      <c r="C22" s="8" t="s">
        <v>12</v>
      </c>
      <c r="D22" s="76">
        <v>7</v>
      </c>
      <c r="E22" s="76">
        <v>2</v>
      </c>
      <c r="F22" s="76">
        <v>5</v>
      </c>
      <c r="G22" s="76">
        <v>5</v>
      </c>
      <c r="H22" s="76">
        <v>7</v>
      </c>
      <c r="I22" s="76">
        <v>2</v>
      </c>
      <c r="J22" s="76">
        <v>5</v>
      </c>
      <c r="K22" s="206">
        <v>3</v>
      </c>
      <c r="L22" s="206">
        <v>3</v>
      </c>
      <c r="M22" s="206">
        <v>3</v>
      </c>
      <c r="N22" s="206">
        <v>4</v>
      </c>
    </row>
    <row r="23" spans="2:15">
      <c r="B23" s="7" t="s">
        <v>5</v>
      </c>
      <c r="C23" s="3" t="s">
        <v>13</v>
      </c>
      <c r="D23" s="77">
        <f>D21+D22</f>
        <v>34</v>
      </c>
      <c r="E23" s="77">
        <f>E21+E22</f>
        <v>15</v>
      </c>
      <c r="F23" s="77">
        <f>F21+F22</f>
        <v>28</v>
      </c>
      <c r="G23" s="77">
        <f>G21+G22</f>
        <v>37</v>
      </c>
      <c r="H23" s="77">
        <f t="shared" ref="H23:I23" si="6">SUM(H21:H22)</f>
        <v>19</v>
      </c>
      <c r="I23" s="77">
        <f t="shared" si="6"/>
        <v>19</v>
      </c>
      <c r="J23" s="77">
        <v>25</v>
      </c>
      <c r="K23" s="202">
        <v>30</v>
      </c>
      <c r="L23" s="202">
        <v>34</v>
      </c>
      <c r="M23" s="202">
        <v>31</v>
      </c>
      <c r="N23" s="202">
        <v>42</v>
      </c>
    </row>
    <row r="24" spans="2:15" ht="16.5" thickBot="1">
      <c r="B24" s="7"/>
      <c r="C24" s="2" t="s">
        <v>14</v>
      </c>
      <c r="D24" s="77">
        <v>1</v>
      </c>
      <c r="E24" s="77">
        <v>2</v>
      </c>
      <c r="F24" s="77">
        <v>1</v>
      </c>
      <c r="G24" s="77"/>
      <c r="H24" s="77"/>
      <c r="I24" s="77"/>
      <c r="J24" s="77"/>
      <c r="K24" s="202"/>
      <c r="L24" s="202"/>
      <c r="M24" s="202"/>
      <c r="N24" s="202"/>
    </row>
    <row r="25" spans="2:15" ht="17.100000000000001" customHeight="1" thickTop="1" thickBot="1">
      <c r="B25" s="7"/>
      <c r="C25" s="13" t="s">
        <v>15</v>
      </c>
      <c r="D25" s="78">
        <f>D23+D24</f>
        <v>35</v>
      </c>
      <c r="E25" s="78">
        <f>E23+E24</f>
        <v>17</v>
      </c>
      <c r="F25" s="78">
        <f>F23+F24</f>
        <v>29</v>
      </c>
      <c r="G25" s="78">
        <f>G23+G24</f>
        <v>37</v>
      </c>
      <c r="H25" s="78">
        <f t="shared" ref="H25:I25" si="7">SUM(H23:H24)</f>
        <v>19</v>
      </c>
      <c r="I25" s="78">
        <f t="shared" si="7"/>
        <v>19</v>
      </c>
      <c r="J25" s="78">
        <v>25</v>
      </c>
      <c r="K25" s="204">
        <v>30</v>
      </c>
      <c r="L25" s="204">
        <v>34</v>
      </c>
      <c r="M25" s="204">
        <v>31</v>
      </c>
      <c r="N25" s="204">
        <v>42</v>
      </c>
    </row>
    <row r="26" spans="2:15" ht="21" customHeight="1" thickTop="1">
      <c r="B26" s="46"/>
      <c r="C26" s="46" t="s">
        <v>11</v>
      </c>
      <c r="D26" s="80">
        <f t="shared" ref="D26:I26" si="8">SUM(D6,D11,D16,D21)</f>
        <v>120</v>
      </c>
      <c r="E26" s="80">
        <f t="shared" si="8"/>
        <v>148</v>
      </c>
      <c r="F26" s="80">
        <f t="shared" si="8"/>
        <v>198</v>
      </c>
      <c r="G26" s="80">
        <f t="shared" si="8"/>
        <v>201</v>
      </c>
      <c r="H26" s="80">
        <f t="shared" si="8"/>
        <v>145</v>
      </c>
      <c r="I26" s="80">
        <f t="shared" si="8"/>
        <v>174</v>
      </c>
      <c r="J26" s="80">
        <v>207</v>
      </c>
      <c r="K26" s="80">
        <v>215</v>
      </c>
      <c r="L26" s="80">
        <v>227</v>
      </c>
      <c r="M26" s="80">
        <v>247</v>
      </c>
      <c r="N26" s="80">
        <v>281</v>
      </c>
    </row>
    <row r="27" spans="2:15" ht="21" customHeight="1">
      <c r="B27" s="19"/>
      <c r="C27" s="19" t="s">
        <v>12</v>
      </c>
      <c r="D27" s="81">
        <f t="shared" ref="D27:I27" si="9">SUM(D7,D12,D17,D22)</f>
        <v>16</v>
      </c>
      <c r="E27" s="81">
        <f t="shared" si="9"/>
        <v>9</v>
      </c>
      <c r="F27" s="81">
        <f t="shared" si="9"/>
        <v>15</v>
      </c>
      <c r="G27" s="81">
        <f t="shared" si="9"/>
        <v>15</v>
      </c>
      <c r="H27" s="81">
        <f t="shared" si="9"/>
        <v>16</v>
      </c>
      <c r="I27" s="81">
        <f t="shared" si="9"/>
        <v>14</v>
      </c>
      <c r="J27" s="81">
        <v>19</v>
      </c>
      <c r="K27" s="81">
        <v>12</v>
      </c>
      <c r="L27" s="81">
        <v>10</v>
      </c>
      <c r="M27" s="81">
        <v>6</v>
      </c>
      <c r="N27" s="81">
        <v>10</v>
      </c>
    </row>
    <row r="28" spans="2:15" ht="21" customHeight="1">
      <c r="B28" s="22" t="s">
        <v>6</v>
      </c>
      <c r="C28" s="23" t="s">
        <v>13</v>
      </c>
      <c r="D28" s="82">
        <f t="shared" ref="D28:I28" si="10">D26+D27</f>
        <v>136</v>
      </c>
      <c r="E28" s="82">
        <f t="shared" si="10"/>
        <v>157</v>
      </c>
      <c r="F28" s="82">
        <f t="shared" si="10"/>
        <v>213</v>
      </c>
      <c r="G28" s="82">
        <f t="shared" si="10"/>
        <v>216</v>
      </c>
      <c r="H28" s="82">
        <f t="shared" si="10"/>
        <v>161</v>
      </c>
      <c r="I28" s="82">
        <f t="shared" si="10"/>
        <v>188</v>
      </c>
      <c r="J28" s="82">
        <v>226</v>
      </c>
      <c r="K28" s="82">
        <v>227</v>
      </c>
      <c r="L28" s="82">
        <v>237</v>
      </c>
      <c r="M28" s="82">
        <v>253</v>
      </c>
      <c r="N28" s="82">
        <v>291</v>
      </c>
    </row>
    <row r="29" spans="2:15" ht="21" customHeight="1" thickBot="1">
      <c r="B29" s="19"/>
      <c r="C29" s="26" t="s">
        <v>14</v>
      </c>
      <c r="D29" s="82">
        <f t="shared" ref="D29:I29" si="11">SUM(D9,D14,D19,D24)</f>
        <v>1</v>
      </c>
      <c r="E29" s="82">
        <f t="shared" si="11"/>
        <v>2</v>
      </c>
      <c r="F29" s="82">
        <f t="shared" si="11"/>
        <v>1</v>
      </c>
      <c r="G29" s="82">
        <f t="shared" si="11"/>
        <v>1</v>
      </c>
      <c r="H29" s="82"/>
      <c r="I29" s="82">
        <f t="shared" si="11"/>
        <v>2</v>
      </c>
      <c r="J29" s="82">
        <v>1</v>
      </c>
      <c r="K29" s="82"/>
      <c r="L29" s="82">
        <v>2</v>
      </c>
      <c r="M29" s="82">
        <v>4</v>
      </c>
      <c r="N29" s="82">
        <v>1</v>
      </c>
    </row>
    <row r="30" spans="2:15" ht="21" customHeight="1" thickTop="1" thickBot="1">
      <c r="B30" s="22"/>
      <c r="C30" s="27" t="s">
        <v>15</v>
      </c>
      <c r="D30" s="83">
        <f t="shared" ref="D30:I30" si="12">D28+D29</f>
        <v>137</v>
      </c>
      <c r="E30" s="83">
        <f t="shared" si="12"/>
        <v>159</v>
      </c>
      <c r="F30" s="83">
        <f t="shared" si="12"/>
        <v>214</v>
      </c>
      <c r="G30" s="83">
        <f t="shared" si="12"/>
        <v>217</v>
      </c>
      <c r="H30" s="83">
        <f t="shared" si="12"/>
        <v>161</v>
      </c>
      <c r="I30" s="83">
        <f t="shared" si="12"/>
        <v>190</v>
      </c>
      <c r="J30" s="83">
        <v>227</v>
      </c>
      <c r="K30" s="83">
        <v>227</v>
      </c>
      <c r="L30" s="83">
        <v>239</v>
      </c>
      <c r="M30" s="83">
        <v>257</v>
      </c>
      <c r="N30" s="83">
        <v>292</v>
      </c>
    </row>
    <row r="31" spans="2:15" ht="16.5" thickTop="1">
      <c r="B31" s="29" t="s">
        <v>7</v>
      </c>
      <c r="C31" s="30"/>
      <c r="D31" s="84">
        <v>91</v>
      </c>
      <c r="E31" s="84">
        <v>102</v>
      </c>
      <c r="F31" s="84">
        <v>133</v>
      </c>
      <c r="G31" s="84">
        <v>137</v>
      </c>
      <c r="H31" s="84">
        <v>121</v>
      </c>
      <c r="I31" s="84">
        <v>134</v>
      </c>
      <c r="J31" s="84">
        <v>155</v>
      </c>
      <c r="K31" s="84">
        <v>166</v>
      </c>
      <c r="L31" s="84">
        <v>163</v>
      </c>
      <c r="M31" s="84">
        <v>172</v>
      </c>
      <c r="N31" s="211">
        <v>210</v>
      </c>
      <c r="O31" s="296">
        <f>N31/N30</f>
        <v>0.71917808219178081</v>
      </c>
    </row>
    <row r="32" spans="2:15" ht="16.5" thickBot="1">
      <c r="B32" s="8" t="s">
        <v>8</v>
      </c>
      <c r="C32" s="31"/>
      <c r="D32" s="85">
        <v>46</v>
      </c>
      <c r="E32" s="85">
        <v>57</v>
      </c>
      <c r="F32" s="85">
        <v>81</v>
      </c>
      <c r="G32" s="85">
        <v>80</v>
      </c>
      <c r="H32" s="85">
        <v>40</v>
      </c>
      <c r="I32" s="85">
        <v>56</v>
      </c>
      <c r="J32" s="85">
        <v>72</v>
      </c>
      <c r="K32" s="85">
        <v>61</v>
      </c>
      <c r="L32" s="85">
        <v>76</v>
      </c>
      <c r="M32" s="85">
        <v>85</v>
      </c>
      <c r="N32" s="212">
        <v>82</v>
      </c>
      <c r="O32" s="297">
        <f>N32/N30</f>
        <v>0.28082191780821919</v>
      </c>
    </row>
    <row r="33" spans="2:15">
      <c r="B33" s="4" t="s">
        <v>9</v>
      </c>
      <c r="C33" s="34"/>
      <c r="D33" s="86">
        <v>111</v>
      </c>
      <c r="E33" s="86">
        <v>127</v>
      </c>
      <c r="F33" s="86">
        <v>169</v>
      </c>
      <c r="G33" s="86">
        <v>166</v>
      </c>
      <c r="H33" s="86">
        <v>128</v>
      </c>
      <c r="I33" s="86">
        <v>145</v>
      </c>
      <c r="J33" s="86">
        <v>180</v>
      </c>
      <c r="K33" s="86">
        <v>175</v>
      </c>
      <c r="L33" s="86">
        <v>197</v>
      </c>
      <c r="M33" s="86">
        <v>209</v>
      </c>
      <c r="N33" s="213">
        <v>236</v>
      </c>
      <c r="O33" s="296">
        <f>N33/N30</f>
        <v>0.80821917808219179</v>
      </c>
    </row>
    <row r="34" spans="2:15">
      <c r="B34" s="8" t="s">
        <v>10</v>
      </c>
      <c r="C34" s="31"/>
      <c r="D34" s="87">
        <v>26</v>
      </c>
      <c r="E34" s="87">
        <v>32</v>
      </c>
      <c r="F34" s="87">
        <v>45</v>
      </c>
      <c r="G34" s="87">
        <v>51</v>
      </c>
      <c r="H34" s="87">
        <v>33</v>
      </c>
      <c r="I34" s="87">
        <v>45</v>
      </c>
      <c r="J34" s="87">
        <v>47</v>
      </c>
      <c r="K34" s="87">
        <v>52</v>
      </c>
      <c r="L34" s="87">
        <v>42</v>
      </c>
      <c r="M34" s="87">
        <v>48</v>
      </c>
      <c r="N34" s="214">
        <v>56</v>
      </c>
      <c r="O34" s="296">
        <f>N34/N30</f>
        <v>0.19178082191780821</v>
      </c>
    </row>
    <row r="35" spans="2:15">
      <c r="B35" s="40"/>
      <c r="C35" s="40"/>
      <c r="D35" s="40"/>
    </row>
    <row r="36" spans="2:15">
      <c r="B36" s="37"/>
      <c r="C36" s="37"/>
    </row>
    <row r="54" spans="2:3" hidden="1">
      <c r="B54" s="38" t="s">
        <v>34</v>
      </c>
      <c r="C54" s="31"/>
    </row>
    <row r="55" spans="2:3" hidden="1">
      <c r="B55" s="31" t="s">
        <v>96</v>
      </c>
      <c r="C55" s="31"/>
    </row>
    <row r="56" spans="2:3" hidden="1">
      <c r="B56" s="31" t="s">
        <v>25</v>
      </c>
    </row>
    <row r="57" spans="2:3" hidden="1">
      <c r="B57" s="31" t="s">
        <v>95</v>
      </c>
    </row>
    <row r="58" spans="2:3" hidden="1"/>
  </sheetData>
  <mergeCells count="6">
    <mergeCell ref="B1:N1"/>
    <mergeCell ref="D4:N4"/>
    <mergeCell ref="B4:B5"/>
    <mergeCell ref="C4:C5"/>
    <mergeCell ref="B3:N3"/>
    <mergeCell ref="B2:N2"/>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90&amp;R&amp;"Lucida Sans Unicode,Regular"&amp;10December 2015</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O58"/>
  <sheetViews>
    <sheetView showGridLines="0" view="pageLayout" topLeftCell="A42" zoomScaleNormal="100" zoomScaleSheetLayoutView="100" workbookViewId="0">
      <selection activeCell="N35" sqref="N35"/>
    </sheetView>
  </sheetViews>
  <sheetFormatPr defaultColWidth="9.6640625" defaultRowHeight="15.75"/>
  <cols>
    <col min="1" max="1" width="6.21875" style="136" customWidth="1"/>
    <col min="2" max="2" width="9.6640625" style="38" customWidth="1"/>
    <col min="3" max="3" width="15.6640625" style="38" customWidth="1"/>
    <col min="4" max="9" width="7.5546875" style="38" hidden="1" customWidth="1"/>
    <col min="10" max="14" width="8.77734375" style="38" customWidth="1"/>
    <col min="15" max="15" width="6.88671875" style="38" bestFit="1" customWidth="1"/>
    <col min="16" max="16384" width="9.6640625" style="38"/>
  </cols>
  <sheetData>
    <row r="1" spans="1:14" s="194" customFormat="1" ht="24" customHeight="1">
      <c r="A1" s="199"/>
      <c r="B1" s="465" t="s">
        <v>0</v>
      </c>
      <c r="C1" s="465"/>
      <c r="D1" s="465"/>
      <c r="E1" s="465"/>
      <c r="F1" s="465"/>
      <c r="G1" s="465"/>
      <c r="H1" s="465"/>
      <c r="I1" s="465"/>
      <c r="J1" s="465"/>
      <c r="K1" s="465"/>
      <c r="L1" s="465"/>
      <c r="M1" s="465"/>
      <c r="N1" s="465"/>
    </row>
    <row r="2" spans="1:14" s="196" customFormat="1" ht="25.5" customHeight="1">
      <c r="A2" s="200"/>
      <c r="B2" s="464" t="s">
        <v>41</v>
      </c>
      <c r="C2" s="464"/>
      <c r="D2" s="464"/>
      <c r="E2" s="464"/>
      <c r="F2" s="464"/>
      <c r="G2" s="464"/>
      <c r="H2" s="464"/>
      <c r="I2" s="464"/>
      <c r="J2" s="464"/>
      <c r="K2" s="464"/>
      <c r="L2" s="464"/>
      <c r="M2" s="464"/>
      <c r="N2" s="464"/>
    </row>
    <row r="3" spans="1:14" s="194" customFormat="1" ht="21" customHeight="1">
      <c r="A3" s="199"/>
      <c r="B3" s="523" t="s">
        <v>153</v>
      </c>
      <c r="C3" s="523"/>
      <c r="D3" s="523"/>
      <c r="E3" s="523"/>
      <c r="F3" s="523"/>
      <c r="G3" s="523"/>
      <c r="H3" s="523"/>
      <c r="I3" s="523"/>
      <c r="J3" s="523"/>
      <c r="K3" s="523"/>
      <c r="L3" s="523"/>
      <c r="M3" s="523"/>
      <c r="N3" s="523"/>
    </row>
    <row r="4" spans="1:14" ht="15.75" customHeight="1">
      <c r="B4" s="524" t="s">
        <v>59</v>
      </c>
      <c r="C4" s="524" t="s">
        <v>60</v>
      </c>
      <c r="D4" s="528" t="s">
        <v>149</v>
      </c>
      <c r="E4" s="528"/>
      <c r="F4" s="528"/>
      <c r="G4" s="528"/>
      <c r="H4" s="528"/>
      <c r="I4" s="528"/>
      <c r="J4" s="528"/>
      <c r="K4" s="528"/>
      <c r="L4" s="528"/>
      <c r="M4" s="528"/>
      <c r="N4" s="529"/>
    </row>
    <row r="5" spans="1:14" s="106" customFormat="1" ht="15.75" customHeight="1">
      <c r="A5" s="136"/>
      <c r="B5" s="531"/>
      <c r="C5" s="531"/>
      <c r="D5" s="137" t="s">
        <v>64</v>
      </c>
      <c r="E5" s="137" t="s">
        <v>63</v>
      </c>
      <c r="F5" s="137" t="s">
        <v>147</v>
      </c>
      <c r="G5" s="326" t="s">
        <v>148</v>
      </c>
      <c r="H5" s="137" t="s">
        <v>57</v>
      </c>
      <c r="I5" s="137" t="s">
        <v>69</v>
      </c>
      <c r="J5" s="137" t="s">
        <v>124</v>
      </c>
      <c r="K5" s="137" t="s">
        <v>146</v>
      </c>
      <c r="L5" s="137" t="s">
        <v>158</v>
      </c>
      <c r="M5" s="137" t="s">
        <v>166</v>
      </c>
      <c r="N5" s="137" t="s">
        <v>187</v>
      </c>
    </row>
    <row r="6" spans="1:14">
      <c r="B6" s="8"/>
      <c r="C6" s="8" t="s">
        <v>11</v>
      </c>
      <c r="D6" s="520" t="s">
        <v>62</v>
      </c>
      <c r="E6" s="109">
        <v>0</v>
      </c>
      <c r="F6" s="109">
        <v>2</v>
      </c>
      <c r="G6" s="109">
        <v>1</v>
      </c>
      <c r="H6" s="109"/>
      <c r="I6" s="109">
        <v>2</v>
      </c>
      <c r="J6" s="109">
        <v>4</v>
      </c>
      <c r="K6" s="109">
        <v>13</v>
      </c>
      <c r="L6" s="109">
        <v>17</v>
      </c>
      <c r="M6" s="109">
        <v>14</v>
      </c>
      <c r="N6" s="109">
        <v>8</v>
      </c>
    </row>
    <row r="7" spans="1:14">
      <c r="B7" s="7"/>
      <c r="C7" s="8" t="s">
        <v>12</v>
      </c>
      <c r="D7" s="521"/>
      <c r="E7" s="76">
        <v>0</v>
      </c>
      <c r="F7" s="76"/>
      <c r="G7" s="76"/>
      <c r="H7" s="76"/>
      <c r="I7" s="76"/>
      <c r="J7" s="76"/>
      <c r="K7" s="76"/>
      <c r="L7" s="76"/>
      <c r="M7" s="76"/>
      <c r="N7" s="76"/>
    </row>
    <row r="8" spans="1:14">
      <c r="B8" s="7" t="s">
        <v>2</v>
      </c>
      <c r="C8" s="3" t="s">
        <v>13</v>
      </c>
      <c r="D8" s="521"/>
      <c r="E8" s="77">
        <v>0</v>
      </c>
      <c r="F8" s="77">
        <v>2</v>
      </c>
      <c r="G8" s="77">
        <v>1</v>
      </c>
      <c r="H8" s="77"/>
      <c r="I8" s="77">
        <v>2</v>
      </c>
      <c r="J8" s="77">
        <v>4</v>
      </c>
      <c r="K8" s="77">
        <v>13</v>
      </c>
      <c r="L8" s="77">
        <v>17</v>
      </c>
      <c r="M8" s="77">
        <v>14</v>
      </c>
      <c r="N8" s="77">
        <v>8</v>
      </c>
    </row>
    <row r="9" spans="1:14" ht="16.5" thickBot="1">
      <c r="B9" s="7"/>
      <c r="C9" s="2" t="s">
        <v>14</v>
      </c>
      <c r="D9" s="522"/>
      <c r="E9" s="77">
        <v>0</v>
      </c>
      <c r="F9" s="77"/>
      <c r="G9" s="77"/>
      <c r="H9" s="77"/>
      <c r="I9" s="77"/>
      <c r="J9" s="77"/>
      <c r="K9" s="77"/>
      <c r="L9" s="77"/>
      <c r="M9" s="77"/>
      <c r="N9" s="77"/>
    </row>
    <row r="10" spans="1:14" ht="17.100000000000001" customHeight="1" thickTop="1" thickBot="1">
      <c r="B10" s="7"/>
      <c r="C10" s="13" t="s">
        <v>15</v>
      </c>
      <c r="D10" s="78"/>
      <c r="E10" s="78">
        <v>0</v>
      </c>
      <c r="F10" s="78">
        <v>2</v>
      </c>
      <c r="G10" s="78">
        <v>1</v>
      </c>
      <c r="H10" s="78"/>
      <c r="I10" s="78">
        <v>2</v>
      </c>
      <c r="J10" s="78">
        <v>4</v>
      </c>
      <c r="K10" s="78">
        <v>13</v>
      </c>
      <c r="L10" s="78">
        <v>17</v>
      </c>
      <c r="M10" s="78">
        <v>14</v>
      </c>
      <c r="N10" s="78">
        <v>8</v>
      </c>
    </row>
    <row r="11" spans="1:14">
      <c r="B11" s="4"/>
      <c r="C11" s="4" t="s">
        <v>11</v>
      </c>
      <c r="D11" s="79"/>
      <c r="E11" s="79">
        <v>0</v>
      </c>
      <c r="F11" s="79"/>
      <c r="G11" s="79">
        <v>1</v>
      </c>
      <c r="H11" s="79">
        <v>1</v>
      </c>
      <c r="I11" s="79">
        <v>1</v>
      </c>
      <c r="J11" s="79">
        <v>2</v>
      </c>
      <c r="K11" s="79">
        <v>1</v>
      </c>
      <c r="L11" s="79">
        <v>2</v>
      </c>
      <c r="M11" s="79">
        <v>3</v>
      </c>
      <c r="N11" s="79">
        <v>2</v>
      </c>
    </row>
    <row r="12" spans="1:14">
      <c r="B12" s="7"/>
      <c r="C12" s="8" t="s">
        <v>12</v>
      </c>
      <c r="D12" s="76"/>
      <c r="E12" s="76">
        <v>0</v>
      </c>
      <c r="F12" s="76"/>
      <c r="G12" s="76"/>
      <c r="H12" s="76"/>
      <c r="I12" s="76"/>
      <c r="J12" s="76"/>
      <c r="K12" s="76"/>
      <c r="L12" s="76"/>
      <c r="M12" s="76"/>
      <c r="N12" s="76"/>
    </row>
    <row r="13" spans="1:14">
      <c r="B13" s="7" t="s">
        <v>3</v>
      </c>
      <c r="C13" s="3" t="s">
        <v>13</v>
      </c>
      <c r="D13" s="77"/>
      <c r="E13" s="77">
        <v>0</v>
      </c>
      <c r="F13" s="77"/>
      <c r="G13" s="77">
        <v>1</v>
      </c>
      <c r="H13" s="77">
        <v>1</v>
      </c>
      <c r="I13" s="77">
        <v>1</v>
      </c>
      <c r="J13" s="77">
        <v>2</v>
      </c>
      <c r="K13" s="77">
        <v>1</v>
      </c>
      <c r="L13" s="77">
        <v>2</v>
      </c>
      <c r="M13" s="77">
        <v>3</v>
      </c>
      <c r="N13" s="77">
        <v>2</v>
      </c>
    </row>
    <row r="14" spans="1:14" ht="16.5" thickBot="1">
      <c r="B14" s="7"/>
      <c r="C14" s="2" t="s">
        <v>14</v>
      </c>
      <c r="D14" s="77"/>
      <c r="E14" s="77">
        <v>0</v>
      </c>
      <c r="F14" s="77"/>
      <c r="G14" s="77"/>
      <c r="H14" s="77"/>
      <c r="I14" s="77"/>
      <c r="J14" s="77"/>
      <c r="K14" s="77"/>
      <c r="L14" s="77"/>
      <c r="M14" s="77"/>
      <c r="N14" s="77"/>
    </row>
    <row r="15" spans="1:14" ht="17.100000000000001" customHeight="1" thickTop="1" thickBot="1">
      <c r="B15" s="7"/>
      <c r="C15" s="13" t="s">
        <v>15</v>
      </c>
      <c r="D15" s="78"/>
      <c r="E15" s="78">
        <v>0</v>
      </c>
      <c r="F15" s="78"/>
      <c r="G15" s="78">
        <v>1</v>
      </c>
      <c r="H15" s="78">
        <v>1</v>
      </c>
      <c r="I15" s="78">
        <v>1</v>
      </c>
      <c r="J15" s="78">
        <v>2</v>
      </c>
      <c r="K15" s="78">
        <v>1</v>
      </c>
      <c r="L15" s="78">
        <v>2</v>
      </c>
      <c r="M15" s="78">
        <v>3</v>
      </c>
      <c r="N15" s="78">
        <v>2</v>
      </c>
    </row>
    <row r="16" spans="1:14">
      <c r="B16" s="4"/>
      <c r="C16" s="4" t="s">
        <v>11</v>
      </c>
      <c r="D16" s="79"/>
      <c r="E16" s="79">
        <v>1</v>
      </c>
      <c r="F16" s="79">
        <v>1</v>
      </c>
      <c r="G16" s="79">
        <v>1</v>
      </c>
      <c r="H16" s="79"/>
      <c r="I16" s="79">
        <v>1</v>
      </c>
      <c r="J16" s="79">
        <v>1</v>
      </c>
      <c r="K16" s="79">
        <v>2</v>
      </c>
      <c r="L16" s="79">
        <v>1</v>
      </c>
      <c r="M16" s="79">
        <v>1</v>
      </c>
      <c r="N16" s="79">
        <v>3</v>
      </c>
    </row>
    <row r="17" spans="2:15">
      <c r="B17" s="7"/>
      <c r="C17" s="8" t="s">
        <v>12</v>
      </c>
      <c r="D17" s="76"/>
      <c r="E17" s="76">
        <v>0</v>
      </c>
      <c r="F17" s="76"/>
      <c r="G17" s="76"/>
      <c r="H17" s="76"/>
      <c r="I17" s="76"/>
      <c r="J17" s="76"/>
      <c r="K17" s="76"/>
      <c r="L17" s="76"/>
      <c r="M17" s="76"/>
      <c r="N17" s="76"/>
    </row>
    <row r="18" spans="2:15">
      <c r="B18" s="7" t="s">
        <v>4</v>
      </c>
      <c r="C18" s="3" t="s">
        <v>13</v>
      </c>
      <c r="D18" s="77"/>
      <c r="E18" s="77">
        <v>1</v>
      </c>
      <c r="F18" s="77">
        <v>1</v>
      </c>
      <c r="G18" s="77">
        <v>1</v>
      </c>
      <c r="H18" s="77"/>
      <c r="I18" s="77">
        <v>1</v>
      </c>
      <c r="J18" s="77">
        <v>1</v>
      </c>
      <c r="K18" s="77">
        <v>2</v>
      </c>
      <c r="L18" s="77">
        <v>1</v>
      </c>
      <c r="M18" s="77">
        <v>1</v>
      </c>
      <c r="N18" s="77">
        <v>3</v>
      </c>
    </row>
    <row r="19" spans="2:15" ht="16.5" thickBot="1">
      <c r="B19" s="7"/>
      <c r="C19" s="2" t="s">
        <v>14</v>
      </c>
      <c r="D19" s="77"/>
      <c r="E19" s="77">
        <v>0</v>
      </c>
      <c r="F19" s="77"/>
      <c r="G19" s="77"/>
      <c r="H19" s="77"/>
      <c r="I19" s="77"/>
      <c r="J19" s="77"/>
      <c r="K19" s="77"/>
      <c r="L19" s="77"/>
      <c r="M19" s="77"/>
      <c r="N19" s="77"/>
    </row>
    <row r="20" spans="2:15" ht="17.100000000000001" customHeight="1" thickTop="1" thickBot="1">
      <c r="B20" s="7"/>
      <c r="C20" s="13" t="s">
        <v>15</v>
      </c>
      <c r="D20" s="78"/>
      <c r="E20" s="78">
        <v>1</v>
      </c>
      <c r="F20" s="78">
        <v>1</v>
      </c>
      <c r="G20" s="78">
        <v>1</v>
      </c>
      <c r="H20" s="78">
        <v>0</v>
      </c>
      <c r="I20" s="78">
        <v>1</v>
      </c>
      <c r="J20" s="78">
        <v>1</v>
      </c>
      <c r="K20" s="78">
        <v>2</v>
      </c>
      <c r="L20" s="78">
        <v>1</v>
      </c>
      <c r="M20" s="78">
        <v>1</v>
      </c>
      <c r="N20" s="78">
        <v>3</v>
      </c>
    </row>
    <row r="21" spans="2:15">
      <c r="B21" s="4"/>
      <c r="C21" s="4" t="s">
        <v>11</v>
      </c>
      <c r="D21" s="79"/>
      <c r="E21" s="79">
        <v>0</v>
      </c>
      <c r="F21" s="79">
        <v>1</v>
      </c>
      <c r="G21" s="79"/>
      <c r="H21" s="79">
        <v>1</v>
      </c>
      <c r="I21" s="79"/>
      <c r="J21" s="79">
        <v>1</v>
      </c>
      <c r="K21" s="79">
        <v>1</v>
      </c>
      <c r="L21" s="79">
        <v>2</v>
      </c>
      <c r="M21" s="79">
        <v>1</v>
      </c>
      <c r="N21" s="79">
        <v>1</v>
      </c>
    </row>
    <row r="22" spans="2:15">
      <c r="B22" s="7"/>
      <c r="C22" s="8" t="s">
        <v>12</v>
      </c>
      <c r="D22" s="76"/>
      <c r="E22" s="76">
        <v>0</v>
      </c>
      <c r="F22" s="76"/>
      <c r="G22" s="76"/>
      <c r="H22" s="76"/>
      <c r="I22" s="76"/>
      <c r="J22" s="76"/>
      <c r="K22" s="76"/>
      <c r="L22" s="76"/>
      <c r="M22" s="76"/>
      <c r="N22" s="76"/>
    </row>
    <row r="23" spans="2:15">
      <c r="B23" s="7" t="s">
        <v>5</v>
      </c>
      <c r="C23" s="3" t="s">
        <v>13</v>
      </c>
      <c r="D23" s="77"/>
      <c r="E23" s="77">
        <v>0</v>
      </c>
      <c r="F23" s="77">
        <v>1</v>
      </c>
      <c r="G23" s="77"/>
      <c r="H23" s="77">
        <v>1</v>
      </c>
      <c r="I23" s="77"/>
      <c r="J23" s="77">
        <v>1</v>
      </c>
      <c r="K23" s="77">
        <v>1</v>
      </c>
      <c r="L23" s="77">
        <v>2</v>
      </c>
      <c r="M23" s="77">
        <v>1</v>
      </c>
      <c r="N23" s="77">
        <v>1</v>
      </c>
    </row>
    <row r="24" spans="2:15" ht="16.5" thickBot="1">
      <c r="B24" s="7"/>
      <c r="C24" s="2" t="s">
        <v>14</v>
      </c>
      <c r="D24" s="77"/>
      <c r="E24" s="77">
        <v>0</v>
      </c>
      <c r="F24" s="77"/>
      <c r="G24" s="77"/>
      <c r="H24" s="77"/>
      <c r="I24" s="77"/>
      <c r="J24" s="77"/>
      <c r="K24" s="77"/>
      <c r="L24" s="77"/>
      <c r="M24" s="77"/>
      <c r="N24" s="77"/>
    </row>
    <row r="25" spans="2:15" ht="17.100000000000001" customHeight="1" thickTop="1" thickBot="1">
      <c r="B25" s="7"/>
      <c r="C25" s="13" t="s">
        <v>15</v>
      </c>
      <c r="D25" s="78"/>
      <c r="E25" s="78">
        <v>0</v>
      </c>
      <c r="F25" s="78">
        <v>1</v>
      </c>
      <c r="G25" s="78"/>
      <c r="H25" s="78">
        <v>1</v>
      </c>
      <c r="I25" s="78"/>
      <c r="J25" s="78">
        <v>1</v>
      </c>
      <c r="K25" s="78">
        <v>1</v>
      </c>
      <c r="L25" s="78">
        <v>2</v>
      </c>
      <c r="M25" s="78">
        <v>1</v>
      </c>
      <c r="N25" s="78">
        <v>1</v>
      </c>
    </row>
    <row r="26" spans="2:15" ht="21" customHeight="1" thickTop="1">
      <c r="B26" s="46"/>
      <c r="C26" s="46" t="s">
        <v>11</v>
      </c>
      <c r="D26" s="80"/>
      <c r="E26" s="80">
        <f>SUM(E6,E11,E16,E21)</f>
        <v>1</v>
      </c>
      <c r="F26" s="80">
        <f t="shared" ref="F26:I26" si="0">SUM(F6,F11,F16,F21)</f>
        <v>4</v>
      </c>
      <c r="G26" s="80">
        <f t="shared" si="0"/>
        <v>3</v>
      </c>
      <c r="H26" s="80">
        <f t="shared" si="0"/>
        <v>2</v>
      </c>
      <c r="I26" s="80">
        <f t="shared" si="0"/>
        <v>4</v>
      </c>
      <c r="J26" s="80">
        <v>8</v>
      </c>
      <c r="K26" s="80">
        <v>17</v>
      </c>
      <c r="L26" s="80">
        <v>22</v>
      </c>
      <c r="M26" s="80">
        <v>19</v>
      </c>
      <c r="N26" s="80">
        <v>14</v>
      </c>
    </row>
    <row r="27" spans="2:15" ht="21" customHeight="1">
      <c r="B27" s="19"/>
      <c r="C27" s="19" t="s">
        <v>12</v>
      </c>
      <c r="D27" s="81"/>
      <c r="E27" s="81">
        <v>0</v>
      </c>
      <c r="F27" s="81"/>
      <c r="G27" s="81"/>
      <c r="H27" s="81"/>
      <c r="I27" s="81"/>
      <c r="J27" s="81"/>
      <c r="K27" s="81"/>
      <c r="L27" s="81"/>
      <c r="M27" s="81"/>
      <c r="N27" s="81"/>
    </row>
    <row r="28" spans="2:15" ht="21" customHeight="1">
      <c r="B28" s="22" t="s">
        <v>6</v>
      </c>
      <c r="C28" s="23" t="s">
        <v>13</v>
      </c>
      <c r="D28" s="82"/>
      <c r="E28" s="82">
        <f t="shared" ref="E28:I28" si="1">SUM(E8,E13,E18,E23)</f>
        <v>1</v>
      </c>
      <c r="F28" s="82">
        <f t="shared" si="1"/>
        <v>4</v>
      </c>
      <c r="G28" s="82">
        <f t="shared" si="1"/>
        <v>3</v>
      </c>
      <c r="H28" s="82">
        <f t="shared" si="1"/>
        <v>2</v>
      </c>
      <c r="I28" s="82">
        <f t="shared" si="1"/>
        <v>4</v>
      </c>
      <c r="J28" s="82">
        <v>8</v>
      </c>
      <c r="K28" s="82">
        <v>17</v>
      </c>
      <c r="L28" s="82">
        <v>22</v>
      </c>
      <c r="M28" s="82">
        <v>19</v>
      </c>
      <c r="N28" s="82">
        <v>14</v>
      </c>
    </row>
    <row r="29" spans="2:15" ht="21" customHeight="1" thickBot="1">
      <c r="B29" s="19"/>
      <c r="C29" s="26" t="s">
        <v>14</v>
      </c>
      <c r="D29" s="82"/>
      <c r="E29" s="82">
        <v>0</v>
      </c>
      <c r="F29" s="82"/>
      <c r="G29" s="82"/>
      <c r="H29" s="82"/>
      <c r="I29" s="82"/>
      <c r="J29" s="82"/>
      <c r="K29" s="82"/>
      <c r="L29" s="82"/>
      <c r="M29" s="82"/>
      <c r="N29" s="82"/>
    </row>
    <row r="30" spans="2:15" ht="21" customHeight="1" thickTop="1" thickBot="1">
      <c r="B30" s="22"/>
      <c r="C30" s="27" t="s">
        <v>15</v>
      </c>
      <c r="D30" s="83"/>
      <c r="E30" s="83">
        <f t="shared" ref="E30:I30" si="2">SUM(E28:E29)</f>
        <v>1</v>
      </c>
      <c r="F30" s="83">
        <f t="shared" si="2"/>
        <v>4</v>
      </c>
      <c r="G30" s="83">
        <f t="shared" si="2"/>
        <v>3</v>
      </c>
      <c r="H30" s="83">
        <f t="shared" si="2"/>
        <v>2</v>
      </c>
      <c r="I30" s="83">
        <f t="shared" si="2"/>
        <v>4</v>
      </c>
      <c r="J30" s="83">
        <v>8</v>
      </c>
      <c r="K30" s="83">
        <v>17</v>
      </c>
      <c r="L30" s="83">
        <v>22</v>
      </c>
      <c r="M30" s="83">
        <v>19</v>
      </c>
      <c r="N30" s="83">
        <v>14</v>
      </c>
    </row>
    <row r="31" spans="2:15" ht="16.5" thickTop="1">
      <c r="B31" s="29" t="s">
        <v>7</v>
      </c>
      <c r="C31" s="30"/>
      <c r="D31" s="84"/>
      <c r="E31" s="84">
        <v>1</v>
      </c>
      <c r="F31" s="84">
        <v>3</v>
      </c>
      <c r="G31" s="84">
        <v>2</v>
      </c>
      <c r="H31" s="84">
        <v>2</v>
      </c>
      <c r="I31" s="84">
        <v>4</v>
      </c>
      <c r="J31" s="84">
        <v>7</v>
      </c>
      <c r="K31" s="84">
        <v>14</v>
      </c>
      <c r="L31" s="84">
        <v>20</v>
      </c>
      <c r="M31" s="84">
        <v>15</v>
      </c>
      <c r="N31" s="211">
        <v>14</v>
      </c>
      <c r="O31" s="296">
        <f>N31/N30</f>
        <v>1</v>
      </c>
    </row>
    <row r="32" spans="2:15" ht="16.5" thickBot="1">
      <c r="B32" s="8" t="s">
        <v>8</v>
      </c>
      <c r="C32" s="31"/>
      <c r="D32" s="85"/>
      <c r="E32" s="85">
        <v>0</v>
      </c>
      <c r="F32" s="85">
        <v>1</v>
      </c>
      <c r="G32" s="85">
        <v>1</v>
      </c>
      <c r="H32" s="85"/>
      <c r="I32" s="85"/>
      <c r="J32" s="85">
        <v>1</v>
      </c>
      <c r="K32" s="85">
        <v>3</v>
      </c>
      <c r="L32" s="85">
        <v>2</v>
      </c>
      <c r="M32" s="85">
        <v>4</v>
      </c>
      <c r="N32" s="212">
        <v>0</v>
      </c>
      <c r="O32" s="297">
        <f>N32/N30</f>
        <v>0</v>
      </c>
    </row>
    <row r="33" spans="2:15">
      <c r="B33" s="4" t="s">
        <v>9</v>
      </c>
      <c r="C33" s="34"/>
      <c r="D33" s="86"/>
      <c r="E33" s="86">
        <v>0</v>
      </c>
      <c r="F33" s="86">
        <v>3</v>
      </c>
      <c r="G33" s="86">
        <v>3</v>
      </c>
      <c r="H33" s="86">
        <v>1</v>
      </c>
      <c r="I33" s="86">
        <v>2</v>
      </c>
      <c r="J33" s="86">
        <v>6</v>
      </c>
      <c r="K33" s="86">
        <v>15</v>
      </c>
      <c r="L33" s="86">
        <v>22</v>
      </c>
      <c r="M33" s="86">
        <v>16</v>
      </c>
      <c r="N33" s="213">
        <v>13</v>
      </c>
      <c r="O33" s="296">
        <f>N33/N30</f>
        <v>0.9285714285714286</v>
      </c>
    </row>
    <row r="34" spans="2:15">
      <c r="B34" s="8" t="s">
        <v>10</v>
      </c>
      <c r="C34" s="31"/>
      <c r="D34" s="87"/>
      <c r="E34" s="87">
        <v>1</v>
      </c>
      <c r="F34" s="87">
        <v>1</v>
      </c>
      <c r="G34" s="87"/>
      <c r="H34" s="87">
        <v>1</v>
      </c>
      <c r="I34" s="87">
        <v>2</v>
      </c>
      <c r="J34" s="87">
        <v>2</v>
      </c>
      <c r="K34" s="87">
        <v>2</v>
      </c>
      <c r="L34" s="87"/>
      <c r="M34" s="87">
        <v>3</v>
      </c>
      <c r="N34" s="214">
        <v>1</v>
      </c>
      <c r="O34" s="296">
        <f>N34/N30</f>
        <v>7.1428571428571425E-2</v>
      </c>
    </row>
    <row r="35" spans="2:15">
      <c r="B35" s="40"/>
      <c r="C35" s="40"/>
      <c r="D35" s="40"/>
    </row>
    <row r="36" spans="2:15">
      <c r="B36" s="37"/>
      <c r="C36" s="37"/>
    </row>
    <row r="54" spans="2:3" hidden="1">
      <c r="B54" s="38" t="s">
        <v>34</v>
      </c>
      <c r="C54" s="31"/>
    </row>
    <row r="55" spans="2:3" hidden="1">
      <c r="B55" s="31" t="s">
        <v>96</v>
      </c>
      <c r="C55" s="31"/>
    </row>
    <row r="56" spans="2:3" hidden="1">
      <c r="B56" s="31" t="s">
        <v>25</v>
      </c>
    </row>
    <row r="57" spans="2:3" hidden="1">
      <c r="B57" s="31" t="s">
        <v>95</v>
      </c>
    </row>
    <row r="58" spans="2:3" hidden="1"/>
  </sheetData>
  <mergeCells count="7">
    <mergeCell ref="B1:N1"/>
    <mergeCell ref="D6:D9"/>
    <mergeCell ref="B4:B5"/>
    <mergeCell ref="C4:C5"/>
    <mergeCell ref="D4:N4"/>
    <mergeCell ref="B3:N3"/>
    <mergeCell ref="B2:N2"/>
  </mergeCells>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91&amp;R&amp;"Lucida Sans Unicode,Regular"&amp;10December 2015</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sheetPr>
  <dimension ref="B1:O62"/>
  <sheetViews>
    <sheetView showGridLines="0" view="pageLayout" topLeftCell="A42" zoomScaleNormal="100" zoomScaleSheetLayoutView="100" workbookViewId="0">
      <selection activeCell="N35" sqref="N35"/>
    </sheetView>
  </sheetViews>
  <sheetFormatPr defaultColWidth="9.6640625" defaultRowHeight="15.75"/>
  <cols>
    <col min="1" max="1" width="6.21875" style="38" customWidth="1"/>
    <col min="2" max="2" width="9.6640625" style="38" customWidth="1"/>
    <col min="3" max="3" width="15.6640625" style="38" customWidth="1"/>
    <col min="4" max="5" width="9.6640625" style="38" hidden="1" customWidth="1"/>
    <col min="6" max="7" width="8" style="38" hidden="1" customWidth="1"/>
    <col min="8" max="9" width="7.5546875" style="38" hidden="1" customWidth="1"/>
    <col min="10" max="13" width="8.77734375" style="38" customWidth="1"/>
    <col min="14" max="14" width="8.77734375" style="136" customWidth="1"/>
    <col min="15" max="15" width="7.21875" style="38" customWidth="1"/>
    <col min="16" max="16384" width="9.6640625" style="38"/>
  </cols>
  <sheetData>
    <row r="1" spans="2:14" s="194" customFormat="1" ht="24" customHeight="1">
      <c r="B1" s="465" t="s">
        <v>0</v>
      </c>
      <c r="C1" s="465"/>
      <c r="D1" s="465"/>
      <c r="E1" s="465"/>
      <c r="F1" s="465"/>
      <c r="G1" s="465"/>
      <c r="H1" s="465"/>
      <c r="I1" s="465"/>
      <c r="J1" s="465"/>
      <c r="K1" s="465"/>
      <c r="L1" s="465"/>
      <c r="M1" s="465"/>
      <c r="N1" s="465"/>
    </row>
    <row r="2" spans="2:14" s="196" customFormat="1" ht="25.5" customHeight="1">
      <c r="B2" s="464" t="s">
        <v>42</v>
      </c>
      <c r="C2" s="464"/>
      <c r="D2" s="464"/>
      <c r="E2" s="464"/>
      <c r="F2" s="464"/>
      <c r="G2" s="464"/>
      <c r="H2" s="464"/>
      <c r="I2" s="464"/>
      <c r="J2" s="464"/>
      <c r="K2" s="464"/>
      <c r="L2" s="464"/>
      <c r="M2" s="464"/>
      <c r="N2" s="464"/>
    </row>
    <row r="3" spans="2:14" s="194" customFormat="1" ht="21" customHeight="1">
      <c r="B3" s="523" t="s">
        <v>154</v>
      </c>
      <c r="C3" s="523"/>
      <c r="D3" s="523"/>
      <c r="E3" s="523"/>
      <c r="F3" s="523"/>
      <c r="G3" s="523"/>
      <c r="H3" s="523"/>
      <c r="I3" s="523"/>
      <c r="J3" s="523"/>
      <c r="K3" s="523"/>
      <c r="L3" s="523"/>
      <c r="M3" s="523"/>
      <c r="N3" s="523"/>
    </row>
    <row r="4" spans="2:14" ht="15.75" customHeight="1">
      <c r="B4" s="515" t="s">
        <v>59</v>
      </c>
      <c r="C4" s="515" t="s">
        <v>60</v>
      </c>
      <c r="D4" s="481" t="s">
        <v>150</v>
      </c>
      <c r="E4" s="482"/>
      <c r="F4" s="482"/>
      <c r="G4" s="482"/>
      <c r="H4" s="482"/>
      <c r="I4" s="482"/>
      <c r="J4" s="482"/>
      <c r="K4" s="482"/>
      <c r="L4" s="482"/>
      <c r="M4" s="482"/>
      <c r="N4" s="483"/>
    </row>
    <row r="5" spans="2:14" s="106" customFormat="1" ht="16.5" thickBot="1">
      <c r="B5" s="516"/>
      <c r="C5" s="516"/>
      <c r="D5" s="420" t="s">
        <v>21</v>
      </c>
      <c r="E5" s="420" t="s">
        <v>51</v>
      </c>
      <c r="F5" s="420" t="s">
        <v>52</v>
      </c>
      <c r="G5" s="420" t="s">
        <v>53</v>
      </c>
      <c r="H5" s="175" t="s">
        <v>57</v>
      </c>
      <c r="I5" s="175" t="s">
        <v>69</v>
      </c>
      <c r="J5" s="175" t="s">
        <v>124</v>
      </c>
      <c r="K5" s="175" t="s">
        <v>146</v>
      </c>
      <c r="L5" s="229" t="s">
        <v>158</v>
      </c>
      <c r="M5" s="229" t="s">
        <v>166</v>
      </c>
      <c r="N5" s="229" t="s">
        <v>187</v>
      </c>
    </row>
    <row r="6" spans="2:14" ht="15">
      <c r="B6" s="8"/>
      <c r="C6" s="8" t="s">
        <v>11</v>
      </c>
      <c r="D6" s="109">
        <f>35+7</f>
        <v>42</v>
      </c>
      <c r="E6" s="109">
        <v>61</v>
      </c>
      <c r="F6" s="109">
        <v>79</v>
      </c>
      <c r="G6" s="109">
        <v>80</v>
      </c>
      <c r="H6" s="109">
        <v>85</v>
      </c>
      <c r="I6" s="109">
        <f>1+66+2+3+2+2</f>
        <v>76</v>
      </c>
      <c r="J6" s="109">
        <v>70</v>
      </c>
      <c r="K6" s="206">
        <v>50</v>
      </c>
      <c r="L6" s="206">
        <v>54</v>
      </c>
      <c r="M6" s="206">
        <v>27</v>
      </c>
      <c r="N6" s="206">
        <v>30</v>
      </c>
    </row>
    <row r="7" spans="2:14" ht="15">
      <c r="B7" s="7"/>
      <c r="C7" s="8" t="s">
        <v>12</v>
      </c>
      <c r="D7" s="76">
        <v>1</v>
      </c>
      <c r="E7" s="76">
        <v>2</v>
      </c>
      <c r="F7" s="76">
        <v>4</v>
      </c>
      <c r="G7" s="76">
        <v>6</v>
      </c>
      <c r="H7" s="76">
        <v>3</v>
      </c>
      <c r="I7" s="76">
        <v>2</v>
      </c>
      <c r="J7" s="76">
        <v>2</v>
      </c>
      <c r="K7" s="206"/>
      <c r="L7" s="206">
        <v>1</v>
      </c>
      <c r="M7" s="206">
        <v>1</v>
      </c>
      <c r="N7" s="206"/>
    </row>
    <row r="8" spans="2:14" ht="15">
      <c r="B8" s="7" t="s">
        <v>2</v>
      </c>
      <c r="C8" s="3" t="s">
        <v>13</v>
      </c>
      <c r="D8" s="77">
        <f t="shared" ref="D8:I8" si="0">D6+D7</f>
        <v>43</v>
      </c>
      <c r="E8" s="77">
        <f t="shared" si="0"/>
        <v>63</v>
      </c>
      <c r="F8" s="77">
        <f t="shared" si="0"/>
        <v>83</v>
      </c>
      <c r="G8" s="77">
        <f t="shared" si="0"/>
        <v>86</v>
      </c>
      <c r="H8" s="77">
        <f t="shared" si="0"/>
        <v>88</v>
      </c>
      <c r="I8" s="77">
        <f t="shared" si="0"/>
        <v>78</v>
      </c>
      <c r="J8" s="77">
        <v>72</v>
      </c>
      <c r="K8" s="202">
        <v>50</v>
      </c>
      <c r="L8" s="202">
        <v>55</v>
      </c>
      <c r="M8" s="202">
        <v>28</v>
      </c>
      <c r="N8" s="202">
        <v>30</v>
      </c>
    </row>
    <row r="9" spans="2:14" thickBot="1">
      <c r="B9" s="7"/>
      <c r="C9" s="2" t="s">
        <v>14</v>
      </c>
      <c r="D9" s="77">
        <v>0</v>
      </c>
      <c r="E9" s="77">
        <v>0</v>
      </c>
      <c r="F9" s="77"/>
      <c r="G9" s="77"/>
      <c r="H9" s="77"/>
      <c r="I9" s="77"/>
      <c r="J9" s="77"/>
      <c r="K9" s="202"/>
      <c r="L9" s="202"/>
      <c r="M9" s="202"/>
      <c r="N9" s="202"/>
    </row>
    <row r="10" spans="2:14" ht="17.100000000000001" customHeight="1" thickTop="1" thickBot="1">
      <c r="B10" s="7"/>
      <c r="C10" s="13" t="s">
        <v>15</v>
      </c>
      <c r="D10" s="78">
        <f t="shared" ref="D10:I10" si="1">D8+D9</f>
        <v>43</v>
      </c>
      <c r="E10" s="78">
        <f t="shared" si="1"/>
        <v>63</v>
      </c>
      <c r="F10" s="78">
        <f t="shared" si="1"/>
        <v>83</v>
      </c>
      <c r="G10" s="78">
        <f t="shared" si="1"/>
        <v>86</v>
      </c>
      <c r="H10" s="78">
        <f t="shared" si="1"/>
        <v>88</v>
      </c>
      <c r="I10" s="78">
        <f t="shared" si="1"/>
        <v>78</v>
      </c>
      <c r="J10" s="78">
        <v>72</v>
      </c>
      <c r="K10" s="204">
        <v>50</v>
      </c>
      <c r="L10" s="204">
        <v>55</v>
      </c>
      <c r="M10" s="204">
        <v>28</v>
      </c>
      <c r="N10" s="204">
        <v>30</v>
      </c>
    </row>
    <row r="11" spans="2:14" ht="15">
      <c r="B11" s="4"/>
      <c r="C11" s="4" t="s">
        <v>11</v>
      </c>
      <c r="D11" s="79">
        <f>39+4</f>
        <v>43</v>
      </c>
      <c r="E11" s="79">
        <v>93</v>
      </c>
      <c r="F11" s="79">
        <v>103</v>
      </c>
      <c r="G11" s="79">
        <v>101</v>
      </c>
      <c r="H11" s="79">
        <v>99</v>
      </c>
      <c r="I11" s="79">
        <f>1+36+17+11+3+1</f>
        <v>69</v>
      </c>
      <c r="J11" s="79">
        <v>68</v>
      </c>
      <c r="K11" s="207">
        <v>68</v>
      </c>
      <c r="L11" s="207">
        <v>69</v>
      </c>
      <c r="M11" s="207">
        <v>48</v>
      </c>
      <c r="N11" s="207">
        <v>46</v>
      </c>
    </row>
    <row r="12" spans="2:14" ht="15">
      <c r="B12" s="7"/>
      <c r="C12" s="8" t="s">
        <v>12</v>
      </c>
      <c r="D12" s="76">
        <v>5</v>
      </c>
      <c r="E12" s="76">
        <v>8</v>
      </c>
      <c r="F12" s="76">
        <v>8</v>
      </c>
      <c r="G12" s="76">
        <v>9</v>
      </c>
      <c r="H12" s="76">
        <v>6</v>
      </c>
      <c r="I12" s="76">
        <v>4</v>
      </c>
      <c r="J12" s="76">
        <v>3</v>
      </c>
      <c r="K12" s="206">
        <v>3</v>
      </c>
      <c r="L12" s="206">
        <v>5</v>
      </c>
      <c r="M12" s="206">
        <v>5</v>
      </c>
      <c r="N12" s="206">
        <v>1</v>
      </c>
    </row>
    <row r="13" spans="2:14" ht="15">
      <c r="B13" s="7" t="s">
        <v>3</v>
      </c>
      <c r="C13" s="3" t="s">
        <v>13</v>
      </c>
      <c r="D13" s="77">
        <f t="shared" ref="D13:I13" si="2">D11+D12</f>
        <v>48</v>
      </c>
      <c r="E13" s="77">
        <f t="shared" si="2"/>
        <v>101</v>
      </c>
      <c r="F13" s="77">
        <f t="shared" si="2"/>
        <v>111</v>
      </c>
      <c r="G13" s="77">
        <f t="shared" si="2"/>
        <v>110</v>
      </c>
      <c r="H13" s="77">
        <f t="shared" si="2"/>
        <v>105</v>
      </c>
      <c r="I13" s="77">
        <f t="shared" si="2"/>
        <v>73</v>
      </c>
      <c r="J13" s="77">
        <v>71</v>
      </c>
      <c r="K13" s="202">
        <v>71</v>
      </c>
      <c r="L13" s="202">
        <v>74</v>
      </c>
      <c r="M13" s="202">
        <v>53</v>
      </c>
      <c r="N13" s="202">
        <v>47</v>
      </c>
    </row>
    <row r="14" spans="2:14" thickBot="1">
      <c r="B14" s="7"/>
      <c r="C14" s="2" t="s">
        <v>14</v>
      </c>
      <c r="D14" s="77">
        <v>0</v>
      </c>
      <c r="E14" s="77">
        <v>1</v>
      </c>
      <c r="F14" s="77">
        <v>1</v>
      </c>
      <c r="G14" s="77"/>
      <c r="H14" s="77">
        <v>1</v>
      </c>
      <c r="I14" s="77"/>
      <c r="J14" s="77"/>
      <c r="K14" s="202">
        <v>1</v>
      </c>
      <c r="L14" s="202">
        <v>2</v>
      </c>
      <c r="M14" s="202"/>
      <c r="N14" s="202"/>
    </row>
    <row r="15" spans="2:14" ht="17.100000000000001" customHeight="1" thickTop="1" thickBot="1">
      <c r="B15" s="7"/>
      <c r="C15" s="13" t="s">
        <v>15</v>
      </c>
      <c r="D15" s="78">
        <f t="shared" ref="D15:I15" si="3">D13+D14</f>
        <v>48</v>
      </c>
      <c r="E15" s="78">
        <f t="shared" si="3"/>
        <v>102</v>
      </c>
      <c r="F15" s="78">
        <f t="shared" si="3"/>
        <v>112</v>
      </c>
      <c r="G15" s="78">
        <f t="shared" si="3"/>
        <v>110</v>
      </c>
      <c r="H15" s="78">
        <f t="shared" si="3"/>
        <v>106</v>
      </c>
      <c r="I15" s="78">
        <f t="shared" si="3"/>
        <v>73</v>
      </c>
      <c r="J15" s="78">
        <v>71</v>
      </c>
      <c r="K15" s="204">
        <v>72</v>
      </c>
      <c r="L15" s="204">
        <v>76</v>
      </c>
      <c r="M15" s="204">
        <v>53</v>
      </c>
      <c r="N15" s="204">
        <v>47</v>
      </c>
    </row>
    <row r="16" spans="2:14" ht="15">
      <c r="B16" s="4"/>
      <c r="C16" s="4" t="s">
        <v>11</v>
      </c>
      <c r="D16" s="79">
        <f>29+19+8</f>
        <v>56</v>
      </c>
      <c r="E16" s="79">
        <v>54</v>
      </c>
      <c r="F16" s="79">
        <v>90</v>
      </c>
      <c r="G16" s="79">
        <v>100</v>
      </c>
      <c r="H16" s="79">
        <v>93</v>
      </c>
      <c r="I16" s="79">
        <f>32+31+18+3+1</f>
        <v>85</v>
      </c>
      <c r="J16" s="79">
        <v>64</v>
      </c>
      <c r="K16" s="207">
        <v>52</v>
      </c>
      <c r="L16" s="207">
        <v>55</v>
      </c>
      <c r="M16" s="207">
        <v>56</v>
      </c>
      <c r="N16" s="207">
        <v>40</v>
      </c>
    </row>
    <row r="17" spans="2:15" ht="15">
      <c r="B17" s="7"/>
      <c r="C17" s="8" t="s">
        <v>12</v>
      </c>
      <c r="D17" s="76">
        <v>4</v>
      </c>
      <c r="E17" s="76">
        <v>6</v>
      </c>
      <c r="F17" s="76">
        <v>10</v>
      </c>
      <c r="G17" s="76">
        <v>8</v>
      </c>
      <c r="H17" s="76">
        <v>11</v>
      </c>
      <c r="I17" s="76">
        <f>1+1+4+1+1</f>
        <v>8</v>
      </c>
      <c r="J17" s="76">
        <v>6</v>
      </c>
      <c r="K17" s="206">
        <v>6</v>
      </c>
      <c r="L17" s="206">
        <v>4</v>
      </c>
      <c r="M17" s="206">
        <v>5</v>
      </c>
      <c r="N17" s="206">
        <v>9</v>
      </c>
    </row>
    <row r="18" spans="2:15" ht="15" customHeight="1">
      <c r="B18" s="7" t="s">
        <v>4</v>
      </c>
      <c r="C18" s="3" t="s">
        <v>13</v>
      </c>
      <c r="D18" s="77">
        <f t="shared" ref="D18:I18" si="4">D16+D17</f>
        <v>60</v>
      </c>
      <c r="E18" s="77">
        <f t="shared" si="4"/>
        <v>60</v>
      </c>
      <c r="F18" s="77">
        <f t="shared" si="4"/>
        <v>100</v>
      </c>
      <c r="G18" s="77">
        <f t="shared" si="4"/>
        <v>108</v>
      </c>
      <c r="H18" s="77">
        <f t="shared" si="4"/>
        <v>104</v>
      </c>
      <c r="I18" s="77">
        <f t="shared" si="4"/>
        <v>93</v>
      </c>
      <c r="J18" s="77">
        <v>70</v>
      </c>
      <c r="K18" s="202">
        <v>58</v>
      </c>
      <c r="L18" s="202">
        <v>59</v>
      </c>
      <c r="M18" s="202">
        <v>61</v>
      </c>
      <c r="N18" s="202">
        <v>49</v>
      </c>
    </row>
    <row r="19" spans="2:15" thickBot="1">
      <c r="B19" s="7"/>
      <c r="C19" s="2" t="s">
        <v>14</v>
      </c>
      <c r="D19" s="77">
        <v>0</v>
      </c>
      <c r="E19" s="77">
        <v>2</v>
      </c>
      <c r="F19" s="77">
        <v>1</v>
      </c>
      <c r="G19" s="77">
        <v>1</v>
      </c>
      <c r="H19" s="77">
        <v>1</v>
      </c>
      <c r="I19" s="77"/>
      <c r="J19" s="77">
        <v>1</v>
      </c>
      <c r="K19" s="202">
        <v>2</v>
      </c>
      <c r="L19" s="202">
        <v>3</v>
      </c>
      <c r="M19" s="202">
        <v>2</v>
      </c>
      <c r="N19" s="202">
        <v>1</v>
      </c>
    </row>
    <row r="20" spans="2:15" ht="17.100000000000001" customHeight="1" thickTop="1" thickBot="1">
      <c r="B20" s="7"/>
      <c r="C20" s="13" t="s">
        <v>15</v>
      </c>
      <c r="D20" s="78">
        <f t="shared" ref="D20:I20" si="5">D18+D19</f>
        <v>60</v>
      </c>
      <c r="E20" s="78">
        <f t="shared" si="5"/>
        <v>62</v>
      </c>
      <c r="F20" s="78">
        <f t="shared" si="5"/>
        <v>101</v>
      </c>
      <c r="G20" s="78">
        <f t="shared" si="5"/>
        <v>109</v>
      </c>
      <c r="H20" s="78">
        <f t="shared" si="5"/>
        <v>105</v>
      </c>
      <c r="I20" s="78">
        <f t="shared" si="5"/>
        <v>93</v>
      </c>
      <c r="J20" s="78">
        <v>71</v>
      </c>
      <c r="K20" s="204">
        <v>60</v>
      </c>
      <c r="L20" s="204">
        <v>62</v>
      </c>
      <c r="M20" s="204">
        <v>63</v>
      </c>
      <c r="N20" s="204">
        <v>50</v>
      </c>
    </row>
    <row r="21" spans="2:15" ht="15">
      <c r="B21" s="4"/>
      <c r="C21" s="4" t="s">
        <v>11</v>
      </c>
      <c r="D21" s="79">
        <f>15+16+6</f>
        <v>37</v>
      </c>
      <c r="E21" s="79">
        <v>21</v>
      </c>
      <c r="F21" s="79">
        <v>27</v>
      </c>
      <c r="G21" s="79">
        <v>58</v>
      </c>
      <c r="H21" s="79">
        <v>63</v>
      </c>
      <c r="I21" s="79">
        <f>20+19+9+4+1+2</f>
        <v>55</v>
      </c>
      <c r="J21" s="79">
        <v>34</v>
      </c>
      <c r="K21" s="207">
        <v>32</v>
      </c>
      <c r="L21" s="207">
        <v>30</v>
      </c>
      <c r="M21" s="207">
        <v>31</v>
      </c>
      <c r="N21" s="207">
        <v>38</v>
      </c>
    </row>
    <row r="22" spans="2:15" ht="15">
      <c r="B22" s="7"/>
      <c r="C22" s="8" t="s">
        <v>12</v>
      </c>
      <c r="D22" s="76">
        <v>6</v>
      </c>
      <c r="E22" s="76">
        <v>2</v>
      </c>
      <c r="F22" s="76">
        <v>6</v>
      </c>
      <c r="G22" s="76">
        <v>14</v>
      </c>
      <c r="H22" s="76">
        <v>5</v>
      </c>
      <c r="I22" s="76">
        <f>1+1+1+1+2+1+1+2</f>
        <v>10</v>
      </c>
      <c r="J22" s="76">
        <v>6</v>
      </c>
      <c r="K22" s="206">
        <v>2</v>
      </c>
      <c r="L22" s="206">
        <v>4</v>
      </c>
      <c r="M22" s="206">
        <v>5</v>
      </c>
      <c r="N22" s="206">
        <v>6</v>
      </c>
    </row>
    <row r="23" spans="2:15" ht="15">
      <c r="B23" s="7" t="s">
        <v>5</v>
      </c>
      <c r="C23" s="3" t="s">
        <v>13</v>
      </c>
      <c r="D23" s="77">
        <f t="shared" ref="D23:I23" si="6">D21+D22</f>
        <v>43</v>
      </c>
      <c r="E23" s="77">
        <f t="shared" si="6"/>
        <v>23</v>
      </c>
      <c r="F23" s="77">
        <f t="shared" si="6"/>
        <v>33</v>
      </c>
      <c r="G23" s="77">
        <f t="shared" si="6"/>
        <v>72</v>
      </c>
      <c r="H23" s="77">
        <f t="shared" si="6"/>
        <v>68</v>
      </c>
      <c r="I23" s="77">
        <f t="shared" si="6"/>
        <v>65</v>
      </c>
      <c r="J23" s="77">
        <v>40</v>
      </c>
      <c r="K23" s="202">
        <v>34</v>
      </c>
      <c r="L23" s="202">
        <v>34</v>
      </c>
      <c r="M23" s="202">
        <v>36</v>
      </c>
      <c r="N23" s="202">
        <v>44</v>
      </c>
    </row>
    <row r="24" spans="2:15" thickBot="1">
      <c r="B24" s="7"/>
      <c r="C24" s="2" t="s">
        <v>14</v>
      </c>
      <c r="D24" s="77">
        <v>2</v>
      </c>
      <c r="E24" s="77">
        <v>0</v>
      </c>
      <c r="F24" s="77">
        <v>1</v>
      </c>
      <c r="G24" s="77">
        <v>1</v>
      </c>
      <c r="H24" s="77"/>
      <c r="I24" s="77">
        <v>1</v>
      </c>
      <c r="J24" s="77">
        <v>1</v>
      </c>
      <c r="K24" s="202"/>
      <c r="L24" s="202"/>
      <c r="M24" s="202"/>
      <c r="N24" s="202">
        <v>1</v>
      </c>
    </row>
    <row r="25" spans="2:15" ht="17.100000000000001" customHeight="1" thickTop="1" thickBot="1">
      <c r="B25" s="7"/>
      <c r="C25" s="13" t="s">
        <v>15</v>
      </c>
      <c r="D25" s="78">
        <f t="shared" ref="D25:I25" si="7">D23+D24</f>
        <v>45</v>
      </c>
      <c r="E25" s="78">
        <f t="shared" si="7"/>
        <v>23</v>
      </c>
      <c r="F25" s="78">
        <f t="shared" si="7"/>
        <v>34</v>
      </c>
      <c r="G25" s="78">
        <f t="shared" si="7"/>
        <v>73</v>
      </c>
      <c r="H25" s="78">
        <f t="shared" si="7"/>
        <v>68</v>
      </c>
      <c r="I25" s="78">
        <f t="shared" si="7"/>
        <v>66</v>
      </c>
      <c r="J25" s="78">
        <v>41</v>
      </c>
      <c r="K25" s="204">
        <v>34</v>
      </c>
      <c r="L25" s="204">
        <v>34</v>
      </c>
      <c r="M25" s="204">
        <v>36</v>
      </c>
      <c r="N25" s="204">
        <v>45</v>
      </c>
    </row>
    <row r="26" spans="2:15" ht="21" customHeight="1" thickTop="1">
      <c r="B26" s="46"/>
      <c r="C26" s="46" t="s">
        <v>11</v>
      </c>
      <c r="D26" s="80">
        <f t="shared" ref="D26:H27" si="8">SUM(D6,D11,D16,D21)</f>
        <v>178</v>
      </c>
      <c r="E26" s="80">
        <f t="shared" si="8"/>
        <v>229</v>
      </c>
      <c r="F26" s="80">
        <f t="shared" si="8"/>
        <v>299</v>
      </c>
      <c r="G26" s="80">
        <f t="shared" si="8"/>
        <v>339</v>
      </c>
      <c r="H26" s="80">
        <f t="shared" si="8"/>
        <v>340</v>
      </c>
      <c r="I26" s="80">
        <f t="shared" ref="I26:I27" si="9">SUM(I6,I11,I16,I21)</f>
        <v>285</v>
      </c>
      <c r="J26" s="80">
        <v>236</v>
      </c>
      <c r="K26" s="80">
        <v>202</v>
      </c>
      <c r="L26" s="80">
        <v>208</v>
      </c>
      <c r="M26" s="80">
        <v>162</v>
      </c>
      <c r="N26" s="80">
        <v>154</v>
      </c>
    </row>
    <row r="27" spans="2:15" ht="21" customHeight="1">
      <c r="B27" s="19"/>
      <c r="C27" s="19" t="s">
        <v>12</v>
      </c>
      <c r="D27" s="81">
        <f t="shared" si="8"/>
        <v>16</v>
      </c>
      <c r="E27" s="81">
        <f t="shared" si="8"/>
        <v>18</v>
      </c>
      <c r="F27" s="81">
        <f t="shared" si="8"/>
        <v>28</v>
      </c>
      <c r="G27" s="81">
        <f t="shared" si="8"/>
        <v>37</v>
      </c>
      <c r="H27" s="81">
        <f t="shared" si="8"/>
        <v>25</v>
      </c>
      <c r="I27" s="81">
        <f t="shared" si="9"/>
        <v>24</v>
      </c>
      <c r="J27" s="81">
        <v>17</v>
      </c>
      <c r="K27" s="81">
        <v>11</v>
      </c>
      <c r="L27" s="81">
        <v>14</v>
      </c>
      <c r="M27" s="81">
        <v>16</v>
      </c>
      <c r="N27" s="81">
        <v>16</v>
      </c>
    </row>
    <row r="28" spans="2:15" ht="21" customHeight="1">
      <c r="B28" s="22" t="s">
        <v>6</v>
      </c>
      <c r="C28" s="23" t="s">
        <v>13</v>
      </c>
      <c r="D28" s="82">
        <f t="shared" ref="D28:I28" si="10">D26+D27</f>
        <v>194</v>
      </c>
      <c r="E28" s="82">
        <f t="shared" si="10"/>
        <v>247</v>
      </c>
      <c r="F28" s="82">
        <f t="shared" si="10"/>
        <v>327</v>
      </c>
      <c r="G28" s="82">
        <f t="shared" si="10"/>
        <v>376</v>
      </c>
      <c r="H28" s="82">
        <f t="shared" si="10"/>
        <v>365</v>
      </c>
      <c r="I28" s="82">
        <f t="shared" si="10"/>
        <v>309</v>
      </c>
      <c r="J28" s="82">
        <v>253</v>
      </c>
      <c r="K28" s="82">
        <v>213</v>
      </c>
      <c r="L28" s="82">
        <v>222</v>
      </c>
      <c r="M28" s="82">
        <v>178</v>
      </c>
      <c r="N28" s="82">
        <v>170</v>
      </c>
    </row>
    <row r="29" spans="2:15" ht="21" customHeight="1" thickBot="1">
      <c r="B29" s="19"/>
      <c r="C29" s="26" t="s">
        <v>14</v>
      </c>
      <c r="D29" s="82">
        <f t="shared" ref="D29:I29" si="11">SUM(D9,D14,D19,D24)</f>
        <v>2</v>
      </c>
      <c r="E29" s="82">
        <f t="shared" si="11"/>
        <v>3</v>
      </c>
      <c r="F29" s="82">
        <f t="shared" si="11"/>
        <v>3</v>
      </c>
      <c r="G29" s="82">
        <f t="shared" si="11"/>
        <v>2</v>
      </c>
      <c r="H29" s="82">
        <f t="shared" si="11"/>
        <v>2</v>
      </c>
      <c r="I29" s="82">
        <f t="shared" si="11"/>
        <v>1</v>
      </c>
      <c r="J29" s="82">
        <v>2</v>
      </c>
      <c r="K29" s="82">
        <v>3</v>
      </c>
      <c r="L29" s="82">
        <v>5</v>
      </c>
      <c r="M29" s="82">
        <v>2</v>
      </c>
      <c r="N29" s="82">
        <v>2</v>
      </c>
    </row>
    <row r="30" spans="2:15" ht="21" customHeight="1" thickTop="1" thickBot="1">
      <c r="B30" s="22"/>
      <c r="C30" s="27" t="s">
        <v>15</v>
      </c>
      <c r="D30" s="83">
        <f t="shared" ref="D30:I30" si="12">D28+D29</f>
        <v>196</v>
      </c>
      <c r="E30" s="83">
        <f t="shared" si="12"/>
        <v>250</v>
      </c>
      <c r="F30" s="83">
        <f t="shared" si="12"/>
        <v>330</v>
      </c>
      <c r="G30" s="83">
        <f t="shared" si="12"/>
        <v>378</v>
      </c>
      <c r="H30" s="83">
        <f t="shared" si="12"/>
        <v>367</v>
      </c>
      <c r="I30" s="83">
        <f t="shared" si="12"/>
        <v>310</v>
      </c>
      <c r="J30" s="83">
        <v>255</v>
      </c>
      <c r="K30" s="83">
        <v>216</v>
      </c>
      <c r="L30" s="83">
        <v>227</v>
      </c>
      <c r="M30" s="83">
        <v>180</v>
      </c>
      <c r="N30" s="83">
        <v>172</v>
      </c>
    </row>
    <row r="31" spans="2:15" ht="16.5" thickTop="1">
      <c r="B31" s="29" t="s">
        <v>7</v>
      </c>
      <c r="C31" s="30"/>
      <c r="D31" s="84">
        <v>110</v>
      </c>
      <c r="E31" s="84">
        <v>112</v>
      </c>
      <c r="F31" s="84">
        <v>152</v>
      </c>
      <c r="G31" s="84">
        <v>186</v>
      </c>
      <c r="H31" s="84">
        <v>188</v>
      </c>
      <c r="I31" s="84">
        <v>167</v>
      </c>
      <c r="J31" s="84">
        <v>149</v>
      </c>
      <c r="K31" s="84">
        <v>133</v>
      </c>
      <c r="L31" s="84">
        <v>129</v>
      </c>
      <c r="M31" s="84">
        <v>95</v>
      </c>
      <c r="N31" s="211">
        <v>90</v>
      </c>
      <c r="O31" s="329">
        <f>N31/N30</f>
        <v>0.52325581395348841</v>
      </c>
    </row>
    <row r="32" spans="2:15" ht="16.5" thickBot="1">
      <c r="B32" s="8" t="s">
        <v>8</v>
      </c>
      <c r="C32" s="31"/>
      <c r="D32" s="85">
        <v>86</v>
      </c>
      <c r="E32" s="85">
        <v>138</v>
      </c>
      <c r="F32" s="85">
        <v>178</v>
      </c>
      <c r="G32" s="85">
        <v>192</v>
      </c>
      <c r="H32" s="85">
        <v>179</v>
      </c>
      <c r="I32" s="85">
        <v>143</v>
      </c>
      <c r="J32" s="85">
        <v>106</v>
      </c>
      <c r="K32" s="85">
        <v>83</v>
      </c>
      <c r="L32" s="85">
        <v>98</v>
      </c>
      <c r="M32" s="85">
        <v>85</v>
      </c>
      <c r="N32" s="212">
        <v>82</v>
      </c>
      <c r="O32" s="330">
        <f>N32/N30</f>
        <v>0.47674418604651164</v>
      </c>
    </row>
    <row r="33" spans="2:15">
      <c r="B33" s="4" t="s">
        <v>9</v>
      </c>
      <c r="C33" s="100"/>
      <c r="D33" s="86">
        <v>175</v>
      </c>
      <c r="E33" s="86">
        <v>228</v>
      </c>
      <c r="F33" s="86">
        <v>292</v>
      </c>
      <c r="G33" s="86">
        <v>337</v>
      </c>
      <c r="H33" s="86">
        <v>320</v>
      </c>
      <c r="I33" s="86">
        <v>262</v>
      </c>
      <c r="J33" s="86">
        <v>223</v>
      </c>
      <c r="K33" s="86">
        <v>187</v>
      </c>
      <c r="L33" s="86">
        <v>206</v>
      </c>
      <c r="M33" s="86">
        <v>164</v>
      </c>
      <c r="N33" s="213">
        <v>151</v>
      </c>
      <c r="O33" s="329">
        <f>N33/N30</f>
        <v>0.87790697674418605</v>
      </c>
    </row>
    <row r="34" spans="2:15">
      <c r="B34" s="101" t="s">
        <v>10</v>
      </c>
      <c r="C34" s="102"/>
      <c r="D34" s="87">
        <v>21</v>
      </c>
      <c r="E34" s="87">
        <v>22</v>
      </c>
      <c r="F34" s="87">
        <v>38</v>
      </c>
      <c r="G34" s="87">
        <v>41</v>
      </c>
      <c r="H34" s="87">
        <v>47</v>
      </c>
      <c r="I34" s="87">
        <v>48</v>
      </c>
      <c r="J34" s="87">
        <v>32</v>
      </c>
      <c r="K34" s="87">
        <v>29</v>
      </c>
      <c r="L34" s="87">
        <v>21</v>
      </c>
      <c r="M34" s="87">
        <v>16</v>
      </c>
      <c r="N34" s="214">
        <v>21</v>
      </c>
      <c r="O34" s="329">
        <f>N34/N30</f>
        <v>0.12209302325581395</v>
      </c>
    </row>
    <row r="35" spans="2:15" s="31" customFormat="1" ht="15">
      <c r="B35" s="300" t="s">
        <v>143</v>
      </c>
      <c r="C35" s="301"/>
      <c r="D35" s="302"/>
    </row>
    <row r="36" spans="2:15">
      <c r="B36" s="37"/>
      <c r="C36" s="37"/>
    </row>
    <row r="55" spans="2:3">
      <c r="C55" s="31"/>
    </row>
    <row r="56" spans="2:3" hidden="1"/>
    <row r="57" spans="2:3" hidden="1">
      <c r="B57" s="38" t="s">
        <v>34</v>
      </c>
      <c r="C57" s="31"/>
    </row>
    <row r="58" spans="2:3" hidden="1">
      <c r="B58" s="31" t="s">
        <v>139</v>
      </c>
    </row>
    <row r="59" spans="2:3" hidden="1">
      <c r="B59" s="31" t="s">
        <v>26</v>
      </c>
    </row>
    <row r="60" spans="2:3" hidden="1">
      <c r="B60" s="31" t="s">
        <v>140</v>
      </c>
    </row>
    <row r="61" spans="2:3" hidden="1">
      <c r="B61" s="31" t="s">
        <v>141</v>
      </c>
    </row>
    <row r="62" spans="2:3" hidden="1">
      <c r="B62" s="31" t="s">
        <v>142</v>
      </c>
    </row>
  </sheetData>
  <mergeCells count="6">
    <mergeCell ref="B2:N2"/>
    <mergeCell ref="B1:N1"/>
    <mergeCell ref="D4:N4"/>
    <mergeCell ref="B3:N3"/>
    <mergeCell ref="C4:C5"/>
    <mergeCell ref="B4:B5"/>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92&amp;R&amp;"Lucida Sans Unicode,Regular"&amp;10December 2015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O62"/>
  <sheetViews>
    <sheetView showGridLines="0" view="pageLayout" topLeftCell="A40" zoomScaleNormal="100" zoomScaleSheetLayoutView="100" workbookViewId="0">
      <selection activeCell="N35" sqref="N35"/>
    </sheetView>
  </sheetViews>
  <sheetFormatPr defaultColWidth="9.6640625" defaultRowHeight="15"/>
  <cols>
    <col min="1" max="1" width="6.21875" style="38" customWidth="1"/>
    <col min="2" max="2" width="9.6640625" style="38" customWidth="1"/>
    <col min="3" max="3" width="15.6640625" style="38" customWidth="1"/>
    <col min="4" max="7" width="8" style="38" hidden="1" customWidth="1"/>
    <col min="8" max="9" width="7.5546875" style="38" hidden="1" customWidth="1"/>
    <col min="10" max="14" width="8.77734375" style="38" customWidth="1"/>
    <col min="15" max="15" width="7.6640625" style="38" customWidth="1"/>
    <col min="16" max="16384" width="9.6640625" style="38"/>
  </cols>
  <sheetData>
    <row r="1" spans="2:14" s="194" customFormat="1" ht="24" customHeight="1">
      <c r="B1" s="465" t="s">
        <v>0</v>
      </c>
      <c r="C1" s="465"/>
      <c r="D1" s="465"/>
      <c r="E1" s="465"/>
      <c r="F1" s="465"/>
      <c r="G1" s="465"/>
      <c r="H1" s="465"/>
      <c r="I1" s="465"/>
      <c r="J1" s="465"/>
      <c r="K1" s="465"/>
      <c r="L1" s="465"/>
      <c r="M1" s="465"/>
      <c r="N1" s="465"/>
    </row>
    <row r="2" spans="2:14" s="196" customFormat="1" ht="25.5" customHeight="1">
      <c r="B2" s="464" t="s">
        <v>42</v>
      </c>
      <c r="C2" s="464"/>
      <c r="D2" s="464"/>
      <c r="E2" s="464"/>
      <c r="F2" s="464"/>
      <c r="G2" s="464"/>
      <c r="H2" s="464"/>
      <c r="I2" s="464"/>
      <c r="J2" s="464"/>
      <c r="K2" s="464"/>
      <c r="L2" s="464"/>
      <c r="M2" s="464"/>
      <c r="N2" s="464"/>
    </row>
    <row r="3" spans="2:14" s="194" customFormat="1" ht="21" customHeight="1">
      <c r="B3" s="523" t="s">
        <v>153</v>
      </c>
      <c r="C3" s="523"/>
      <c r="D3" s="523"/>
      <c r="E3" s="523"/>
      <c r="F3" s="523"/>
      <c r="G3" s="523"/>
      <c r="H3" s="523"/>
      <c r="I3" s="523"/>
      <c r="J3" s="523"/>
      <c r="K3" s="523"/>
      <c r="L3" s="523"/>
      <c r="M3" s="523"/>
      <c r="N3" s="523"/>
    </row>
    <row r="4" spans="2:14" ht="15.75" customHeight="1">
      <c r="B4" s="515" t="s">
        <v>59</v>
      </c>
      <c r="C4" s="515" t="s">
        <v>60</v>
      </c>
      <c r="D4" s="481" t="s">
        <v>152</v>
      </c>
      <c r="E4" s="482"/>
      <c r="F4" s="482"/>
      <c r="G4" s="482"/>
      <c r="H4" s="482"/>
      <c r="I4" s="482"/>
      <c r="J4" s="482"/>
      <c r="K4" s="482"/>
      <c r="L4" s="482"/>
      <c r="M4" s="482"/>
      <c r="N4" s="483"/>
    </row>
    <row r="5" spans="2:14" s="106" customFormat="1" ht="15.75">
      <c r="B5" s="539"/>
      <c r="C5" s="539"/>
      <c r="D5" s="129" t="s">
        <v>21</v>
      </c>
      <c r="E5" s="129" t="s">
        <v>51</v>
      </c>
      <c r="F5" s="129" t="s">
        <v>52</v>
      </c>
      <c r="G5" s="129" t="s">
        <v>53</v>
      </c>
      <c r="H5" s="137" t="s">
        <v>57</v>
      </c>
      <c r="I5" s="137" t="s">
        <v>69</v>
      </c>
      <c r="J5" s="137" t="s">
        <v>124</v>
      </c>
      <c r="K5" s="137" t="s">
        <v>146</v>
      </c>
      <c r="L5" s="137" t="s">
        <v>158</v>
      </c>
      <c r="M5" s="137" t="s">
        <v>166</v>
      </c>
      <c r="N5" s="137" t="s">
        <v>187</v>
      </c>
    </row>
    <row r="6" spans="2:14">
      <c r="B6" s="8"/>
      <c r="C6" s="8" t="s">
        <v>11</v>
      </c>
      <c r="D6" s="109">
        <f>35+7</f>
        <v>42</v>
      </c>
      <c r="E6" s="109">
        <v>61</v>
      </c>
      <c r="F6" s="109"/>
      <c r="G6" s="109"/>
      <c r="H6" s="109">
        <v>9</v>
      </c>
      <c r="I6" s="109">
        <v>10</v>
      </c>
      <c r="J6" s="109">
        <v>11</v>
      </c>
      <c r="K6" s="109">
        <v>7</v>
      </c>
      <c r="L6" s="109">
        <v>19</v>
      </c>
      <c r="M6" s="109">
        <v>8</v>
      </c>
      <c r="N6" s="109">
        <v>14</v>
      </c>
    </row>
    <row r="7" spans="2:14">
      <c r="B7" s="7"/>
      <c r="C7" s="8" t="s">
        <v>12</v>
      </c>
      <c r="D7" s="76">
        <v>1</v>
      </c>
      <c r="E7" s="76">
        <v>2</v>
      </c>
      <c r="F7" s="76"/>
      <c r="G7" s="76"/>
      <c r="H7" s="76"/>
      <c r="I7" s="76"/>
      <c r="J7" s="76"/>
      <c r="K7" s="76"/>
      <c r="L7" s="76"/>
      <c r="M7" s="76"/>
      <c r="N7" s="76"/>
    </row>
    <row r="8" spans="2:14">
      <c r="B8" s="7" t="s">
        <v>2</v>
      </c>
      <c r="C8" s="3" t="s">
        <v>13</v>
      </c>
      <c r="D8" s="77">
        <f t="shared" ref="D8:I8" si="0">D6+D7</f>
        <v>43</v>
      </c>
      <c r="E8" s="77">
        <f t="shared" si="0"/>
        <v>63</v>
      </c>
      <c r="F8" s="77"/>
      <c r="G8" s="77"/>
      <c r="H8" s="77">
        <f t="shared" si="0"/>
        <v>9</v>
      </c>
      <c r="I8" s="77">
        <f t="shared" si="0"/>
        <v>10</v>
      </c>
      <c r="J8" s="77">
        <v>11</v>
      </c>
      <c r="K8" s="77">
        <v>7</v>
      </c>
      <c r="L8" s="77">
        <v>19</v>
      </c>
      <c r="M8" s="77">
        <v>8</v>
      </c>
      <c r="N8" s="77">
        <v>14</v>
      </c>
    </row>
    <row r="9" spans="2:14" ht="15.75" thickBot="1">
      <c r="B9" s="7"/>
      <c r="C9" s="2" t="s">
        <v>14</v>
      </c>
      <c r="D9" s="77">
        <v>0</v>
      </c>
      <c r="E9" s="77">
        <v>0</v>
      </c>
      <c r="F9" s="77"/>
      <c r="G9" s="77"/>
      <c r="H9" s="77"/>
      <c r="I9" s="77"/>
      <c r="J9" s="77"/>
      <c r="K9" s="77"/>
      <c r="L9" s="77"/>
      <c r="M9" s="77"/>
      <c r="N9" s="77"/>
    </row>
    <row r="10" spans="2:14" ht="17.100000000000001" customHeight="1" thickTop="1" thickBot="1">
      <c r="B10" s="7"/>
      <c r="C10" s="13" t="s">
        <v>15</v>
      </c>
      <c r="D10" s="78">
        <f t="shared" ref="D10:I10" si="1">D8+D9</f>
        <v>43</v>
      </c>
      <c r="E10" s="78">
        <f t="shared" si="1"/>
        <v>63</v>
      </c>
      <c r="F10" s="78"/>
      <c r="G10" s="78"/>
      <c r="H10" s="78">
        <f t="shared" si="1"/>
        <v>9</v>
      </c>
      <c r="I10" s="78">
        <f t="shared" si="1"/>
        <v>10</v>
      </c>
      <c r="J10" s="78">
        <v>11</v>
      </c>
      <c r="K10" s="78">
        <v>7</v>
      </c>
      <c r="L10" s="78">
        <v>19</v>
      </c>
      <c r="M10" s="78">
        <v>8</v>
      </c>
      <c r="N10" s="78">
        <v>14</v>
      </c>
    </row>
    <row r="11" spans="2:14">
      <c r="B11" s="4"/>
      <c r="C11" s="4" t="s">
        <v>11</v>
      </c>
      <c r="D11" s="79">
        <f>39+4</f>
        <v>43</v>
      </c>
      <c r="E11" s="79">
        <v>93</v>
      </c>
      <c r="F11" s="79"/>
      <c r="G11" s="79"/>
      <c r="H11" s="79"/>
      <c r="I11" s="79">
        <v>3</v>
      </c>
      <c r="J11" s="79">
        <v>3</v>
      </c>
      <c r="K11" s="79">
        <v>3</v>
      </c>
      <c r="L11" s="79">
        <v>2</v>
      </c>
      <c r="M11" s="79">
        <v>7</v>
      </c>
      <c r="N11" s="79">
        <v>0</v>
      </c>
    </row>
    <row r="12" spans="2:14">
      <c r="B12" s="7"/>
      <c r="C12" s="8" t="s">
        <v>12</v>
      </c>
      <c r="D12" s="76">
        <v>5</v>
      </c>
      <c r="E12" s="76">
        <v>8</v>
      </c>
      <c r="F12" s="76"/>
      <c r="G12" s="76"/>
      <c r="H12" s="76"/>
      <c r="I12" s="76"/>
      <c r="J12" s="76"/>
      <c r="K12" s="76"/>
      <c r="L12" s="76"/>
      <c r="M12" s="76"/>
      <c r="N12" s="76"/>
    </row>
    <row r="13" spans="2:14">
      <c r="B13" s="7" t="s">
        <v>3</v>
      </c>
      <c r="C13" s="3" t="s">
        <v>13</v>
      </c>
      <c r="D13" s="77">
        <f>D11+D12</f>
        <v>48</v>
      </c>
      <c r="E13" s="77">
        <f>E11+E12</f>
        <v>101</v>
      </c>
      <c r="F13" s="77"/>
      <c r="G13" s="77"/>
      <c r="H13" s="77"/>
      <c r="I13" s="77">
        <f t="shared" ref="I13" si="2">I11+I12</f>
        <v>3</v>
      </c>
      <c r="J13" s="77">
        <v>3</v>
      </c>
      <c r="K13" s="77">
        <v>3</v>
      </c>
      <c r="L13" s="77">
        <v>2</v>
      </c>
      <c r="M13" s="77">
        <v>7</v>
      </c>
      <c r="N13" s="77">
        <v>0</v>
      </c>
    </row>
    <row r="14" spans="2:14" ht="15.75" thickBot="1">
      <c r="B14" s="7"/>
      <c r="C14" s="2" t="s">
        <v>14</v>
      </c>
      <c r="D14" s="77">
        <v>0</v>
      </c>
      <c r="E14" s="77">
        <v>1</v>
      </c>
      <c r="F14" s="77"/>
      <c r="G14" s="77"/>
      <c r="H14" s="77"/>
      <c r="I14" s="77"/>
      <c r="J14" s="77"/>
      <c r="K14" s="77"/>
      <c r="L14" s="77"/>
      <c r="M14" s="77"/>
      <c r="N14" s="77"/>
    </row>
    <row r="15" spans="2:14" ht="17.100000000000001" customHeight="1" thickTop="1" thickBot="1">
      <c r="B15" s="7"/>
      <c r="C15" s="13" t="s">
        <v>15</v>
      </c>
      <c r="D15" s="78">
        <f>D13+D14</f>
        <v>48</v>
      </c>
      <c r="E15" s="78">
        <f>E13+E14</f>
        <v>102</v>
      </c>
      <c r="F15" s="78"/>
      <c r="G15" s="78"/>
      <c r="H15" s="78"/>
      <c r="I15" s="78">
        <f t="shared" ref="I15" si="3">I13+I14</f>
        <v>3</v>
      </c>
      <c r="J15" s="78">
        <v>3</v>
      </c>
      <c r="K15" s="78">
        <v>3</v>
      </c>
      <c r="L15" s="78">
        <v>2</v>
      </c>
      <c r="M15" s="78">
        <v>7</v>
      </c>
      <c r="N15" s="78">
        <v>0</v>
      </c>
    </row>
    <row r="16" spans="2:14">
      <c r="B16" s="4"/>
      <c r="C16" s="4" t="s">
        <v>11</v>
      </c>
      <c r="D16" s="79">
        <f>29+19+8</f>
        <v>56</v>
      </c>
      <c r="E16" s="79">
        <v>54</v>
      </c>
      <c r="F16" s="79"/>
      <c r="G16" s="79"/>
      <c r="H16" s="79"/>
      <c r="I16" s="79"/>
      <c r="J16" s="79">
        <v>2</v>
      </c>
      <c r="K16" s="79">
        <v>1</v>
      </c>
      <c r="L16" s="79">
        <v>3</v>
      </c>
      <c r="M16" s="79">
        <v>2</v>
      </c>
      <c r="N16" s="79">
        <v>3</v>
      </c>
    </row>
    <row r="17" spans="2:15">
      <c r="B17" s="7"/>
      <c r="C17" s="8" t="s">
        <v>12</v>
      </c>
      <c r="D17" s="76">
        <v>4</v>
      </c>
      <c r="E17" s="76">
        <v>6</v>
      </c>
      <c r="F17" s="76"/>
      <c r="G17" s="76"/>
      <c r="H17" s="76"/>
      <c r="I17" s="76"/>
      <c r="J17" s="76"/>
      <c r="K17" s="76"/>
      <c r="L17" s="76"/>
      <c r="M17" s="76"/>
      <c r="N17" s="76"/>
    </row>
    <row r="18" spans="2:15" ht="15" customHeight="1">
      <c r="B18" s="7" t="s">
        <v>4</v>
      </c>
      <c r="C18" s="3" t="s">
        <v>13</v>
      </c>
      <c r="D18" s="77">
        <f>D16+D17</f>
        <v>60</v>
      </c>
      <c r="E18" s="77">
        <f>E16+E17</f>
        <v>60</v>
      </c>
      <c r="F18" s="77"/>
      <c r="G18" s="77"/>
      <c r="H18" s="77"/>
      <c r="I18" s="77"/>
      <c r="J18" s="77">
        <v>2</v>
      </c>
      <c r="K18" s="77">
        <v>1</v>
      </c>
      <c r="L18" s="77">
        <v>3</v>
      </c>
      <c r="M18" s="77">
        <v>2</v>
      </c>
      <c r="N18" s="77">
        <v>3</v>
      </c>
    </row>
    <row r="19" spans="2:15" ht="15.75" thickBot="1">
      <c r="B19" s="7"/>
      <c r="C19" s="2" t="s">
        <v>14</v>
      </c>
      <c r="D19" s="77">
        <v>0</v>
      </c>
      <c r="E19" s="77">
        <v>2</v>
      </c>
      <c r="F19" s="77"/>
      <c r="G19" s="77"/>
      <c r="H19" s="77"/>
      <c r="I19" s="77"/>
      <c r="J19" s="77"/>
      <c r="K19" s="77"/>
      <c r="L19" s="77"/>
      <c r="M19" s="77"/>
      <c r="N19" s="77"/>
    </row>
    <row r="20" spans="2:15" ht="17.100000000000001" customHeight="1" thickTop="1" thickBot="1">
      <c r="B20" s="7"/>
      <c r="C20" s="13" t="s">
        <v>15</v>
      </c>
      <c r="D20" s="78">
        <f>D18+D19</f>
        <v>60</v>
      </c>
      <c r="E20" s="78">
        <f>E18+E19</f>
        <v>62</v>
      </c>
      <c r="F20" s="78"/>
      <c r="G20" s="78"/>
      <c r="H20" s="78"/>
      <c r="I20" s="78"/>
      <c r="J20" s="78">
        <v>2</v>
      </c>
      <c r="K20" s="78">
        <v>1</v>
      </c>
      <c r="L20" s="78">
        <v>3</v>
      </c>
      <c r="M20" s="78">
        <v>2</v>
      </c>
      <c r="N20" s="78">
        <v>3</v>
      </c>
    </row>
    <row r="21" spans="2:15">
      <c r="B21" s="4"/>
      <c r="C21" s="4" t="s">
        <v>11</v>
      </c>
      <c r="D21" s="79">
        <f>15+16+6</f>
        <v>37</v>
      </c>
      <c r="E21" s="79">
        <v>21</v>
      </c>
      <c r="F21" s="79"/>
      <c r="G21" s="79"/>
      <c r="H21" s="79"/>
      <c r="I21" s="79"/>
      <c r="J21" s="79">
        <v>3</v>
      </c>
      <c r="K21" s="79">
        <v>3</v>
      </c>
      <c r="L21" s="79"/>
      <c r="M21" s="79"/>
      <c r="N21" s="79">
        <v>1</v>
      </c>
    </row>
    <row r="22" spans="2:15">
      <c r="B22" s="7"/>
      <c r="C22" s="8" t="s">
        <v>12</v>
      </c>
      <c r="D22" s="76">
        <v>6</v>
      </c>
      <c r="E22" s="76">
        <v>2</v>
      </c>
      <c r="F22" s="76"/>
      <c r="G22" s="76"/>
      <c r="H22" s="76"/>
      <c r="I22" s="76"/>
      <c r="J22" s="76"/>
      <c r="K22" s="76"/>
      <c r="L22" s="76"/>
      <c r="M22" s="76"/>
      <c r="N22" s="76"/>
    </row>
    <row r="23" spans="2:15">
      <c r="B23" s="7" t="s">
        <v>5</v>
      </c>
      <c r="C23" s="3" t="s">
        <v>13</v>
      </c>
      <c r="D23" s="77">
        <f>D21+D22</f>
        <v>43</v>
      </c>
      <c r="E23" s="77">
        <f>E21+E22</f>
        <v>23</v>
      </c>
      <c r="F23" s="77"/>
      <c r="G23" s="77"/>
      <c r="H23" s="77"/>
      <c r="I23" s="77"/>
      <c r="J23" s="77">
        <v>3</v>
      </c>
      <c r="K23" s="77">
        <v>3</v>
      </c>
      <c r="L23" s="77">
        <v>0</v>
      </c>
      <c r="M23" s="77"/>
      <c r="N23" s="77">
        <v>1</v>
      </c>
    </row>
    <row r="24" spans="2:15" ht="15.75" thickBot="1">
      <c r="B24" s="7"/>
      <c r="C24" s="2" t="s">
        <v>14</v>
      </c>
      <c r="D24" s="77">
        <v>2</v>
      </c>
      <c r="E24" s="77">
        <v>0</v>
      </c>
      <c r="F24" s="77"/>
      <c r="G24" s="77"/>
      <c r="H24" s="77"/>
      <c r="I24" s="77"/>
      <c r="J24" s="77"/>
      <c r="K24" s="77"/>
      <c r="L24" s="77"/>
      <c r="M24" s="77"/>
      <c r="N24" s="77"/>
    </row>
    <row r="25" spans="2:15" ht="17.100000000000001" customHeight="1" thickTop="1" thickBot="1">
      <c r="B25" s="7"/>
      <c r="C25" s="13" t="s">
        <v>15</v>
      </c>
      <c r="D25" s="78">
        <f>D23+D24</f>
        <v>45</v>
      </c>
      <c r="E25" s="78">
        <f>E23+E24</f>
        <v>23</v>
      </c>
      <c r="F25" s="78"/>
      <c r="G25" s="78"/>
      <c r="H25" s="78"/>
      <c r="I25" s="78"/>
      <c r="J25" s="78">
        <v>3</v>
      </c>
      <c r="K25" s="78">
        <v>3</v>
      </c>
      <c r="L25" s="78">
        <v>0</v>
      </c>
      <c r="M25" s="78"/>
      <c r="N25" s="78">
        <v>1</v>
      </c>
    </row>
    <row r="26" spans="2:15" ht="21" customHeight="1" thickTop="1">
      <c r="B26" s="46"/>
      <c r="C26" s="46" t="s">
        <v>11</v>
      </c>
      <c r="D26" s="80">
        <f t="shared" ref="D26:I27" si="4">SUM(D6,D11,D16,D21)</f>
        <v>178</v>
      </c>
      <c r="E26" s="80">
        <f t="shared" si="4"/>
        <v>229</v>
      </c>
      <c r="F26" s="80"/>
      <c r="G26" s="80"/>
      <c r="H26" s="80">
        <f t="shared" si="4"/>
        <v>9</v>
      </c>
      <c r="I26" s="80">
        <f t="shared" si="4"/>
        <v>13</v>
      </c>
      <c r="J26" s="80">
        <v>19</v>
      </c>
      <c r="K26" s="80">
        <v>14</v>
      </c>
      <c r="L26" s="80">
        <v>24</v>
      </c>
      <c r="M26" s="80">
        <v>17</v>
      </c>
      <c r="N26" s="80">
        <v>18</v>
      </c>
    </row>
    <row r="27" spans="2:15" ht="21" customHeight="1">
      <c r="B27" s="19"/>
      <c r="C27" s="19" t="s">
        <v>12</v>
      </c>
      <c r="D27" s="81">
        <f t="shared" si="4"/>
        <v>16</v>
      </c>
      <c r="E27" s="81">
        <f t="shared" si="4"/>
        <v>18</v>
      </c>
      <c r="F27" s="81"/>
      <c r="G27" s="81"/>
      <c r="H27" s="81"/>
      <c r="I27" s="81"/>
      <c r="J27" s="81"/>
      <c r="K27" s="81"/>
      <c r="L27" s="81"/>
      <c r="M27" s="81"/>
      <c r="N27" s="81"/>
    </row>
    <row r="28" spans="2:15" ht="21" customHeight="1">
      <c r="B28" s="22" t="s">
        <v>6</v>
      </c>
      <c r="C28" s="23" t="s">
        <v>13</v>
      </c>
      <c r="D28" s="82">
        <f t="shared" ref="D28:I28" si="5">D26+D27</f>
        <v>194</v>
      </c>
      <c r="E28" s="82">
        <f t="shared" si="5"/>
        <v>247</v>
      </c>
      <c r="F28" s="82"/>
      <c r="G28" s="82"/>
      <c r="H28" s="82">
        <f t="shared" si="5"/>
        <v>9</v>
      </c>
      <c r="I28" s="82">
        <f t="shared" si="5"/>
        <v>13</v>
      </c>
      <c r="J28" s="82">
        <v>19</v>
      </c>
      <c r="K28" s="82">
        <v>14</v>
      </c>
      <c r="L28" s="82">
        <v>24</v>
      </c>
      <c r="M28" s="82">
        <v>17</v>
      </c>
      <c r="N28" s="82">
        <v>18</v>
      </c>
    </row>
    <row r="29" spans="2:15" ht="21" customHeight="1" thickBot="1">
      <c r="B29" s="19"/>
      <c r="C29" s="26" t="s">
        <v>14</v>
      </c>
      <c r="D29" s="82">
        <f>SUM(D9,D14,D19,D24)</f>
        <v>2</v>
      </c>
      <c r="E29" s="82">
        <f>SUM(E9,E14,E19,E24)</f>
        <v>3</v>
      </c>
      <c r="F29" s="82"/>
      <c r="G29" s="82"/>
      <c r="H29" s="82"/>
      <c r="I29" s="82"/>
      <c r="J29" s="82"/>
      <c r="K29" s="82"/>
      <c r="L29" s="82"/>
      <c r="M29" s="82"/>
      <c r="N29" s="82"/>
    </row>
    <row r="30" spans="2:15" ht="21" customHeight="1" thickTop="1" thickBot="1">
      <c r="B30" s="22"/>
      <c r="C30" s="27" t="s">
        <v>15</v>
      </c>
      <c r="D30" s="83">
        <f t="shared" ref="D30:I30" si="6">D28+D29</f>
        <v>196</v>
      </c>
      <c r="E30" s="83">
        <f t="shared" si="6"/>
        <v>250</v>
      </c>
      <c r="F30" s="83">
        <f t="shared" si="6"/>
        <v>0</v>
      </c>
      <c r="G30" s="83">
        <f t="shared" si="6"/>
        <v>0</v>
      </c>
      <c r="H30" s="83">
        <f t="shared" si="6"/>
        <v>9</v>
      </c>
      <c r="I30" s="83">
        <f t="shared" si="6"/>
        <v>13</v>
      </c>
      <c r="J30" s="83">
        <v>19</v>
      </c>
      <c r="K30" s="83">
        <v>14</v>
      </c>
      <c r="L30" s="83">
        <v>24</v>
      </c>
      <c r="M30" s="83">
        <v>17</v>
      </c>
      <c r="N30" s="83">
        <v>18</v>
      </c>
    </row>
    <row r="31" spans="2:15" ht="16.5" thickTop="1">
      <c r="B31" s="29" t="s">
        <v>7</v>
      </c>
      <c r="C31" s="30"/>
      <c r="D31" s="84">
        <v>110</v>
      </c>
      <c r="E31" s="84">
        <v>112</v>
      </c>
      <c r="F31" s="84"/>
      <c r="G31" s="84"/>
      <c r="H31" s="84">
        <v>3</v>
      </c>
      <c r="I31" s="84">
        <v>5</v>
      </c>
      <c r="J31" s="84">
        <v>11</v>
      </c>
      <c r="K31" s="84">
        <v>7</v>
      </c>
      <c r="L31" s="84">
        <v>10</v>
      </c>
      <c r="M31" s="84">
        <v>12</v>
      </c>
      <c r="N31" s="211">
        <v>13</v>
      </c>
      <c r="O31" s="329">
        <f>N31/N30</f>
        <v>0.72222222222222221</v>
      </c>
    </row>
    <row r="32" spans="2:15" ht="16.5" thickBot="1">
      <c r="B32" s="8" t="s">
        <v>8</v>
      </c>
      <c r="C32" s="31"/>
      <c r="D32" s="85">
        <v>86</v>
      </c>
      <c r="E32" s="85">
        <v>138</v>
      </c>
      <c r="F32" s="85"/>
      <c r="G32" s="85"/>
      <c r="H32" s="85">
        <v>6</v>
      </c>
      <c r="I32" s="85">
        <v>8</v>
      </c>
      <c r="J32" s="85">
        <v>8</v>
      </c>
      <c r="K32" s="85">
        <v>7</v>
      </c>
      <c r="L32" s="85">
        <v>14</v>
      </c>
      <c r="M32" s="85">
        <v>5</v>
      </c>
      <c r="N32" s="212">
        <v>15</v>
      </c>
      <c r="O32" s="330">
        <f>N32/N30</f>
        <v>0.83333333333333337</v>
      </c>
    </row>
    <row r="33" spans="2:15" ht="15.75">
      <c r="B33" s="4" t="s">
        <v>9</v>
      </c>
      <c r="C33" s="100"/>
      <c r="D33" s="86">
        <v>175</v>
      </c>
      <c r="E33" s="86">
        <v>228</v>
      </c>
      <c r="F33" s="86"/>
      <c r="G33" s="86"/>
      <c r="H33" s="86">
        <v>9</v>
      </c>
      <c r="I33" s="86">
        <v>13</v>
      </c>
      <c r="J33" s="86">
        <v>18</v>
      </c>
      <c r="K33" s="86">
        <v>12</v>
      </c>
      <c r="L33" s="86">
        <v>22</v>
      </c>
      <c r="M33" s="86">
        <v>17</v>
      </c>
      <c r="N33" s="213">
        <v>16</v>
      </c>
      <c r="O33" s="329">
        <f>N33/N30</f>
        <v>0.88888888888888884</v>
      </c>
    </row>
    <row r="34" spans="2:15" ht="15.75">
      <c r="B34" s="101" t="s">
        <v>10</v>
      </c>
      <c r="C34" s="102"/>
      <c r="D34" s="87">
        <v>21</v>
      </c>
      <c r="E34" s="87">
        <v>22</v>
      </c>
      <c r="F34" s="87"/>
      <c r="G34" s="87"/>
      <c r="H34" s="87"/>
      <c r="I34" s="87"/>
      <c r="J34" s="87">
        <v>1</v>
      </c>
      <c r="K34" s="87">
        <v>2</v>
      </c>
      <c r="L34" s="87">
        <v>2</v>
      </c>
      <c r="M34" s="87"/>
      <c r="N34" s="214">
        <v>2</v>
      </c>
      <c r="O34" s="329">
        <f>N34/N30</f>
        <v>0.1111111111111111</v>
      </c>
    </row>
    <row r="35" spans="2:15" s="31" customFormat="1">
      <c r="B35" s="300" t="s">
        <v>143</v>
      </c>
      <c r="C35" s="301"/>
      <c r="D35" s="302"/>
    </row>
    <row r="36" spans="2:15">
      <c r="B36" s="37"/>
      <c r="C36" s="37"/>
    </row>
    <row r="55" spans="2:3">
      <c r="C55" s="31"/>
    </row>
    <row r="56" spans="2:3" hidden="1"/>
    <row r="57" spans="2:3" hidden="1">
      <c r="B57" s="38" t="s">
        <v>34</v>
      </c>
      <c r="C57" s="31"/>
    </row>
    <row r="58" spans="2:3" hidden="1">
      <c r="B58" s="31" t="s">
        <v>139</v>
      </c>
    </row>
    <row r="59" spans="2:3" hidden="1">
      <c r="B59" s="31" t="s">
        <v>26</v>
      </c>
    </row>
    <row r="60" spans="2:3" hidden="1">
      <c r="B60" s="31" t="s">
        <v>140</v>
      </c>
    </row>
    <row r="61" spans="2:3" hidden="1">
      <c r="B61" s="31" t="s">
        <v>141</v>
      </c>
    </row>
    <row r="62" spans="2:3" hidden="1">
      <c r="B62" s="31" t="s">
        <v>142</v>
      </c>
    </row>
  </sheetData>
  <mergeCells count="6">
    <mergeCell ref="B2:N2"/>
    <mergeCell ref="B1:N1"/>
    <mergeCell ref="B4:B5"/>
    <mergeCell ref="C4:C5"/>
    <mergeCell ref="D4:N4"/>
    <mergeCell ref="B3:N3"/>
  </mergeCells>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93&amp;R&amp;"Lucida Sans Unicode,Regular"&amp;10December 2015</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sheetPr>
  <dimension ref="B1:S54"/>
  <sheetViews>
    <sheetView showGridLines="0" view="pageLayout" topLeftCell="A42" zoomScaleNormal="100" zoomScaleSheetLayoutView="100" workbookViewId="0">
      <selection activeCell="R35" sqref="R35"/>
    </sheetView>
  </sheetViews>
  <sheetFormatPr defaultColWidth="9.6640625" defaultRowHeight="15"/>
  <cols>
    <col min="1" max="1" width="6" style="38" customWidth="1"/>
    <col min="2" max="2" width="9.6640625" style="38" customWidth="1"/>
    <col min="3" max="3" width="15.6640625" style="38" customWidth="1"/>
    <col min="4" max="9" width="9.6640625" style="38" hidden="1" customWidth="1"/>
    <col min="10" max="11" width="8" style="38" hidden="1" customWidth="1"/>
    <col min="12" max="13" width="7.5546875" style="38" hidden="1" customWidth="1"/>
    <col min="14" max="18" width="8.77734375" style="38" customWidth="1"/>
    <col min="19" max="19" width="6.88671875" style="38" bestFit="1" customWidth="1"/>
    <col min="20" max="16384" width="9.6640625" style="38"/>
  </cols>
  <sheetData>
    <row r="1" spans="2:18" s="194" customFormat="1" ht="24" customHeight="1">
      <c r="B1" s="465" t="s">
        <v>0</v>
      </c>
      <c r="C1" s="465"/>
      <c r="D1" s="465"/>
      <c r="E1" s="465"/>
      <c r="F1" s="465"/>
      <c r="G1" s="465"/>
      <c r="H1" s="465"/>
      <c r="I1" s="465"/>
      <c r="J1" s="465"/>
      <c r="K1" s="465"/>
      <c r="L1" s="465"/>
      <c r="M1" s="465"/>
      <c r="N1" s="465"/>
      <c r="O1" s="465"/>
      <c r="P1" s="465"/>
      <c r="Q1" s="465"/>
      <c r="R1" s="465"/>
    </row>
    <row r="2" spans="2:18" s="196" customFormat="1" ht="25.5" customHeight="1">
      <c r="B2" s="464" t="s">
        <v>43</v>
      </c>
      <c r="C2" s="464"/>
      <c r="D2" s="464"/>
      <c r="E2" s="464"/>
      <c r="F2" s="464"/>
      <c r="G2" s="464"/>
      <c r="H2" s="464"/>
      <c r="I2" s="464"/>
      <c r="J2" s="464"/>
      <c r="K2" s="464"/>
      <c r="L2" s="464"/>
      <c r="M2" s="464"/>
      <c r="N2" s="464"/>
      <c r="O2" s="464"/>
      <c r="P2" s="464"/>
      <c r="Q2" s="464"/>
      <c r="R2" s="464"/>
    </row>
    <row r="3" spans="2:18" s="194" customFormat="1" ht="21" customHeight="1">
      <c r="B3" s="484"/>
      <c r="C3" s="484"/>
      <c r="D3" s="484"/>
      <c r="E3" s="484"/>
      <c r="F3" s="484"/>
      <c r="G3" s="484"/>
      <c r="H3" s="484"/>
      <c r="I3" s="484"/>
      <c r="J3" s="484"/>
      <c r="K3" s="484"/>
      <c r="L3" s="484"/>
      <c r="M3" s="484"/>
      <c r="N3" s="484"/>
      <c r="O3" s="484"/>
      <c r="P3" s="484"/>
      <c r="Q3" s="484"/>
      <c r="R3" s="484"/>
    </row>
    <row r="4" spans="2:18" ht="15.75" customHeight="1">
      <c r="B4" s="524" t="s">
        <v>59</v>
      </c>
      <c r="C4" s="524" t="s">
        <v>60</v>
      </c>
      <c r="D4" s="114"/>
      <c r="E4" s="114"/>
      <c r="F4" s="114"/>
      <c r="G4" s="114"/>
      <c r="H4" s="481" t="s">
        <v>145</v>
      </c>
      <c r="I4" s="482"/>
      <c r="J4" s="482"/>
      <c r="K4" s="482"/>
      <c r="L4" s="482"/>
      <c r="M4" s="482"/>
      <c r="N4" s="482"/>
      <c r="O4" s="482"/>
      <c r="P4" s="482"/>
      <c r="Q4" s="482"/>
      <c r="R4" s="483"/>
    </row>
    <row r="5" spans="2:18" s="106" customFormat="1" ht="16.5" thickBot="1">
      <c r="B5" s="525"/>
      <c r="C5" s="525"/>
      <c r="D5" s="135" t="s">
        <v>17</v>
      </c>
      <c r="E5" s="135" t="s">
        <v>18</v>
      </c>
      <c r="F5" s="135" t="s">
        <v>19</v>
      </c>
      <c r="G5" s="135" t="s">
        <v>20</v>
      </c>
      <c r="H5" s="135" t="s">
        <v>21</v>
      </c>
      <c r="I5" s="135" t="s">
        <v>51</v>
      </c>
      <c r="J5" s="135" t="s">
        <v>52</v>
      </c>
      <c r="K5" s="135" t="s">
        <v>53</v>
      </c>
      <c r="L5" s="135" t="s">
        <v>57</v>
      </c>
      <c r="M5" s="135" t="s">
        <v>69</v>
      </c>
      <c r="N5" s="135" t="s">
        <v>124</v>
      </c>
      <c r="O5" s="135" t="s">
        <v>146</v>
      </c>
      <c r="P5" s="138" t="s">
        <v>158</v>
      </c>
      <c r="Q5" s="138" t="s">
        <v>166</v>
      </c>
      <c r="R5" s="138" t="s">
        <v>187</v>
      </c>
    </row>
    <row r="6" spans="2:18" ht="15.75" thickTop="1">
      <c r="B6" s="8"/>
      <c r="C6" s="8" t="s">
        <v>11</v>
      </c>
      <c r="D6" s="108">
        <v>3</v>
      </c>
      <c r="E6" s="108">
        <v>1</v>
      </c>
      <c r="F6" s="108">
        <v>1</v>
      </c>
      <c r="G6" s="108">
        <v>4</v>
      </c>
      <c r="H6" s="109">
        <v>3</v>
      </c>
      <c r="I6" s="109">
        <v>1</v>
      </c>
      <c r="J6" s="109"/>
      <c r="K6" s="109"/>
      <c r="L6" s="109">
        <v>1</v>
      </c>
      <c r="M6" s="109"/>
      <c r="N6" s="109">
        <v>1</v>
      </c>
      <c r="O6" s="109">
        <v>18</v>
      </c>
      <c r="P6" s="109">
        <v>27</v>
      </c>
      <c r="Q6" s="109">
        <v>23</v>
      </c>
      <c r="R6" s="109">
        <v>29</v>
      </c>
    </row>
    <row r="7" spans="2:18">
      <c r="B7" s="7"/>
      <c r="C7" s="8" t="s">
        <v>12</v>
      </c>
      <c r="D7" s="42">
        <v>4</v>
      </c>
      <c r="E7" s="42">
        <v>2</v>
      </c>
      <c r="F7" s="42">
        <v>0</v>
      </c>
      <c r="G7" s="42">
        <v>0</v>
      </c>
      <c r="H7" s="76">
        <v>0</v>
      </c>
      <c r="I7" s="76">
        <v>2</v>
      </c>
      <c r="J7" s="76">
        <v>4</v>
      </c>
      <c r="K7" s="76">
        <v>3</v>
      </c>
      <c r="L7" s="76">
        <v>4</v>
      </c>
      <c r="M7" s="76">
        <v>7</v>
      </c>
      <c r="N7" s="76">
        <v>7</v>
      </c>
      <c r="O7" s="76">
        <v>14</v>
      </c>
      <c r="P7" s="76">
        <v>8</v>
      </c>
      <c r="Q7" s="76">
        <v>4</v>
      </c>
      <c r="R7" s="76">
        <v>2</v>
      </c>
    </row>
    <row r="8" spans="2:18">
      <c r="B8" s="7" t="s">
        <v>2</v>
      </c>
      <c r="C8" s="3" t="s">
        <v>13</v>
      </c>
      <c r="D8" s="43">
        <f t="shared" ref="D8:M8" si="0">D6+D7</f>
        <v>7</v>
      </c>
      <c r="E8" s="43">
        <f t="shared" si="0"/>
        <v>3</v>
      </c>
      <c r="F8" s="43">
        <f t="shared" si="0"/>
        <v>1</v>
      </c>
      <c r="G8" s="43">
        <f t="shared" si="0"/>
        <v>4</v>
      </c>
      <c r="H8" s="77">
        <f t="shared" si="0"/>
        <v>3</v>
      </c>
      <c r="I8" s="77">
        <f t="shared" si="0"/>
        <v>3</v>
      </c>
      <c r="J8" s="77">
        <f t="shared" si="0"/>
        <v>4</v>
      </c>
      <c r="K8" s="77">
        <f t="shared" si="0"/>
        <v>3</v>
      </c>
      <c r="L8" s="77">
        <f t="shared" si="0"/>
        <v>5</v>
      </c>
      <c r="M8" s="77">
        <f t="shared" si="0"/>
        <v>7</v>
      </c>
      <c r="N8" s="77">
        <v>8</v>
      </c>
      <c r="O8" s="77">
        <v>32</v>
      </c>
      <c r="P8" s="77">
        <v>35</v>
      </c>
      <c r="Q8" s="77">
        <v>27</v>
      </c>
      <c r="R8" s="77">
        <v>31</v>
      </c>
    </row>
    <row r="9" spans="2:18" ht="15.75" thickBot="1">
      <c r="B9" s="7"/>
      <c r="C9" s="2" t="s">
        <v>14</v>
      </c>
      <c r="D9" s="43">
        <v>0</v>
      </c>
      <c r="E9" s="43">
        <v>0</v>
      </c>
      <c r="F9" s="43">
        <v>0</v>
      </c>
      <c r="G9" s="43">
        <v>0</v>
      </c>
      <c r="H9" s="77">
        <v>0</v>
      </c>
      <c r="I9" s="77">
        <v>0</v>
      </c>
      <c r="J9" s="77"/>
      <c r="K9" s="77"/>
      <c r="L9" s="77"/>
      <c r="M9" s="77"/>
      <c r="N9" s="77"/>
      <c r="O9" s="77"/>
      <c r="P9" s="77"/>
      <c r="Q9" s="77"/>
      <c r="R9" s="77"/>
    </row>
    <row r="10" spans="2:18" ht="17.100000000000001" customHeight="1" thickTop="1" thickBot="1">
      <c r="B10" s="7"/>
      <c r="C10" s="13" t="s">
        <v>15</v>
      </c>
      <c r="D10" s="44">
        <f t="shared" ref="D10:M10" si="1">D8+D9</f>
        <v>7</v>
      </c>
      <c r="E10" s="44">
        <f t="shared" si="1"/>
        <v>3</v>
      </c>
      <c r="F10" s="44">
        <f t="shared" si="1"/>
        <v>1</v>
      </c>
      <c r="G10" s="44">
        <f t="shared" si="1"/>
        <v>4</v>
      </c>
      <c r="H10" s="78">
        <f t="shared" si="1"/>
        <v>3</v>
      </c>
      <c r="I10" s="78">
        <f t="shared" si="1"/>
        <v>3</v>
      </c>
      <c r="J10" s="78">
        <f t="shared" si="1"/>
        <v>4</v>
      </c>
      <c r="K10" s="78">
        <f t="shared" si="1"/>
        <v>3</v>
      </c>
      <c r="L10" s="78">
        <f t="shared" si="1"/>
        <v>5</v>
      </c>
      <c r="M10" s="78">
        <f t="shared" si="1"/>
        <v>7</v>
      </c>
      <c r="N10" s="78">
        <v>8</v>
      </c>
      <c r="O10" s="78">
        <v>32</v>
      </c>
      <c r="P10" s="78">
        <v>35</v>
      </c>
      <c r="Q10" s="78">
        <v>27</v>
      </c>
      <c r="R10" s="78">
        <v>31</v>
      </c>
    </row>
    <row r="11" spans="2:18">
      <c r="B11" s="4"/>
      <c r="C11" s="4" t="s">
        <v>11</v>
      </c>
      <c r="D11" s="45">
        <v>0</v>
      </c>
      <c r="E11" s="45">
        <v>1</v>
      </c>
      <c r="F11" s="45">
        <v>0</v>
      </c>
      <c r="G11" s="45">
        <v>0</v>
      </c>
      <c r="H11" s="79">
        <v>1</v>
      </c>
      <c r="I11" s="79">
        <v>1</v>
      </c>
      <c r="J11" s="79"/>
      <c r="K11" s="79"/>
      <c r="L11" s="79"/>
      <c r="M11" s="79"/>
      <c r="N11" s="79">
        <v>5</v>
      </c>
      <c r="O11" s="79">
        <v>12</v>
      </c>
      <c r="P11" s="79">
        <v>28</v>
      </c>
      <c r="Q11" s="79">
        <v>25</v>
      </c>
      <c r="R11" s="79">
        <v>25</v>
      </c>
    </row>
    <row r="12" spans="2:18">
      <c r="B12" s="7"/>
      <c r="C12" s="8" t="s">
        <v>12</v>
      </c>
      <c r="D12" s="42">
        <v>10</v>
      </c>
      <c r="E12" s="42">
        <v>8</v>
      </c>
      <c r="F12" s="42">
        <v>4</v>
      </c>
      <c r="G12" s="42">
        <v>2</v>
      </c>
      <c r="H12" s="76">
        <v>4</v>
      </c>
      <c r="I12" s="76">
        <v>8</v>
      </c>
      <c r="J12" s="76">
        <v>8</v>
      </c>
      <c r="K12" s="76">
        <v>11</v>
      </c>
      <c r="L12" s="76">
        <v>8</v>
      </c>
      <c r="M12" s="76">
        <v>6</v>
      </c>
      <c r="N12" s="76">
        <v>9</v>
      </c>
      <c r="O12" s="76">
        <v>12</v>
      </c>
      <c r="P12" s="76">
        <v>13</v>
      </c>
      <c r="Q12" s="76">
        <v>9</v>
      </c>
      <c r="R12" s="76">
        <v>11</v>
      </c>
    </row>
    <row r="13" spans="2:18">
      <c r="B13" s="7" t="s">
        <v>3</v>
      </c>
      <c r="C13" s="3" t="s">
        <v>13</v>
      </c>
      <c r="D13" s="43">
        <f t="shared" ref="D13:M13" si="2">D11+D12</f>
        <v>10</v>
      </c>
      <c r="E13" s="43">
        <f t="shared" si="2"/>
        <v>9</v>
      </c>
      <c r="F13" s="43">
        <f t="shared" si="2"/>
        <v>4</v>
      </c>
      <c r="G13" s="43">
        <f t="shared" si="2"/>
        <v>2</v>
      </c>
      <c r="H13" s="77">
        <f t="shared" si="2"/>
        <v>5</v>
      </c>
      <c r="I13" s="77">
        <f t="shared" si="2"/>
        <v>9</v>
      </c>
      <c r="J13" s="77">
        <f t="shared" si="2"/>
        <v>8</v>
      </c>
      <c r="K13" s="77">
        <f t="shared" si="2"/>
        <v>11</v>
      </c>
      <c r="L13" s="77">
        <f t="shared" si="2"/>
        <v>8</v>
      </c>
      <c r="M13" s="77">
        <f t="shared" si="2"/>
        <v>6</v>
      </c>
      <c r="N13" s="77">
        <v>14</v>
      </c>
      <c r="O13" s="77">
        <v>24</v>
      </c>
      <c r="P13" s="77">
        <v>41</v>
      </c>
      <c r="Q13" s="77">
        <v>34</v>
      </c>
      <c r="R13" s="77">
        <v>36</v>
      </c>
    </row>
    <row r="14" spans="2:18" ht="15.75" thickBot="1">
      <c r="B14" s="7"/>
      <c r="C14" s="2" t="s">
        <v>14</v>
      </c>
      <c r="D14" s="43">
        <v>0</v>
      </c>
      <c r="E14" s="43">
        <v>0</v>
      </c>
      <c r="F14" s="43">
        <v>0</v>
      </c>
      <c r="G14" s="43">
        <v>0</v>
      </c>
      <c r="H14" s="77">
        <v>0</v>
      </c>
      <c r="I14" s="77">
        <v>0</v>
      </c>
      <c r="J14" s="77"/>
      <c r="K14" s="77"/>
      <c r="L14" s="77"/>
      <c r="M14" s="77"/>
      <c r="N14" s="77"/>
      <c r="O14" s="77"/>
      <c r="P14" s="77"/>
      <c r="Q14" s="77"/>
      <c r="R14" s="77"/>
    </row>
    <row r="15" spans="2:18" ht="17.100000000000001" customHeight="1" thickTop="1" thickBot="1">
      <c r="B15" s="7"/>
      <c r="C15" s="13" t="s">
        <v>15</v>
      </c>
      <c r="D15" s="44">
        <f t="shared" ref="D15:M15" si="3">D13+D14</f>
        <v>10</v>
      </c>
      <c r="E15" s="44">
        <f t="shared" si="3"/>
        <v>9</v>
      </c>
      <c r="F15" s="44">
        <f t="shared" si="3"/>
        <v>4</v>
      </c>
      <c r="G15" s="44">
        <f t="shared" si="3"/>
        <v>2</v>
      </c>
      <c r="H15" s="78">
        <f t="shared" si="3"/>
        <v>5</v>
      </c>
      <c r="I15" s="78">
        <f t="shared" si="3"/>
        <v>9</v>
      </c>
      <c r="J15" s="78">
        <f t="shared" si="3"/>
        <v>8</v>
      </c>
      <c r="K15" s="78">
        <f t="shared" si="3"/>
        <v>11</v>
      </c>
      <c r="L15" s="78">
        <f t="shared" si="3"/>
        <v>8</v>
      </c>
      <c r="M15" s="78">
        <f t="shared" si="3"/>
        <v>6</v>
      </c>
      <c r="N15" s="78">
        <v>14</v>
      </c>
      <c r="O15" s="78">
        <v>24</v>
      </c>
      <c r="P15" s="78">
        <v>41</v>
      </c>
      <c r="Q15" s="78">
        <v>34</v>
      </c>
      <c r="R15" s="78">
        <v>36</v>
      </c>
    </row>
    <row r="16" spans="2:18">
      <c r="B16" s="4"/>
      <c r="C16" s="4" t="s">
        <v>11</v>
      </c>
      <c r="D16" s="45">
        <v>0</v>
      </c>
      <c r="E16" s="45">
        <v>0</v>
      </c>
      <c r="F16" s="45">
        <v>0</v>
      </c>
      <c r="G16" s="45">
        <v>0</v>
      </c>
      <c r="H16" s="79">
        <v>0</v>
      </c>
      <c r="I16" s="79">
        <v>0</v>
      </c>
      <c r="J16" s="79"/>
      <c r="K16" s="79"/>
      <c r="L16" s="79"/>
      <c r="M16" s="79"/>
      <c r="N16" s="79">
        <v>1</v>
      </c>
      <c r="O16" s="79">
        <v>8</v>
      </c>
      <c r="P16" s="79">
        <v>10</v>
      </c>
      <c r="Q16" s="79">
        <v>28</v>
      </c>
      <c r="R16" s="79">
        <v>21</v>
      </c>
    </row>
    <row r="17" spans="2:19">
      <c r="B17" s="7"/>
      <c r="C17" s="8" t="s">
        <v>12</v>
      </c>
      <c r="D17" s="42">
        <v>20</v>
      </c>
      <c r="E17" s="42">
        <v>14</v>
      </c>
      <c r="F17" s="42">
        <v>13</v>
      </c>
      <c r="G17" s="42">
        <v>7</v>
      </c>
      <c r="H17" s="76">
        <v>3</v>
      </c>
      <c r="I17" s="76">
        <v>8</v>
      </c>
      <c r="J17" s="76">
        <v>12</v>
      </c>
      <c r="K17" s="76">
        <v>10</v>
      </c>
      <c r="L17" s="76">
        <v>9</v>
      </c>
      <c r="M17" s="76">
        <v>6</v>
      </c>
      <c r="N17" s="76">
        <v>14</v>
      </c>
      <c r="O17" s="76">
        <v>9</v>
      </c>
      <c r="P17" s="76">
        <v>14</v>
      </c>
      <c r="Q17" s="76">
        <v>15</v>
      </c>
      <c r="R17" s="76">
        <v>9</v>
      </c>
    </row>
    <row r="18" spans="2:19">
      <c r="B18" s="7" t="s">
        <v>4</v>
      </c>
      <c r="C18" s="3" t="s">
        <v>13</v>
      </c>
      <c r="D18" s="43">
        <f t="shared" ref="D18:M18" si="4">D16+D17</f>
        <v>20</v>
      </c>
      <c r="E18" s="43">
        <f t="shared" si="4"/>
        <v>14</v>
      </c>
      <c r="F18" s="43">
        <f t="shared" si="4"/>
        <v>13</v>
      </c>
      <c r="G18" s="43">
        <f t="shared" si="4"/>
        <v>7</v>
      </c>
      <c r="H18" s="77">
        <f t="shared" si="4"/>
        <v>3</v>
      </c>
      <c r="I18" s="77">
        <f t="shared" si="4"/>
        <v>8</v>
      </c>
      <c r="J18" s="77">
        <f t="shared" si="4"/>
        <v>12</v>
      </c>
      <c r="K18" s="77">
        <f t="shared" si="4"/>
        <v>10</v>
      </c>
      <c r="L18" s="77">
        <f t="shared" si="4"/>
        <v>9</v>
      </c>
      <c r="M18" s="77">
        <f t="shared" si="4"/>
        <v>6</v>
      </c>
      <c r="N18" s="77">
        <v>15</v>
      </c>
      <c r="O18" s="77">
        <v>17</v>
      </c>
      <c r="P18" s="77">
        <v>24</v>
      </c>
      <c r="Q18" s="77">
        <v>43</v>
      </c>
      <c r="R18" s="77">
        <v>30</v>
      </c>
    </row>
    <row r="19" spans="2:19" ht="15.75" thickBot="1">
      <c r="B19" s="7"/>
      <c r="C19" s="2" t="s">
        <v>14</v>
      </c>
      <c r="D19" s="43">
        <v>0</v>
      </c>
      <c r="E19" s="43">
        <v>0</v>
      </c>
      <c r="F19" s="43">
        <v>0</v>
      </c>
      <c r="G19" s="43">
        <v>0</v>
      </c>
      <c r="H19" s="77">
        <v>0</v>
      </c>
      <c r="I19" s="77">
        <v>0</v>
      </c>
      <c r="J19" s="77"/>
      <c r="K19" s="77"/>
      <c r="L19" s="77"/>
      <c r="M19" s="77"/>
      <c r="N19" s="77"/>
      <c r="O19" s="77"/>
      <c r="P19" s="77"/>
      <c r="Q19" s="77"/>
      <c r="R19" s="77"/>
    </row>
    <row r="20" spans="2:19" ht="17.100000000000001" customHeight="1" thickTop="1" thickBot="1">
      <c r="B20" s="7"/>
      <c r="C20" s="13" t="s">
        <v>15</v>
      </c>
      <c r="D20" s="44">
        <f t="shared" ref="D20:M20" si="5">D18+D19</f>
        <v>20</v>
      </c>
      <c r="E20" s="44">
        <f t="shared" si="5"/>
        <v>14</v>
      </c>
      <c r="F20" s="44">
        <f t="shared" si="5"/>
        <v>13</v>
      </c>
      <c r="G20" s="44">
        <f t="shared" si="5"/>
        <v>7</v>
      </c>
      <c r="H20" s="78">
        <f t="shared" si="5"/>
        <v>3</v>
      </c>
      <c r="I20" s="78">
        <f t="shared" si="5"/>
        <v>8</v>
      </c>
      <c r="J20" s="78">
        <f t="shared" si="5"/>
        <v>12</v>
      </c>
      <c r="K20" s="78">
        <f t="shared" si="5"/>
        <v>10</v>
      </c>
      <c r="L20" s="78">
        <f t="shared" si="5"/>
        <v>9</v>
      </c>
      <c r="M20" s="78">
        <f t="shared" si="5"/>
        <v>6</v>
      </c>
      <c r="N20" s="78">
        <v>15</v>
      </c>
      <c r="O20" s="78">
        <v>17</v>
      </c>
      <c r="P20" s="78">
        <v>24</v>
      </c>
      <c r="Q20" s="78">
        <v>43</v>
      </c>
      <c r="R20" s="78">
        <v>30</v>
      </c>
    </row>
    <row r="21" spans="2:19">
      <c r="B21" s="4"/>
      <c r="C21" s="4" t="s">
        <v>11</v>
      </c>
      <c r="D21" s="45">
        <v>0</v>
      </c>
      <c r="E21" s="45">
        <v>0</v>
      </c>
      <c r="F21" s="45">
        <v>0</v>
      </c>
      <c r="G21" s="45">
        <v>0</v>
      </c>
      <c r="H21" s="79">
        <v>0</v>
      </c>
      <c r="I21" s="79">
        <v>0</v>
      </c>
      <c r="J21" s="79"/>
      <c r="K21" s="79"/>
      <c r="L21" s="79"/>
      <c r="M21" s="79"/>
      <c r="N21" s="79"/>
      <c r="O21" s="79"/>
      <c r="P21" s="79">
        <v>6</v>
      </c>
      <c r="Q21" s="79">
        <v>6</v>
      </c>
      <c r="R21" s="79">
        <v>17</v>
      </c>
    </row>
    <row r="22" spans="2:19">
      <c r="B22" s="7"/>
      <c r="C22" s="8" t="s">
        <v>12</v>
      </c>
      <c r="D22" s="42">
        <v>0</v>
      </c>
      <c r="E22" s="42">
        <v>3</v>
      </c>
      <c r="F22" s="42">
        <v>6</v>
      </c>
      <c r="G22" s="42">
        <v>8</v>
      </c>
      <c r="H22" s="76">
        <v>4</v>
      </c>
      <c r="I22" s="76">
        <v>2</v>
      </c>
      <c r="J22" s="76">
        <v>5</v>
      </c>
      <c r="K22" s="76">
        <v>4</v>
      </c>
      <c r="L22" s="76">
        <v>3</v>
      </c>
      <c r="M22" s="76">
        <v>4</v>
      </c>
      <c r="N22" s="76">
        <v>9</v>
      </c>
      <c r="O22" s="76">
        <v>7</v>
      </c>
      <c r="P22" s="76">
        <v>4</v>
      </c>
      <c r="Q22" s="76">
        <v>8</v>
      </c>
      <c r="R22" s="76">
        <v>14</v>
      </c>
    </row>
    <row r="23" spans="2:19">
      <c r="B23" s="7" t="s">
        <v>5</v>
      </c>
      <c r="C23" s="3" t="s">
        <v>13</v>
      </c>
      <c r="D23" s="43">
        <f t="shared" ref="D23:M23" si="6">D21+D22</f>
        <v>0</v>
      </c>
      <c r="E23" s="43">
        <f t="shared" si="6"/>
        <v>3</v>
      </c>
      <c r="F23" s="43">
        <f t="shared" si="6"/>
        <v>6</v>
      </c>
      <c r="G23" s="43">
        <f t="shared" si="6"/>
        <v>8</v>
      </c>
      <c r="H23" s="77">
        <f t="shared" si="6"/>
        <v>4</v>
      </c>
      <c r="I23" s="77">
        <f t="shared" si="6"/>
        <v>2</v>
      </c>
      <c r="J23" s="77">
        <f t="shared" si="6"/>
        <v>5</v>
      </c>
      <c r="K23" s="77">
        <f t="shared" si="6"/>
        <v>4</v>
      </c>
      <c r="L23" s="77">
        <f t="shared" si="6"/>
        <v>3</v>
      </c>
      <c r="M23" s="77">
        <f t="shared" si="6"/>
        <v>4</v>
      </c>
      <c r="N23" s="77">
        <v>9</v>
      </c>
      <c r="O23" s="77">
        <v>7</v>
      </c>
      <c r="P23" s="77">
        <v>10</v>
      </c>
      <c r="Q23" s="77">
        <v>14</v>
      </c>
      <c r="R23" s="77">
        <v>31</v>
      </c>
    </row>
    <row r="24" spans="2:19" ht="15.75" thickBot="1">
      <c r="B24" s="7"/>
      <c r="C24" s="2" t="s">
        <v>14</v>
      </c>
      <c r="D24" s="43">
        <v>0</v>
      </c>
      <c r="E24" s="43">
        <v>0</v>
      </c>
      <c r="F24" s="43">
        <v>0</v>
      </c>
      <c r="G24" s="43">
        <v>0</v>
      </c>
      <c r="H24" s="77">
        <v>0</v>
      </c>
      <c r="I24" s="77">
        <v>0</v>
      </c>
      <c r="J24" s="77"/>
      <c r="K24" s="77"/>
      <c r="L24" s="77"/>
      <c r="M24" s="77"/>
      <c r="N24" s="77"/>
      <c r="O24" s="77"/>
      <c r="P24" s="77"/>
      <c r="Q24" s="77"/>
      <c r="R24" s="77"/>
    </row>
    <row r="25" spans="2:19" ht="17.100000000000001" customHeight="1" thickTop="1" thickBot="1">
      <c r="B25" s="7"/>
      <c r="C25" s="13" t="s">
        <v>15</v>
      </c>
      <c r="D25" s="44">
        <f t="shared" ref="D25:M25" si="7">D23+D24</f>
        <v>0</v>
      </c>
      <c r="E25" s="44">
        <f t="shared" si="7"/>
        <v>3</v>
      </c>
      <c r="F25" s="44">
        <f t="shared" si="7"/>
        <v>6</v>
      </c>
      <c r="G25" s="44">
        <f t="shared" si="7"/>
        <v>8</v>
      </c>
      <c r="H25" s="78">
        <f t="shared" si="7"/>
        <v>4</v>
      </c>
      <c r="I25" s="78">
        <f t="shared" si="7"/>
        <v>2</v>
      </c>
      <c r="J25" s="78">
        <f t="shared" si="7"/>
        <v>5</v>
      </c>
      <c r="K25" s="78">
        <f t="shared" si="7"/>
        <v>4</v>
      </c>
      <c r="L25" s="78">
        <f t="shared" si="7"/>
        <v>3</v>
      </c>
      <c r="M25" s="78">
        <f t="shared" si="7"/>
        <v>4</v>
      </c>
      <c r="N25" s="78">
        <v>9</v>
      </c>
      <c r="O25" s="78">
        <v>7</v>
      </c>
      <c r="P25" s="78">
        <v>10</v>
      </c>
      <c r="Q25" s="78">
        <v>14</v>
      </c>
      <c r="R25" s="78">
        <v>31</v>
      </c>
    </row>
    <row r="26" spans="2:19" ht="21" customHeight="1" thickTop="1">
      <c r="B26" s="46"/>
      <c r="C26" s="46" t="s">
        <v>11</v>
      </c>
      <c r="D26" s="47">
        <f t="shared" ref="D26:H27" si="8">SUM(D6,D11,D16,D21)</f>
        <v>3</v>
      </c>
      <c r="E26" s="47">
        <f t="shared" si="8"/>
        <v>2</v>
      </c>
      <c r="F26" s="47">
        <f t="shared" si="8"/>
        <v>1</v>
      </c>
      <c r="G26" s="47">
        <f t="shared" si="8"/>
        <v>4</v>
      </c>
      <c r="H26" s="80">
        <f t="shared" si="8"/>
        <v>4</v>
      </c>
      <c r="I26" s="80">
        <f t="shared" ref="I26:L27" si="9">SUM(I6,I11,I16,I21)</f>
        <v>2</v>
      </c>
      <c r="J26" s="80"/>
      <c r="K26" s="80"/>
      <c r="L26" s="80">
        <f t="shared" si="9"/>
        <v>1</v>
      </c>
      <c r="M26" s="80"/>
      <c r="N26" s="80">
        <v>7</v>
      </c>
      <c r="O26" s="80">
        <v>38</v>
      </c>
      <c r="P26" s="80">
        <v>71</v>
      </c>
      <c r="Q26" s="80">
        <v>82</v>
      </c>
      <c r="R26" s="80">
        <v>92</v>
      </c>
    </row>
    <row r="27" spans="2:19" ht="21" customHeight="1">
      <c r="B27" s="19"/>
      <c r="C27" s="19" t="s">
        <v>12</v>
      </c>
      <c r="D27" s="48">
        <f t="shared" si="8"/>
        <v>34</v>
      </c>
      <c r="E27" s="48">
        <f t="shared" si="8"/>
        <v>27</v>
      </c>
      <c r="F27" s="48">
        <f t="shared" si="8"/>
        <v>23</v>
      </c>
      <c r="G27" s="48">
        <f t="shared" si="8"/>
        <v>17</v>
      </c>
      <c r="H27" s="81">
        <f t="shared" si="8"/>
        <v>11</v>
      </c>
      <c r="I27" s="81">
        <f t="shared" si="9"/>
        <v>20</v>
      </c>
      <c r="J27" s="81">
        <f t="shared" si="9"/>
        <v>29</v>
      </c>
      <c r="K27" s="81">
        <f>SUM(K7,K12,K17,K22)</f>
        <v>28</v>
      </c>
      <c r="L27" s="81">
        <f t="shared" si="9"/>
        <v>24</v>
      </c>
      <c r="M27" s="81">
        <f t="shared" ref="M27" si="10">SUM(M7,M12,M17,M22)</f>
        <v>23</v>
      </c>
      <c r="N27" s="81">
        <v>39</v>
      </c>
      <c r="O27" s="81">
        <v>42</v>
      </c>
      <c r="P27" s="81">
        <v>39</v>
      </c>
      <c r="Q27" s="81">
        <v>36</v>
      </c>
      <c r="R27" s="81">
        <v>36</v>
      </c>
    </row>
    <row r="28" spans="2:19" ht="21" customHeight="1">
      <c r="B28" s="22" t="s">
        <v>6</v>
      </c>
      <c r="C28" s="23" t="s">
        <v>13</v>
      </c>
      <c r="D28" s="49">
        <f t="shared" ref="D28:M28" si="11">D26+D27</f>
        <v>37</v>
      </c>
      <c r="E28" s="49">
        <f t="shared" si="11"/>
        <v>29</v>
      </c>
      <c r="F28" s="49">
        <f t="shared" si="11"/>
        <v>24</v>
      </c>
      <c r="G28" s="49">
        <f t="shared" si="11"/>
        <v>21</v>
      </c>
      <c r="H28" s="82">
        <f t="shared" si="11"/>
        <v>15</v>
      </c>
      <c r="I28" s="82">
        <f t="shared" si="11"/>
        <v>22</v>
      </c>
      <c r="J28" s="82">
        <f t="shared" si="11"/>
        <v>29</v>
      </c>
      <c r="K28" s="82">
        <f t="shared" si="11"/>
        <v>28</v>
      </c>
      <c r="L28" s="82">
        <f t="shared" si="11"/>
        <v>25</v>
      </c>
      <c r="M28" s="82">
        <f t="shared" si="11"/>
        <v>23</v>
      </c>
      <c r="N28" s="82">
        <v>46</v>
      </c>
      <c r="O28" s="82">
        <v>80</v>
      </c>
      <c r="P28" s="82">
        <v>110</v>
      </c>
      <c r="Q28" s="82">
        <v>118</v>
      </c>
      <c r="R28" s="82">
        <v>128</v>
      </c>
    </row>
    <row r="29" spans="2:19" ht="21" customHeight="1" thickBot="1">
      <c r="B29" s="19"/>
      <c r="C29" s="26" t="s">
        <v>14</v>
      </c>
      <c r="D29" s="49">
        <f t="shared" ref="D29:I29" si="12">SUM(D9,D14,D19,D24)</f>
        <v>0</v>
      </c>
      <c r="E29" s="49">
        <f t="shared" si="12"/>
        <v>0</v>
      </c>
      <c r="F29" s="49">
        <f t="shared" si="12"/>
        <v>0</v>
      </c>
      <c r="G29" s="49">
        <f t="shared" si="12"/>
        <v>0</v>
      </c>
      <c r="H29" s="82">
        <f t="shared" si="12"/>
        <v>0</v>
      </c>
      <c r="I29" s="82">
        <f t="shared" si="12"/>
        <v>0</v>
      </c>
      <c r="J29" s="82"/>
      <c r="K29" s="82"/>
      <c r="L29" s="82"/>
      <c r="M29" s="82"/>
      <c r="N29" s="82"/>
      <c r="O29" s="82"/>
      <c r="P29" s="82"/>
      <c r="Q29" s="82"/>
      <c r="R29" s="82"/>
    </row>
    <row r="30" spans="2:19" ht="21" customHeight="1" thickTop="1" thickBot="1">
      <c r="B30" s="22"/>
      <c r="C30" s="27" t="s">
        <v>15</v>
      </c>
      <c r="D30" s="50">
        <f t="shared" ref="D30:M30" si="13">D28+D29</f>
        <v>37</v>
      </c>
      <c r="E30" s="50">
        <f t="shared" si="13"/>
        <v>29</v>
      </c>
      <c r="F30" s="50">
        <f t="shared" si="13"/>
        <v>24</v>
      </c>
      <c r="G30" s="50">
        <f t="shared" si="13"/>
        <v>21</v>
      </c>
      <c r="H30" s="83">
        <f t="shared" si="13"/>
        <v>15</v>
      </c>
      <c r="I30" s="83">
        <f t="shared" si="13"/>
        <v>22</v>
      </c>
      <c r="J30" s="83">
        <f t="shared" si="13"/>
        <v>29</v>
      </c>
      <c r="K30" s="83">
        <f t="shared" si="13"/>
        <v>28</v>
      </c>
      <c r="L30" s="83">
        <f t="shared" si="13"/>
        <v>25</v>
      </c>
      <c r="M30" s="83">
        <f t="shared" si="13"/>
        <v>23</v>
      </c>
      <c r="N30" s="83">
        <v>46</v>
      </c>
      <c r="O30" s="83">
        <v>80</v>
      </c>
      <c r="P30" s="83">
        <v>110</v>
      </c>
      <c r="Q30" s="83">
        <v>118</v>
      </c>
      <c r="R30" s="83">
        <v>128</v>
      </c>
    </row>
    <row r="31" spans="2:19" ht="16.5" thickTop="1">
      <c r="B31" s="29" t="s">
        <v>7</v>
      </c>
      <c r="C31" s="30"/>
      <c r="D31" s="29">
        <v>19</v>
      </c>
      <c r="E31" s="29">
        <v>12</v>
      </c>
      <c r="F31" s="29">
        <v>9</v>
      </c>
      <c r="G31" s="29">
        <v>9</v>
      </c>
      <c r="H31" s="84">
        <v>5</v>
      </c>
      <c r="I31" s="84">
        <v>12</v>
      </c>
      <c r="J31" s="84">
        <v>13</v>
      </c>
      <c r="K31" s="84">
        <v>11</v>
      </c>
      <c r="L31" s="84">
        <v>13</v>
      </c>
      <c r="M31" s="84">
        <v>13</v>
      </c>
      <c r="N31" s="84">
        <v>23</v>
      </c>
      <c r="O31" s="84">
        <v>32</v>
      </c>
      <c r="P31" s="84">
        <v>40</v>
      </c>
      <c r="Q31" s="84">
        <v>51</v>
      </c>
      <c r="R31" s="211">
        <v>59</v>
      </c>
      <c r="S31" s="296">
        <f>R31/R30</f>
        <v>0.4609375</v>
      </c>
    </row>
    <row r="32" spans="2:19" ht="16.5" thickBot="1">
      <c r="B32" s="8" t="s">
        <v>8</v>
      </c>
      <c r="C32" s="31"/>
      <c r="D32" s="8">
        <v>18</v>
      </c>
      <c r="E32" s="8">
        <v>17</v>
      </c>
      <c r="F32" s="8">
        <v>15</v>
      </c>
      <c r="G32" s="8">
        <v>12</v>
      </c>
      <c r="H32" s="85">
        <v>10</v>
      </c>
      <c r="I32" s="85">
        <v>10</v>
      </c>
      <c r="J32" s="85">
        <v>16</v>
      </c>
      <c r="K32" s="85">
        <v>17</v>
      </c>
      <c r="L32" s="85">
        <v>12</v>
      </c>
      <c r="M32" s="85">
        <v>10</v>
      </c>
      <c r="N32" s="85">
        <v>23</v>
      </c>
      <c r="O32" s="85">
        <v>48</v>
      </c>
      <c r="P32" s="85">
        <v>70</v>
      </c>
      <c r="Q32" s="85">
        <v>67</v>
      </c>
      <c r="R32" s="212">
        <v>69</v>
      </c>
      <c r="S32" s="297">
        <f>R32/R30</f>
        <v>0.5390625</v>
      </c>
    </row>
    <row r="33" spans="2:19" ht="15.75">
      <c r="B33" s="4" t="s">
        <v>9</v>
      </c>
      <c r="C33" s="34"/>
      <c r="D33" s="4">
        <v>29</v>
      </c>
      <c r="E33" s="4">
        <v>22</v>
      </c>
      <c r="F33" s="4">
        <v>15</v>
      </c>
      <c r="G33" s="4">
        <v>11</v>
      </c>
      <c r="H33" s="86">
        <v>7</v>
      </c>
      <c r="I33" s="86">
        <v>14</v>
      </c>
      <c r="J33" s="86">
        <v>22</v>
      </c>
      <c r="K33" s="86">
        <v>18</v>
      </c>
      <c r="L33" s="86">
        <v>18</v>
      </c>
      <c r="M33" s="86">
        <v>21</v>
      </c>
      <c r="N33" s="86">
        <v>38</v>
      </c>
      <c r="O33" s="86">
        <v>71</v>
      </c>
      <c r="P33" s="86">
        <v>98</v>
      </c>
      <c r="Q33" s="86">
        <v>104</v>
      </c>
      <c r="R33" s="213">
        <v>103</v>
      </c>
      <c r="S33" s="296">
        <f>R33/R30</f>
        <v>0.8046875</v>
      </c>
    </row>
    <row r="34" spans="2:19" ht="15.75">
      <c r="B34" s="8" t="s">
        <v>10</v>
      </c>
      <c r="C34" s="31"/>
      <c r="D34" s="8">
        <v>8</v>
      </c>
      <c r="E34" s="8">
        <v>7</v>
      </c>
      <c r="F34" s="8">
        <v>9</v>
      </c>
      <c r="G34" s="8">
        <v>10</v>
      </c>
      <c r="H34" s="87">
        <v>8</v>
      </c>
      <c r="I34" s="87">
        <v>8</v>
      </c>
      <c r="J34" s="87">
        <v>7</v>
      </c>
      <c r="K34" s="87">
        <v>10</v>
      </c>
      <c r="L34" s="87">
        <v>7</v>
      </c>
      <c r="M34" s="87">
        <v>2</v>
      </c>
      <c r="N34" s="87">
        <v>8</v>
      </c>
      <c r="O34" s="87">
        <v>9</v>
      </c>
      <c r="P34" s="87">
        <v>12</v>
      </c>
      <c r="Q34" s="87">
        <v>14</v>
      </c>
      <c r="R34" s="214">
        <v>25</v>
      </c>
      <c r="S34" s="296">
        <f>R34/R30</f>
        <v>0.1953125</v>
      </c>
    </row>
    <row r="35" spans="2:19">
      <c r="B35" s="40"/>
      <c r="C35" s="40"/>
      <c r="D35" s="40"/>
      <c r="E35" s="40"/>
      <c r="F35" s="40"/>
      <c r="G35" s="40"/>
      <c r="H35" s="40"/>
    </row>
    <row r="36" spans="2:19">
      <c r="B36" s="37"/>
      <c r="C36" s="37"/>
      <c r="D36" s="37"/>
      <c r="E36" s="37"/>
      <c r="F36" s="37"/>
    </row>
    <row r="54" spans="2:3" hidden="1">
      <c r="B54" s="38" t="s">
        <v>34</v>
      </c>
      <c r="C54" s="31" t="s">
        <v>44</v>
      </c>
    </row>
  </sheetData>
  <mergeCells count="6">
    <mergeCell ref="B4:B5"/>
    <mergeCell ref="C4:C5"/>
    <mergeCell ref="H4:R4"/>
    <mergeCell ref="B1:R1"/>
    <mergeCell ref="B2:R2"/>
    <mergeCell ref="B3:R3"/>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94&amp;R&amp;"Lucida Sans Unicode,Regular"&amp;10December 2015</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7"/>
  </sheetPr>
  <dimension ref="B1:O59"/>
  <sheetViews>
    <sheetView showGridLines="0" view="pageLayout" topLeftCell="A38" zoomScaleNormal="100" zoomScaleSheetLayoutView="100" workbookViewId="0">
      <selection activeCell="N35" sqref="N35"/>
    </sheetView>
  </sheetViews>
  <sheetFormatPr defaultColWidth="9.6640625" defaultRowHeight="15"/>
  <cols>
    <col min="1" max="1" width="6.21875" style="239" customWidth="1"/>
    <col min="2" max="2" width="9.6640625" style="239" customWidth="1"/>
    <col min="3" max="3" width="14.6640625" style="239" customWidth="1"/>
    <col min="4" max="7" width="8" style="239" hidden="1" customWidth="1"/>
    <col min="8" max="9" width="7.5546875" style="239" hidden="1" customWidth="1"/>
    <col min="10" max="14" width="8.77734375" style="239" customWidth="1"/>
    <col min="15" max="15" width="6.88671875" style="239" bestFit="1" customWidth="1"/>
    <col min="16" max="16384" width="9.6640625" style="239"/>
  </cols>
  <sheetData>
    <row r="1" spans="2:14" s="230" customFormat="1" ht="24" customHeight="1">
      <c r="B1" s="536" t="s">
        <v>0</v>
      </c>
      <c r="C1" s="536"/>
      <c r="D1" s="536"/>
      <c r="E1" s="536"/>
      <c r="F1" s="536"/>
      <c r="G1" s="536"/>
      <c r="H1" s="536"/>
      <c r="I1" s="536"/>
      <c r="J1" s="536"/>
      <c r="K1" s="536"/>
      <c r="L1" s="536"/>
      <c r="M1" s="536"/>
      <c r="N1" s="536"/>
    </row>
    <row r="2" spans="2:14" s="231" customFormat="1" ht="25.5" customHeight="1">
      <c r="B2" s="500" t="s">
        <v>45</v>
      </c>
      <c r="C2" s="500"/>
      <c r="D2" s="500"/>
      <c r="E2" s="500"/>
      <c r="F2" s="500"/>
      <c r="G2" s="500"/>
      <c r="H2" s="500"/>
      <c r="I2" s="500"/>
      <c r="J2" s="500"/>
      <c r="K2" s="500"/>
      <c r="L2" s="500"/>
      <c r="M2" s="500"/>
      <c r="N2" s="500"/>
    </row>
    <row r="3" spans="2:14" s="232" customFormat="1" ht="21" customHeight="1">
      <c r="B3" s="541" t="s">
        <v>154</v>
      </c>
      <c r="C3" s="541"/>
      <c r="D3" s="541"/>
      <c r="E3" s="541"/>
      <c r="F3" s="541"/>
      <c r="G3" s="541"/>
      <c r="H3" s="541"/>
      <c r="I3" s="541"/>
      <c r="J3" s="541"/>
      <c r="K3" s="541"/>
      <c r="L3" s="541"/>
      <c r="M3" s="541"/>
      <c r="N3" s="541"/>
    </row>
    <row r="4" spans="2:14" s="233" customFormat="1" ht="15.75" customHeight="1">
      <c r="B4" s="502" t="s">
        <v>67</v>
      </c>
      <c r="C4" s="502" t="s">
        <v>60</v>
      </c>
      <c r="D4" s="540" t="s">
        <v>150</v>
      </c>
      <c r="E4" s="537"/>
      <c r="F4" s="537"/>
      <c r="G4" s="537"/>
      <c r="H4" s="537"/>
      <c r="I4" s="537"/>
      <c r="J4" s="537"/>
      <c r="K4" s="537"/>
      <c r="L4" s="537"/>
      <c r="M4" s="537"/>
      <c r="N4" s="538"/>
    </row>
    <row r="5" spans="2:14" s="233" customFormat="1" ht="15.75">
      <c r="B5" s="503"/>
      <c r="C5" s="503"/>
      <c r="D5" s="234" t="s">
        <v>21</v>
      </c>
      <c r="E5" s="234" t="s">
        <v>51</v>
      </c>
      <c r="F5" s="234" t="s">
        <v>52</v>
      </c>
      <c r="G5" s="234" t="s">
        <v>53</v>
      </c>
      <c r="H5" s="234" t="s">
        <v>57</v>
      </c>
      <c r="I5" s="234" t="s">
        <v>69</v>
      </c>
      <c r="J5" s="234" t="s">
        <v>124</v>
      </c>
      <c r="K5" s="234" t="s">
        <v>146</v>
      </c>
      <c r="L5" s="234" t="s">
        <v>158</v>
      </c>
      <c r="M5" s="234" t="s">
        <v>166</v>
      </c>
      <c r="N5" s="234" t="s">
        <v>187</v>
      </c>
    </row>
    <row r="6" spans="2:14" ht="15.75" customHeight="1">
      <c r="B6" s="235"/>
      <c r="C6" s="235" t="s">
        <v>11</v>
      </c>
      <c r="D6" s="236">
        <v>34</v>
      </c>
      <c r="E6" s="237">
        <v>26</v>
      </c>
      <c r="F6" s="237">
        <v>22</v>
      </c>
      <c r="G6" s="237">
        <v>22</v>
      </c>
      <c r="H6" s="237">
        <v>22</v>
      </c>
      <c r="I6" s="237">
        <v>18</v>
      </c>
      <c r="J6" s="237">
        <v>31</v>
      </c>
      <c r="K6" s="238">
        <v>38</v>
      </c>
      <c r="L6" s="238">
        <v>41</v>
      </c>
      <c r="M6" s="238">
        <v>48</v>
      </c>
      <c r="N6" s="238">
        <v>51</v>
      </c>
    </row>
    <row r="7" spans="2:14">
      <c r="B7" s="240"/>
      <c r="C7" s="235" t="s">
        <v>12</v>
      </c>
      <c r="D7" s="241">
        <v>0</v>
      </c>
      <c r="E7" s="242">
        <v>0</v>
      </c>
      <c r="F7" s="242"/>
      <c r="G7" s="242"/>
      <c r="H7" s="242"/>
      <c r="I7" s="242"/>
      <c r="J7" s="242"/>
      <c r="K7" s="238"/>
      <c r="L7" s="238"/>
      <c r="M7" s="238"/>
      <c r="N7" s="238"/>
    </row>
    <row r="8" spans="2:14">
      <c r="B8" s="240" t="s">
        <v>2</v>
      </c>
      <c r="C8" s="243" t="s">
        <v>13</v>
      </c>
      <c r="D8" s="244">
        <f t="shared" ref="D8:I8" si="0">D6+D7</f>
        <v>34</v>
      </c>
      <c r="E8" s="245">
        <f t="shared" si="0"/>
        <v>26</v>
      </c>
      <c r="F8" s="245">
        <f t="shared" si="0"/>
        <v>22</v>
      </c>
      <c r="G8" s="245">
        <f t="shared" si="0"/>
        <v>22</v>
      </c>
      <c r="H8" s="245">
        <f t="shared" si="0"/>
        <v>22</v>
      </c>
      <c r="I8" s="245">
        <f t="shared" si="0"/>
        <v>18</v>
      </c>
      <c r="J8" s="245">
        <v>31</v>
      </c>
      <c r="K8" s="246">
        <v>38</v>
      </c>
      <c r="L8" s="246">
        <v>41</v>
      </c>
      <c r="M8" s="246">
        <v>48</v>
      </c>
      <c r="N8" s="246">
        <v>51</v>
      </c>
    </row>
    <row r="9" spans="2:14" ht="15.75" thickBot="1">
      <c r="B9" s="240"/>
      <c r="C9" s="247" t="s">
        <v>46</v>
      </c>
      <c r="D9" s="244">
        <v>0</v>
      </c>
      <c r="E9" s="245">
        <v>0</v>
      </c>
      <c r="F9" s="245"/>
      <c r="G9" s="245"/>
      <c r="H9" s="245"/>
      <c r="I9" s="245"/>
      <c r="J9" s="245"/>
      <c r="K9" s="246"/>
      <c r="L9" s="246"/>
      <c r="M9" s="246"/>
      <c r="N9" s="246"/>
    </row>
    <row r="10" spans="2:14" ht="17.100000000000001" customHeight="1" thickTop="1" thickBot="1">
      <c r="B10" s="240"/>
      <c r="C10" s="248" t="s">
        <v>15</v>
      </c>
      <c r="D10" s="249">
        <f t="shared" ref="D10:I10" si="1">D8+D9</f>
        <v>34</v>
      </c>
      <c r="E10" s="250">
        <f t="shared" si="1"/>
        <v>26</v>
      </c>
      <c r="F10" s="250">
        <f t="shared" si="1"/>
        <v>22</v>
      </c>
      <c r="G10" s="250">
        <f t="shared" si="1"/>
        <v>22</v>
      </c>
      <c r="H10" s="250">
        <f t="shared" si="1"/>
        <v>22</v>
      </c>
      <c r="I10" s="250">
        <f t="shared" si="1"/>
        <v>18</v>
      </c>
      <c r="J10" s="250">
        <v>31</v>
      </c>
      <c r="K10" s="251">
        <v>38</v>
      </c>
      <c r="L10" s="251">
        <v>41</v>
      </c>
      <c r="M10" s="251">
        <v>48</v>
      </c>
      <c r="N10" s="251">
        <v>51</v>
      </c>
    </row>
    <row r="11" spans="2:14">
      <c r="B11" s="252"/>
      <c r="C11" s="252" t="s">
        <v>11</v>
      </c>
      <c r="D11" s="253">
        <v>16</v>
      </c>
      <c r="E11" s="254">
        <v>29</v>
      </c>
      <c r="F11" s="254">
        <v>14</v>
      </c>
      <c r="G11" s="254">
        <v>15</v>
      </c>
      <c r="H11" s="254">
        <v>15</v>
      </c>
      <c r="I11" s="254">
        <v>15</v>
      </c>
      <c r="J11" s="254">
        <v>19</v>
      </c>
      <c r="K11" s="255">
        <v>24</v>
      </c>
      <c r="L11" s="255">
        <v>30</v>
      </c>
      <c r="M11" s="255">
        <v>32</v>
      </c>
      <c r="N11" s="255">
        <v>20</v>
      </c>
    </row>
    <row r="12" spans="2:14">
      <c r="B12" s="240"/>
      <c r="C12" s="235" t="s">
        <v>12</v>
      </c>
      <c r="D12" s="241">
        <v>0</v>
      </c>
      <c r="E12" s="242">
        <v>0</v>
      </c>
      <c r="F12" s="242"/>
      <c r="G12" s="242"/>
      <c r="H12" s="242"/>
      <c r="I12" s="242"/>
      <c r="J12" s="242"/>
      <c r="K12" s="238"/>
      <c r="L12" s="238"/>
      <c r="M12" s="238"/>
      <c r="N12" s="238"/>
    </row>
    <row r="13" spans="2:14">
      <c r="B13" s="240" t="s">
        <v>3</v>
      </c>
      <c r="C13" s="243" t="s">
        <v>13</v>
      </c>
      <c r="D13" s="244">
        <f t="shared" ref="D13:I13" si="2">D11+D12</f>
        <v>16</v>
      </c>
      <c r="E13" s="245">
        <f t="shared" si="2"/>
        <v>29</v>
      </c>
      <c r="F13" s="245">
        <f t="shared" si="2"/>
        <v>14</v>
      </c>
      <c r="G13" s="245">
        <f t="shared" si="2"/>
        <v>15</v>
      </c>
      <c r="H13" s="245">
        <f t="shared" si="2"/>
        <v>15</v>
      </c>
      <c r="I13" s="245">
        <f t="shared" si="2"/>
        <v>15</v>
      </c>
      <c r="J13" s="245">
        <v>19</v>
      </c>
      <c r="K13" s="246">
        <v>24</v>
      </c>
      <c r="L13" s="246">
        <v>30</v>
      </c>
      <c r="M13" s="246">
        <v>32</v>
      </c>
      <c r="N13" s="246">
        <v>20</v>
      </c>
    </row>
    <row r="14" spans="2:14" ht="15.75" thickBot="1">
      <c r="B14" s="240"/>
      <c r="C14" s="247" t="s">
        <v>46</v>
      </c>
      <c r="D14" s="244">
        <v>0</v>
      </c>
      <c r="E14" s="245">
        <v>0</v>
      </c>
      <c r="F14" s="245"/>
      <c r="G14" s="245"/>
      <c r="H14" s="245"/>
      <c r="I14" s="245"/>
      <c r="J14" s="245"/>
      <c r="K14" s="246"/>
      <c r="L14" s="246"/>
      <c r="M14" s="246"/>
      <c r="N14" s="246"/>
    </row>
    <row r="15" spans="2:14" ht="17.100000000000001" customHeight="1" thickTop="1" thickBot="1">
      <c r="B15" s="240"/>
      <c r="C15" s="248" t="s">
        <v>15</v>
      </c>
      <c r="D15" s="249">
        <f t="shared" ref="D15:I15" si="3">D13+D14</f>
        <v>16</v>
      </c>
      <c r="E15" s="250">
        <f t="shared" si="3"/>
        <v>29</v>
      </c>
      <c r="F15" s="250">
        <f t="shared" si="3"/>
        <v>14</v>
      </c>
      <c r="G15" s="250">
        <f t="shared" si="3"/>
        <v>15</v>
      </c>
      <c r="H15" s="250">
        <f t="shared" si="3"/>
        <v>15</v>
      </c>
      <c r="I15" s="250">
        <f t="shared" si="3"/>
        <v>15</v>
      </c>
      <c r="J15" s="250">
        <v>19</v>
      </c>
      <c r="K15" s="251">
        <v>24</v>
      </c>
      <c r="L15" s="251">
        <v>30</v>
      </c>
      <c r="M15" s="251">
        <v>32</v>
      </c>
      <c r="N15" s="251">
        <v>20</v>
      </c>
    </row>
    <row r="16" spans="2:14">
      <c r="B16" s="252"/>
      <c r="C16" s="252" t="s">
        <v>11</v>
      </c>
      <c r="D16" s="253">
        <v>10</v>
      </c>
      <c r="E16" s="254">
        <v>13</v>
      </c>
      <c r="F16" s="254">
        <v>24</v>
      </c>
      <c r="G16" s="254">
        <v>16</v>
      </c>
      <c r="H16" s="254">
        <v>14</v>
      </c>
      <c r="I16" s="254">
        <v>12</v>
      </c>
      <c r="J16" s="254">
        <v>13</v>
      </c>
      <c r="K16" s="255">
        <v>17</v>
      </c>
      <c r="L16" s="255">
        <v>28</v>
      </c>
      <c r="M16" s="255">
        <v>27</v>
      </c>
      <c r="N16" s="255">
        <v>34</v>
      </c>
    </row>
    <row r="17" spans="2:15">
      <c r="B17" s="240"/>
      <c r="C17" s="235" t="s">
        <v>12</v>
      </c>
      <c r="D17" s="241">
        <v>0</v>
      </c>
      <c r="E17" s="242">
        <v>0</v>
      </c>
      <c r="F17" s="242"/>
      <c r="G17" s="242"/>
      <c r="H17" s="242"/>
      <c r="I17" s="242"/>
      <c r="J17" s="242"/>
      <c r="K17" s="238"/>
      <c r="L17" s="238"/>
      <c r="M17" s="238"/>
      <c r="N17" s="238">
        <v>1</v>
      </c>
    </row>
    <row r="18" spans="2:15">
      <c r="B18" s="240" t="s">
        <v>4</v>
      </c>
      <c r="C18" s="243" t="s">
        <v>13</v>
      </c>
      <c r="D18" s="244">
        <f t="shared" ref="D18:I18" si="4">D16+D17</f>
        <v>10</v>
      </c>
      <c r="E18" s="245">
        <f t="shared" si="4"/>
        <v>13</v>
      </c>
      <c r="F18" s="245">
        <f t="shared" si="4"/>
        <v>24</v>
      </c>
      <c r="G18" s="245">
        <f t="shared" si="4"/>
        <v>16</v>
      </c>
      <c r="H18" s="245">
        <f t="shared" si="4"/>
        <v>14</v>
      </c>
      <c r="I18" s="245">
        <f t="shared" si="4"/>
        <v>12</v>
      </c>
      <c r="J18" s="245">
        <v>13</v>
      </c>
      <c r="K18" s="246">
        <v>17</v>
      </c>
      <c r="L18" s="246">
        <v>28</v>
      </c>
      <c r="M18" s="246">
        <v>27</v>
      </c>
      <c r="N18" s="246">
        <v>35</v>
      </c>
    </row>
    <row r="19" spans="2:15" ht="15.75" thickBot="1">
      <c r="B19" s="240"/>
      <c r="C19" s="247" t="s">
        <v>46</v>
      </c>
      <c r="D19" s="244">
        <v>0</v>
      </c>
      <c r="E19" s="245">
        <v>0</v>
      </c>
      <c r="F19" s="245"/>
      <c r="G19" s="245"/>
      <c r="H19" s="245"/>
      <c r="I19" s="245">
        <v>1</v>
      </c>
      <c r="J19" s="245"/>
      <c r="K19" s="246"/>
      <c r="L19" s="246"/>
      <c r="M19" s="246"/>
      <c r="N19" s="246"/>
    </row>
    <row r="20" spans="2:15" ht="17.100000000000001" customHeight="1" thickTop="1" thickBot="1">
      <c r="B20" s="240"/>
      <c r="C20" s="248" t="s">
        <v>15</v>
      </c>
      <c r="D20" s="249">
        <f t="shared" ref="D20:I20" si="5">D18+D19</f>
        <v>10</v>
      </c>
      <c r="E20" s="250">
        <f t="shared" si="5"/>
        <v>13</v>
      </c>
      <c r="F20" s="250">
        <f t="shared" si="5"/>
        <v>24</v>
      </c>
      <c r="G20" s="250">
        <f t="shared" si="5"/>
        <v>16</v>
      </c>
      <c r="H20" s="250">
        <f t="shared" si="5"/>
        <v>14</v>
      </c>
      <c r="I20" s="250">
        <f t="shared" si="5"/>
        <v>13</v>
      </c>
      <c r="J20" s="250">
        <v>13</v>
      </c>
      <c r="K20" s="251">
        <v>17</v>
      </c>
      <c r="L20" s="251">
        <v>28</v>
      </c>
      <c r="M20" s="251">
        <v>27</v>
      </c>
      <c r="N20" s="251">
        <v>35</v>
      </c>
    </row>
    <row r="21" spans="2:15">
      <c r="B21" s="252"/>
      <c r="C21" s="252" t="s">
        <v>11</v>
      </c>
      <c r="D21" s="253">
        <v>12</v>
      </c>
      <c r="E21" s="254">
        <v>3</v>
      </c>
      <c r="F21" s="254">
        <v>13</v>
      </c>
      <c r="G21" s="254">
        <v>20</v>
      </c>
      <c r="H21" s="254">
        <v>15</v>
      </c>
      <c r="I21" s="254">
        <v>11</v>
      </c>
      <c r="J21" s="254">
        <v>22</v>
      </c>
      <c r="K21" s="255">
        <v>12</v>
      </c>
      <c r="L21" s="255">
        <v>16</v>
      </c>
      <c r="M21" s="255">
        <v>24</v>
      </c>
      <c r="N21" s="255">
        <v>31</v>
      </c>
    </row>
    <row r="22" spans="2:15">
      <c r="B22" s="240"/>
      <c r="C22" s="235" t="s">
        <v>12</v>
      </c>
      <c r="D22" s="241">
        <v>0</v>
      </c>
      <c r="E22" s="242">
        <v>0</v>
      </c>
      <c r="F22" s="242"/>
      <c r="G22" s="242"/>
      <c r="H22" s="242"/>
      <c r="I22" s="242"/>
      <c r="J22" s="242"/>
      <c r="K22" s="238"/>
      <c r="L22" s="238"/>
      <c r="M22" s="238"/>
      <c r="N22" s="238">
        <v>1</v>
      </c>
    </row>
    <row r="23" spans="2:15">
      <c r="B23" s="240" t="s">
        <v>5</v>
      </c>
      <c r="C23" s="243" t="s">
        <v>13</v>
      </c>
      <c r="D23" s="244">
        <f t="shared" ref="D23:I23" si="6">D21+D22</f>
        <v>12</v>
      </c>
      <c r="E23" s="245">
        <f t="shared" si="6"/>
        <v>3</v>
      </c>
      <c r="F23" s="245">
        <f t="shared" si="6"/>
        <v>13</v>
      </c>
      <c r="G23" s="245">
        <f t="shared" si="6"/>
        <v>20</v>
      </c>
      <c r="H23" s="245">
        <f t="shared" si="6"/>
        <v>15</v>
      </c>
      <c r="I23" s="245">
        <f t="shared" si="6"/>
        <v>11</v>
      </c>
      <c r="J23" s="245">
        <v>22</v>
      </c>
      <c r="K23" s="246">
        <v>12</v>
      </c>
      <c r="L23" s="246">
        <v>16</v>
      </c>
      <c r="M23" s="246">
        <v>24</v>
      </c>
      <c r="N23" s="246">
        <v>32</v>
      </c>
    </row>
    <row r="24" spans="2:15" ht="15.75" thickBot="1">
      <c r="B24" s="240"/>
      <c r="C24" s="247" t="s">
        <v>46</v>
      </c>
      <c r="D24" s="244">
        <v>0</v>
      </c>
      <c r="E24" s="245">
        <v>0</v>
      </c>
      <c r="F24" s="245"/>
      <c r="G24" s="245"/>
      <c r="H24" s="245"/>
      <c r="I24" s="245"/>
      <c r="J24" s="245"/>
      <c r="K24" s="246"/>
      <c r="L24" s="246"/>
      <c r="M24" s="246"/>
      <c r="N24" s="246"/>
    </row>
    <row r="25" spans="2:15" ht="17.100000000000001" customHeight="1" thickTop="1" thickBot="1">
      <c r="B25" s="240"/>
      <c r="C25" s="248" t="s">
        <v>15</v>
      </c>
      <c r="D25" s="249">
        <f t="shared" ref="D25:I25" si="7">D23+D24</f>
        <v>12</v>
      </c>
      <c r="E25" s="250">
        <f t="shared" si="7"/>
        <v>3</v>
      </c>
      <c r="F25" s="250">
        <f t="shared" si="7"/>
        <v>13</v>
      </c>
      <c r="G25" s="250">
        <f t="shared" si="7"/>
        <v>20</v>
      </c>
      <c r="H25" s="250">
        <f t="shared" si="7"/>
        <v>15</v>
      </c>
      <c r="I25" s="250">
        <f t="shared" si="7"/>
        <v>11</v>
      </c>
      <c r="J25" s="250">
        <v>22</v>
      </c>
      <c r="K25" s="251">
        <v>12</v>
      </c>
      <c r="L25" s="251">
        <v>16</v>
      </c>
      <c r="M25" s="251">
        <v>24</v>
      </c>
      <c r="N25" s="251">
        <v>32</v>
      </c>
    </row>
    <row r="26" spans="2:15" ht="21" customHeight="1" thickTop="1">
      <c r="B26" s="256"/>
      <c r="C26" s="256" t="s">
        <v>11</v>
      </c>
      <c r="D26" s="257">
        <f>SUM(D6,D11,D16,D21)</f>
        <v>72</v>
      </c>
      <c r="E26" s="258">
        <f t="shared" ref="E26:I26" si="8">SUM(E6,E11,E16,E21)</f>
        <v>71</v>
      </c>
      <c r="F26" s="258">
        <f t="shared" si="8"/>
        <v>73</v>
      </c>
      <c r="G26" s="258">
        <f t="shared" si="8"/>
        <v>73</v>
      </c>
      <c r="H26" s="258">
        <f t="shared" si="8"/>
        <v>66</v>
      </c>
      <c r="I26" s="258">
        <f t="shared" si="8"/>
        <v>56</v>
      </c>
      <c r="J26" s="258">
        <v>85</v>
      </c>
      <c r="K26" s="258">
        <v>91</v>
      </c>
      <c r="L26" s="258">
        <v>115</v>
      </c>
      <c r="M26" s="258">
        <v>131</v>
      </c>
      <c r="N26" s="258">
        <v>136</v>
      </c>
    </row>
    <row r="27" spans="2:15" ht="21" customHeight="1">
      <c r="B27" s="259"/>
      <c r="C27" s="259" t="s">
        <v>12</v>
      </c>
      <c r="D27" s="260">
        <f>SUM(D7,D12,D17,D22)</f>
        <v>0</v>
      </c>
      <c r="E27" s="261">
        <f>SUM(E7,E12,E17,E22)</f>
        <v>0</v>
      </c>
      <c r="F27" s="261"/>
      <c r="G27" s="261"/>
      <c r="H27" s="261"/>
      <c r="I27" s="261"/>
      <c r="J27" s="261"/>
      <c r="K27" s="261"/>
      <c r="L27" s="261"/>
      <c r="M27" s="261"/>
      <c r="N27" s="261">
        <v>2</v>
      </c>
    </row>
    <row r="28" spans="2:15" ht="21" customHeight="1">
      <c r="B28" s="262" t="s">
        <v>6</v>
      </c>
      <c r="C28" s="263" t="s">
        <v>13</v>
      </c>
      <c r="D28" s="264">
        <f t="shared" ref="D28:I28" si="9">D26+D27</f>
        <v>72</v>
      </c>
      <c r="E28" s="265">
        <f t="shared" si="9"/>
        <v>71</v>
      </c>
      <c r="F28" s="265">
        <f t="shared" si="9"/>
        <v>73</v>
      </c>
      <c r="G28" s="265">
        <f t="shared" si="9"/>
        <v>73</v>
      </c>
      <c r="H28" s="265">
        <f t="shared" si="9"/>
        <v>66</v>
      </c>
      <c r="I28" s="265">
        <f t="shared" si="9"/>
        <v>56</v>
      </c>
      <c r="J28" s="265">
        <v>85</v>
      </c>
      <c r="K28" s="265">
        <v>91</v>
      </c>
      <c r="L28" s="265">
        <v>115</v>
      </c>
      <c r="M28" s="265">
        <v>131</v>
      </c>
      <c r="N28" s="265">
        <v>138</v>
      </c>
    </row>
    <row r="29" spans="2:15" ht="21" customHeight="1" thickBot="1">
      <c r="B29" s="259"/>
      <c r="C29" s="266" t="s">
        <v>46</v>
      </c>
      <c r="D29" s="264">
        <f>SUM(D9,D14,D19,D24)</f>
        <v>0</v>
      </c>
      <c r="E29" s="265">
        <f>SUM(E9,E14,E19,E24)</f>
        <v>0</v>
      </c>
      <c r="F29" s="265"/>
      <c r="G29" s="265"/>
      <c r="H29" s="265"/>
      <c r="I29" s="265">
        <f>SUM(I9,I14,I19,I24)</f>
        <v>1</v>
      </c>
      <c r="J29" s="265"/>
      <c r="K29" s="265"/>
      <c r="L29" s="265"/>
      <c r="M29" s="265"/>
      <c r="N29" s="265"/>
    </row>
    <row r="30" spans="2:15" ht="21" customHeight="1" thickTop="1" thickBot="1">
      <c r="B30" s="262"/>
      <c r="C30" s="267" t="s">
        <v>15</v>
      </c>
      <c r="D30" s="268">
        <f t="shared" ref="D30:I30" si="10">D28+D29</f>
        <v>72</v>
      </c>
      <c r="E30" s="269">
        <f t="shared" si="10"/>
        <v>71</v>
      </c>
      <c r="F30" s="269">
        <f t="shared" si="10"/>
        <v>73</v>
      </c>
      <c r="G30" s="269">
        <f t="shared" si="10"/>
        <v>73</v>
      </c>
      <c r="H30" s="269">
        <f t="shared" si="10"/>
        <v>66</v>
      </c>
      <c r="I30" s="269">
        <f t="shared" si="10"/>
        <v>57</v>
      </c>
      <c r="J30" s="269">
        <v>85</v>
      </c>
      <c r="K30" s="269">
        <v>91</v>
      </c>
      <c r="L30" s="269">
        <v>115</v>
      </c>
      <c r="M30" s="269">
        <v>131</v>
      </c>
      <c r="N30" s="269">
        <v>138</v>
      </c>
    </row>
    <row r="31" spans="2:15" ht="16.5" thickTop="1">
      <c r="B31" s="270" t="s">
        <v>7</v>
      </c>
      <c r="C31" s="271"/>
      <c r="D31" s="270">
        <v>26</v>
      </c>
      <c r="E31" s="272">
        <v>26</v>
      </c>
      <c r="F31" s="272">
        <v>29</v>
      </c>
      <c r="G31" s="272">
        <v>30</v>
      </c>
      <c r="H31" s="272">
        <v>28</v>
      </c>
      <c r="I31" s="272">
        <v>23</v>
      </c>
      <c r="J31" s="272">
        <v>35</v>
      </c>
      <c r="K31" s="272">
        <v>36</v>
      </c>
      <c r="L31" s="272">
        <v>46</v>
      </c>
      <c r="M31" s="272">
        <v>50</v>
      </c>
      <c r="N31" s="273">
        <v>57</v>
      </c>
      <c r="O31" s="298">
        <f>N31/N30</f>
        <v>0.41304347826086957</v>
      </c>
    </row>
    <row r="32" spans="2:15" ht="16.5" thickBot="1">
      <c r="B32" s="235" t="s">
        <v>8</v>
      </c>
      <c r="D32" s="235">
        <v>46</v>
      </c>
      <c r="E32" s="274">
        <v>45</v>
      </c>
      <c r="F32" s="274">
        <v>44</v>
      </c>
      <c r="G32" s="274">
        <v>43</v>
      </c>
      <c r="H32" s="274">
        <v>38</v>
      </c>
      <c r="I32" s="274">
        <v>34</v>
      </c>
      <c r="J32" s="274">
        <v>50</v>
      </c>
      <c r="K32" s="274">
        <v>55</v>
      </c>
      <c r="L32" s="274">
        <v>69</v>
      </c>
      <c r="M32" s="274">
        <v>81</v>
      </c>
      <c r="N32" s="275">
        <v>81</v>
      </c>
      <c r="O32" s="299">
        <f>N32/N30</f>
        <v>0.58695652173913049</v>
      </c>
    </row>
    <row r="33" spans="2:15" ht="15.75">
      <c r="B33" s="252" t="s">
        <v>9</v>
      </c>
      <c r="C33" s="276"/>
      <c r="D33" s="252">
        <v>70</v>
      </c>
      <c r="E33" s="277">
        <v>64</v>
      </c>
      <c r="F33" s="277">
        <v>69</v>
      </c>
      <c r="G33" s="277">
        <v>70</v>
      </c>
      <c r="H33" s="277">
        <v>62</v>
      </c>
      <c r="I33" s="277">
        <v>57</v>
      </c>
      <c r="J33" s="277">
        <v>82</v>
      </c>
      <c r="K33" s="277">
        <v>87</v>
      </c>
      <c r="L33" s="277">
        <v>112</v>
      </c>
      <c r="M33" s="277">
        <v>125</v>
      </c>
      <c r="N33" s="278">
        <v>124</v>
      </c>
      <c r="O33" s="298">
        <f>N33/N30</f>
        <v>0.89855072463768115</v>
      </c>
    </row>
    <row r="34" spans="2:15" ht="15.75">
      <c r="B34" s="235" t="s">
        <v>10</v>
      </c>
      <c r="D34" s="235">
        <v>2</v>
      </c>
      <c r="E34" s="279">
        <v>7</v>
      </c>
      <c r="F34" s="279">
        <v>4</v>
      </c>
      <c r="G34" s="279">
        <v>3</v>
      </c>
      <c r="H34" s="279">
        <v>4</v>
      </c>
      <c r="I34" s="279"/>
      <c r="J34" s="279">
        <v>3</v>
      </c>
      <c r="K34" s="279">
        <v>4</v>
      </c>
      <c r="L34" s="279">
        <v>3</v>
      </c>
      <c r="M34" s="279">
        <v>6</v>
      </c>
      <c r="N34" s="280">
        <v>14</v>
      </c>
      <c r="O34" s="298">
        <f>N34/N30</f>
        <v>0.10144927536231885</v>
      </c>
    </row>
    <row r="35" spans="2:15">
      <c r="B35" s="281"/>
      <c r="C35" s="281"/>
      <c r="D35" s="281"/>
    </row>
    <row r="36" spans="2:15">
      <c r="B36" s="282"/>
      <c r="C36" s="282"/>
    </row>
    <row r="54" spans="2:2" hidden="1">
      <c r="B54" s="239" t="s">
        <v>34</v>
      </c>
    </row>
    <row r="55" spans="2:2" hidden="1">
      <c r="B55" s="239" t="s">
        <v>100</v>
      </c>
    </row>
    <row r="56" spans="2:2" hidden="1">
      <c r="B56" s="239" t="s">
        <v>101</v>
      </c>
    </row>
    <row r="57" spans="2:2" hidden="1">
      <c r="B57" s="239" t="s">
        <v>28</v>
      </c>
    </row>
    <row r="58" spans="2:2" hidden="1">
      <c r="B58" s="239" t="s">
        <v>102</v>
      </c>
    </row>
    <row r="59" spans="2:2" hidden="1">
      <c r="B59" s="239" t="s">
        <v>103</v>
      </c>
    </row>
  </sheetData>
  <mergeCells count="6">
    <mergeCell ref="B1:N1"/>
    <mergeCell ref="D4:N4"/>
    <mergeCell ref="B4:B5"/>
    <mergeCell ref="C4:C5"/>
    <mergeCell ref="B3:N3"/>
    <mergeCell ref="B2:N2"/>
  </mergeCells>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95&amp;R&amp;"Lucida Sans Unicode,Regular"&amp;10December 2015</oddFooter>
  </headerFooter>
  <ignoredErrors>
    <ignoredError sqref="I30" formula="1"/>
  </ignoredError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O59"/>
  <sheetViews>
    <sheetView showGridLines="0" view="pageLayout" topLeftCell="A43" zoomScaleNormal="100" zoomScaleSheetLayoutView="100" workbookViewId="0">
      <selection activeCell="L61" sqref="L61:L62"/>
    </sheetView>
  </sheetViews>
  <sheetFormatPr defaultColWidth="9.6640625" defaultRowHeight="15"/>
  <cols>
    <col min="1" max="1" width="6.21875" style="239" customWidth="1"/>
    <col min="2" max="2" width="9.6640625" style="239" customWidth="1"/>
    <col min="3" max="3" width="14.6640625" style="239" customWidth="1"/>
    <col min="4" max="9" width="7.5546875" style="239" hidden="1" customWidth="1"/>
    <col min="10" max="14" width="8.77734375" style="239" customWidth="1"/>
    <col min="15" max="15" width="6.88671875" style="239" bestFit="1" customWidth="1"/>
    <col min="16" max="16384" width="9.6640625" style="239"/>
  </cols>
  <sheetData>
    <row r="1" spans="2:14" s="230" customFormat="1" ht="24" customHeight="1">
      <c r="B1" s="536" t="s">
        <v>0</v>
      </c>
      <c r="C1" s="536"/>
      <c r="D1" s="536"/>
      <c r="E1" s="536"/>
      <c r="F1" s="536"/>
      <c r="G1" s="536"/>
      <c r="H1" s="536"/>
      <c r="I1" s="536"/>
      <c r="J1" s="536"/>
      <c r="K1" s="536"/>
      <c r="L1" s="536"/>
      <c r="M1" s="536"/>
      <c r="N1" s="536"/>
    </row>
    <row r="2" spans="2:14" s="231" customFormat="1" ht="25.5" customHeight="1">
      <c r="B2" s="500" t="s">
        <v>45</v>
      </c>
      <c r="C2" s="500"/>
      <c r="D2" s="500"/>
      <c r="E2" s="500"/>
      <c r="F2" s="500"/>
      <c r="G2" s="500"/>
      <c r="H2" s="500"/>
      <c r="I2" s="500"/>
      <c r="J2" s="500"/>
      <c r="K2" s="500"/>
      <c r="L2" s="500"/>
      <c r="M2" s="500"/>
      <c r="N2" s="500"/>
    </row>
    <row r="3" spans="2:14" s="232" customFormat="1" ht="21" customHeight="1">
      <c r="B3" s="541" t="s">
        <v>153</v>
      </c>
      <c r="C3" s="541"/>
      <c r="D3" s="541"/>
      <c r="E3" s="541"/>
      <c r="F3" s="541"/>
      <c r="G3" s="541"/>
      <c r="H3" s="541"/>
      <c r="I3" s="541"/>
      <c r="J3" s="541"/>
      <c r="K3" s="541"/>
      <c r="L3" s="541"/>
      <c r="M3" s="541"/>
      <c r="N3" s="541"/>
    </row>
    <row r="4" spans="2:14" s="233" customFormat="1" ht="15.75" customHeight="1">
      <c r="B4" s="502" t="s">
        <v>67</v>
      </c>
      <c r="C4" s="502" t="s">
        <v>60</v>
      </c>
      <c r="D4" s="537" t="s">
        <v>149</v>
      </c>
      <c r="E4" s="537"/>
      <c r="F4" s="537"/>
      <c r="G4" s="537"/>
      <c r="H4" s="537"/>
      <c r="I4" s="537"/>
      <c r="J4" s="537"/>
      <c r="K4" s="537"/>
      <c r="L4" s="537"/>
      <c r="M4" s="537"/>
      <c r="N4" s="538"/>
    </row>
    <row r="5" spans="2:14" s="233" customFormat="1" ht="15.75">
      <c r="B5" s="503"/>
      <c r="C5" s="503"/>
      <c r="D5" s="234" t="s">
        <v>64</v>
      </c>
      <c r="E5" s="327" t="s">
        <v>63</v>
      </c>
      <c r="F5" s="327" t="s">
        <v>147</v>
      </c>
      <c r="G5" s="327" t="s">
        <v>148</v>
      </c>
      <c r="H5" s="234" t="s">
        <v>57</v>
      </c>
      <c r="I5" s="234" t="s">
        <v>69</v>
      </c>
      <c r="J5" s="234" t="s">
        <v>124</v>
      </c>
      <c r="K5" s="234" t="s">
        <v>146</v>
      </c>
      <c r="L5" s="234" t="s">
        <v>158</v>
      </c>
      <c r="M5" s="234" t="s">
        <v>166</v>
      </c>
      <c r="N5" s="234" t="s">
        <v>187</v>
      </c>
    </row>
    <row r="6" spans="2:14">
      <c r="B6" s="235"/>
      <c r="C6" s="235" t="s">
        <v>11</v>
      </c>
      <c r="D6" s="542" t="s">
        <v>62</v>
      </c>
      <c r="E6" s="237">
        <v>6</v>
      </c>
      <c r="F6" s="237">
        <v>8</v>
      </c>
      <c r="G6" s="237">
        <v>11</v>
      </c>
      <c r="H6" s="237">
        <v>12</v>
      </c>
      <c r="I6" s="237">
        <v>7</v>
      </c>
      <c r="J6" s="237">
        <v>17</v>
      </c>
      <c r="K6" s="237">
        <v>24</v>
      </c>
      <c r="L6" s="237">
        <v>25</v>
      </c>
      <c r="M6" s="237">
        <v>29</v>
      </c>
      <c r="N6" s="237">
        <v>33</v>
      </c>
    </row>
    <row r="7" spans="2:14">
      <c r="B7" s="240"/>
      <c r="C7" s="235" t="s">
        <v>12</v>
      </c>
      <c r="D7" s="494"/>
      <c r="E7" s="242">
        <v>0</v>
      </c>
      <c r="F7" s="242"/>
      <c r="G7" s="242"/>
      <c r="H7" s="242"/>
      <c r="I7" s="242"/>
      <c r="J7" s="242"/>
      <c r="K7" s="242"/>
      <c r="L7" s="242"/>
      <c r="M7" s="242"/>
      <c r="N7" s="242"/>
    </row>
    <row r="8" spans="2:14">
      <c r="B8" s="240" t="s">
        <v>2</v>
      </c>
      <c r="C8" s="243" t="s">
        <v>13</v>
      </c>
      <c r="D8" s="494"/>
      <c r="E8" s="245">
        <v>6</v>
      </c>
      <c r="F8" s="245">
        <v>8</v>
      </c>
      <c r="G8" s="245">
        <v>11</v>
      </c>
      <c r="H8" s="245">
        <f t="shared" ref="H8:I8" si="0">H6+H7</f>
        <v>12</v>
      </c>
      <c r="I8" s="245">
        <f t="shared" si="0"/>
        <v>7</v>
      </c>
      <c r="J8" s="245">
        <v>17</v>
      </c>
      <c r="K8" s="245">
        <v>24</v>
      </c>
      <c r="L8" s="245">
        <v>25</v>
      </c>
      <c r="M8" s="245">
        <v>29</v>
      </c>
      <c r="N8" s="245">
        <v>33</v>
      </c>
    </row>
    <row r="9" spans="2:14" ht="15.75" thickBot="1">
      <c r="B9" s="240"/>
      <c r="C9" s="247" t="s">
        <v>46</v>
      </c>
      <c r="D9" s="494"/>
      <c r="E9" s="245">
        <v>0</v>
      </c>
      <c r="F9" s="245"/>
      <c r="G9" s="245"/>
      <c r="H9" s="245"/>
      <c r="I9" s="245"/>
      <c r="J9" s="245"/>
      <c r="K9" s="245"/>
      <c r="L9" s="245"/>
      <c r="M9" s="245"/>
      <c r="N9" s="245"/>
    </row>
    <row r="10" spans="2:14" ht="17.100000000000001" customHeight="1" thickTop="1" thickBot="1">
      <c r="B10" s="240"/>
      <c r="C10" s="248" t="s">
        <v>15</v>
      </c>
      <c r="D10" s="495"/>
      <c r="E10" s="250">
        <v>6</v>
      </c>
      <c r="F10" s="250">
        <v>8</v>
      </c>
      <c r="G10" s="250">
        <v>11</v>
      </c>
      <c r="H10" s="250">
        <f t="shared" ref="H10:I10" si="1">H8+H9</f>
        <v>12</v>
      </c>
      <c r="I10" s="250">
        <f t="shared" si="1"/>
        <v>7</v>
      </c>
      <c r="J10" s="250">
        <v>17</v>
      </c>
      <c r="K10" s="250">
        <v>24</v>
      </c>
      <c r="L10" s="250">
        <v>25</v>
      </c>
      <c r="M10" s="250">
        <v>29</v>
      </c>
      <c r="N10" s="250">
        <v>33</v>
      </c>
    </row>
    <row r="11" spans="2:14">
      <c r="B11" s="252"/>
      <c r="C11" s="252" t="s">
        <v>11</v>
      </c>
      <c r="D11" s="253"/>
      <c r="E11" s="254">
        <v>10</v>
      </c>
      <c r="F11" s="254">
        <v>5</v>
      </c>
      <c r="G11" s="254">
        <v>3</v>
      </c>
      <c r="H11" s="254">
        <v>7</v>
      </c>
      <c r="I11" s="254">
        <v>5</v>
      </c>
      <c r="J11" s="254">
        <v>8</v>
      </c>
      <c r="K11" s="254">
        <v>5</v>
      </c>
      <c r="L11" s="254">
        <v>8</v>
      </c>
      <c r="M11" s="254">
        <v>13</v>
      </c>
      <c r="N11" s="254">
        <v>8</v>
      </c>
    </row>
    <row r="12" spans="2:14">
      <c r="B12" s="240"/>
      <c r="C12" s="235" t="s">
        <v>12</v>
      </c>
      <c r="D12" s="241"/>
      <c r="E12" s="242">
        <v>0</v>
      </c>
      <c r="F12" s="242"/>
      <c r="G12" s="242"/>
      <c r="H12" s="242"/>
      <c r="I12" s="242"/>
      <c r="J12" s="242"/>
      <c r="K12" s="242"/>
      <c r="L12" s="242"/>
      <c r="M12" s="242"/>
      <c r="N12" s="242"/>
    </row>
    <row r="13" spans="2:14">
      <c r="B13" s="240" t="s">
        <v>3</v>
      </c>
      <c r="C13" s="243" t="s">
        <v>13</v>
      </c>
      <c r="D13" s="244"/>
      <c r="E13" s="245">
        <v>10</v>
      </c>
      <c r="F13" s="245">
        <v>5</v>
      </c>
      <c r="G13" s="245">
        <v>3</v>
      </c>
      <c r="H13" s="245">
        <f t="shared" ref="H13:I13" si="2">H11+H12</f>
        <v>7</v>
      </c>
      <c r="I13" s="245">
        <f t="shared" si="2"/>
        <v>5</v>
      </c>
      <c r="J13" s="245">
        <v>8</v>
      </c>
      <c r="K13" s="245">
        <v>5</v>
      </c>
      <c r="L13" s="245">
        <v>8</v>
      </c>
      <c r="M13" s="245">
        <v>13</v>
      </c>
      <c r="N13" s="245">
        <v>8</v>
      </c>
    </row>
    <row r="14" spans="2:14" ht="15.75" thickBot="1">
      <c r="B14" s="240"/>
      <c r="C14" s="247" t="s">
        <v>46</v>
      </c>
      <c r="D14" s="244"/>
      <c r="E14" s="245">
        <v>0</v>
      </c>
      <c r="F14" s="245"/>
      <c r="G14" s="245"/>
      <c r="H14" s="245"/>
      <c r="I14" s="245"/>
      <c r="J14" s="245"/>
      <c r="K14" s="245"/>
      <c r="L14" s="245"/>
      <c r="M14" s="245"/>
      <c r="N14" s="245"/>
    </row>
    <row r="15" spans="2:14" ht="17.100000000000001" customHeight="1" thickTop="1" thickBot="1">
      <c r="B15" s="240"/>
      <c r="C15" s="248" t="s">
        <v>15</v>
      </c>
      <c r="D15" s="249"/>
      <c r="E15" s="250">
        <v>10</v>
      </c>
      <c r="F15" s="250">
        <v>5</v>
      </c>
      <c r="G15" s="250">
        <v>3</v>
      </c>
      <c r="H15" s="250">
        <f t="shared" ref="H15:I15" si="3">H13+H14</f>
        <v>7</v>
      </c>
      <c r="I15" s="250">
        <f t="shared" si="3"/>
        <v>5</v>
      </c>
      <c r="J15" s="250">
        <v>8</v>
      </c>
      <c r="K15" s="250">
        <v>5</v>
      </c>
      <c r="L15" s="250">
        <v>8</v>
      </c>
      <c r="M15" s="250">
        <v>13</v>
      </c>
      <c r="N15" s="250">
        <v>8</v>
      </c>
    </row>
    <row r="16" spans="2:14">
      <c r="B16" s="252"/>
      <c r="C16" s="252" t="s">
        <v>11</v>
      </c>
      <c r="D16" s="253"/>
      <c r="E16" s="254">
        <v>3</v>
      </c>
      <c r="F16" s="254">
        <v>8</v>
      </c>
      <c r="G16" s="254">
        <v>5</v>
      </c>
      <c r="H16" s="254">
        <v>1</v>
      </c>
      <c r="I16" s="254">
        <v>4</v>
      </c>
      <c r="J16" s="254"/>
      <c r="K16" s="254">
        <v>3</v>
      </c>
      <c r="L16" s="254">
        <v>4</v>
      </c>
      <c r="M16" s="254">
        <v>4</v>
      </c>
      <c r="N16" s="254">
        <v>13</v>
      </c>
    </row>
    <row r="17" spans="2:15">
      <c r="B17" s="240"/>
      <c r="C17" s="235" t="s">
        <v>12</v>
      </c>
      <c r="D17" s="241"/>
      <c r="E17" s="242">
        <v>0</v>
      </c>
      <c r="F17" s="242"/>
      <c r="G17" s="242"/>
      <c r="H17" s="242"/>
      <c r="I17" s="242"/>
      <c r="J17" s="242"/>
      <c r="K17" s="242"/>
      <c r="L17" s="242"/>
      <c r="M17" s="242"/>
      <c r="N17" s="242"/>
    </row>
    <row r="18" spans="2:15">
      <c r="B18" s="240" t="s">
        <v>4</v>
      </c>
      <c r="C18" s="243" t="s">
        <v>13</v>
      </c>
      <c r="D18" s="244"/>
      <c r="E18" s="245">
        <v>3</v>
      </c>
      <c r="F18" s="245">
        <v>8</v>
      </c>
      <c r="G18" s="245">
        <v>5</v>
      </c>
      <c r="H18" s="245">
        <f t="shared" ref="H18:I18" si="4">H16+H17</f>
        <v>1</v>
      </c>
      <c r="I18" s="245">
        <f t="shared" si="4"/>
        <v>4</v>
      </c>
      <c r="J18" s="245">
        <v>0</v>
      </c>
      <c r="K18" s="245">
        <v>3</v>
      </c>
      <c r="L18" s="245">
        <v>4</v>
      </c>
      <c r="M18" s="245">
        <v>4</v>
      </c>
      <c r="N18" s="245">
        <v>13</v>
      </c>
    </row>
    <row r="19" spans="2:15" ht="15.75" thickBot="1">
      <c r="B19" s="240"/>
      <c r="C19" s="247" t="s">
        <v>46</v>
      </c>
      <c r="D19" s="244"/>
      <c r="E19" s="245">
        <v>0</v>
      </c>
      <c r="F19" s="245"/>
      <c r="G19" s="245"/>
      <c r="H19" s="245"/>
      <c r="I19" s="245"/>
      <c r="J19" s="245"/>
      <c r="K19" s="245"/>
      <c r="L19" s="245"/>
      <c r="M19" s="245"/>
      <c r="N19" s="245"/>
    </row>
    <row r="20" spans="2:15" ht="17.100000000000001" customHeight="1" thickTop="1" thickBot="1">
      <c r="B20" s="240"/>
      <c r="C20" s="248" t="s">
        <v>15</v>
      </c>
      <c r="D20" s="249"/>
      <c r="E20" s="250">
        <v>3</v>
      </c>
      <c r="F20" s="250">
        <v>8</v>
      </c>
      <c r="G20" s="250">
        <v>5</v>
      </c>
      <c r="H20" s="250">
        <f t="shared" ref="H20:I20" si="5">H18+H19</f>
        <v>1</v>
      </c>
      <c r="I20" s="250">
        <f t="shared" si="5"/>
        <v>4</v>
      </c>
      <c r="J20" s="250">
        <v>0</v>
      </c>
      <c r="K20" s="250">
        <v>3</v>
      </c>
      <c r="L20" s="250">
        <v>4</v>
      </c>
      <c r="M20" s="250">
        <v>4</v>
      </c>
      <c r="N20" s="250">
        <v>13</v>
      </c>
    </row>
    <row r="21" spans="2:15">
      <c r="B21" s="252"/>
      <c r="C21" s="252" t="s">
        <v>11</v>
      </c>
      <c r="D21" s="253"/>
      <c r="E21" s="254">
        <v>0</v>
      </c>
      <c r="F21" s="254">
        <v>2</v>
      </c>
      <c r="G21" s="254">
        <v>2</v>
      </c>
      <c r="H21" s="254">
        <v>4</v>
      </c>
      <c r="I21" s="254">
        <v>4</v>
      </c>
      <c r="J21" s="254">
        <v>2</v>
      </c>
      <c r="K21" s="254">
        <v>1</v>
      </c>
      <c r="L21" s="254">
        <v>2</v>
      </c>
      <c r="M21" s="254"/>
      <c r="N21" s="254"/>
    </row>
    <row r="22" spans="2:15">
      <c r="B22" s="240"/>
      <c r="C22" s="235" t="s">
        <v>12</v>
      </c>
      <c r="D22" s="241"/>
      <c r="E22" s="242">
        <v>0</v>
      </c>
      <c r="F22" s="242"/>
      <c r="G22" s="242"/>
      <c r="H22" s="242"/>
      <c r="I22" s="242"/>
      <c r="J22" s="242"/>
      <c r="K22" s="242"/>
      <c r="L22" s="242"/>
      <c r="M22" s="242"/>
      <c r="N22" s="242"/>
    </row>
    <row r="23" spans="2:15">
      <c r="B23" s="240" t="s">
        <v>5</v>
      </c>
      <c r="C23" s="243" t="s">
        <v>13</v>
      </c>
      <c r="D23" s="244"/>
      <c r="E23" s="245">
        <v>0</v>
      </c>
      <c r="F23" s="245">
        <v>2</v>
      </c>
      <c r="G23" s="245">
        <v>2</v>
      </c>
      <c r="H23" s="245">
        <f t="shared" ref="H23:I23" si="6">H21+H22</f>
        <v>4</v>
      </c>
      <c r="I23" s="245">
        <f t="shared" si="6"/>
        <v>4</v>
      </c>
      <c r="J23" s="245">
        <v>2</v>
      </c>
      <c r="K23" s="245">
        <v>1</v>
      </c>
      <c r="L23" s="245">
        <v>2</v>
      </c>
      <c r="M23" s="245"/>
      <c r="N23" s="245"/>
    </row>
    <row r="24" spans="2:15" ht="15.75" thickBot="1">
      <c r="B24" s="240"/>
      <c r="C24" s="247" t="s">
        <v>46</v>
      </c>
      <c r="D24" s="244"/>
      <c r="E24" s="245">
        <v>0</v>
      </c>
      <c r="F24" s="245"/>
      <c r="G24" s="245"/>
      <c r="H24" s="245"/>
      <c r="I24" s="245"/>
      <c r="J24" s="245"/>
      <c r="K24" s="245"/>
      <c r="L24" s="245"/>
      <c r="M24" s="245"/>
      <c r="N24" s="245"/>
    </row>
    <row r="25" spans="2:15" ht="17.100000000000001" customHeight="1" thickTop="1" thickBot="1">
      <c r="B25" s="240"/>
      <c r="C25" s="248" t="s">
        <v>15</v>
      </c>
      <c r="D25" s="249"/>
      <c r="E25" s="250">
        <v>0</v>
      </c>
      <c r="F25" s="250">
        <v>2</v>
      </c>
      <c r="G25" s="250">
        <v>2</v>
      </c>
      <c r="H25" s="250">
        <f t="shared" ref="H25:I25" si="7">H23+H24</f>
        <v>4</v>
      </c>
      <c r="I25" s="250">
        <f t="shared" si="7"/>
        <v>4</v>
      </c>
      <c r="J25" s="250">
        <v>2</v>
      </c>
      <c r="K25" s="250">
        <v>1</v>
      </c>
      <c r="L25" s="250">
        <v>2</v>
      </c>
      <c r="M25" s="250"/>
      <c r="N25" s="250"/>
    </row>
    <row r="26" spans="2:15" ht="21" customHeight="1" thickTop="1">
      <c r="B26" s="256"/>
      <c r="C26" s="256" t="s">
        <v>11</v>
      </c>
      <c r="D26" s="257"/>
      <c r="E26" s="258">
        <f t="shared" ref="E26:I26" si="8">SUM(E6,E11,E16,E21)</f>
        <v>19</v>
      </c>
      <c r="F26" s="258">
        <f t="shared" si="8"/>
        <v>23</v>
      </c>
      <c r="G26" s="258">
        <f t="shared" si="8"/>
        <v>21</v>
      </c>
      <c r="H26" s="258">
        <f t="shared" si="8"/>
        <v>24</v>
      </c>
      <c r="I26" s="258">
        <f t="shared" si="8"/>
        <v>20</v>
      </c>
      <c r="J26" s="258">
        <v>27</v>
      </c>
      <c r="K26" s="258">
        <v>33</v>
      </c>
      <c r="L26" s="258">
        <v>39</v>
      </c>
      <c r="M26" s="258">
        <v>46</v>
      </c>
      <c r="N26" s="258">
        <v>54</v>
      </c>
    </row>
    <row r="27" spans="2:15" ht="21" customHeight="1">
      <c r="B27" s="259"/>
      <c r="C27" s="259" t="s">
        <v>12</v>
      </c>
      <c r="D27" s="260"/>
      <c r="E27" s="261">
        <v>0</v>
      </c>
      <c r="F27" s="261"/>
      <c r="G27" s="261"/>
      <c r="H27" s="261"/>
      <c r="I27" s="261"/>
      <c r="J27" s="261"/>
      <c r="K27" s="261"/>
      <c r="L27" s="261"/>
      <c r="M27" s="261"/>
      <c r="N27" s="261"/>
    </row>
    <row r="28" spans="2:15" ht="21" customHeight="1">
      <c r="B28" s="262" t="s">
        <v>6</v>
      </c>
      <c r="C28" s="263" t="s">
        <v>13</v>
      </c>
      <c r="D28" s="264"/>
      <c r="E28" s="265">
        <f t="shared" ref="E28:I28" si="9">SUM(E8,E13,E18,E23)</f>
        <v>19</v>
      </c>
      <c r="F28" s="265">
        <f t="shared" si="9"/>
        <v>23</v>
      </c>
      <c r="G28" s="265">
        <f t="shared" si="9"/>
        <v>21</v>
      </c>
      <c r="H28" s="265">
        <f t="shared" si="9"/>
        <v>24</v>
      </c>
      <c r="I28" s="265">
        <f t="shared" si="9"/>
        <v>20</v>
      </c>
      <c r="J28" s="265">
        <v>27</v>
      </c>
      <c r="K28" s="265">
        <v>33</v>
      </c>
      <c r="L28" s="265">
        <v>39</v>
      </c>
      <c r="M28" s="265">
        <v>46</v>
      </c>
      <c r="N28" s="265">
        <v>54</v>
      </c>
    </row>
    <row r="29" spans="2:15" ht="21" customHeight="1" thickBot="1">
      <c r="B29" s="259"/>
      <c r="C29" s="266" t="s">
        <v>46</v>
      </c>
      <c r="D29" s="264"/>
      <c r="E29" s="265">
        <v>0</v>
      </c>
      <c r="F29" s="265"/>
      <c r="G29" s="265"/>
      <c r="H29" s="265"/>
      <c r="I29" s="265"/>
      <c r="J29" s="265"/>
      <c r="K29" s="265"/>
      <c r="L29" s="265"/>
      <c r="M29" s="265"/>
      <c r="N29" s="265"/>
    </row>
    <row r="30" spans="2:15" ht="21" customHeight="1" thickTop="1" thickBot="1">
      <c r="B30" s="262"/>
      <c r="C30" s="267" t="s">
        <v>15</v>
      </c>
      <c r="D30" s="268"/>
      <c r="E30" s="269">
        <f t="shared" ref="E30:I30" si="10">SUM(E10,E15,E20,E25)</f>
        <v>19</v>
      </c>
      <c r="F30" s="269">
        <f t="shared" si="10"/>
        <v>23</v>
      </c>
      <c r="G30" s="269">
        <f t="shared" si="10"/>
        <v>21</v>
      </c>
      <c r="H30" s="269">
        <f t="shared" si="10"/>
        <v>24</v>
      </c>
      <c r="I30" s="269">
        <f t="shared" si="10"/>
        <v>20</v>
      </c>
      <c r="J30" s="269">
        <v>27</v>
      </c>
      <c r="K30" s="269">
        <v>33</v>
      </c>
      <c r="L30" s="269">
        <v>39</v>
      </c>
      <c r="M30" s="269">
        <v>46</v>
      </c>
      <c r="N30" s="269">
        <v>54</v>
      </c>
    </row>
    <row r="31" spans="2:15" ht="16.5" thickTop="1">
      <c r="B31" s="270" t="s">
        <v>7</v>
      </c>
      <c r="C31" s="271"/>
      <c r="D31" s="270"/>
      <c r="E31" s="272">
        <v>5</v>
      </c>
      <c r="F31" s="272">
        <v>6</v>
      </c>
      <c r="G31" s="272">
        <v>8</v>
      </c>
      <c r="H31" s="272">
        <v>6</v>
      </c>
      <c r="I31" s="272">
        <v>4</v>
      </c>
      <c r="J31" s="272">
        <v>13</v>
      </c>
      <c r="K31" s="272">
        <v>11</v>
      </c>
      <c r="L31" s="272">
        <v>14</v>
      </c>
      <c r="M31" s="272">
        <v>17</v>
      </c>
      <c r="N31" s="273">
        <v>23</v>
      </c>
      <c r="O31" s="298">
        <f>N31/N30</f>
        <v>0.42592592592592593</v>
      </c>
    </row>
    <row r="32" spans="2:15" ht="16.5" thickBot="1">
      <c r="B32" s="235" t="s">
        <v>8</v>
      </c>
      <c r="D32" s="235"/>
      <c r="E32" s="274">
        <v>14</v>
      </c>
      <c r="F32" s="274">
        <v>17</v>
      </c>
      <c r="G32" s="274">
        <v>13</v>
      </c>
      <c r="H32" s="274">
        <v>18</v>
      </c>
      <c r="I32" s="274">
        <v>16</v>
      </c>
      <c r="J32" s="274">
        <v>14</v>
      </c>
      <c r="K32" s="274">
        <v>22</v>
      </c>
      <c r="L32" s="274">
        <v>25</v>
      </c>
      <c r="M32" s="274">
        <v>29</v>
      </c>
      <c r="N32" s="275">
        <v>31</v>
      </c>
      <c r="O32" s="299">
        <f>N32/N30</f>
        <v>0.57407407407407407</v>
      </c>
    </row>
    <row r="33" spans="2:15" ht="15.75">
      <c r="B33" s="252" t="s">
        <v>9</v>
      </c>
      <c r="C33" s="276"/>
      <c r="D33" s="252"/>
      <c r="E33" s="277">
        <v>19</v>
      </c>
      <c r="F33" s="277">
        <v>21</v>
      </c>
      <c r="G33" s="277">
        <v>20</v>
      </c>
      <c r="H33" s="277">
        <v>22</v>
      </c>
      <c r="I33" s="277">
        <v>20</v>
      </c>
      <c r="J33" s="277">
        <v>27</v>
      </c>
      <c r="K33" s="277">
        <v>32</v>
      </c>
      <c r="L33" s="277">
        <v>39</v>
      </c>
      <c r="M33" s="277">
        <v>45</v>
      </c>
      <c r="N33" s="278">
        <v>52</v>
      </c>
      <c r="O33" s="298">
        <f>N33/N30</f>
        <v>0.96296296296296291</v>
      </c>
    </row>
    <row r="34" spans="2:15" ht="15.75">
      <c r="B34" s="235" t="s">
        <v>10</v>
      </c>
      <c r="D34" s="235"/>
      <c r="E34" s="279">
        <v>0</v>
      </c>
      <c r="F34" s="279">
        <v>2</v>
      </c>
      <c r="G34" s="279">
        <v>1</v>
      </c>
      <c r="H34" s="279">
        <v>2</v>
      </c>
      <c r="I34" s="279"/>
      <c r="J34" s="279"/>
      <c r="K34" s="279">
        <v>1</v>
      </c>
      <c r="L34" s="279"/>
      <c r="M34" s="279">
        <v>1</v>
      </c>
      <c r="N34" s="280">
        <v>2</v>
      </c>
      <c r="O34" s="298">
        <f>N34/N30</f>
        <v>3.7037037037037035E-2</v>
      </c>
    </row>
    <row r="35" spans="2:15">
      <c r="B35" s="281"/>
      <c r="C35" s="281"/>
      <c r="D35" s="281"/>
    </row>
    <row r="36" spans="2:15">
      <c r="B36" s="282"/>
      <c r="C36" s="282"/>
    </row>
    <row r="54" spans="2:2" hidden="1">
      <c r="B54" s="239" t="s">
        <v>34</v>
      </c>
    </row>
    <row r="55" spans="2:2" hidden="1">
      <c r="B55" s="239" t="s">
        <v>100</v>
      </c>
    </row>
    <row r="56" spans="2:2" hidden="1">
      <c r="B56" s="239" t="s">
        <v>101</v>
      </c>
    </row>
    <row r="57" spans="2:2" hidden="1">
      <c r="B57" s="239" t="s">
        <v>28</v>
      </c>
    </row>
    <row r="58" spans="2:2" hidden="1">
      <c r="B58" s="239" t="s">
        <v>102</v>
      </c>
    </row>
    <row r="59" spans="2:2" hidden="1">
      <c r="B59" s="239" t="s">
        <v>103</v>
      </c>
    </row>
  </sheetData>
  <mergeCells count="7">
    <mergeCell ref="B1:N1"/>
    <mergeCell ref="D6:D10"/>
    <mergeCell ref="B4:B5"/>
    <mergeCell ref="C4:C5"/>
    <mergeCell ref="D4:N4"/>
    <mergeCell ref="B3:N3"/>
    <mergeCell ref="B2:N2"/>
  </mergeCells>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96&amp;R&amp;"Lucida Sans Unicode,Regular"&amp;10December 2015</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sheetPr>
  <dimension ref="A1:O60"/>
  <sheetViews>
    <sheetView showGridLines="0" view="pageLayout" topLeftCell="A34" zoomScaleNormal="100" zoomScaleSheetLayoutView="100" workbookViewId="0">
      <selection activeCell="D4" sqref="D4:N4"/>
    </sheetView>
  </sheetViews>
  <sheetFormatPr defaultColWidth="9.6640625" defaultRowHeight="15.75"/>
  <cols>
    <col min="1" max="1" width="6.21875" style="136" customWidth="1"/>
    <col min="2" max="2" width="9.6640625" style="38" customWidth="1"/>
    <col min="3" max="3" width="15.6640625" style="38" customWidth="1"/>
    <col min="4" max="7" width="8" style="38" hidden="1" customWidth="1"/>
    <col min="8" max="9" width="7.5546875" style="38" hidden="1" customWidth="1"/>
    <col min="10" max="13" width="8.77734375" style="38" customWidth="1"/>
    <col min="14" max="14" width="8.77734375" style="136" customWidth="1"/>
    <col min="15" max="15" width="6.88671875" style="38" bestFit="1" customWidth="1"/>
    <col min="16" max="16384" width="9.6640625" style="38"/>
  </cols>
  <sheetData>
    <row r="1" spans="1:14" s="194" customFormat="1" ht="24" customHeight="1">
      <c r="A1" s="199"/>
      <c r="B1" s="465" t="s">
        <v>0</v>
      </c>
      <c r="C1" s="465"/>
      <c r="D1" s="465"/>
      <c r="E1" s="465"/>
      <c r="F1" s="465"/>
      <c r="G1" s="465"/>
      <c r="H1" s="465"/>
      <c r="I1" s="465"/>
      <c r="J1" s="465"/>
      <c r="K1" s="465"/>
      <c r="L1" s="465"/>
      <c r="M1" s="465"/>
      <c r="N1" s="465"/>
    </row>
    <row r="2" spans="1:14" s="196" customFormat="1" ht="25.5" customHeight="1">
      <c r="A2" s="200"/>
      <c r="B2" s="464" t="s">
        <v>47</v>
      </c>
      <c r="C2" s="464"/>
      <c r="D2" s="464"/>
      <c r="E2" s="464"/>
      <c r="F2" s="464"/>
      <c r="G2" s="464"/>
      <c r="H2" s="464"/>
      <c r="I2" s="464"/>
      <c r="J2" s="464"/>
      <c r="K2" s="464"/>
      <c r="L2" s="464"/>
      <c r="M2" s="464"/>
      <c r="N2" s="464"/>
    </row>
    <row r="3" spans="1:14" s="194" customFormat="1" ht="21" customHeight="1">
      <c r="A3" s="199"/>
      <c r="B3" s="523" t="s">
        <v>154</v>
      </c>
      <c r="C3" s="523"/>
      <c r="D3" s="523"/>
      <c r="E3" s="523"/>
      <c r="F3" s="523"/>
      <c r="G3" s="523"/>
      <c r="H3" s="523"/>
      <c r="I3" s="523"/>
      <c r="J3" s="523"/>
      <c r="K3" s="523"/>
      <c r="L3" s="523"/>
      <c r="M3" s="523"/>
      <c r="N3" s="523"/>
    </row>
    <row r="4" spans="1:14" ht="15.75" customHeight="1">
      <c r="B4" s="524" t="s">
        <v>59</v>
      </c>
      <c r="C4" s="524" t="s">
        <v>60</v>
      </c>
      <c r="D4" s="527" t="s">
        <v>150</v>
      </c>
      <c r="E4" s="528"/>
      <c r="F4" s="528"/>
      <c r="G4" s="528"/>
      <c r="H4" s="528"/>
      <c r="I4" s="528"/>
      <c r="J4" s="528"/>
      <c r="K4" s="528"/>
      <c r="L4" s="528"/>
      <c r="M4" s="528"/>
      <c r="N4" s="529"/>
    </row>
    <row r="5" spans="1:14" s="106" customFormat="1">
      <c r="A5" s="136"/>
      <c r="B5" s="531"/>
      <c r="C5" s="531"/>
      <c r="D5" s="111" t="s">
        <v>21</v>
      </c>
      <c r="E5" s="111" t="s">
        <v>51</v>
      </c>
      <c r="F5" s="111" t="s">
        <v>52</v>
      </c>
      <c r="G5" s="111" t="s">
        <v>53</v>
      </c>
      <c r="H5" s="111" t="s">
        <v>57</v>
      </c>
      <c r="I5" s="111" t="s">
        <v>69</v>
      </c>
      <c r="J5" s="111" t="s">
        <v>124</v>
      </c>
      <c r="K5" s="111" t="s">
        <v>146</v>
      </c>
      <c r="L5" s="137" t="s">
        <v>158</v>
      </c>
      <c r="M5" s="137" t="s">
        <v>166</v>
      </c>
      <c r="N5" s="137" t="s">
        <v>187</v>
      </c>
    </row>
    <row r="6" spans="1:14" ht="16.5" customHeight="1">
      <c r="B6" s="8"/>
      <c r="C6" s="8" t="s">
        <v>11</v>
      </c>
      <c r="D6" s="108">
        <v>112</v>
      </c>
      <c r="E6" s="109">
        <v>136</v>
      </c>
      <c r="F6" s="109">
        <v>143</v>
      </c>
      <c r="G6" s="109">
        <v>107</v>
      </c>
      <c r="H6" s="109">
        <v>136</v>
      </c>
      <c r="I6" s="109">
        <f>1+1+123+22+2</f>
        <v>149</v>
      </c>
      <c r="J6" s="109">
        <v>123</v>
      </c>
      <c r="K6" s="206">
        <v>136</v>
      </c>
      <c r="L6" s="206">
        <v>105</v>
      </c>
      <c r="M6" s="206">
        <v>101</v>
      </c>
      <c r="N6" s="206">
        <v>95</v>
      </c>
    </row>
    <row r="7" spans="1:14">
      <c r="B7" s="7"/>
      <c r="C7" s="8" t="s">
        <v>12</v>
      </c>
      <c r="D7" s="42">
        <v>5</v>
      </c>
      <c r="E7" s="76">
        <v>3</v>
      </c>
      <c r="F7" s="76">
        <v>9</v>
      </c>
      <c r="G7" s="76">
        <v>6</v>
      </c>
      <c r="H7" s="76">
        <v>2</v>
      </c>
      <c r="I7" s="76">
        <f>1+1+1+5+1</f>
        <v>9</v>
      </c>
      <c r="J7" s="76">
        <v>2</v>
      </c>
      <c r="K7" s="206">
        <v>6</v>
      </c>
      <c r="L7" s="206">
        <v>7</v>
      </c>
      <c r="M7" s="206">
        <v>7</v>
      </c>
      <c r="N7" s="206">
        <v>2</v>
      </c>
    </row>
    <row r="8" spans="1:14">
      <c r="B8" s="7" t="s">
        <v>2</v>
      </c>
      <c r="C8" s="3" t="s">
        <v>13</v>
      </c>
      <c r="D8" s="43">
        <f t="shared" ref="D8:I8" si="0">D6+D7</f>
        <v>117</v>
      </c>
      <c r="E8" s="77">
        <f t="shared" si="0"/>
        <v>139</v>
      </c>
      <c r="F8" s="77">
        <f t="shared" si="0"/>
        <v>152</v>
      </c>
      <c r="G8" s="77">
        <f t="shared" si="0"/>
        <v>113</v>
      </c>
      <c r="H8" s="77">
        <f t="shared" si="0"/>
        <v>138</v>
      </c>
      <c r="I8" s="77">
        <f t="shared" si="0"/>
        <v>158</v>
      </c>
      <c r="J8" s="77">
        <v>125</v>
      </c>
      <c r="K8" s="202">
        <v>142</v>
      </c>
      <c r="L8" s="202">
        <v>112</v>
      </c>
      <c r="M8" s="202">
        <v>108</v>
      </c>
      <c r="N8" s="202">
        <v>97</v>
      </c>
    </row>
    <row r="9" spans="1:14" ht="16.5" thickBot="1">
      <c r="B9" s="7"/>
      <c r="C9" s="2" t="s">
        <v>14</v>
      </c>
      <c r="D9" s="43">
        <v>0</v>
      </c>
      <c r="E9" s="77">
        <v>0</v>
      </c>
      <c r="F9" s="77"/>
      <c r="G9" s="77"/>
      <c r="H9" s="77"/>
      <c r="I9" s="77"/>
      <c r="J9" s="77"/>
      <c r="K9" s="202"/>
      <c r="L9" s="202"/>
      <c r="M9" s="202"/>
      <c r="N9" s="202"/>
    </row>
    <row r="10" spans="1:14" ht="17.100000000000001" customHeight="1" thickTop="1" thickBot="1">
      <c r="B10" s="7"/>
      <c r="C10" s="13" t="s">
        <v>15</v>
      </c>
      <c r="D10" s="44">
        <f t="shared" ref="D10:I10" si="1">D8+D9</f>
        <v>117</v>
      </c>
      <c r="E10" s="78">
        <f t="shared" si="1"/>
        <v>139</v>
      </c>
      <c r="F10" s="78">
        <f t="shared" si="1"/>
        <v>152</v>
      </c>
      <c r="G10" s="78">
        <f t="shared" si="1"/>
        <v>113</v>
      </c>
      <c r="H10" s="78">
        <f t="shared" si="1"/>
        <v>138</v>
      </c>
      <c r="I10" s="78">
        <f t="shared" si="1"/>
        <v>158</v>
      </c>
      <c r="J10" s="78">
        <v>125</v>
      </c>
      <c r="K10" s="204">
        <v>142</v>
      </c>
      <c r="L10" s="204">
        <v>112</v>
      </c>
      <c r="M10" s="204">
        <v>108</v>
      </c>
      <c r="N10" s="204">
        <v>97</v>
      </c>
    </row>
    <row r="11" spans="1:14">
      <c r="B11" s="4"/>
      <c r="C11" s="4" t="s">
        <v>11</v>
      </c>
      <c r="D11" s="45">
        <f>57+6</f>
        <v>63</v>
      </c>
      <c r="E11" s="79">
        <v>135</v>
      </c>
      <c r="F11" s="79">
        <v>157</v>
      </c>
      <c r="G11" s="79">
        <v>119</v>
      </c>
      <c r="H11" s="79">
        <v>126</v>
      </c>
      <c r="I11" s="79">
        <f>2+2+2+81+11+2</f>
        <v>100</v>
      </c>
      <c r="J11" s="79">
        <v>110</v>
      </c>
      <c r="K11" s="207">
        <v>96</v>
      </c>
      <c r="L11" s="207">
        <v>104</v>
      </c>
      <c r="M11" s="207">
        <v>92</v>
      </c>
      <c r="N11" s="207">
        <v>86</v>
      </c>
    </row>
    <row r="12" spans="1:14">
      <c r="B12" s="7"/>
      <c r="C12" s="8" t="s">
        <v>12</v>
      </c>
      <c r="D12" s="42">
        <v>9</v>
      </c>
      <c r="E12" s="76">
        <v>22</v>
      </c>
      <c r="F12" s="76">
        <v>21</v>
      </c>
      <c r="G12" s="76">
        <v>21</v>
      </c>
      <c r="H12" s="76">
        <v>12</v>
      </c>
      <c r="I12" s="76">
        <f>2+1+1+2+1+1+1</f>
        <v>9</v>
      </c>
      <c r="J12" s="76">
        <v>19</v>
      </c>
      <c r="K12" s="206">
        <v>15</v>
      </c>
      <c r="L12" s="206">
        <v>13</v>
      </c>
      <c r="M12" s="206">
        <v>18</v>
      </c>
      <c r="N12" s="206">
        <v>15</v>
      </c>
    </row>
    <row r="13" spans="1:14">
      <c r="B13" s="7" t="s">
        <v>3</v>
      </c>
      <c r="C13" s="3" t="s">
        <v>13</v>
      </c>
      <c r="D13" s="43">
        <f t="shared" ref="D13:I13" si="2">D11+D12</f>
        <v>72</v>
      </c>
      <c r="E13" s="77">
        <f t="shared" si="2"/>
        <v>157</v>
      </c>
      <c r="F13" s="77">
        <f t="shared" si="2"/>
        <v>178</v>
      </c>
      <c r="G13" s="77">
        <f t="shared" si="2"/>
        <v>140</v>
      </c>
      <c r="H13" s="77">
        <f t="shared" si="2"/>
        <v>138</v>
      </c>
      <c r="I13" s="77">
        <f t="shared" si="2"/>
        <v>109</v>
      </c>
      <c r="J13" s="77">
        <v>129</v>
      </c>
      <c r="K13" s="202">
        <v>111</v>
      </c>
      <c r="L13" s="202">
        <v>117</v>
      </c>
      <c r="M13" s="202">
        <v>110</v>
      </c>
      <c r="N13" s="202">
        <v>101</v>
      </c>
    </row>
    <row r="14" spans="1:14" ht="16.5" thickBot="1">
      <c r="B14" s="7"/>
      <c r="C14" s="2" t="s">
        <v>14</v>
      </c>
      <c r="D14" s="43">
        <v>0</v>
      </c>
      <c r="E14" s="77">
        <v>1</v>
      </c>
      <c r="F14" s="77"/>
      <c r="G14" s="77"/>
      <c r="H14" s="77"/>
      <c r="I14" s="77"/>
      <c r="J14" s="77"/>
      <c r="K14" s="202"/>
      <c r="L14" s="202"/>
      <c r="M14" s="202"/>
      <c r="N14" s="202"/>
    </row>
    <row r="15" spans="1:14" ht="17.100000000000001" customHeight="1" thickTop="1" thickBot="1">
      <c r="B15" s="7"/>
      <c r="C15" s="13" t="s">
        <v>15</v>
      </c>
      <c r="D15" s="44">
        <f t="shared" ref="D15:I15" si="3">D13+D14</f>
        <v>72</v>
      </c>
      <c r="E15" s="78">
        <f t="shared" si="3"/>
        <v>158</v>
      </c>
      <c r="F15" s="78">
        <f t="shared" si="3"/>
        <v>178</v>
      </c>
      <c r="G15" s="78">
        <f t="shared" si="3"/>
        <v>140</v>
      </c>
      <c r="H15" s="78">
        <f t="shared" si="3"/>
        <v>138</v>
      </c>
      <c r="I15" s="78">
        <f t="shared" si="3"/>
        <v>109</v>
      </c>
      <c r="J15" s="78">
        <v>129</v>
      </c>
      <c r="K15" s="204">
        <v>111</v>
      </c>
      <c r="L15" s="204">
        <v>117</v>
      </c>
      <c r="M15" s="204">
        <v>110</v>
      </c>
      <c r="N15" s="204">
        <v>101</v>
      </c>
    </row>
    <row r="16" spans="1:14">
      <c r="B16" s="4"/>
      <c r="C16" s="4" t="s">
        <v>11</v>
      </c>
      <c r="D16" s="45">
        <v>68</v>
      </c>
      <c r="E16" s="79">
        <v>62</v>
      </c>
      <c r="F16" s="79">
        <f>15+86</f>
        <v>101</v>
      </c>
      <c r="G16" s="79">
        <v>134</v>
      </c>
      <c r="H16" s="79">
        <v>116</v>
      </c>
      <c r="I16" s="79">
        <f>5+82+8+3</f>
        <v>98</v>
      </c>
      <c r="J16" s="79">
        <v>105</v>
      </c>
      <c r="K16" s="207">
        <v>109</v>
      </c>
      <c r="L16" s="207">
        <v>79</v>
      </c>
      <c r="M16" s="207">
        <v>83</v>
      </c>
      <c r="N16" s="207">
        <v>67</v>
      </c>
    </row>
    <row r="17" spans="2:15">
      <c r="B17" s="7"/>
      <c r="C17" s="8" t="s">
        <v>12</v>
      </c>
      <c r="D17" s="42">
        <v>7</v>
      </c>
      <c r="E17" s="76">
        <v>12</v>
      </c>
      <c r="F17" s="76">
        <v>23</v>
      </c>
      <c r="G17" s="76">
        <v>23</v>
      </c>
      <c r="H17" s="76">
        <v>16</v>
      </c>
      <c r="I17" s="76">
        <f>1+3+2+1+1+1+3+3+1</f>
        <v>16</v>
      </c>
      <c r="J17" s="76">
        <v>23</v>
      </c>
      <c r="K17" s="206">
        <v>26</v>
      </c>
      <c r="L17" s="206">
        <v>23</v>
      </c>
      <c r="M17" s="206">
        <v>14</v>
      </c>
      <c r="N17" s="206">
        <v>19</v>
      </c>
    </row>
    <row r="18" spans="2:15">
      <c r="B18" s="7" t="s">
        <v>4</v>
      </c>
      <c r="C18" s="3" t="s">
        <v>13</v>
      </c>
      <c r="D18" s="43">
        <f t="shared" ref="D18:I18" si="4">D16+D17</f>
        <v>75</v>
      </c>
      <c r="E18" s="77">
        <f t="shared" si="4"/>
        <v>74</v>
      </c>
      <c r="F18" s="77">
        <f t="shared" si="4"/>
        <v>124</v>
      </c>
      <c r="G18" s="77">
        <f t="shared" si="4"/>
        <v>157</v>
      </c>
      <c r="H18" s="77">
        <f t="shared" si="4"/>
        <v>132</v>
      </c>
      <c r="I18" s="77">
        <f t="shared" si="4"/>
        <v>114</v>
      </c>
      <c r="J18" s="77">
        <v>128</v>
      </c>
      <c r="K18" s="202">
        <v>135</v>
      </c>
      <c r="L18" s="202">
        <v>102</v>
      </c>
      <c r="M18" s="202">
        <v>97</v>
      </c>
      <c r="N18" s="202">
        <v>86</v>
      </c>
    </row>
    <row r="19" spans="2:15" ht="16.5" thickBot="1">
      <c r="B19" s="7"/>
      <c r="C19" s="2" t="s">
        <v>14</v>
      </c>
      <c r="D19" s="43">
        <v>0</v>
      </c>
      <c r="E19" s="77">
        <v>0</v>
      </c>
      <c r="F19" s="77">
        <v>1</v>
      </c>
      <c r="G19" s="77"/>
      <c r="H19" s="77"/>
      <c r="I19" s="77"/>
      <c r="J19" s="77"/>
      <c r="K19" s="202">
        <v>1</v>
      </c>
      <c r="L19" s="202"/>
      <c r="M19" s="202"/>
      <c r="N19" s="202"/>
    </row>
    <row r="20" spans="2:15" ht="17.100000000000001" customHeight="1" thickTop="1" thickBot="1">
      <c r="B20" s="7"/>
      <c r="C20" s="13" t="s">
        <v>15</v>
      </c>
      <c r="D20" s="44">
        <f t="shared" ref="D20:I20" si="5">D18+D19</f>
        <v>75</v>
      </c>
      <c r="E20" s="78">
        <f t="shared" si="5"/>
        <v>74</v>
      </c>
      <c r="F20" s="78">
        <f t="shared" si="5"/>
        <v>125</v>
      </c>
      <c r="G20" s="78">
        <f t="shared" si="5"/>
        <v>157</v>
      </c>
      <c r="H20" s="78">
        <f t="shared" si="5"/>
        <v>132</v>
      </c>
      <c r="I20" s="78">
        <f t="shared" si="5"/>
        <v>114</v>
      </c>
      <c r="J20" s="78">
        <v>128</v>
      </c>
      <c r="K20" s="204">
        <v>136</v>
      </c>
      <c r="L20" s="204">
        <v>102</v>
      </c>
      <c r="M20" s="204">
        <v>97</v>
      </c>
      <c r="N20" s="204">
        <v>86</v>
      </c>
    </row>
    <row r="21" spans="2:15">
      <c r="B21" s="4"/>
      <c r="C21" s="4" t="s">
        <v>11</v>
      </c>
      <c r="D21" s="45">
        <f>46+7</f>
        <v>53</v>
      </c>
      <c r="E21" s="79">
        <v>40</v>
      </c>
      <c r="F21" s="79">
        <v>38</v>
      </c>
      <c r="G21" s="79">
        <v>70</v>
      </c>
      <c r="H21" s="79">
        <v>69</v>
      </c>
      <c r="I21" s="79">
        <f>3+58+1+3</f>
        <v>65</v>
      </c>
      <c r="J21" s="79">
        <v>74</v>
      </c>
      <c r="K21" s="207">
        <v>67</v>
      </c>
      <c r="L21" s="207">
        <v>70</v>
      </c>
      <c r="M21" s="207">
        <v>59</v>
      </c>
      <c r="N21" s="207">
        <v>60</v>
      </c>
    </row>
    <row r="22" spans="2:15">
      <c r="B22" s="7"/>
      <c r="C22" s="8" t="s">
        <v>12</v>
      </c>
      <c r="D22" s="42">
        <v>7</v>
      </c>
      <c r="E22" s="76">
        <v>6</v>
      </c>
      <c r="F22" s="76">
        <v>13</v>
      </c>
      <c r="G22" s="76">
        <v>19</v>
      </c>
      <c r="H22" s="76">
        <v>18</v>
      </c>
      <c r="I22" s="76">
        <f>1+1+1+2+2+2+2+1</f>
        <v>12</v>
      </c>
      <c r="J22" s="76">
        <v>21</v>
      </c>
      <c r="K22" s="206">
        <v>13</v>
      </c>
      <c r="L22" s="206">
        <v>18</v>
      </c>
      <c r="M22" s="206">
        <v>21</v>
      </c>
      <c r="N22" s="206">
        <v>18</v>
      </c>
    </row>
    <row r="23" spans="2:15">
      <c r="B23" s="7" t="s">
        <v>5</v>
      </c>
      <c r="C23" s="3" t="s">
        <v>13</v>
      </c>
      <c r="D23" s="43">
        <f t="shared" ref="D23:I23" si="6">D21+D22</f>
        <v>60</v>
      </c>
      <c r="E23" s="77">
        <f t="shared" si="6"/>
        <v>46</v>
      </c>
      <c r="F23" s="77">
        <f t="shared" si="6"/>
        <v>51</v>
      </c>
      <c r="G23" s="77">
        <f t="shared" si="6"/>
        <v>89</v>
      </c>
      <c r="H23" s="77">
        <f t="shared" si="6"/>
        <v>87</v>
      </c>
      <c r="I23" s="77">
        <f t="shared" si="6"/>
        <v>77</v>
      </c>
      <c r="J23" s="77">
        <v>95</v>
      </c>
      <c r="K23" s="202">
        <v>80</v>
      </c>
      <c r="L23" s="202">
        <v>88</v>
      </c>
      <c r="M23" s="202">
        <v>80</v>
      </c>
      <c r="N23" s="202">
        <v>78</v>
      </c>
    </row>
    <row r="24" spans="2:15" ht="16.5" thickBot="1">
      <c r="B24" s="7"/>
      <c r="C24" s="2" t="s">
        <v>14</v>
      </c>
      <c r="D24" s="43">
        <v>1</v>
      </c>
      <c r="E24" s="77">
        <v>1</v>
      </c>
      <c r="F24" s="77"/>
      <c r="G24" s="77"/>
      <c r="H24" s="77"/>
      <c r="I24" s="77"/>
      <c r="J24" s="77"/>
      <c r="K24" s="202"/>
      <c r="L24" s="202"/>
      <c r="M24" s="202"/>
      <c r="N24" s="202"/>
    </row>
    <row r="25" spans="2:15" ht="17.100000000000001" customHeight="1" thickTop="1" thickBot="1">
      <c r="B25" s="7"/>
      <c r="C25" s="13" t="s">
        <v>15</v>
      </c>
      <c r="D25" s="44">
        <f t="shared" ref="D25:I25" si="7">D23+D24</f>
        <v>61</v>
      </c>
      <c r="E25" s="78">
        <f t="shared" si="7"/>
        <v>47</v>
      </c>
      <c r="F25" s="78">
        <f t="shared" si="7"/>
        <v>51</v>
      </c>
      <c r="G25" s="78">
        <f t="shared" si="7"/>
        <v>89</v>
      </c>
      <c r="H25" s="78">
        <f t="shared" si="7"/>
        <v>87</v>
      </c>
      <c r="I25" s="78">
        <f t="shared" si="7"/>
        <v>77</v>
      </c>
      <c r="J25" s="78">
        <v>95</v>
      </c>
      <c r="K25" s="204">
        <v>80</v>
      </c>
      <c r="L25" s="204">
        <v>88</v>
      </c>
      <c r="M25" s="204">
        <v>80</v>
      </c>
      <c r="N25" s="204">
        <v>78</v>
      </c>
    </row>
    <row r="26" spans="2:15" ht="21" customHeight="1" thickTop="1">
      <c r="B26" s="46"/>
      <c r="C26" s="46" t="s">
        <v>11</v>
      </c>
      <c r="D26" s="47">
        <f t="shared" ref="D26:I26" si="8">SUM(D6,D11,D16,D21)</f>
        <v>296</v>
      </c>
      <c r="E26" s="80">
        <f t="shared" si="8"/>
        <v>373</v>
      </c>
      <c r="F26" s="80">
        <f t="shared" si="8"/>
        <v>439</v>
      </c>
      <c r="G26" s="80">
        <f t="shared" si="8"/>
        <v>430</v>
      </c>
      <c r="H26" s="80">
        <f t="shared" si="8"/>
        <v>447</v>
      </c>
      <c r="I26" s="80">
        <f t="shared" si="8"/>
        <v>412</v>
      </c>
      <c r="J26" s="80">
        <v>412</v>
      </c>
      <c r="K26" s="80">
        <v>408</v>
      </c>
      <c r="L26" s="80">
        <v>358</v>
      </c>
      <c r="M26" s="80">
        <v>335</v>
      </c>
      <c r="N26" s="80">
        <v>308</v>
      </c>
    </row>
    <row r="27" spans="2:15" ht="21" customHeight="1">
      <c r="B27" s="19"/>
      <c r="C27" s="19" t="s">
        <v>12</v>
      </c>
      <c r="D27" s="48">
        <f t="shared" ref="D27:I27" si="9">SUM(D7,D12,D17,D22)</f>
        <v>28</v>
      </c>
      <c r="E27" s="81">
        <f t="shared" si="9"/>
        <v>43</v>
      </c>
      <c r="F27" s="81">
        <f t="shared" si="9"/>
        <v>66</v>
      </c>
      <c r="G27" s="81">
        <f t="shared" si="9"/>
        <v>69</v>
      </c>
      <c r="H27" s="81">
        <f t="shared" si="9"/>
        <v>48</v>
      </c>
      <c r="I27" s="81">
        <f t="shared" si="9"/>
        <v>46</v>
      </c>
      <c r="J27" s="81">
        <v>65</v>
      </c>
      <c r="K27" s="81">
        <v>60</v>
      </c>
      <c r="L27" s="81">
        <v>61</v>
      </c>
      <c r="M27" s="81">
        <v>60</v>
      </c>
      <c r="N27" s="81">
        <v>54</v>
      </c>
    </row>
    <row r="28" spans="2:15" ht="21" customHeight="1">
      <c r="B28" s="22" t="s">
        <v>6</v>
      </c>
      <c r="C28" s="23" t="s">
        <v>13</v>
      </c>
      <c r="D28" s="49">
        <f t="shared" ref="D28:I28" si="10">D26+D27</f>
        <v>324</v>
      </c>
      <c r="E28" s="82">
        <f t="shared" si="10"/>
        <v>416</v>
      </c>
      <c r="F28" s="82">
        <f t="shared" si="10"/>
        <v>505</v>
      </c>
      <c r="G28" s="82">
        <f t="shared" si="10"/>
        <v>499</v>
      </c>
      <c r="H28" s="82">
        <f t="shared" si="10"/>
        <v>495</v>
      </c>
      <c r="I28" s="82">
        <f t="shared" si="10"/>
        <v>458</v>
      </c>
      <c r="J28" s="82">
        <v>477</v>
      </c>
      <c r="K28" s="82">
        <v>468</v>
      </c>
      <c r="L28" s="82">
        <v>419</v>
      </c>
      <c r="M28" s="82">
        <v>395</v>
      </c>
      <c r="N28" s="82">
        <v>362</v>
      </c>
    </row>
    <row r="29" spans="2:15" ht="21" customHeight="1" thickBot="1">
      <c r="B29" s="19"/>
      <c r="C29" s="26" t="s">
        <v>14</v>
      </c>
      <c r="D29" s="49">
        <f>SUM(D9,D14,D19,D24)</f>
        <v>1</v>
      </c>
      <c r="E29" s="82">
        <f>SUM(E9,E14,E19,E24)</f>
        <v>2</v>
      </c>
      <c r="F29" s="82">
        <f>SUM(F9,F14,F19,F24)</f>
        <v>1</v>
      </c>
      <c r="G29" s="82"/>
      <c r="H29" s="82"/>
      <c r="I29" s="82"/>
      <c r="J29" s="82"/>
      <c r="K29" s="82">
        <v>1</v>
      </c>
      <c r="L29" s="82">
        <v>0</v>
      </c>
      <c r="M29" s="82"/>
      <c r="N29" s="82"/>
    </row>
    <row r="30" spans="2:15" ht="21" customHeight="1" thickTop="1" thickBot="1">
      <c r="B30" s="22"/>
      <c r="C30" s="27" t="s">
        <v>15</v>
      </c>
      <c r="D30" s="50">
        <f t="shared" ref="D30:I30" si="11">D28+D29</f>
        <v>325</v>
      </c>
      <c r="E30" s="83">
        <f t="shared" si="11"/>
        <v>418</v>
      </c>
      <c r="F30" s="83">
        <f t="shared" si="11"/>
        <v>506</v>
      </c>
      <c r="G30" s="83">
        <f t="shared" si="11"/>
        <v>499</v>
      </c>
      <c r="H30" s="83">
        <f t="shared" si="11"/>
        <v>495</v>
      </c>
      <c r="I30" s="83">
        <f t="shared" si="11"/>
        <v>458</v>
      </c>
      <c r="J30" s="83">
        <v>477</v>
      </c>
      <c r="K30" s="83">
        <v>469</v>
      </c>
      <c r="L30" s="83">
        <v>419</v>
      </c>
      <c r="M30" s="83">
        <v>395</v>
      </c>
      <c r="N30" s="83">
        <v>362</v>
      </c>
    </row>
    <row r="31" spans="2:15" ht="16.5" thickTop="1">
      <c r="B31" s="29" t="s">
        <v>7</v>
      </c>
      <c r="C31" s="30"/>
      <c r="D31" s="29">
        <v>190</v>
      </c>
      <c r="E31" s="84">
        <v>232</v>
      </c>
      <c r="F31" s="84">
        <v>306</v>
      </c>
      <c r="G31" s="84">
        <v>307</v>
      </c>
      <c r="H31" s="84">
        <v>297</v>
      </c>
      <c r="I31" s="84">
        <v>283</v>
      </c>
      <c r="J31" s="84">
        <v>269</v>
      </c>
      <c r="K31" s="84">
        <v>269</v>
      </c>
      <c r="L31" s="84">
        <v>260</v>
      </c>
      <c r="M31" s="84">
        <v>227</v>
      </c>
      <c r="N31" s="211">
        <v>209</v>
      </c>
      <c r="O31" s="296">
        <f>N31/N30</f>
        <v>0.57734806629834257</v>
      </c>
    </row>
    <row r="32" spans="2:15" ht="16.5" thickBot="1">
      <c r="B32" s="8" t="s">
        <v>8</v>
      </c>
      <c r="C32" s="31"/>
      <c r="D32" s="8">
        <v>135</v>
      </c>
      <c r="E32" s="85">
        <v>186</v>
      </c>
      <c r="F32" s="85">
        <v>200</v>
      </c>
      <c r="G32" s="85">
        <v>192</v>
      </c>
      <c r="H32" s="85">
        <v>198</v>
      </c>
      <c r="I32" s="85">
        <v>175</v>
      </c>
      <c r="J32" s="85">
        <v>208</v>
      </c>
      <c r="K32" s="85">
        <v>200</v>
      </c>
      <c r="L32" s="85">
        <v>159</v>
      </c>
      <c r="M32" s="85">
        <v>168</v>
      </c>
      <c r="N32" s="212">
        <v>153</v>
      </c>
      <c r="O32" s="297">
        <f>N32/N30</f>
        <v>0.42265193370165743</v>
      </c>
    </row>
    <row r="33" spans="2:15">
      <c r="B33" s="4" t="s">
        <v>9</v>
      </c>
      <c r="C33" s="34"/>
      <c r="D33" s="4">
        <v>298</v>
      </c>
      <c r="E33" s="86">
        <v>380</v>
      </c>
      <c r="F33" s="86">
        <v>459</v>
      </c>
      <c r="G33" s="86">
        <v>444</v>
      </c>
      <c r="H33" s="86">
        <v>434</v>
      </c>
      <c r="I33" s="86">
        <v>394</v>
      </c>
      <c r="J33" s="86">
        <v>406</v>
      </c>
      <c r="K33" s="86">
        <v>402</v>
      </c>
      <c r="L33" s="86">
        <v>362</v>
      </c>
      <c r="M33" s="86">
        <v>346</v>
      </c>
      <c r="N33" s="213">
        <v>313</v>
      </c>
      <c r="O33" s="296">
        <f>N33/N30</f>
        <v>0.86464088397790051</v>
      </c>
    </row>
    <row r="34" spans="2:15">
      <c r="B34" s="8" t="s">
        <v>10</v>
      </c>
      <c r="C34" s="31"/>
      <c r="D34" s="8">
        <v>27</v>
      </c>
      <c r="E34" s="87">
        <v>38</v>
      </c>
      <c r="F34" s="87">
        <v>47</v>
      </c>
      <c r="G34" s="87">
        <v>55</v>
      </c>
      <c r="H34" s="87">
        <v>61</v>
      </c>
      <c r="I34" s="87">
        <v>64</v>
      </c>
      <c r="J34" s="87">
        <v>71</v>
      </c>
      <c r="K34" s="87">
        <v>67</v>
      </c>
      <c r="L34" s="87">
        <v>57</v>
      </c>
      <c r="M34" s="87">
        <v>49</v>
      </c>
      <c r="N34" s="214">
        <v>49</v>
      </c>
      <c r="O34" s="296">
        <f>N34/N30</f>
        <v>0.13535911602209943</v>
      </c>
    </row>
    <row r="35" spans="2:15">
      <c r="B35" s="40"/>
      <c r="C35" s="40"/>
      <c r="D35" s="40"/>
    </row>
    <row r="36" spans="2:15">
      <c r="B36" s="37"/>
      <c r="C36" s="37"/>
    </row>
    <row r="54" spans="2:3" hidden="1">
      <c r="B54" s="38" t="s">
        <v>34</v>
      </c>
      <c r="C54" s="31"/>
    </row>
    <row r="55" spans="2:3" hidden="1">
      <c r="B55" s="31" t="s">
        <v>106</v>
      </c>
    </row>
    <row r="56" spans="2:3" hidden="1">
      <c r="B56" s="31" t="s">
        <v>104</v>
      </c>
    </row>
    <row r="57" spans="2:3" hidden="1">
      <c r="B57" s="31" t="s">
        <v>107</v>
      </c>
    </row>
    <row r="58" spans="2:3" hidden="1">
      <c r="B58" s="31" t="s">
        <v>29</v>
      </c>
    </row>
    <row r="59" spans="2:3" hidden="1">
      <c r="B59" s="31" t="s">
        <v>105</v>
      </c>
    </row>
    <row r="60" spans="2:3" hidden="1">
      <c r="B60" s="31" t="s">
        <v>108</v>
      </c>
    </row>
  </sheetData>
  <mergeCells count="6">
    <mergeCell ref="B1:N1"/>
    <mergeCell ref="D4:N4"/>
    <mergeCell ref="B4:B5"/>
    <mergeCell ref="C4:C5"/>
    <mergeCell ref="B3:N3"/>
    <mergeCell ref="B2:N2"/>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97&amp;R&amp;"Lucida Sans Unicode,Regular"&amp;10December 2015</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O60"/>
  <sheetViews>
    <sheetView showGridLines="0" view="pageLayout" topLeftCell="A37" zoomScaleNormal="100" zoomScaleSheetLayoutView="100" workbookViewId="0">
      <selection activeCell="N35" sqref="N35"/>
    </sheetView>
  </sheetViews>
  <sheetFormatPr defaultColWidth="9.6640625" defaultRowHeight="15.75"/>
  <cols>
    <col min="1" max="1" width="6.21875" style="136" customWidth="1"/>
    <col min="2" max="2" width="9.6640625" style="38" customWidth="1"/>
    <col min="3" max="3" width="15.6640625" style="38" customWidth="1"/>
    <col min="4" max="4" width="7.6640625" style="38" hidden="1" customWidth="1"/>
    <col min="5" max="9" width="7.5546875" style="38" hidden="1" customWidth="1"/>
    <col min="10" max="14" width="8.77734375" style="38" customWidth="1"/>
    <col min="15" max="15" width="6.88671875" style="38" bestFit="1" customWidth="1"/>
    <col min="16" max="16384" width="9.6640625" style="38"/>
  </cols>
  <sheetData>
    <row r="1" spans="1:14" s="194" customFormat="1" ht="24" customHeight="1">
      <c r="A1" s="199"/>
      <c r="B1" s="465" t="s">
        <v>0</v>
      </c>
      <c r="C1" s="465"/>
      <c r="D1" s="465"/>
      <c r="E1" s="465"/>
      <c r="F1" s="465"/>
      <c r="G1" s="465"/>
      <c r="H1" s="465"/>
      <c r="I1" s="465"/>
      <c r="J1" s="465"/>
      <c r="K1" s="465"/>
      <c r="L1" s="465"/>
      <c r="M1" s="465"/>
      <c r="N1" s="465"/>
    </row>
    <row r="2" spans="1:14" s="196" customFormat="1" ht="25.5" customHeight="1">
      <c r="A2" s="200"/>
      <c r="B2" s="464" t="s">
        <v>47</v>
      </c>
      <c r="C2" s="464"/>
      <c r="D2" s="464"/>
      <c r="E2" s="464"/>
      <c r="F2" s="464"/>
      <c r="G2" s="464"/>
      <c r="H2" s="464"/>
      <c r="I2" s="464"/>
      <c r="J2" s="464"/>
      <c r="K2" s="464"/>
      <c r="L2" s="464"/>
      <c r="M2" s="464"/>
      <c r="N2" s="464"/>
    </row>
    <row r="3" spans="1:14" s="194" customFormat="1" ht="21" customHeight="1">
      <c r="A3" s="199"/>
      <c r="B3" s="523" t="s">
        <v>153</v>
      </c>
      <c r="C3" s="523"/>
      <c r="D3" s="523"/>
      <c r="E3" s="523"/>
      <c r="F3" s="523"/>
      <c r="G3" s="523"/>
      <c r="H3" s="523"/>
      <c r="I3" s="523"/>
      <c r="J3" s="523"/>
      <c r="K3" s="523"/>
      <c r="L3" s="523"/>
      <c r="M3" s="523"/>
      <c r="N3" s="523"/>
    </row>
    <row r="4" spans="1:14" ht="15.75" customHeight="1">
      <c r="B4" s="524" t="s">
        <v>59</v>
      </c>
      <c r="C4" s="524" t="s">
        <v>60</v>
      </c>
      <c r="D4" s="528" t="s">
        <v>149</v>
      </c>
      <c r="E4" s="528"/>
      <c r="F4" s="528"/>
      <c r="G4" s="528"/>
      <c r="H4" s="528"/>
      <c r="I4" s="528"/>
      <c r="J4" s="528"/>
      <c r="K4" s="528"/>
      <c r="L4" s="528"/>
      <c r="M4" s="528"/>
      <c r="N4" s="529"/>
    </row>
    <row r="5" spans="1:14" s="106" customFormat="1">
      <c r="A5" s="136"/>
      <c r="B5" s="531"/>
      <c r="C5" s="531"/>
      <c r="D5" s="137" t="s">
        <v>64</v>
      </c>
      <c r="E5" s="137" t="s">
        <v>63</v>
      </c>
      <c r="F5" s="137" t="s">
        <v>147</v>
      </c>
      <c r="G5" s="137" t="s">
        <v>148</v>
      </c>
      <c r="H5" s="328" t="s">
        <v>57</v>
      </c>
      <c r="I5" s="328" t="s">
        <v>69</v>
      </c>
      <c r="J5" s="328" t="s">
        <v>124</v>
      </c>
      <c r="K5" s="328" t="s">
        <v>146</v>
      </c>
      <c r="L5" s="328" t="s">
        <v>158</v>
      </c>
      <c r="M5" s="328" t="s">
        <v>166</v>
      </c>
      <c r="N5" s="328" t="s">
        <v>187</v>
      </c>
    </row>
    <row r="6" spans="1:14">
      <c r="B6" s="8"/>
      <c r="C6" s="8" t="s">
        <v>11</v>
      </c>
      <c r="D6" s="520" t="s">
        <v>62</v>
      </c>
      <c r="E6" s="109">
        <v>5</v>
      </c>
      <c r="F6" s="109">
        <v>7</v>
      </c>
      <c r="G6" s="109">
        <v>10</v>
      </c>
      <c r="H6" s="109">
        <v>18</v>
      </c>
      <c r="I6" s="109">
        <v>20</v>
      </c>
      <c r="J6" s="109">
        <v>23</v>
      </c>
      <c r="K6" s="109">
        <v>29</v>
      </c>
      <c r="L6" s="109">
        <v>25</v>
      </c>
      <c r="M6" s="109">
        <v>32</v>
      </c>
      <c r="N6" s="109">
        <v>27</v>
      </c>
    </row>
    <row r="7" spans="1:14">
      <c r="B7" s="7"/>
      <c r="C7" s="8" t="s">
        <v>12</v>
      </c>
      <c r="D7" s="521"/>
      <c r="E7" s="76">
        <v>0</v>
      </c>
      <c r="F7" s="76"/>
      <c r="G7" s="76"/>
      <c r="H7" s="76"/>
      <c r="I7" s="76"/>
      <c r="J7" s="76"/>
      <c r="K7" s="76"/>
      <c r="L7" s="76"/>
      <c r="M7" s="76"/>
      <c r="N7" s="76"/>
    </row>
    <row r="8" spans="1:14">
      <c r="B8" s="7" t="s">
        <v>2</v>
      </c>
      <c r="C8" s="3" t="s">
        <v>13</v>
      </c>
      <c r="D8" s="521"/>
      <c r="E8" s="77">
        <v>5</v>
      </c>
      <c r="F8" s="77">
        <v>7</v>
      </c>
      <c r="G8" s="77">
        <v>10</v>
      </c>
      <c r="H8" s="77">
        <f t="shared" ref="H8:I8" si="0">H6+H7</f>
        <v>18</v>
      </c>
      <c r="I8" s="77">
        <f t="shared" si="0"/>
        <v>20</v>
      </c>
      <c r="J8" s="77">
        <v>23</v>
      </c>
      <c r="K8" s="77">
        <v>29</v>
      </c>
      <c r="L8" s="77">
        <v>25</v>
      </c>
      <c r="M8" s="77">
        <v>32</v>
      </c>
      <c r="N8" s="77">
        <v>27</v>
      </c>
    </row>
    <row r="9" spans="1:14" ht="16.5" thickBot="1">
      <c r="B9" s="7"/>
      <c r="C9" s="2" t="s">
        <v>14</v>
      </c>
      <c r="D9" s="522"/>
      <c r="E9" s="77">
        <v>0</v>
      </c>
      <c r="F9" s="77"/>
      <c r="G9" s="77"/>
      <c r="H9" s="77"/>
      <c r="I9" s="77"/>
      <c r="J9" s="77"/>
      <c r="K9" s="77"/>
      <c r="L9" s="77"/>
      <c r="M9" s="77"/>
      <c r="N9" s="77"/>
    </row>
    <row r="10" spans="1:14" ht="17.100000000000001" customHeight="1" thickTop="1" thickBot="1">
      <c r="B10" s="7"/>
      <c r="C10" s="13" t="s">
        <v>15</v>
      </c>
      <c r="D10" s="44"/>
      <c r="E10" s="78">
        <v>5</v>
      </c>
      <c r="F10" s="78">
        <v>7</v>
      </c>
      <c r="G10" s="78">
        <f t="shared" ref="G10:I10" si="1">G8+G9</f>
        <v>10</v>
      </c>
      <c r="H10" s="78">
        <f t="shared" si="1"/>
        <v>18</v>
      </c>
      <c r="I10" s="78">
        <f t="shared" si="1"/>
        <v>20</v>
      </c>
      <c r="J10" s="78">
        <v>23</v>
      </c>
      <c r="K10" s="78">
        <v>29</v>
      </c>
      <c r="L10" s="78">
        <v>25</v>
      </c>
      <c r="M10" s="78">
        <v>32</v>
      </c>
      <c r="N10" s="78">
        <v>27</v>
      </c>
    </row>
    <row r="11" spans="1:14">
      <c r="B11" s="4"/>
      <c r="C11" s="4" t="s">
        <v>11</v>
      </c>
      <c r="D11" s="45"/>
      <c r="E11" s="79">
        <v>9</v>
      </c>
      <c r="F11" s="79">
        <v>4</v>
      </c>
      <c r="G11" s="79">
        <v>4</v>
      </c>
      <c r="H11" s="79">
        <v>10</v>
      </c>
      <c r="I11" s="79">
        <v>14</v>
      </c>
      <c r="J11" s="79">
        <v>7</v>
      </c>
      <c r="K11" s="79">
        <v>6</v>
      </c>
      <c r="L11" s="79">
        <v>10</v>
      </c>
      <c r="M11" s="79">
        <v>12</v>
      </c>
      <c r="N11" s="79">
        <v>16</v>
      </c>
    </row>
    <row r="12" spans="1:14">
      <c r="B12" s="7"/>
      <c r="C12" s="8" t="s">
        <v>12</v>
      </c>
      <c r="D12" s="42"/>
      <c r="E12" s="76">
        <v>0</v>
      </c>
      <c r="F12" s="76"/>
      <c r="G12" s="76"/>
      <c r="H12" s="76"/>
      <c r="I12" s="76"/>
      <c r="J12" s="76"/>
      <c r="K12" s="76"/>
      <c r="L12" s="76"/>
      <c r="M12" s="76"/>
      <c r="N12" s="76"/>
    </row>
    <row r="13" spans="1:14">
      <c r="B13" s="7" t="s">
        <v>3</v>
      </c>
      <c r="C13" s="3" t="s">
        <v>13</v>
      </c>
      <c r="D13" s="43"/>
      <c r="E13" s="77">
        <v>9</v>
      </c>
      <c r="F13" s="77">
        <v>4</v>
      </c>
      <c r="G13" s="77">
        <v>4</v>
      </c>
      <c r="H13" s="77">
        <f t="shared" ref="H13:I13" si="2">H11+H12</f>
        <v>10</v>
      </c>
      <c r="I13" s="77">
        <f t="shared" si="2"/>
        <v>14</v>
      </c>
      <c r="J13" s="77">
        <v>7</v>
      </c>
      <c r="K13" s="77">
        <v>6</v>
      </c>
      <c r="L13" s="77">
        <v>10</v>
      </c>
      <c r="M13" s="77">
        <v>12</v>
      </c>
      <c r="N13" s="77">
        <v>16</v>
      </c>
    </row>
    <row r="14" spans="1:14" ht="16.5" thickBot="1">
      <c r="B14" s="7"/>
      <c r="C14" s="2" t="s">
        <v>14</v>
      </c>
      <c r="D14" s="43"/>
      <c r="E14" s="77">
        <v>0</v>
      </c>
      <c r="F14" s="77"/>
      <c r="G14" s="77"/>
      <c r="H14" s="77"/>
      <c r="I14" s="77"/>
      <c r="J14" s="77"/>
      <c r="K14" s="77"/>
      <c r="L14" s="77"/>
      <c r="M14" s="77"/>
      <c r="N14" s="77"/>
    </row>
    <row r="15" spans="1:14" ht="17.100000000000001" customHeight="1" thickTop="1" thickBot="1">
      <c r="B15" s="7"/>
      <c r="C15" s="13" t="s">
        <v>15</v>
      </c>
      <c r="D15" s="44"/>
      <c r="E15" s="78">
        <v>9</v>
      </c>
      <c r="F15" s="78">
        <v>4</v>
      </c>
      <c r="G15" s="78">
        <v>4</v>
      </c>
      <c r="H15" s="78">
        <f t="shared" ref="H15:I15" si="3">H13+H14</f>
        <v>10</v>
      </c>
      <c r="I15" s="78">
        <f t="shared" si="3"/>
        <v>14</v>
      </c>
      <c r="J15" s="78">
        <v>7</v>
      </c>
      <c r="K15" s="78">
        <v>6</v>
      </c>
      <c r="L15" s="78">
        <v>10</v>
      </c>
      <c r="M15" s="78">
        <v>12</v>
      </c>
      <c r="N15" s="78">
        <v>16</v>
      </c>
    </row>
    <row r="16" spans="1:14">
      <c r="B16" s="4"/>
      <c r="C16" s="4" t="s">
        <v>11</v>
      </c>
      <c r="D16" s="45"/>
      <c r="E16" s="79">
        <v>1</v>
      </c>
      <c r="F16" s="79">
        <v>4</v>
      </c>
      <c r="G16" s="79">
        <v>4</v>
      </c>
      <c r="H16" s="79">
        <v>4</v>
      </c>
      <c r="I16" s="79">
        <v>8</v>
      </c>
      <c r="J16" s="79">
        <v>16</v>
      </c>
      <c r="K16" s="79">
        <v>11</v>
      </c>
      <c r="L16" s="79">
        <v>4</v>
      </c>
      <c r="M16" s="79">
        <v>10</v>
      </c>
      <c r="N16" s="79">
        <v>8</v>
      </c>
    </row>
    <row r="17" spans="2:15">
      <c r="B17" s="7"/>
      <c r="C17" s="8" t="s">
        <v>12</v>
      </c>
      <c r="D17" s="42"/>
      <c r="E17" s="76">
        <v>0</v>
      </c>
      <c r="F17" s="76"/>
      <c r="G17" s="76"/>
      <c r="H17" s="76"/>
      <c r="I17" s="76"/>
      <c r="J17" s="76"/>
      <c r="K17" s="76"/>
      <c r="L17" s="76"/>
      <c r="M17" s="76"/>
      <c r="N17" s="76"/>
    </row>
    <row r="18" spans="2:15">
      <c r="B18" s="7" t="s">
        <v>4</v>
      </c>
      <c r="C18" s="3" t="s">
        <v>13</v>
      </c>
      <c r="D18" s="43"/>
      <c r="E18" s="77">
        <v>1</v>
      </c>
      <c r="F18" s="77">
        <v>4</v>
      </c>
      <c r="G18" s="77">
        <v>4</v>
      </c>
      <c r="H18" s="77">
        <f t="shared" ref="H18:I18" si="4">H16+H17</f>
        <v>4</v>
      </c>
      <c r="I18" s="77">
        <f t="shared" si="4"/>
        <v>8</v>
      </c>
      <c r="J18" s="77">
        <v>16</v>
      </c>
      <c r="K18" s="77">
        <v>11</v>
      </c>
      <c r="L18" s="77">
        <v>4</v>
      </c>
      <c r="M18" s="77">
        <v>10</v>
      </c>
      <c r="N18" s="77">
        <v>8</v>
      </c>
    </row>
    <row r="19" spans="2:15" ht="16.5" thickBot="1">
      <c r="B19" s="7"/>
      <c r="C19" s="2" t="s">
        <v>14</v>
      </c>
      <c r="D19" s="43"/>
      <c r="E19" s="77">
        <v>0</v>
      </c>
      <c r="F19" s="77"/>
      <c r="G19" s="77"/>
      <c r="H19" s="77"/>
      <c r="I19" s="77"/>
      <c r="J19" s="77"/>
      <c r="K19" s="77"/>
      <c r="L19" s="77"/>
      <c r="M19" s="77"/>
      <c r="N19" s="77"/>
    </row>
    <row r="20" spans="2:15" ht="17.100000000000001" customHeight="1" thickTop="1" thickBot="1">
      <c r="B20" s="7"/>
      <c r="C20" s="13" t="s">
        <v>15</v>
      </c>
      <c r="D20" s="44"/>
      <c r="E20" s="78">
        <v>1</v>
      </c>
      <c r="F20" s="78">
        <v>4</v>
      </c>
      <c r="G20" s="78">
        <v>4</v>
      </c>
      <c r="H20" s="78">
        <f t="shared" ref="H20:I20" si="5">H18+H19</f>
        <v>4</v>
      </c>
      <c r="I20" s="78">
        <f t="shared" si="5"/>
        <v>8</v>
      </c>
      <c r="J20" s="78">
        <v>16</v>
      </c>
      <c r="K20" s="78">
        <v>11</v>
      </c>
      <c r="L20" s="78">
        <v>4</v>
      </c>
      <c r="M20" s="78">
        <v>10</v>
      </c>
      <c r="N20" s="78">
        <v>8</v>
      </c>
    </row>
    <row r="21" spans="2:15">
      <c r="B21" s="4"/>
      <c r="C21" s="4" t="s">
        <v>11</v>
      </c>
      <c r="D21" s="45"/>
      <c r="E21" s="79">
        <v>1</v>
      </c>
      <c r="F21" s="79"/>
      <c r="G21" s="79">
        <v>2</v>
      </c>
      <c r="H21" s="79">
        <v>5</v>
      </c>
      <c r="I21" s="79">
        <v>1</v>
      </c>
      <c r="J21" s="79">
        <v>6</v>
      </c>
      <c r="K21" s="79">
        <v>7</v>
      </c>
      <c r="L21" s="79">
        <v>7</v>
      </c>
      <c r="M21" s="79">
        <v>2</v>
      </c>
      <c r="N21" s="79">
        <v>4</v>
      </c>
    </row>
    <row r="22" spans="2:15">
      <c r="B22" s="7"/>
      <c r="C22" s="8" t="s">
        <v>12</v>
      </c>
      <c r="D22" s="42"/>
      <c r="E22" s="76">
        <v>0</v>
      </c>
      <c r="F22" s="76"/>
      <c r="G22" s="76"/>
      <c r="H22" s="76"/>
      <c r="I22" s="76"/>
      <c r="J22" s="76"/>
      <c r="K22" s="76"/>
      <c r="L22" s="76"/>
      <c r="M22" s="76"/>
      <c r="N22" s="76"/>
    </row>
    <row r="23" spans="2:15">
      <c r="B23" s="7" t="s">
        <v>5</v>
      </c>
      <c r="C23" s="3" t="s">
        <v>13</v>
      </c>
      <c r="D23" s="43"/>
      <c r="E23" s="77">
        <v>1</v>
      </c>
      <c r="F23" s="77"/>
      <c r="G23" s="77">
        <v>2</v>
      </c>
      <c r="H23" s="77">
        <f t="shared" ref="H23:I23" si="6">H21+H22</f>
        <v>5</v>
      </c>
      <c r="I23" s="77">
        <f t="shared" si="6"/>
        <v>1</v>
      </c>
      <c r="J23" s="77">
        <v>6</v>
      </c>
      <c r="K23" s="77">
        <v>7</v>
      </c>
      <c r="L23" s="77">
        <v>7</v>
      </c>
      <c r="M23" s="77">
        <v>2</v>
      </c>
      <c r="N23" s="77">
        <v>4</v>
      </c>
    </row>
    <row r="24" spans="2:15" ht="16.5" thickBot="1">
      <c r="B24" s="7"/>
      <c r="C24" s="2" t="s">
        <v>14</v>
      </c>
      <c r="D24" s="43"/>
      <c r="E24" s="77">
        <v>0</v>
      </c>
      <c r="F24" s="77"/>
      <c r="G24" s="77"/>
      <c r="H24" s="77"/>
      <c r="I24" s="77"/>
      <c r="J24" s="77"/>
      <c r="K24" s="77"/>
      <c r="L24" s="77"/>
      <c r="M24" s="77"/>
      <c r="N24" s="77"/>
    </row>
    <row r="25" spans="2:15" ht="17.100000000000001" customHeight="1" thickTop="1" thickBot="1">
      <c r="B25" s="7"/>
      <c r="C25" s="13" t="s">
        <v>15</v>
      </c>
      <c r="D25" s="44"/>
      <c r="E25" s="78">
        <v>1</v>
      </c>
      <c r="F25" s="78"/>
      <c r="G25" s="78">
        <v>2</v>
      </c>
      <c r="H25" s="78">
        <f t="shared" ref="H25:I25" si="7">H23+H24</f>
        <v>5</v>
      </c>
      <c r="I25" s="78">
        <f t="shared" si="7"/>
        <v>1</v>
      </c>
      <c r="J25" s="78">
        <v>6</v>
      </c>
      <c r="K25" s="78">
        <v>7</v>
      </c>
      <c r="L25" s="78">
        <v>7</v>
      </c>
      <c r="M25" s="78">
        <v>2</v>
      </c>
      <c r="N25" s="78">
        <v>4</v>
      </c>
    </row>
    <row r="26" spans="2:15" ht="21" customHeight="1" thickTop="1">
      <c r="B26" s="46"/>
      <c r="C26" s="46" t="s">
        <v>11</v>
      </c>
      <c r="D26" s="47"/>
      <c r="E26" s="80">
        <f t="shared" ref="E26:I26" si="8">SUM(E6,E11,E16,E21)</f>
        <v>16</v>
      </c>
      <c r="F26" s="80">
        <f t="shared" si="8"/>
        <v>15</v>
      </c>
      <c r="G26" s="80">
        <f t="shared" si="8"/>
        <v>20</v>
      </c>
      <c r="H26" s="80">
        <f t="shared" si="8"/>
        <v>37</v>
      </c>
      <c r="I26" s="80">
        <f t="shared" si="8"/>
        <v>43</v>
      </c>
      <c r="J26" s="80">
        <v>52</v>
      </c>
      <c r="K26" s="80">
        <v>53</v>
      </c>
      <c r="L26" s="80">
        <v>46</v>
      </c>
      <c r="M26" s="80">
        <v>56</v>
      </c>
      <c r="N26" s="80">
        <v>55</v>
      </c>
    </row>
    <row r="27" spans="2:15" ht="21" customHeight="1">
      <c r="B27" s="19"/>
      <c r="C27" s="19" t="s">
        <v>12</v>
      </c>
      <c r="D27" s="48"/>
      <c r="E27" s="81">
        <v>0</v>
      </c>
      <c r="F27" s="81"/>
      <c r="G27" s="81"/>
      <c r="H27" s="81"/>
      <c r="I27" s="81"/>
      <c r="J27" s="81"/>
      <c r="K27" s="81"/>
      <c r="L27" s="81"/>
      <c r="M27" s="81"/>
      <c r="N27" s="81"/>
    </row>
    <row r="28" spans="2:15" ht="21" customHeight="1">
      <c r="B28" s="22" t="s">
        <v>6</v>
      </c>
      <c r="C28" s="23" t="s">
        <v>13</v>
      </c>
      <c r="D28" s="49"/>
      <c r="E28" s="82">
        <f t="shared" ref="E28:I28" si="9">SUM(E8,E13,E18,E23)</f>
        <v>16</v>
      </c>
      <c r="F28" s="82">
        <f t="shared" si="9"/>
        <v>15</v>
      </c>
      <c r="G28" s="82">
        <f t="shared" si="9"/>
        <v>20</v>
      </c>
      <c r="H28" s="82">
        <f t="shared" si="9"/>
        <v>37</v>
      </c>
      <c r="I28" s="82">
        <f t="shared" si="9"/>
        <v>43</v>
      </c>
      <c r="J28" s="82">
        <v>52</v>
      </c>
      <c r="K28" s="82">
        <v>53</v>
      </c>
      <c r="L28" s="82">
        <v>46</v>
      </c>
      <c r="M28" s="82">
        <v>56</v>
      </c>
      <c r="N28" s="82">
        <v>55</v>
      </c>
    </row>
    <row r="29" spans="2:15" ht="21" customHeight="1" thickBot="1">
      <c r="B29" s="19"/>
      <c r="C29" s="26" t="s">
        <v>14</v>
      </c>
      <c r="D29" s="49"/>
      <c r="E29" s="82">
        <v>0</v>
      </c>
      <c r="F29" s="82"/>
      <c r="G29" s="82"/>
      <c r="H29" s="82"/>
      <c r="I29" s="82"/>
      <c r="J29" s="82"/>
      <c r="K29" s="82"/>
      <c r="L29" s="82"/>
      <c r="M29" s="82"/>
      <c r="N29" s="82"/>
    </row>
    <row r="30" spans="2:15" ht="21" customHeight="1" thickTop="1" thickBot="1">
      <c r="B30" s="22"/>
      <c r="C30" s="27" t="s">
        <v>15</v>
      </c>
      <c r="D30" s="50"/>
      <c r="E30" s="83">
        <f t="shared" ref="E30:I30" si="10">SUM(E10,E15,E20,E25)</f>
        <v>16</v>
      </c>
      <c r="F30" s="83">
        <f t="shared" si="10"/>
        <v>15</v>
      </c>
      <c r="G30" s="83">
        <f t="shared" si="10"/>
        <v>20</v>
      </c>
      <c r="H30" s="83">
        <f t="shared" si="10"/>
        <v>37</v>
      </c>
      <c r="I30" s="83">
        <f t="shared" si="10"/>
        <v>43</v>
      </c>
      <c r="J30" s="83">
        <v>52</v>
      </c>
      <c r="K30" s="83">
        <v>53</v>
      </c>
      <c r="L30" s="83">
        <v>46</v>
      </c>
      <c r="M30" s="83">
        <v>56</v>
      </c>
      <c r="N30" s="83">
        <v>55</v>
      </c>
    </row>
    <row r="31" spans="2:15" ht="16.5" thickTop="1">
      <c r="B31" s="29" t="s">
        <v>7</v>
      </c>
      <c r="C31" s="30"/>
      <c r="D31" s="29"/>
      <c r="E31" s="84">
        <v>8</v>
      </c>
      <c r="F31" s="84">
        <v>5</v>
      </c>
      <c r="G31" s="84">
        <v>7</v>
      </c>
      <c r="H31" s="84">
        <v>10</v>
      </c>
      <c r="I31" s="84">
        <v>15</v>
      </c>
      <c r="J31" s="84">
        <v>25</v>
      </c>
      <c r="K31" s="84">
        <v>30</v>
      </c>
      <c r="L31" s="84">
        <v>28</v>
      </c>
      <c r="M31" s="84">
        <v>24</v>
      </c>
      <c r="N31" s="211">
        <v>26</v>
      </c>
      <c r="O31" s="296">
        <f>N31/N30</f>
        <v>0.47272727272727272</v>
      </c>
    </row>
    <row r="32" spans="2:15" ht="16.5" thickBot="1">
      <c r="B32" s="8" t="s">
        <v>8</v>
      </c>
      <c r="C32" s="31"/>
      <c r="D32" s="8"/>
      <c r="E32" s="85">
        <v>8</v>
      </c>
      <c r="F32" s="85">
        <v>10</v>
      </c>
      <c r="G32" s="85">
        <v>13</v>
      </c>
      <c r="H32" s="85">
        <v>27</v>
      </c>
      <c r="I32" s="85">
        <v>28</v>
      </c>
      <c r="J32" s="85">
        <v>27</v>
      </c>
      <c r="K32" s="85">
        <v>23</v>
      </c>
      <c r="L32" s="85">
        <v>18</v>
      </c>
      <c r="M32" s="85">
        <v>32</v>
      </c>
      <c r="N32" s="212">
        <v>29</v>
      </c>
      <c r="O32" s="297">
        <f>N32/N30</f>
        <v>0.52727272727272723</v>
      </c>
    </row>
    <row r="33" spans="2:15">
      <c r="B33" s="4" t="s">
        <v>9</v>
      </c>
      <c r="C33" s="34"/>
      <c r="D33" s="4"/>
      <c r="E33" s="86">
        <v>15</v>
      </c>
      <c r="F33" s="86">
        <v>11</v>
      </c>
      <c r="G33" s="86">
        <v>20</v>
      </c>
      <c r="H33" s="86">
        <v>27</v>
      </c>
      <c r="I33" s="86">
        <v>34</v>
      </c>
      <c r="J33" s="86">
        <v>48</v>
      </c>
      <c r="K33" s="86">
        <v>45</v>
      </c>
      <c r="L33" s="86">
        <v>41</v>
      </c>
      <c r="M33" s="86">
        <v>55</v>
      </c>
      <c r="N33" s="213">
        <v>54</v>
      </c>
      <c r="O33" s="296">
        <f>N33/N30</f>
        <v>0.98181818181818181</v>
      </c>
    </row>
    <row r="34" spans="2:15">
      <c r="B34" s="8" t="s">
        <v>10</v>
      </c>
      <c r="C34" s="31"/>
      <c r="D34" s="8"/>
      <c r="E34" s="87">
        <v>1</v>
      </c>
      <c r="F34" s="87">
        <v>4</v>
      </c>
      <c r="G34" s="87">
        <v>0</v>
      </c>
      <c r="H34" s="87">
        <v>10</v>
      </c>
      <c r="I34" s="87">
        <v>9</v>
      </c>
      <c r="J34" s="87">
        <v>4</v>
      </c>
      <c r="K34" s="87">
        <v>8</v>
      </c>
      <c r="L34" s="87">
        <v>5</v>
      </c>
      <c r="M34" s="87">
        <v>1</v>
      </c>
      <c r="N34" s="214">
        <v>1</v>
      </c>
      <c r="O34" s="296">
        <f>N34/N30</f>
        <v>1.8181818181818181E-2</v>
      </c>
    </row>
    <row r="35" spans="2:15">
      <c r="B35" s="40"/>
      <c r="C35" s="40"/>
      <c r="D35" s="40"/>
    </row>
    <row r="36" spans="2:15">
      <c r="B36" s="37"/>
      <c r="C36" s="37"/>
    </row>
    <row r="54" spans="2:3" hidden="1">
      <c r="B54" s="38" t="s">
        <v>34</v>
      </c>
      <c r="C54" s="31"/>
    </row>
    <row r="55" spans="2:3" hidden="1">
      <c r="B55" s="31" t="s">
        <v>106</v>
      </c>
    </row>
    <row r="56" spans="2:3" hidden="1">
      <c r="B56" s="31" t="s">
        <v>104</v>
      </c>
    </row>
    <row r="57" spans="2:3" hidden="1">
      <c r="B57" s="31" t="s">
        <v>107</v>
      </c>
    </row>
    <row r="58" spans="2:3" hidden="1">
      <c r="B58" s="31" t="s">
        <v>29</v>
      </c>
    </row>
    <row r="59" spans="2:3" hidden="1">
      <c r="B59" s="31" t="s">
        <v>105</v>
      </c>
    </row>
    <row r="60" spans="2:3" hidden="1">
      <c r="B60" s="31" t="s">
        <v>108</v>
      </c>
    </row>
  </sheetData>
  <mergeCells count="7">
    <mergeCell ref="B1:N1"/>
    <mergeCell ref="D6:D9"/>
    <mergeCell ref="B4:B5"/>
    <mergeCell ref="C4:C5"/>
    <mergeCell ref="D4:N4"/>
    <mergeCell ref="B3:N3"/>
    <mergeCell ref="B2:N2"/>
  </mergeCells>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98&amp;R&amp;"Lucida Sans Unicode,Regular"&amp;10December 2015</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sheetPr>
  <dimension ref="A1:O61"/>
  <sheetViews>
    <sheetView showGridLines="0" view="pageLayout" topLeftCell="A45" zoomScaleNormal="100" zoomScaleSheetLayoutView="100" workbookViewId="0">
      <selection activeCell="N35" sqref="N35"/>
    </sheetView>
  </sheetViews>
  <sheetFormatPr defaultColWidth="9.6640625" defaultRowHeight="15.75"/>
  <cols>
    <col min="1" max="1" width="6.21875" style="136" customWidth="1"/>
    <col min="2" max="2" width="9.6640625" style="38" customWidth="1"/>
    <col min="3" max="3" width="15.6640625" style="38" customWidth="1"/>
    <col min="4" max="7" width="8" style="38" hidden="1" customWidth="1"/>
    <col min="8" max="9" width="7.5546875" style="38" hidden="1" customWidth="1"/>
    <col min="10" max="13" width="8.77734375" style="38" customWidth="1"/>
    <col min="14" max="14" width="8.77734375" style="136" customWidth="1"/>
    <col min="15" max="15" width="6.88671875" style="38" bestFit="1" customWidth="1"/>
    <col min="16" max="16384" width="9.6640625" style="38"/>
  </cols>
  <sheetData>
    <row r="1" spans="1:14" s="194" customFormat="1" ht="24" customHeight="1">
      <c r="A1" s="199"/>
      <c r="B1" s="465" t="s">
        <v>0</v>
      </c>
      <c r="C1" s="465"/>
      <c r="D1" s="465"/>
      <c r="E1" s="465"/>
      <c r="F1" s="465"/>
      <c r="G1" s="465"/>
      <c r="H1" s="465"/>
      <c r="I1" s="465"/>
      <c r="J1" s="465"/>
      <c r="K1" s="465"/>
      <c r="L1" s="465"/>
      <c r="M1" s="465"/>
      <c r="N1" s="465"/>
    </row>
    <row r="2" spans="1:14" s="196" customFormat="1" ht="25.5" customHeight="1">
      <c r="A2" s="200"/>
      <c r="B2" s="464" t="s">
        <v>48</v>
      </c>
      <c r="C2" s="464"/>
      <c r="D2" s="464"/>
      <c r="E2" s="464"/>
      <c r="F2" s="464"/>
      <c r="G2" s="464"/>
      <c r="H2" s="464"/>
      <c r="I2" s="464"/>
      <c r="J2" s="464"/>
      <c r="K2" s="464"/>
      <c r="L2" s="464"/>
      <c r="M2" s="464"/>
      <c r="N2" s="464"/>
    </row>
    <row r="3" spans="1:14" s="194" customFormat="1" ht="21" customHeight="1">
      <c r="A3" s="199"/>
      <c r="B3" s="523" t="s">
        <v>154</v>
      </c>
      <c r="C3" s="523"/>
      <c r="D3" s="523"/>
      <c r="E3" s="523"/>
      <c r="F3" s="523"/>
      <c r="G3" s="523"/>
      <c r="H3" s="523"/>
      <c r="I3" s="523"/>
      <c r="J3" s="523"/>
      <c r="K3" s="523"/>
      <c r="L3" s="523"/>
      <c r="M3" s="523"/>
      <c r="N3" s="523"/>
    </row>
    <row r="4" spans="1:14" ht="15.75" customHeight="1">
      <c r="B4" s="524" t="s">
        <v>59</v>
      </c>
      <c r="C4" s="524" t="s">
        <v>60</v>
      </c>
      <c r="D4" s="527" t="s">
        <v>150</v>
      </c>
      <c r="E4" s="528"/>
      <c r="F4" s="528"/>
      <c r="G4" s="528"/>
      <c r="H4" s="528"/>
      <c r="I4" s="528"/>
      <c r="J4" s="528"/>
      <c r="K4" s="528"/>
      <c r="L4" s="528"/>
      <c r="M4" s="528"/>
      <c r="N4" s="529"/>
    </row>
    <row r="5" spans="1:14" s="106" customFormat="1" ht="15.75" customHeight="1">
      <c r="A5" s="136"/>
      <c r="B5" s="531"/>
      <c r="C5" s="531"/>
      <c r="D5" s="322" t="s">
        <v>21</v>
      </c>
      <c r="E5" s="111" t="s">
        <v>51</v>
      </c>
      <c r="F5" s="111" t="s">
        <v>52</v>
      </c>
      <c r="G5" s="111" t="s">
        <v>53</v>
      </c>
      <c r="H5" s="111" t="s">
        <v>57</v>
      </c>
      <c r="I5" s="111" t="s">
        <v>69</v>
      </c>
      <c r="J5" s="111" t="s">
        <v>124</v>
      </c>
      <c r="K5" s="111" t="s">
        <v>146</v>
      </c>
      <c r="L5" s="137" t="s">
        <v>158</v>
      </c>
      <c r="M5" s="137" t="s">
        <v>166</v>
      </c>
      <c r="N5" s="137" t="s">
        <v>187</v>
      </c>
    </row>
    <row r="6" spans="1:14" ht="16.5" customHeight="1">
      <c r="B6" s="8"/>
      <c r="C6" s="8" t="s">
        <v>11</v>
      </c>
      <c r="D6" s="108">
        <v>230</v>
      </c>
      <c r="E6" s="109">
        <v>276</v>
      </c>
      <c r="F6" s="109">
        <v>261</v>
      </c>
      <c r="G6" s="109">
        <v>256</v>
      </c>
      <c r="H6" s="109">
        <v>267</v>
      </c>
      <c r="I6" s="109">
        <f>279+6</f>
        <v>285</v>
      </c>
      <c r="J6" s="109">
        <v>319</v>
      </c>
      <c r="K6" s="206">
        <v>304</v>
      </c>
      <c r="L6" s="206">
        <v>279</v>
      </c>
      <c r="M6" s="206">
        <v>287</v>
      </c>
      <c r="N6" s="206">
        <v>230</v>
      </c>
    </row>
    <row r="7" spans="1:14">
      <c r="B7" s="7"/>
      <c r="C7" s="8" t="s">
        <v>12</v>
      </c>
      <c r="D7" s="42">
        <v>1</v>
      </c>
      <c r="E7" s="76">
        <v>2</v>
      </c>
      <c r="F7" s="76">
        <v>2</v>
      </c>
      <c r="G7" s="76">
        <v>2</v>
      </c>
      <c r="H7" s="76">
        <v>2</v>
      </c>
      <c r="I7" s="76">
        <v>3</v>
      </c>
      <c r="J7" s="76">
        <v>3</v>
      </c>
      <c r="K7" s="206">
        <v>5</v>
      </c>
      <c r="L7" s="206">
        <v>2</v>
      </c>
      <c r="M7" s="206">
        <v>3</v>
      </c>
      <c r="N7" s="206">
        <v>2</v>
      </c>
    </row>
    <row r="8" spans="1:14">
      <c r="B8" s="7" t="s">
        <v>2</v>
      </c>
      <c r="C8" s="3" t="s">
        <v>13</v>
      </c>
      <c r="D8" s="43">
        <f t="shared" ref="D8:I8" si="0">D6+D7</f>
        <v>231</v>
      </c>
      <c r="E8" s="77">
        <f t="shared" si="0"/>
        <v>278</v>
      </c>
      <c r="F8" s="77">
        <f t="shared" si="0"/>
        <v>263</v>
      </c>
      <c r="G8" s="77">
        <f t="shared" si="0"/>
        <v>258</v>
      </c>
      <c r="H8" s="77">
        <f t="shared" si="0"/>
        <v>269</v>
      </c>
      <c r="I8" s="77">
        <f t="shared" si="0"/>
        <v>288</v>
      </c>
      <c r="J8" s="77">
        <v>322</v>
      </c>
      <c r="K8" s="202">
        <v>309</v>
      </c>
      <c r="L8" s="202">
        <v>281</v>
      </c>
      <c r="M8" s="202">
        <v>290</v>
      </c>
      <c r="N8" s="202">
        <v>232</v>
      </c>
    </row>
    <row r="9" spans="1:14" ht="16.5" thickBot="1">
      <c r="B9" s="7"/>
      <c r="C9" s="2" t="s">
        <v>14</v>
      </c>
      <c r="D9" s="43">
        <v>0</v>
      </c>
      <c r="E9" s="77">
        <v>0</v>
      </c>
      <c r="F9" s="77"/>
      <c r="G9" s="77"/>
      <c r="H9" s="77"/>
      <c r="I9" s="77"/>
      <c r="J9" s="77"/>
      <c r="K9" s="202"/>
      <c r="L9" s="202"/>
      <c r="M9" s="202"/>
      <c r="N9" s="202"/>
    </row>
    <row r="10" spans="1:14" ht="17.100000000000001" customHeight="1" thickTop="1" thickBot="1">
      <c r="B10" s="7"/>
      <c r="C10" s="13" t="s">
        <v>15</v>
      </c>
      <c r="D10" s="44">
        <f t="shared" ref="D10:I10" si="1">D8+D9</f>
        <v>231</v>
      </c>
      <c r="E10" s="78">
        <f t="shared" si="1"/>
        <v>278</v>
      </c>
      <c r="F10" s="78">
        <f t="shared" si="1"/>
        <v>263</v>
      </c>
      <c r="G10" s="78">
        <f t="shared" si="1"/>
        <v>258</v>
      </c>
      <c r="H10" s="78">
        <f t="shared" si="1"/>
        <v>269</v>
      </c>
      <c r="I10" s="78">
        <f t="shared" si="1"/>
        <v>288</v>
      </c>
      <c r="J10" s="78">
        <v>322</v>
      </c>
      <c r="K10" s="204">
        <v>309</v>
      </c>
      <c r="L10" s="204">
        <v>281</v>
      </c>
      <c r="M10" s="204">
        <v>290</v>
      </c>
      <c r="N10" s="204">
        <v>232</v>
      </c>
    </row>
    <row r="11" spans="1:14">
      <c r="B11" s="4"/>
      <c r="C11" s="4" t="s">
        <v>11</v>
      </c>
      <c r="D11" s="45">
        <f>162+16</f>
        <v>178</v>
      </c>
      <c r="E11" s="79">
        <v>263</v>
      </c>
      <c r="F11" s="79">
        <v>234</v>
      </c>
      <c r="G11" s="79">
        <v>193</v>
      </c>
      <c r="H11" s="79">
        <v>178</v>
      </c>
      <c r="I11" s="79">
        <f>1+4+4+145+28+1</f>
        <v>183</v>
      </c>
      <c r="J11" s="79">
        <v>170</v>
      </c>
      <c r="K11" s="207">
        <v>224</v>
      </c>
      <c r="L11" s="207">
        <v>233</v>
      </c>
      <c r="M11" s="207">
        <v>217</v>
      </c>
      <c r="N11" s="207">
        <v>197</v>
      </c>
    </row>
    <row r="12" spans="1:14">
      <c r="B12" s="7"/>
      <c r="C12" s="8" t="s">
        <v>12</v>
      </c>
      <c r="D12" s="42">
        <v>15</v>
      </c>
      <c r="E12" s="76">
        <v>18</v>
      </c>
      <c r="F12" s="76">
        <v>21</v>
      </c>
      <c r="G12" s="76">
        <v>16</v>
      </c>
      <c r="H12" s="76">
        <v>15</v>
      </c>
      <c r="I12" s="76">
        <v>10</v>
      </c>
      <c r="J12" s="76">
        <v>15</v>
      </c>
      <c r="K12" s="206">
        <v>17</v>
      </c>
      <c r="L12" s="206">
        <v>23</v>
      </c>
      <c r="M12" s="206">
        <v>18</v>
      </c>
      <c r="N12" s="206">
        <v>13</v>
      </c>
    </row>
    <row r="13" spans="1:14">
      <c r="B13" s="7" t="s">
        <v>3</v>
      </c>
      <c r="C13" s="3" t="s">
        <v>13</v>
      </c>
      <c r="D13" s="43">
        <f t="shared" ref="D13:I13" si="2">D11+D12</f>
        <v>193</v>
      </c>
      <c r="E13" s="77">
        <f t="shared" si="2"/>
        <v>281</v>
      </c>
      <c r="F13" s="77">
        <f t="shared" si="2"/>
        <v>255</v>
      </c>
      <c r="G13" s="77">
        <f t="shared" si="2"/>
        <v>209</v>
      </c>
      <c r="H13" s="77">
        <f t="shared" si="2"/>
        <v>193</v>
      </c>
      <c r="I13" s="77">
        <f t="shared" si="2"/>
        <v>193</v>
      </c>
      <c r="J13" s="77">
        <v>185</v>
      </c>
      <c r="K13" s="202">
        <v>241</v>
      </c>
      <c r="L13" s="202">
        <v>256</v>
      </c>
      <c r="M13" s="202">
        <v>235</v>
      </c>
      <c r="N13" s="202">
        <v>210</v>
      </c>
    </row>
    <row r="14" spans="1:14" ht="16.5" thickBot="1">
      <c r="B14" s="7"/>
      <c r="C14" s="2" t="s">
        <v>14</v>
      </c>
      <c r="D14" s="43">
        <v>0</v>
      </c>
      <c r="E14" s="77">
        <v>0</v>
      </c>
      <c r="F14" s="77"/>
      <c r="G14" s="77"/>
      <c r="H14" s="77">
        <v>1</v>
      </c>
      <c r="I14" s="77">
        <v>1</v>
      </c>
      <c r="J14" s="77"/>
      <c r="K14" s="202"/>
      <c r="L14" s="202"/>
      <c r="M14" s="202"/>
      <c r="N14" s="202"/>
    </row>
    <row r="15" spans="1:14" ht="17.100000000000001" customHeight="1" thickTop="1" thickBot="1">
      <c r="B15" s="7"/>
      <c r="C15" s="13" t="s">
        <v>15</v>
      </c>
      <c r="D15" s="44">
        <f t="shared" ref="D15:I15" si="3">D13+D14</f>
        <v>193</v>
      </c>
      <c r="E15" s="78">
        <f t="shared" si="3"/>
        <v>281</v>
      </c>
      <c r="F15" s="78">
        <f t="shared" si="3"/>
        <v>255</v>
      </c>
      <c r="G15" s="78">
        <f t="shared" si="3"/>
        <v>209</v>
      </c>
      <c r="H15" s="78">
        <f t="shared" si="3"/>
        <v>194</v>
      </c>
      <c r="I15" s="78">
        <f t="shared" si="3"/>
        <v>194</v>
      </c>
      <c r="J15" s="78">
        <v>185</v>
      </c>
      <c r="K15" s="204">
        <v>241</v>
      </c>
      <c r="L15" s="204">
        <v>256</v>
      </c>
      <c r="M15" s="204">
        <v>235</v>
      </c>
      <c r="N15" s="204">
        <v>210</v>
      </c>
    </row>
    <row r="16" spans="1:14">
      <c r="B16" s="4"/>
      <c r="C16" s="4" t="s">
        <v>11</v>
      </c>
      <c r="D16" s="45">
        <v>159</v>
      </c>
      <c r="E16" s="79">
        <v>175</v>
      </c>
      <c r="F16" s="79">
        <v>236</v>
      </c>
      <c r="G16" s="79">
        <v>208</v>
      </c>
      <c r="H16" s="79">
        <v>180</v>
      </c>
      <c r="I16" s="79">
        <f>1+3+110+39+1</f>
        <v>154</v>
      </c>
      <c r="J16" s="79">
        <v>171</v>
      </c>
      <c r="K16" s="207">
        <v>153</v>
      </c>
      <c r="L16" s="207">
        <v>167</v>
      </c>
      <c r="M16" s="207">
        <v>170</v>
      </c>
      <c r="N16" s="207">
        <v>173</v>
      </c>
    </row>
    <row r="17" spans="2:15">
      <c r="B17" s="7"/>
      <c r="C17" s="8" t="s">
        <v>12</v>
      </c>
      <c r="D17" s="42">
        <f>188-158</f>
        <v>30</v>
      </c>
      <c r="E17" s="76">
        <v>26</v>
      </c>
      <c r="F17" s="76">
        <v>23</v>
      </c>
      <c r="G17" s="76">
        <v>15</v>
      </c>
      <c r="H17" s="76">
        <v>17</v>
      </c>
      <c r="I17" s="76">
        <f>3+16+1+2</f>
        <v>22</v>
      </c>
      <c r="J17" s="76">
        <v>13</v>
      </c>
      <c r="K17" s="206">
        <v>17</v>
      </c>
      <c r="L17" s="206">
        <v>16</v>
      </c>
      <c r="M17" s="206">
        <v>18</v>
      </c>
      <c r="N17" s="206">
        <v>17</v>
      </c>
    </row>
    <row r="18" spans="2:15">
      <c r="B18" s="7" t="s">
        <v>4</v>
      </c>
      <c r="C18" s="3" t="s">
        <v>13</v>
      </c>
      <c r="D18" s="43">
        <f t="shared" ref="D18:I18" si="4">D16+D17</f>
        <v>189</v>
      </c>
      <c r="E18" s="77">
        <f t="shared" si="4"/>
        <v>201</v>
      </c>
      <c r="F18" s="77">
        <f t="shared" si="4"/>
        <v>259</v>
      </c>
      <c r="G18" s="77">
        <f t="shared" si="4"/>
        <v>223</v>
      </c>
      <c r="H18" s="77">
        <f t="shared" si="4"/>
        <v>197</v>
      </c>
      <c r="I18" s="77">
        <f t="shared" si="4"/>
        <v>176</v>
      </c>
      <c r="J18" s="77">
        <v>184</v>
      </c>
      <c r="K18" s="202">
        <v>170</v>
      </c>
      <c r="L18" s="202">
        <v>183</v>
      </c>
      <c r="M18" s="202">
        <v>188</v>
      </c>
      <c r="N18" s="202">
        <v>190</v>
      </c>
    </row>
    <row r="19" spans="2:15" ht="16.5" thickBot="1">
      <c r="B19" s="7"/>
      <c r="C19" s="2" t="s">
        <v>14</v>
      </c>
      <c r="D19" s="43">
        <v>0</v>
      </c>
      <c r="E19" s="77">
        <v>0</v>
      </c>
      <c r="F19" s="77"/>
      <c r="G19" s="77"/>
      <c r="H19" s="77"/>
      <c r="I19" s="77">
        <v>1</v>
      </c>
      <c r="J19" s="77">
        <v>3</v>
      </c>
      <c r="K19" s="202">
        <v>3</v>
      </c>
      <c r="L19" s="202">
        <v>1</v>
      </c>
      <c r="M19" s="202"/>
      <c r="N19" s="202">
        <v>1</v>
      </c>
    </row>
    <row r="20" spans="2:15" ht="17.100000000000001" customHeight="1" thickTop="1" thickBot="1">
      <c r="B20" s="7"/>
      <c r="C20" s="13" t="s">
        <v>15</v>
      </c>
      <c r="D20" s="44">
        <f t="shared" ref="D20:I20" si="5">D18+D19</f>
        <v>189</v>
      </c>
      <c r="E20" s="78">
        <f t="shared" si="5"/>
        <v>201</v>
      </c>
      <c r="F20" s="78">
        <f t="shared" si="5"/>
        <v>259</v>
      </c>
      <c r="G20" s="78">
        <f t="shared" si="5"/>
        <v>223</v>
      </c>
      <c r="H20" s="78">
        <f t="shared" si="5"/>
        <v>197</v>
      </c>
      <c r="I20" s="78">
        <f t="shared" si="5"/>
        <v>177</v>
      </c>
      <c r="J20" s="78">
        <v>187</v>
      </c>
      <c r="K20" s="204">
        <v>173</v>
      </c>
      <c r="L20" s="204">
        <v>184</v>
      </c>
      <c r="M20" s="204">
        <v>188</v>
      </c>
      <c r="N20" s="204">
        <v>191</v>
      </c>
    </row>
    <row r="21" spans="2:15">
      <c r="B21" s="4"/>
      <c r="C21" s="4" t="s">
        <v>11</v>
      </c>
      <c r="D21" s="45">
        <v>78</v>
      </c>
      <c r="E21" s="79">
        <v>59</v>
      </c>
      <c r="F21" s="79">
        <v>90</v>
      </c>
      <c r="G21" s="79">
        <v>162</v>
      </c>
      <c r="H21" s="79">
        <v>129</v>
      </c>
      <c r="I21" s="79">
        <f>1+1+61+52</f>
        <v>115</v>
      </c>
      <c r="J21" s="79">
        <v>127</v>
      </c>
      <c r="K21" s="207">
        <v>108</v>
      </c>
      <c r="L21" s="207">
        <v>106</v>
      </c>
      <c r="M21" s="207">
        <v>121</v>
      </c>
      <c r="N21" s="207">
        <v>123</v>
      </c>
    </row>
    <row r="22" spans="2:15">
      <c r="B22" s="7"/>
      <c r="C22" s="8" t="s">
        <v>12</v>
      </c>
      <c r="D22" s="42">
        <v>5</v>
      </c>
      <c r="E22" s="76">
        <v>8</v>
      </c>
      <c r="F22" s="76">
        <v>7</v>
      </c>
      <c r="G22" s="76">
        <v>13</v>
      </c>
      <c r="H22" s="76">
        <v>9</v>
      </c>
      <c r="I22" s="76">
        <f>2+6+1+2+1+1</f>
        <v>13</v>
      </c>
      <c r="J22" s="76">
        <v>8</v>
      </c>
      <c r="K22" s="206">
        <v>6</v>
      </c>
      <c r="L22" s="206">
        <v>12</v>
      </c>
      <c r="M22" s="206">
        <v>15</v>
      </c>
      <c r="N22" s="206">
        <v>10</v>
      </c>
    </row>
    <row r="23" spans="2:15">
      <c r="B23" s="7" t="s">
        <v>5</v>
      </c>
      <c r="C23" s="3" t="s">
        <v>13</v>
      </c>
      <c r="D23" s="43">
        <f t="shared" ref="D23:I23" si="6">D21+D22</f>
        <v>83</v>
      </c>
      <c r="E23" s="77">
        <f t="shared" si="6"/>
        <v>67</v>
      </c>
      <c r="F23" s="77">
        <f t="shared" si="6"/>
        <v>97</v>
      </c>
      <c r="G23" s="77">
        <f t="shared" si="6"/>
        <v>175</v>
      </c>
      <c r="H23" s="77">
        <f t="shared" si="6"/>
        <v>138</v>
      </c>
      <c r="I23" s="77">
        <f t="shared" si="6"/>
        <v>128</v>
      </c>
      <c r="J23" s="77">
        <v>135</v>
      </c>
      <c r="K23" s="202">
        <v>114</v>
      </c>
      <c r="L23" s="202">
        <v>118</v>
      </c>
      <c r="M23" s="202">
        <v>136</v>
      </c>
      <c r="N23" s="202">
        <v>133</v>
      </c>
    </row>
    <row r="24" spans="2:15" ht="16.5" thickBot="1">
      <c r="B24" s="7"/>
      <c r="C24" s="2" t="s">
        <v>14</v>
      </c>
      <c r="D24" s="43">
        <v>0</v>
      </c>
      <c r="E24" s="77">
        <v>0</v>
      </c>
      <c r="F24" s="77"/>
      <c r="G24" s="77">
        <v>2</v>
      </c>
      <c r="H24" s="77">
        <v>1</v>
      </c>
      <c r="I24" s="77"/>
      <c r="J24" s="77"/>
      <c r="K24" s="202"/>
      <c r="L24" s="202"/>
      <c r="M24" s="202"/>
      <c r="N24" s="202"/>
    </row>
    <row r="25" spans="2:15" ht="17.100000000000001" customHeight="1" thickTop="1" thickBot="1">
      <c r="B25" s="7"/>
      <c r="C25" s="13" t="s">
        <v>15</v>
      </c>
      <c r="D25" s="44">
        <f t="shared" ref="D25:I25" si="7">D23+D24</f>
        <v>83</v>
      </c>
      <c r="E25" s="78">
        <f t="shared" si="7"/>
        <v>67</v>
      </c>
      <c r="F25" s="78">
        <f t="shared" si="7"/>
        <v>97</v>
      </c>
      <c r="G25" s="78">
        <f t="shared" si="7"/>
        <v>177</v>
      </c>
      <c r="H25" s="78">
        <f t="shared" si="7"/>
        <v>139</v>
      </c>
      <c r="I25" s="78">
        <f t="shared" si="7"/>
        <v>128</v>
      </c>
      <c r="J25" s="78">
        <v>135</v>
      </c>
      <c r="K25" s="204">
        <v>114</v>
      </c>
      <c r="L25" s="204">
        <v>118</v>
      </c>
      <c r="M25" s="204">
        <v>136</v>
      </c>
      <c r="N25" s="204">
        <v>133</v>
      </c>
    </row>
    <row r="26" spans="2:15" ht="21" customHeight="1" thickTop="1">
      <c r="B26" s="46"/>
      <c r="C26" s="46" t="s">
        <v>11</v>
      </c>
      <c r="D26" s="47">
        <f t="shared" ref="D26:I26" si="8">SUM(D6,D11,D16,D21)</f>
        <v>645</v>
      </c>
      <c r="E26" s="80">
        <f t="shared" si="8"/>
        <v>773</v>
      </c>
      <c r="F26" s="80">
        <f t="shared" si="8"/>
        <v>821</v>
      </c>
      <c r="G26" s="80">
        <f t="shared" si="8"/>
        <v>819</v>
      </c>
      <c r="H26" s="80">
        <f t="shared" si="8"/>
        <v>754</v>
      </c>
      <c r="I26" s="80">
        <f t="shared" si="8"/>
        <v>737</v>
      </c>
      <c r="J26" s="80">
        <v>787</v>
      </c>
      <c r="K26" s="80">
        <v>789</v>
      </c>
      <c r="L26" s="80">
        <v>785</v>
      </c>
      <c r="M26" s="80">
        <v>795</v>
      </c>
      <c r="N26" s="80">
        <v>723</v>
      </c>
    </row>
    <row r="27" spans="2:15" ht="21" customHeight="1">
      <c r="B27" s="19"/>
      <c r="C27" s="19" t="s">
        <v>12</v>
      </c>
      <c r="D27" s="48">
        <f t="shared" ref="D27:I27" si="9">SUM(D7,D12,D17,D22)</f>
        <v>51</v>
      </c>
      <c r="E27" s="81">
        <f t="shared" si="9"/>
        <v>54</v>
      </c>
      <c r="F27" s="81">
        <f t="shared" si="9"/>
        <v>53</v>
      </c>
      <c r="G27" s="81">
        <f t="shared" si="9"/>
        <v>46</v>
      </c>
      <c r="H27" s="81">
        <f t="shared" si="9"/>
        <v>43</v>
      </c>
      <c r="I27" s="81">
        <f t="shared" si="9"/>
        <v>48</v>
      </c>
      <c r="J27" s="81">
        <v>39</v>
      </c>
      <c r="K27" s="81">
        <v>45</v>
      </c>
      <c r="L27" s="81">
        <v>53</v>
      </c>
      <c r="M27" s="81">
        <v>54</v>
      </c>
      <c r="N27" s="81">
        <v>42</v>
      </c>
    </row>
    <row r="28" spans="2:15" ht="21" customHeight="1">
      <c r="B28" s="22" t="s">
        <v>6</v>
      </c>
      <c r="C28" s="23" t="s">
        <v>13</v>
      </c>
      <c r="D28" s="49">
        <f t="shared" ref="D28:I28" si="10">D26+D27</f>
        <v>696</v>
      </c>
      <c r="E28" s="82">
        <f t="shared" si="10"/>
        <v>827</v>
      </c>
      <c r="F28" s="82">
        <f t="shared" si="10"/>
        <v>874</v>
      </c>
      <c r="G28" s="82">
        <f t="shared" si="10"/>
        <v>865</v>
      </c>
      <c r="H28" s="82">
        <f t="shared" si="10"/>
        <v>797</v>
      </c>
      <c r="I28" s="82">
        <f t="shared" si="10"/>
        <v>785</v>
      </c>
      <c r="J28" s="82">
        <v>826</v>
      </c>
      <c r="K28" s="82">
        <v>834</v>
      </c>
      <c r="L28" s="82">
        <v>838</v>
      </c>
      <c r="M28" s="82">
        <v>849</v>
      </c>
      <c r="N28" s="82">
        <v>765</v>
      </c>
    </row>
    <row r="29" spans="2:15" ht="21" customHeight="1" thickBot="1">
      <c r="B29" s="19"/>
      <c r="C29" s="26" t="s">
        <v>14</v>
      </c>
      <c r="D29" s="49">
        <f t="shared" ref="D29:I29" si="11">SUM(D9,D14,D19,D24)</f>
        <v>0</v>
      </c>
      <c r="E29" s="82">
        <f t="shared" si="11"/>
        <v>0</v>
      </c>
      <c r="F29" s="82"/>
      <c r="G29" s="82">
        <f t="shared" si="11"/>
        <v>2</v>
      </c>
      <c r="H29" s="82">
        <f t="shared" si="11"/>
        <v>2</v>
      </c>
      <c r="I29" s="82">
        <f t="shared" si="11"/>
        <v>2</v>
      </c>
      <c r="J29" s="82">
        <v>3</v>
      </c>
      <c r="K29" s="82">
        <v>3</v>
      </c>
      <c r="L29" s="82">
        <v>1</v>
      </c>
      <c r="M29" s="82"/>
      <c r="N29" s="82">
        <v>1</v>
      </c>
    </row>
    <row r="30" spans="2:15" ht="21" customHeight="1" thickTop="1" thickBot="1">
      <c r="B30" s="22"/>
      <c r="C30" s="27" t="s">
        <v>15</v>
      </c>
      <c r="D30" s="50">
        <f t="shared" ref="D30:I30" si="12">D28+D29</f>
        <v>696</v>
      </c>
      <c r="E30" s="83">
        <f t="shared" si="12"/>
        <v>827</v>
      </c>
      <c r="F30" s="83">
        <f t="shared" si="12"/>
        <v>874</v>
      </c>
      <c r="G30" s="83">
        <f t="shared" si="12"/>
        <v>867</v>
      </c>
      <c r="H30" s="83">
        <f t="shared" si="12"/>
        <v>799</v>
      </c>
      <c r="I30" s="83">
        <f t="shared" si="12"/>
        <v>787</v>
      </c>
      <c r="J30" s="83">
        <v>829</v>
      </c>
      <c r="K30" s="83">
        <v>837</v>
      </c>
      <c r="L30" s="83">
        <v>839</v>
      </c>
      <c r="M30" s="83">
        <v>849</v>
      </c>
      <c r="N30" s="83">
        <v>766</v>
      </c>
    </row>
    <row r="31" spans="2:15" ht="16.5" thickTop="1">
      <c r="B31" s="29" t="s">
        <v>7</v>
      </c>
      <c r="C31" s="29"/>
      <c r="D31" s="29">
        <v>129</v>
      </c>
      <c r="E31" s="84">
        <v>154</v>
      </c>
      <c r="F31" s="84">
        <v>172</v>
      </c>
      <c r="G31" s="84">
        <v>187</v>
      </c>
      <c r="H31" s="84">
        <v>181</v>
      </c>
      <c r="I31" s="84">
        <v>186</v>
      </c>
      <c r="J31" s="84">
        <v>209</v>
      </c>
      <c r="K31" s="84">
        <v>214</v>
      </c>
      <c r="L31" s="84">
        <v>199</v>
      </c>
      <c r="M31" s="84">
        <v>186</v>
      </c>
      <c r="N31" s="211">
        <v>170</v>
      </c>
      <c r="O31" s="296">
        <f>N31/N30</f>
        <v>0.22193211488250653</v>
      </c>
    </row>
    <row r="32" spans="2:15" ht="16.5" thickBot="1">
      <c r="B32" s="8" t="s">
        <v>8</v>
      </c>
      <c r="C32" s="8"/>
      <c r="D32" s="8">
        <v>567</v>
      </c>
      <c r="E32" s="85">
        <v>673</v>
      </c>
      <c r="F32" s="85">
        <v>702</v>
      </c>
      <c r="G32" s="85">
        <v>680</v>
      </c>
      <c r="H32" s="85">
        <v>618</v>
      </c>
      <c r="I32" s="85">
        <v>601</v>
      </c>
      <c r="J32" s="85">
        <v>620</v>
      </c>
      <c r="K32" s="85">
        <v>623</v>
      </c>
      <c r="L32" s="85">
        <v>640</v>
      </c>
      <c r="M32" s="85">
        <v>663</v>
      </c>
      <c r="N32" s="212">
        <v>596</v>
      </c>
      <c r="O32" s="297">
        <f>N32/N30</f>
        <v>0.77806788511749347</v>
      </c>
    </row>
    <row r="33" spans="2:15">
      <c r="B33" s="4" t="s">
        <v>9</v>
      </c>
      <c r="C33" s="4"/>
      <c r="D33" s="4">
        <v>625</v>
      </c>
      <c r="E33" s="86">
        <v>739</v>
      </c>
      <c r="F33" s="86">
        <v>764</v>
      </c>
      <c r="G33" s="86">
        <v>744</v>
      </c>
      <c r="H33" s="86">
        <v>697</v>
      </c>
      <c r="I33" s="86">
        <v>690</v>
      </c>
      <c r="J33" s="86">
        <v>730</v>
      </c>
      <c r="K33" s="86">
        <v>759</v>
      </c>
      <c r="L33" s="86">
        <v>771</v>
      </c>
      <c r="M33" s="86">
        <v>785</v>
      </c>
      <c r="N33" s="213">
        <v>702</v>
      </c>
      <c r="O33" s="296">
        <f>N33/N30</f>
        <v>0.91644908616187992</v>
      </c>
    </row>
    <row r="34" spans="2:15">
      <c r="B34" s="8" t="s">
        <v>10</v>
      </c>
      <c r="C34" s="8"/>
      <c r="D34" s="8">
        <v>71</v>
      </c>
      <c r="E34" s="87">
        <v>88</v>
      </c>
      <c r="F34" s="87">
        <v>110</v>
      </c>
      <c r="G34" s="87">
        <v>123</v>
      </c>
      <c r="H34" s="87">
        <v>102</v>
      </c>
      <c r="I34" s="87">
        <v>97</v>
      </c>
      <c r="J34" s="87">
        <v>99</v>
      </c>
      <c r="K34" s="87">
        <v>78</v>
      </c>
      <c r="L34" s="87">
        <v>68</v>
      </c>
      <c r="M34" s="87">
        <v>64</v>
      </c>
      <c r="N34" s="214">
        <v>64</v>
      </c>
      <c r="O34" s="296">
        <f>N34/N30</f>
        <v>8.3550913838120106E-2</v>
      </c>
    </row>
    <row r="35" spans="2:15">
      <c r="B35" s="40"/>
      <c r="C35" s="40"/>
      <c r="D35" s="40"/>
    </row>
    <row r="36" spans="2:15">
      <c r="B36" s="37"/>
      <c r="C36" s="37"/>
    </row>
    <row r="55" spans="2:3" hidden="1">
      <c r="B55" s="38" t="s">
        <v>34</v>
      </c>
      <c r="C55" s="31"/>
    </row>
    <row r="56" spans="2:3" hidden="1">
      <c r="B56" s="31" t="s">
        <v>112</v>
      </c>
    </row>
    <row r="57" spans="2:3" hidden="1">
      <c r="B57" s="31" t="s">
        <v>113</v>
      </c>
    </row>
    <row r="58" spans="2:3" hidden="1">
      <c r="B58" s="31" t="s">
        <v>30</v>
      </c>
    </row>
    <row r="59" spans="2:3" hidden="1">
      <c r="B59" s="31" t="s">
        <v>109</v>
      </c>
    </row>
    <row r="60" spans="2:3" hidden="1">
      <c r="B60" s="31" t="s">
        <v>110</v>
      </c>
    </row>
    <row r="61" spans="2:3" hidden="1">
      <c r="B61" s="31" t="s">
        <v>111</v>
      </c>
    </row>
  </sheetData>
  <mergeCells count="6">
    <mergeCell ref="B1:N1"/>
    <mergeCell ref="D4:N4"/>
    <mergeCell ref="B4:B5"/>
    <mergeCell ref="C4:C5"/>
    <mergeCell ref="B3:N3"/>
    <mergeCell ref="B2:N2"/>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99&amp;R&amp;"Lucida Sans Unicode,Regular"&amp;10December 2015</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O61"/>
  <sheetViews>
    <sheetView showGridLines="0" view="pageLayout" topLeftCell="A34" zoomScaleNormal="100" zoomScaleSheetLayoutView="100" workbookViewId="0">
      <selection activeCell="B3" sqref="B3:N3"/>
    </sheetView>
  </sheetViews>
  <sheetFormatPr defaultColWidth="9.6640625" defaultRowHeight="15.75"/>
  <cols>
    <col min="1" max="1" width="6.21875" style="136" customWidth="1"/>
    <col min="2" max="2" width="9.6640625" style="38" customWidth="1"/>
    <col min="3" max="3" width="15.6640625" style="38" customWidth="1"/>
    <col min="4" max="9" width="7.5546875" style="38" hidden="1" customWidth="1"/>
    <col min="10" max="14" width="8.77734375" style="38" customWidth="1"/>
    <col min="15" max="15" width="6.88671875" style="38" bestFit="1" customWidth="1"/>
    <col min="16" max="16384" width="9.6640625" style="38"/>
  </cols>
  <sheetData>
    <row r="1" spans="1:14" s="194" customFormat="1" ht="24" customHeight="1">
      <c r="A1" s="199"/>
      <c r="B1" s="465" t="s">
        <v>0</v>
      </c>
      <c r="C1" s="465"/>
      <c r="D1" s="465"/>
      <c r="E1" s="465"/>
      <c r="F1" s="465"/>
      <c r="G1" s="465"/>
      <c r="H1" s="465"/>
      <c r="I1" s="465"/>
      <c r="J1" s="465"/>
      <c r="K1" s="465"/>
      <c r="L1" s="465"/>
      <c r="M1" s="465"/>
      <c r="N1" s="465"/>
    </row>
    <row r="2" spans="1:14" s="196" customFormat="1" ht="25.5" customHeight="1">
      <c r="A2" s="200"/>
      <c r="B2" s="464" t="s">
        <v>48</v>
      </c>
      <c r="C2" s="464"/>
      <c r="D2" s="464"/>
      <c r="E2" s="464"/>
      <c r="F2" s="464"/>
      <c r="G2" s="464"/>
      <c r="H2" s="464"/>
      <c r="I2" s="464"/>
      <c r="J2" s="464"/>
      <c r="K2" s="464"/>
      <c r="L2" s="464"/>
      <c r="M2" s="464"/>
      <c r="N2" s="464"/>
    </row>
    <row r="3" spans="1:14" s="194" customFormat="1" ht="21" customHeight="1">
      <c r="A3" s="199"/>
      <c r="B3" s="523" t="s">
        <v>153</v>
      </c>
      <c r="C3" s="523"/>
      <c r="D3" s="523"/>
      <c r="E3" s="523"/>
      <c r="F3" s="523"/>
      <c r="G3" s="523"/>
      <c r="H3" s="523"/>
      <c r="I3" s="523"/>
      <c r="J3" s="523"/>
      <c r="K3" s="523"/>
      <c r="L3" s="523"/>
      <c r="M3" s="523"/>
      <c r="N3" s="523"/>
    </row>
    <row r="4" spans="1:14" ht="15.75" customHeight="1">
      <c r="B4" s="524" t="s">
        <v>59</v>
      </c>
      <c r="C4" s="524" t="s">
        <v>60</v>
      </c>
      <c r="D4" s="528" t="s">
        <v>149</v>
      </c>
      <c r="E4" s="528"/>
      <c r="F4" s="528"/>
      <c r="G4" s="528"/>
      <c r="H4" s="528"/>
      <c r="I4" s="528"/>
      <c r="J4" s="528"/>
      <c r="K4" s="528"/>
      <c r="L4" s="528"/>
      <c r="M4" s="528"/>
      <c r="N4" s="529"/>
    </row>
    <row r="5" spans="1:14" s="106" customFormat="1" ht="15.75" customHeight="1">
      <c r="A5" s="136"/>
      <c r="B5" s="531"/>
      <c r="C5" s="531"/>
      <c r="D5" s="326" t="s">
        <v>64</v>
      </c>
      <c r="E5" s="137" t="s">
        <v>63</v>
      </c>
      <c r="F5" s="137" t="s">
        <v>147</v>
      </c>
      <c r="G5" s="137" t="s">
        <v>148</v>
      </c>
      <c r="H5" s="137" t="s">
        <v>57</v>
      </c>
      <c r="I5" s="137" t="s">
        <v>69</v>
      </c>
      <c r="J5" s="137" t="s">
        <v>124</v>
      </c>
      <c r="K5" s="137" t="s">
        <v>146</v>
      </c>
      <c r="L5" s="137" t="s">
        <v>158</v>
      </c>
      <c r="M5" s="137" t="s">
        <v>166</v>
      </c>
      <c r="N5" s="137" t="s">
        <v>187</v>
      </c>
    </row>
    <row r="6" spans="1:14">
      <c r="B6" s="8"/>
      <c r="C6" s="8" t="s">
        <v>11</v>
      </c>
      <c r="D6" s="520" t="s">
        <v>62</v>
      </c>
      <c r="E6" s="109">
        <v>40</v>
      </c>
      <c r="F6" s="109">
        <v>30</v>
      </c>
      <c r="G6" s="109">
        <v>49</v>
      </c>
      <c r="H6" s="109">
        <v>47</v>
      </c>
      <c r="I6" s="109">
        <v>53</v>
      </c>
      <c r="J6" s="109">
        <v>73</v>
      </c>
      <c r="K6" s="109">
        <v>86</v>
      </c>
      <c r="L6" s="109">
        <v>68</v>
      </c>
      <c r="M6" s="109">
        <v>74</v>
      </c>
      <c r="N6" s="109">
        <v>59</v>
      </c>
    </row>
    <row r="7" spans="1:14">
      <c r="B7" s="7"/>
      <c r="C7" s="8" t="s">
        <v>12</v>
      </c>
      <c r="D7" s="521"/>
      <c r="E7" s="76">
        <v>0</v>
      </c>
      <c r="F7" s="76"/>
      <c r="G7" s="76"/>
      <c r="H7" s="76"/>
      <c r="I7" s="76"/>
      <c r="J7" s="76"/>
      <c r="K7" s="76"/>
      <c r="L7" s="76"/>
      <c r="M7" s="76"/>
      <c r="N7" s="76"/>
    </row>
    <row r="8" spans="1:14">
      <c r="B8" s="7" t="s">
        <v>2</v>
      </c>
      <c r="C8" s="3" t="s">
        <v>13</v>
      </c>
      <c r="D8" s="521"/>
      <c r="E8" s="77">
        <v>40</v>
      </c>
      <c r="F8" s="77">
        <v>30</v>
      </c>
      <c r="G8" s="77">
        <v>49</v>
      </c>
      <c r="H8" s="77">
        <f>H6+H7</f>
        <v>47</v>
      </c>
      <c r="I8" s="77">
        <f>I6+I7</f>
        <v>53</v>
      </c>
      <c r="J8" s="77">
        <v>73</v>
      </c>
      <c r="K8" s="77">
        <v>86</v>
      </c>
      <c r="L8" s="77">
        <v>68</v>
      </c>
      <c r="M8" s="77">
        <v>74</v>
      </c>
      <c r="N8" s="77">
        <v>59</v>
      </c>
    </row>
    <row r="9" spans="1:14" ht="16.5" thickBot="1">
      <c r="B9" s="7"/>
      <c r="C9" s="2" t="s">
        <v>14</v>
      </c>
      <c r="D9" s="522"/>
      <c r="E9" s="77">
        <v>0</v>
      </c>
      <c r="F9" s="77"/>
      <c r="G9" s="77"/>
      <c r="H9" s="77"/>
      <c r="I9" s="77"/>
      <c r="J9" s="77"/>
      <c r="K9" s="77"/>
      <c r="L9" s="77"/>
      <c r="M9" s="77"/>
      <c r="N9" s="77"/>
    </row>
    <row r="10" spans="1:14" ht="17.100000000000001" customHeight="1" thickTop="1" thickBot="1">
      <c r="B10" s="7"/>
      <c r="C10" s="13" t="s">
        <v>15</v>
      </c>
      <c r="D10" s="44"/>
      <c r="E10" s="78">
        <v>40</v>
      </c>
      <c r="F10" s="78">
        <v>30</v>
      </c>
      <c r="G10" s="78">
        <v>49</v>
      </c>
      <c r="H10" s="78">
        <f>H8+H9</f>
        <v>47</v>
      </c>
      <c r="I10" s="78">
        <f>I8+I9</f>
        <v>53</v>
      </c>
      <c r="J10" s="78">
        <v>73</v>
      </c>
      <c r="K10" s="78">
        <v>86</v>
      </c>
      <c r="L10" s="78">
        <v>68</v>
      </c>
      <c r="M10" s="78">
        <v>74</v>
      </c>
      <c r="N10" s="78">
        <v>59</v>
      </c>
    </row>
    <row r="11" spans="1:14">
      <c r="B11" s="4"/>
      <c r="C11" s="4" t="s">
        <v>11</v>
      </c>
      <c r="D11" s="45"/>
      <c r="E11" s="79">
        <v>22</v>
      </c>
      <c r="F11" s="79">
        <v>13</v>
      </c>
      <c r="G11" s="79">
        <v>9</v>
      </c>
      <c r="H11" s="79">
        <v>11</v>
      </c>
      <c r="I11" s="79">
        <v>15</v>
      </c>
      <c r="J11" s="79">
        <v>20</v>
      </c>
      <c r="K11" s="79">
        <v>25</v>
      </c>
      <c r="L11" s="79">
        <v>45</v>
      </c>
      <c r="M11" s="79">
        <v>31</v>
      </c>
      <c r="N11" s="79">
        <v>37</v>
      </c>
    </row>
    <row r="12" spans="1:14">
      <c r="B12" s="7"/>
      <c r="C12" s="8" t="s">
        <v>12</v>
      </c>
      <c r="D12" s="42"/>
      <c r="E12" s="76">
        <v>0</v>
      </c>
      <c r="F12" s="76"/>
      <c r="G12" s="76"/>
      <c r="H12" s="76"/>
      <c r="I12" s="76"/>
      <c r="J12" s="76"/>
      <c r="K12" s="76"/>
      <c r="L12" s="76"/>
      <c r="M12" s="76"/>
      <c r="N12" s="76"/>
    </row>
    <row r="13" spans="1:14">
      <c r="B13" s="7" t="s">
        <v>3</v>
      </c>
      <c r="C13" s="3" t="s">
        <v>13</v>
      </c>
      <c r="D13" s="43"/>
      <c r="E13" s="77">
        <v>22</v>
      </c>
      <c r="F13" s="77">
        <v>13</v>
      </c>
      <c r="G13" s="77">
        <v>9</v>
      </c>
      <c r="H13" s="77">
        <f>H11+H12</f>
        <v>11</v>
      </c>
      <c r="I13" s="77">
        <v>15</v>
      </c>
      <c r="J13" s="77">
        <v>20</v>
      </c>
      <c r="K13" s="77">
        <v>25</v>
      </c>
      <c r="L13" s="77">
        <v>45</v>
      </c>
      <c r="M13" s="77">
        <v>31</v>
      </c>
      <c r="N13" s="77">
        <v>37</v>
      </c>
    </row>
    <row r="14" spans="1:14" ht="16.5" thickBot="1">
      <c r="B14" s="7"/>
      <c r="C14" s="2" t="s">
        <v>14</v>
      </c>
      <c r="D14" s="43"/>
      <c r="E14" s="77">
        <v>0</v>
      </c>
      <c r="F14" s="77"/>
      <c r="G14" s="77"/>
      <c r="H14" s="77"/>
      <c r="I14" s="77"/>
      <c r="J14" s="77"/>
      <c r="K14" s="77"/>
      <c r="L14" s="77"/>
      <c r="M14" s="77"/>
      <c r="N14" s="77"/>
    </row>
    <row r="15" spans="1:14" ht="17.100000000000001" customHeight="1" thickTop="1" thickBot="1">
      <c r="B15" s="7"/>
      <c r="C15" s="13" t="s">
        <v>15</v>
      </c>
      <c r="D15" s="44"/>
      <c r="E15" s="78">
        <v>22</v>
      </c>
      <c r="F15" s="78">
        <v>13</v>
      </c>
      <c r="G15" s="78">
        <v>9</v>
      </c>
      <c r="H15" s="78">
        <f>H13+H14</f>
        <v>11</v>
      </c>
      <c r="I15" s="78">
        <f>I13+I14</f>
        <v>15</v>
      </c>
      <c r="J15" s="78">
        <v>20</v>
      </c>
      <c r="K15" s="78">
        <v>25</v>
      </c>
      <c r="L15" s="78">
        <v>45</v>
      </c>
      <c r="M15" s="78">
        <v>31</v>
      </c>
      <c r="N15" s="78">
        <v>37</v>
      </c>
    </row>
    <row r="16" spans="1:14">
      <c r="B16" s="4"/>
      <c r="C16" s="4" t="s">
        <v>11</v>
      </c>
      <c r="D16" s="45"/>
      <c r="E16" s="79">
        <v>7</v>
      </c>
      <c r="F16" s="79">
        <v>17</v>
      </c>
      <c r="G16" s="79">
        <v>16</v>
      </c>
      <c r="H16" s="79">
        <v>7</v>
      </c>
      <c r="I16" s="79">
        <v>6</v>
      </c>
      <c r="J16" s="79">
        <v>16</v>
      </c>
      <c r="K16" s="79">
        <v>16</v>
      </c>
      <c r="L16" s="79">
        <v>14</v>
      </c>
      <c r="M16" s="79">
        <v>18</v>
      </c>
      <c r="N16" s="79">
        <v>19</v>
      </c>
    </row>
    <row r="17" spans="2:15">
      <c r="B17" s="7"/>
      <c r="C17" s="8" t="s">
        <v>12</v>
      </c>
      <c r="D17" s="42"/>
      <c r="E17" s="76">
        <v>0</v>
      </c>
      <c r="F17" s="76"/>
      <c r="G17" s="76"/>
      <c r="H17" s="76"/>
      <c r="I17" s="76"/>
      <c r="J17" s="76"/>
      <c r="K17" s="76"/>
      <c r="L17" s="76"/>
      <c r="M17" s="76"/>
      <c r="N17" s="76"/>
    </row>
    <row r="18" spans="2:15">
      <c r="B18" s="7" t="s">
        <v>4</v>
      </c>
      <c r="C18" s="3" t="s">
        <v>13</v>
      </c>
      <c r="D18" s="43"/>
      <c r="E18" s="77">
        <v>7</v>
      </c>
      <c r="F18" s="77">
        <v>17</v>
      </c>
      <c r="G18" s="77">
        <v>16</v>
      </c>
      <c r="H18" s="77">
        <f>H16+H17</f>
        <v>7</v>
      </c>
      <c r="I18" s="77">
        <f>I16+I17</f>
        <v>6</v>
      </c>
      <c r="J18" s="77">
        <v>16</v>
      </c>
      <c r="K18" s="77">
        <v>16</v>
      </c>
      <c r="L18" s="77">
        <v>14</v>
      </c>
      <c r="M18" s="77">
        <v>18</v>
      </c>
      <c r="N18" s="77">
        <v>19</v>
      </c>
    </row>
    <row r="19" spans="2:15" ht="16.5" thickBot="1">
      <c r="B19" s="7"/>
      <c r="C19" s="2" t="s">
        <v>14</v>
      </c>
      <c r="D19" s="43"/>
      <c r="E19" s="77">
        <v>0</v>
      </c>
      <c r="F19" s="77"/>
      <c r="G19" s="77"/>
      <c r="H19" s="77"/>
      <c r="I19" s="77"/>
      <c r="J19" s="77"/>
      <c r="K19" s="77"/>
      <c r="L19" s="77"/>
      <c r="M19" s="77"/>
      <c r="N19" s="77"/>
    </row>
    <row r="20" spans="2:15" ht="17.100000000000001" customHeight="1" thickTop="1" thickBot="1">
      <c r="B20" s="7"/>
      <c r="C20" s="13" t="s">
        <v>15</v>
      </c>
      <c r="D20" s="44"/>
      <c r="E20" s="78">
        <v>7</v>
      </c>
      <c r="F20" s="78">
        <v>17</v>
      </c>
      <c r="G20" s="78">
        <v>16</v>
      </c>
      <c r="H20" s="78">
        <f>H18+H19</f>
        <v>7</v>
      </c>
      <c r="I20" s="78">
        <f>I18+I19</f>
        <v>6</v>
      </c>
      <c r="J20" s="78">
        <v>16</v>
      </c>
      <c r="K20" s="78">
        <v>16</v>
      </c>
      <c r="L20" s="78">
        <v>14</v>
      </c>
      <c r="M20" s="78">
        <v>18</v>
      </c>
      <c r="N20" s="78">
        <v>19</v>
      </c>
    </row>
    <row r="21" spans="2:15">
      <c r="B21" s="4"/>
      <c r="C21" s="4" t="s">
        <v>11</v>
      </c>
      <c r="D21" s="45"/>
      <c r="E21" s="79">
        <v>0</v>
      </c>
      <c r="F21" s="79">
        <v>1</v>
      </c>
      <c r="G21" s="79">
        <v>5</v>
      </c>
      <c r="H21" s="79">
        <v>7</v>
      </c>
      <c r="I21" s="79">
        <v>5</v>
      </c>
      <c r="J21" s="79">
        <v>10</v>
      </c>
      <c r="K21" s="79">
        <v>11</v>
      </c>
      <c r="L21" s="79">
        <v>9</v>
      </c>
      <c r="M21" s="79">
        <v>9</v>
      </c>
      <c r="N21" s="79">
        <v>16</v>
      </c>
    </row>
    <row r="22" spans="2:15">
      <c r="B22" s="7"/>
      <c r="C22" s="8" t="s">
        <v>12</v>
      </c>
      <c r="D22" s="42"/>
      <c r="E22" s="76">
        <v>0</v>
      </c>
      <c r="F22" s="76"/>
      <c r="G22" s="76"/>
      <c r="H22" s="76"/>
      <c r="I22" s="76"/>
      <c r="J22" s="76"/>
      <c r="K22" s="76"/>
      <c r="L22" s="76"/>
      <c r="M22" s="76"/>
      <c r="N22" s="76"/>
    </row>
    <row r="23" spans="2:15">
      <c r="B23" s="7" t="s">
        <v>5</v>
      </c>
      <c r="C23" s="3" t="s">
        <v>13</v>
      </c>
      <c r="D23" s="43"/>
      <c r="E23" s="77">
        <v>0</v>
      </c>
      <c r="F23" s="77">
        <v>1</v>
      </c>
      <c r="G23" s="77">
        <v>5</v>
      </c>
      <c r="H23" s="77">
        <f>H21+H22</f>
        <v>7</v>
      </c>
      <c r="I23" s="77">
        <f>I21+I22</f>
        <v>5</v>
      </c>
      <c r="J23" s="77">
        <v>10</v>
      </c>
      <c r="K23" s="77">
        <v>11</v>
      </c>
      <c r="L23" s="77">
        <v>9</v>
      </c>
      <c r="M23" s="77">
        <v>9</v>
      </c>
      <c r="N23" s="77">
        <v>16</v>
      </c>
    </row>
    <row r="24" spans="2:15" ht="16.5" thickBot="1">
      <c r="B24" s="7"/>
      <c r="C24" s="2" t="s">
        <v>14</v>
      </c>
      <c r="D24" s="43"/>
      <c r="E24" s="77">
        <v>0</v>
      </c>
      <c r="F24" s="77"/>
      <c r="G24" s="77"/>
      <c r="H24" s="77"/>
      <c r="I24" s="77"/>
      <c r="J24" s="77"/>
      <c r="K24" s="77"/>
      <c r="L24" s="77"/>
      <c r="M24" s="77"/>
      <c r="N24" s="77"/>
    </row>
    <row r="25" spans="2:15" ht="17.100000000000001" customHeight="1" thickTop="1" thickBot="1">
      <c r="B25" s="7"/>
      <c r="C25" s="13" t="s">
        <v>15</v>
      </c>
      <c r="D25" s="44"/>
      <c r="E25" s="78">
        <v>0</v>
      </c>
      <c r="F25" s="78">
        <v>1</v>
      </c>
      <c r="G25" s="78">
        <v>5</v>
      </c>
      <c r="H25" s="78">
        <f>H23+H24</f>
        <v>7</v>
      </c>
      <c r="I25" s="78">
        <f>I23+I24</f>
        <v>5</v>
      </c>
      <c r="J25" s="78">
        <v>10</v>
      </c>
      <c r="K25" s="78">
        <v>11</v>
      </c>
      <c r="L25" s="78">
        <v>9</v>
      </c>
      <c r="M25" s="78">
        <v>9</v>
      </c>
      <c r="N25" s="78">
        <v>16</v>
      </c>
    </row>
    <row r="26" spans="2:15" ht="21" customHeight="1" thickTop="1">
      <c r="B26" s="46"/>
      <c r="C26" s="46" t="s">
        <v>11</v>
      </c>
      <c r="D26" s="47"/>
      <c r="E26" s="80">
        <f t="shared" ref="E26:I26" si="0">SUM(E6,E11,E16,E21)</f>
        <v>69</v>
      </c>
      <c r="F26" s="80">
        <f t="shared" si="0"/>
        <v>61</v>
      </c>
      <c r="G26" s="80">
        <f t="shared" si="0"/>
        <v>79</v>
      </c>
      <c r="H26" s="80">
        <f t="shared" si="0"/>
        <v>72</v>
      </c>
      <c r="I26" s="80">
        <f t="shared" si="0"/>
        <v>79</v>
      </c>
      <c r="J26" s="80">
        <v>119</v>
      </c>
      <c r="K26" s="80">
        <v>138</v>
      </c>
      <c r="L26" s="80">
        <v>136</v>
      </c>
      <c r="M26" s="80">
        <v>132</v>
      </c>
      <c r="N26" s="80">
        <v>131</v>
      </c>
    </row>
    <row r="27" spans="2:15" ht="21" customHeight="1">
      <c r="B27" s="19"/>
      <c r="C27" s="19" t="s">
        <v>12</v>
      </c>
      <c r="D27" s="48"/>
      <c r="E27" s="81">
        <v>0</v>
      </c>
      <c r="F27" s="81"/>
      <c r="G27" s="81"/>
      <c r="H27" s="81"/>
      <c r="I27" s="81"/>
      <c r="J27" s="81"/>
      <c r="K27" s="81"/>
      <c r="L27" s="81"/>
      <c r="M27" s="81"/>
      <c r="N27" s="81"/>
    </row>
    <row r="28" spans="2:15" ht="21" customHeight="1">
      <c r="B28" s="22" t="s">
        <v>6</v>
      </c>
      <c r="C28" s="23" t="s">
        <v>13</v>
      </c>
      <c r="D28" s="49"/>
      <c r="E28" s="82">
        <f t="shared" ref="E28:I28" si="1">SUM(E8,E13,E18,E23)</f>
        <v>69</v>
      </c>
      <c r="F28" s="82">
        <f t="shared" si="1"/>
        <v>61</v>
      </c>
      <c r="G28" s="82">
        <f t="shared" si="1"/>
        <v>79</v>
      </c>
      <c r="H28" s="82">
        <f t="shared" si="1"/>
        <v>72</v>
      </c>
      <c r="I28" s="82">
        <f t="shared" si="1"/>
        <v>79</v>
      </c>
      <c r="J28" s="82">
        <v>119</v>
      </c>
      <c r="K28" s="82">
        <v>138</v>
      </c>
      <c r="L28" s="82">
        <v>136</v>
      </c>
      <c r="M28" s="82">
        <v>132</v>
      </c>
      <c r="N28" s="82">
        <v>131</v>
      </c>
    </row>
    <row r="29" spans="2:15" ht="21" customHeight="1" thickBot="1">
      <c r="B29" s="19"/>
      <c r="C29" s="26" t="s">
        <v>14</v>
      </c>
      <c r="D29" s="49"/>
      <c r="E29" s="82">
        <v>0</v>
      </c>
      <c r="F29" s="82"/>
      <c r="G29" s="82"/>
      <c r="H29" s="82"/>
      <c r="I29" s="82"/>
      <c r="J29" s="82"/>
      <c r="K29" s="82"/>
      <c r="L29" s="82"/>
      <c r="M29" s="82"/>
      <c r="N29" s="82"/>
    </row>
    <row r="30" spans="2:15" ht="21" customHeight="1" thickTop="1" thickBot="1">
      <c r="B30" s="22"/>
      <c r="C30" s="27" t="s">
        <v>15</v>
      </c>
      <c r="D30" s="50"/>
      <c r="E30" s="83">
        <f t="shared" ref="E30:I30" si="2">SUM(E10,E15,E20,E25)</f>
        <v>69</v>
      </c>
      <c r="F30" s="83">
        <f t="shared" si="2"/>
        <v>61</v>
      </c>
      <c r="G30" s="83">
        <f t="shared" si="2"/>
        <v>79</v>
      </c>
      <c r="H30" s="83">
        <f t="shared" si="2"/>
        <v>72</v>
      </c>
      <c r="I30" s="83">
        <f t="shared" si="2"/>
        <v>79</v>
      </c>
      <c r="J30" s="83">
        <v>119</v>
      </c>
      <c r="K30" s="83">
        <v>138</v>
      </c>
      <c r="L30" s="83">
        <v>136</v>
      </c>
      <c r="M30" s="83">
        <v>132</v>
      </c>
      <c r="N30" s="83">
        <v>131</v>
      </c>
    </row>
    <row r="31" spans="2:15" ht="16.5" thickTop="1">
      <c r="B31" s="29" t="s">
        <v>7</v>
      </c>
      <c r="C31" s="29"/>
      <c r="D31" s="29"/>
      <c r="E31" s="84">
        <v>3</v>
      </c>
      <c r="F31" s="84">
        <v>5</v>
      </c>
      <c r="G31" s="84">
        <v>15</v>
      </c>
      <c r="H31" s="84">
        <v>6</v>
      </c>
      <c r="I31" s="84">
        <v>14</v>
      </c>
      <c r="J31" s="84">
        <v>20</v>
      </c>
      <c r="K31" s="84">
        <v>22</v>
      </c>
      <c r="L31" s="84">
        <v>17</v>
      </c>
      <c r="M31" s="84">
        <v>20</v>
      </c>
      <c r="N31" s="211">
        <v>18</v>
      </c>
      <c r="O31" s="296">
        <f>N31/N30</f>
        <v>0.13740458015267176</v>
      </c>
    </row>
    <row r="32" spans="2:15" ht="16.5" thickBot="1">
      <c r="B32" s="8" t="s">
        <v>8</v>
      </c>
      <c r="C32" s="8"/>
      <c r="D32" s="8"/>
      <c r="E32" s="85">
        <v>66</v>
      </c>
      <c r="F32" s="85">
        <v>56</v>
      </c>
      <c r="G32" s="85">
        <v>64</v>
      </c>
      <c r="H32" s="85">
        <v>66</v>
      </c>
      <c r="I32" s="85">
        <v>65</v>
      </c>
      <c r="J32" s="85">
        <v>99</v>
      </c>
      <c r="K32" s="85">
        <v>116</v>
      </c>
      <c r="L32" s="85">
        <v>119</v>
      </c>
      <c r="M32" s="85">
        <v>112</v>
      </c>
      <c r="N32" s="212">
        <v>113</v>
      </c>
      <c r="O32" s="297">
        <f>N32/N30</f>
        <v>0.86259541984732824</v>
      </c>
    </row>
    <row r="33" spans="2:15">
      <c r="B33" s="4" t="s">
        <v>9</v>
      </c>
      <c r="C33" s="4"/>
      <c r="D33" s="4"/>
      <c r="E33" s="86">
        <v>64</v>
      </c>
      <c r="F33" s="86">
        <v>51</v>
      </c>
      <c r="G33" s="86">
        <v>73</v>
      </c>
      <c r="H33" s="86">
        <v>66</v>
      </c>
      <c r="I33" s="86">
        <v>76</v>
      </c>
      <c r="J33" s="86">
        <v>117</v>
      </c>
      <c r="K33" s="86">
        <v>136</v>
      </c>
      <c r="L33" s="86">
        <v>135</v>
      </c>
      <c r="M33" s="86">
        <v>131</v>
      </c>
      <c r="N33" s="213">
        <v>128</v>
      </c>
      <c r="O33" s="296">
        <f>N33/N30</f>
        <v>0.97709923664122134</v>
      </c>
    </row>
    <row r="34" spans="2:15">
      <c r="B34" s="8" t="s">
        <v>10</v>
      </c>
      <c r="C34" s="8"/>
      <c r="D34" s="8"/>
      <c r="E34" s="87">
        <v>5</v>
      </c>
      <c r="F34" s="87">
        <v>10</v>
      </c>
      <c r="G34" s="87">
        <v>6</v>
      </c>
      <c r="H34" s="87">
        <v>6</v>
      </c>
      <c r="I34" s="87">
        <v>3</v>
      </c>
      <c r="J34" s="87">
        <v>2</v>
      </c>
      <c r="K34" s="87">
        <v>2</v>
      </c>
      <c r="L34" s="87">
        <v>1</v>
      </c>
      <c r="M34" s="87">
        <v>1</v>
      </c>
      <c r="N34" s="214">
        <v>3</v>
      </c>
      <c r="O34" s="296">
        <f>N34/N30</f>
        <v>2.2900763358778626E-2</v>
      </c>
    </row>
    <row r="35" spans="2:15">
      <c r="B35" s="40"/>
      <c r="C35" s="40"/>
      <c r="D35" s="40"/>
    </row>
    <row r="36" spans="2:15">
      <c r="B36" s="37"/>
      <c r="C36" s="37"/>
    </row>
    <row r="55" spans="2:3" hidden="1">
      <c r="B55" s="38" t="s">
        <v>34</v>
      </c>
      <c r="C55" s="31"/>
    </row>
    <row r="56" spans="2:3" hidden="1">
      <c r="B56" s="31" t="s">
        <v>112</v>
      </c>
    </row>
    <row r="57" spans="2:3" hidden="1">
      <c r="B57" s="31" t="s">
        <v>113</v>
      </c>
    </row>
    <row r="58" spans="2:3" hidden="1">
      <c r="B58" s="31" t="s">
        <v>30</v>
      </c>
    </row>
    <row r="59" spans="2:3" hidden="1">
      <c r="B59" s="31" t="s">
        <v>109</v>
      </c>
    </row>
    <row r="60" spans="2:3" hidden="1">
      <c r="B60" s="31" t="s">
        <v>110</v>
      </c>
    </row>
    <row r="61" spans="2:3" hidden="1">
      <c r="B61" s="31" t="s">
        <v>111</v>
      </c>
    </row>
  </sheetData>
  <mergeCells count="7">
    <mergeCell ref="B1:N1"/>
    <mergeCell ref="D6:D9"/>
    <mergeCell ref="B4:B5"/>
    <mergeCell ref="C4:C5"/>
    <mergeCell ref="D4:N4"/>
    <mergeCell ref="B3:N3"/>
    <mergeCell ref="B2:N2"/>
  </mergeCells>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100&amp;R&amp;"Lucida Sans Unicode,Regular"&amp;10December 2015</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sheetPr>
  <dimension ref="B1:S58"/>
  <sheetViews>
    <sheetView showGridLines="0" view="pageLayout" topLeftCell="A39" zoomScaleNormal="100" zoomScaleSheetLayoutView="100" workbookViewId="0">
      <selection activeCell="R35" sqref="R35"/>
    </sheetView>
  </sheetViews>
  <sheetFormatPr defaultColWidth="9.6640625" defaultRowHeight="15"/>
  <cols>
    <col min="1" max="1" width="6" style="38" customWidth="1"/>
    <col min="2" max="2" width="9.6640625" style="38" customWidth="1"/>
    <col min="3" max="3" width="15.6640625" style="38" customWidth="1"/>
    <col min="4" max="9" width="9.6640625" style="38" hidden="1" customWidth="1"/>
    <col min="10" max="11" width="8" style="38" hidden="1" customWidth="1"/>
    <col min="12" max="13" width="7.5546875" style="38" hidden="1" customWidth="1"/>
    <col min="14" max="18" width="8.77734375" style="38" customWidth="1"/>
    <col min="19" max="19" width="6.88671875" style="38" bestFit="1" customWidth="1"/>
    <col min="20" max="16384" width="9.6640625" style="38"/>
  </cols>
  <sheetData>
    <row r="1" spans="2:18" s="194" customFormat="1" ht="24" customHeight="1">
      <c r="B1" s="465" t="s">
        <v>0</v>
      </c>
      <c r="C1" s="465"/>
      <c r="D1" s="465"/>
      <c r="E1" s="465"/>
      <c r="F1" s="465"/>
      <c r="G1" s="465"/>
      <c r="H1" s="465"/>
      <c r="I1" s="465"/>
      <c r="J1" s="465"/>
      <c r="K1" s="465"/>
      <c r="L1" s="465"/>
      <c r="M1" s="465"/>
      <c r="N1" s="465"/>
      <c r="O1" s="465"/>
      <c r="P1" s="465"/>
      <c r="Q1" s="465"/>
      <c r="R1" s="465"/>
    </row>
    <row r="2" spans="2:18" s="196" customFormat="1" ht="25.5" customHeight="1">
      <c r="B2" s="464" t="s">
        <v>49</v>
      </c>
      <c r="C2" s="464"/>
      <c r="D2" s="464"/>
      <c r="E2" s="464"/>
      <c r="F2" s="464"/>
      <c r="G2" s="464"/>
      <c r="H2" s="464"/>
      <c r="I2" s="464"/>
      <c r="J2" s="464"/>
      <c r="K2" s="464"/>
      <c r="L2" s="464"/>
      <c r="M2" s="464"/>
      <c r="N2" s="464"/>
      <c r="O2" s="464"/>
      <c r="P2" s="464"/>
      <c r="Q2" s="464"/>
      <c r="R2" s="464"/>
    </row>
    <row r="3" spans="2:18" s="194" customFormat="1" ht="21" customHeight="1">
      <c r="B3" s="484"/>
      <c r="C3" s="484"/>
      <c r="D3" s="484"/>
      <c r="E3" s="484"/>
      <c r="F3" s="484"/>
      <c r="G3" s="484"/>
      <c r="H3" s="484"/>
      <c r="I3" s="484"/>
      <c r="J3" s="484"/>
      <c r="K3" s="484"/>
      <c r="L3" s="484"/>
      <c r="M3" s="484"/>
      <c r="N3" s="484"/>
      <c r="O3" s="484"/>
      <c r="P3" s="484"/>
      <c r="Q3" s="484"/>
      <c r="R3" s="484"/>
    </row>
    <row r="4" spans="2:18" ht="15" customHeight="1">
      <c r="B4" s="524" t="s">
        <v>59</v>
      </c>
      <c r="C4" s="524" t="s">
        <v>60</v>
      </c>
      <c r="D4" s="134"/>
      <c r="E4" s="134"/>
      <c r="F4" s="134"/>
      <c r="G4" s="134"/>
      <c r="H4" s="481" t="s">
        <v>145</v>
      </c>
      <c r="I4" s="482"/>
      <c r="J4" s="482"/>
      <c r="K4" s="482"/>
      <c r="L4" s="482"/>
      <c r="M4" s="482"/>
      <c r="N4" s="482"/>
      <c r="O4" s="482"/>
      <c r="P4" s="482"/>
      <c r="Q4" s="482"/>
      <c r="R4" s="483"/>
    </row>
    <row r="5" spans="2:18" s="106" customFormat="1" ht="16.5" thickBot="1">
      <c r="B5" s="525"/>
      <c r="C5" s="525"/>
      <c r="D5" s="135" t="s">
        <v>17</v>
      </c>
      <c r="E5" s="135" t="s">
        <v>18</v>
      </c>
      <c r="F5" s="135" t="s">
        <v>19</v>
      </c>
      <c r="G5" s="135" t="s">
        <v>20</v>
      </c>
      <c r="H5" s="135" t="s">
        <v>21</v>
      </c>
      <c r="I5" s="135" t="s">
        <v>51</v>
      </c>
      <c r="J5" s="135" t="s">
        <v>52</v>
      </c>
      <c r="K5" s="135" t="s">
        <v>53</v>
      </c>
      <c r="L5" s="135" t="s">
        <v>57</v>
      </c>
      <c r="M5" s="135" t="s">
        <v>69</v>
      </c>
      <c r="N5" s="135" t="s">
        <v>124</v>
      </c>
      <c r="O5" s="135" t="s">
        <v>146</v>
      </c>
      <c r="P5" s="138" t="s">
        <v>158</v>
      </c>
      <c r="Q5" s="138" t="s">
        <v>166</v>
      </c>
      <c r="R5" s="138" t="s">
        <v>187</v>
      </c>
    </row>
    <row r="6" spans="2:18" ht="15.75" thickTop="1">
      <c r="B6" s="8"/>
      <c r="C6" s="8" t="s">
        <v>11</v>
      </c>
      <c r="D6" s="108">
        <v>67</v>
      </c>
      <c r="E6" s="108">
        <v>78</v>
      </c>
      <c r="F6" s="108">
        <v>74</v>
      </c>
      <c r="G6" s="108">
        <v>109</v>
      </c>
      <c r="H6" s="108">
        <v>201</v>
      </c>
      <c r="I6" s="109">
        <v>214</v>
      </c>
      <c r="J6" s="109">
        <v>204</v>
      </c>
      <c r="K6" s="109">
        <v>250</v>
      </c>
      <c r="L6" s="109">
        <v>220</v>
      </c>
      <c r="M6" s="109">
        <f>13+210+5+1</f>
        <v>229</v>
      </c>
      <c r="N6" s="109">
        <v>202</v>
      </c>
      <c r="O6" s="109">
        <v>198</v>
      </c>
      <c r="P6" s="109">
        <v>228</v>
      </c>
      <c r="Q6" s="109">
        <v>185</v>
      </c>
      <c r="R6" s="109">
        <v>145</v>
      </c>
    </row>
    <row r="7" spans="2:18">
      <c r="B7" s="7"/>
      <c r="C7" s="8" t="s">
        <v>12</v>
      </c>
      <c r="D7" s="42">
        <v>3</v>
      </c>
      <c r="E7" s="42">
        <v>5</v>
      </c>
      <c r="F7" s="42">
        <v>1</v>
      </c>
      <c r="G7" s="42">
        <v>0</v>
      </c>
      <c r="H7" s="42">
        <v>1</v>
      </c>
      <c r="I7" s="76">
        <v>3</v>
      </c>
      <c r="J7" s="76">
        <v>2</v>
      </c>
      <c r="K7" s="76">
        <v>3</v>
      </c>
      <c r="L7" s="76">
        <v>4</v>
      </c>
      <c r="M7" s="76">
        <f>1+1+1+2+1</f>
        <v>6</v>
      </c>
      <c r="N7" s="76">
        <v>6</v>
      </c>
      <c r="O7" s="76">
        <v>6</v>
      </c>
      <c r="P7" s="76">
        <v>4</v>
      </c>
      <c r="Q7" s="76">
        <v>3</v>
      </c>
      <c r="R7" s="76">
        <v>3</v>
      </c>
    </row>
    <row r="8" spans="2:18">
      <c r="B8" s="7" t="s">
        <v>2</v>
      </c>
      <c r="C8" s="3" t="s">
        <v>13</v>
      </c>
      <c r="D8" s="43">
        <f t="shared" ref="D8:M8" si="0">D6+D7</f>
        <v>70</v>
      </c>
      <c r="E8" s="43">
        <f t="shared" si="0"/>
        <v>83</v>
      </c>
      <c r="F8" s="43">
        <f t="shared" si="0"/>
        <v>75</v>
      </c>
      <c r="G8" s="43">
        <f t="shared" si="0"/>
        <v>109</v>
      </c>
      <c r="H8" s="43">
        <f t="shared" si="0"/>
        <v>202</v>
      </c>
      <c r="I8" s="77">
        <f t="shared" si="0"/>
        <v>217</v>
      </c>
      <c r="J8" s="77">
        <f t="shared" si="0"/>
        <v>206</v>
      </c>
      <c r="K8" s="77">
        <f t="shared" si="0"/>
        <v>253</v>
      </c>
      <c r="L8" s="77">
        <f t="shared" si="0"/>
        <v>224</v>
      </c>
      <c r="M8" s="77">
        <f t="shared" si="0"/>
        <v>235</v>
      </c>
      <c r="N8" s="77">
        <v>208</v>
      </c>
      <c r="O8" s="77">
        <v>204</v>
      </c>
      <c r="P8" s="77">
        <v>232</v>
      </c>
      <c r="Q8" s="77">
        <v>188</v>
      </c>
      <c r="R8" s="77">
        <v>148</v>
      </c>
    </row>
    <row r="9" spans="2:18" ht="15.75" thickBot="1">
      <c r="B9" s="7"/>
      <c r="C9" s="2" t="s">
        <v>14</v>
      </c>
      <c r="D9" s="43">
        <v>0</v>
      </c>
      <c r="E9" s="43">
        <v>0</v>
      </c>
      <c r="F9" s="43">
        <v>0</v>
      </c>
      <c r="G9" s="43">
        <v>0</v>
      </c>
      <c r="H9" s="43">
        <v>0</v>
      </c>
      <c r="I9" s="77">
        <v>0</v>
      </c>
      <c r="J9" s="77"/>
      <c r="K9" s="77"/>
      <c r="L9" s="77"/>
      <c r="M9" s="77"/>
      <c r="N9" s="77"/>
      <c r="O9" s="77">
        <v>1</v>
      </c>
      <c r="P9" s="77"/>
      <c r="Q9" s="77"/>
      <c r="R9" s="77"/>
    </row>
    <row r="10" spans="2:18" ht="17.100000000000001" customHeight="1" thickTop="1" thickBot="1">
      <c r="B10" s="7"/>
      <c r="C10" s="13" t="s">
        <v>15</v>
      </c>
      <c r="D10" s="44">
        <f t="shared" ref="D10:M10" si="1">D8+D9</f>
        <v>70</v>
      </c>
      <c r="E10" s="44">
        <f t="shared" si="1"/>
        <v>83</v>
      </c>
      <c r="F10" s="44">
        <f t="shared" si="1"/>
        <v>75</v>
      </c>
      <c r="G10" s="44">
        <f t="shared" si="1"/>
        <v>109</v>
      </c>
      <c r="H10" s="44">
        <f t="shared" si="1"/>
        <v>202</v>
      </c>
      <c r="I10" s="78">
        <f t="shared" si="1"/>
        <v>217</v>
      </c>
      <c r="J10" s="78">
        <f t="shared" si="1"/>
        <v>206</v>
      </c>
      <c r="K10" s="78">
        <f t="shared" si="1"/>
        <v>253</v>
      </c>
      <c r="L10" s="78">
        <f t="shared" si="1"/>
        <v>224</v>
      </c>
      <c r="M10" s="78">
        <f t="shared" si="1"/>
        <v>235</v>
      </c>
      <c r="N10" s="78">
        <v>208</v>
      </c>
      <c r="O10" s="78">
        <v>205</v>
      </c>
      <c r="P10" s="78">
        <v>232</v>
      </c>
      <c r="Q10" s="78">
        <v>188</v>
      </c>
      <c r="R10" s="78">
        <v>148</v>
      </c>
    </row>
    <row r="11" spans="2:18">
      <c r="B11" s="4"/>
      <c r="C11" s="4" t="s">
        <v>11</v>
      </c>
      <c r="D11" s="45">
        <v>89</v>
      </c>
      <c r="E11" s="45">
        <v>117</v>
      </c>
      <c r="F11" s="45">
        <v>83</v>
      </c>
      <c r="G11" s="45">
        <v>104</v>
      </c>
      <c r="H11" s="45">
        <v>110</v>
      </c>
      <c r="I11" s="79">
        <v>191</v>
      </c>
      <c r="J11" s="79">
        <f>29+178</f>
        <v>207</v>
      </c>
      <c r="K11" s="79">
        <v>187</v>
      </c>
      <c r="L11" s="79">
        <v>190</v>
      </c>
      <c r="M11" s="79">
        <f>13+169+21+2</f>
        <v>205</v>
      </c>
      <c r="N11" s="79">
        <v>119</v>
      </c>
      <c r="O11" s="79">
        <v>142</v>
      </c>
      <c r="P11" s="79">
        <v>161</v>
      </c>
      <c r="Q11" s="79">
        <v>181</v>
      </c>
      <c r="R11" s="79">
        <v>153</v>
      </c>
    </row>
    <row r="12" spans="2:18">
      <c r="B12" s="7"/>
      <c r="C12" s="8" t="s">
        <v>12</v>
      </c>
      <c r="D12" s="42">
        <v>30</v>
      </c>
      <c r="E12" s="42">
        <v>14</v>
      </c>
      <c r="F12" s="42">
        <v>11</v>
      </c>
      <c r="G12" s="42">
        <v>16</v>
      </c>
      <c r="H12" s="42">
        <v>8</v>
      </c>
      <c r="I12" s="76">
        <v>20</v>
      </c>
      <c r="J12" s="76">
        <v>17</v>
      </c>
      <c r="K12" s="76">
        <v>17</v>
      </c>
      <c r="L12" s="76">
        <v>13</v>
      </c>
      <c r="M12" s="76">
        <f>9+1+4+1+1+2+2</f>
        <v>20</v>
      </c>
      <c r="N12" s="76">
        <v>19</v>
      </c>
      <c r="O12" s="76">
        <v>18</v>
      </c>
      <c r="P12" s="76">
        <v>19</v>
      </c>
      <c r="Q12" s="76">
        <v>12</v>
      </c>
      <c r="R12" s="76">
        <v>14</v>
      </c>
    </row>
    <row r="13" spans="2:18">
      <c r="B13" s="7" t="s">
        <v>3</v>
      </c>
      <c r="C13" s="3" t="s">
        <v>13</v>
      </c>
      <c r="D13" s="43">
        <f t="shared" ref="D13:M13" si="2">D11+D12</f>
        <v>119</v>
      </c>
      <c r="E13" s="43">
        <f t="shared" si="2"/>
        <v>131</v>
      </c>
      <c r="F13" s="43">
        <f t="shared" si="2"/>
        <v>94</v>
      </c>
      <c r="G13" s="43">
        <f t="shared" si="2"/>
        <v>120</v>
      </c>
      <c r="H13" s="43">
        <f t="shared" si="2"/>
        <v>118</v>
      </c>
      <c r="I13" s="77">
        <f t="shared" si="2"/>
        <v>211</v>
      </c>
      <c r="J13" s="77">
        <f t="shared" si="2"/>
        <v>224</v>
      </c>
      <c r="K13" s="77">
        <f t="shared" si="2"/>
        <v>204</v>
      </c>
      <c r="L13" s="77">
        <f t="shared" si="2"/>
        <v>203</v>
      </c>
      <c r="M13" s="77">
        <f t="shared" si="2"/>
        <v>225</v>
      </c>
      <c r="N13" s="77">
        <v>138</v>
      </c>
      <c r="O13" s="77">
        <v>160</v>
      </c>
      <c r="P13" s="77">
        <v>180</v>
      </c>
      <c r="Q13" s="77">
        <v>193</v>
      </c>
      <c r="R13" s="77">
        <v>167</v>
      </c>
    </row>
    <row r="14" spans="2:18" ht="15.75" thickBot="1">
      <c r="B14" s="7"/>
      <c r="C14" s="2" t="s">
        <v>14</v>
      </c>
      <c r="D14" s="43">
        <v>0</v>
      </c>
      <c r="E14" s="43">
        <v>0</v>
      </c>
      <c r="F14" s="43">
        <v>0</v>
      </c>
      <c r="G14" s="43">
        <v>0</v>
      </c>
      <c r="H14" s="43">
        <v>0</v>
      </c>
      <c r="I14" s="77">
        <v>0</v>
      </c>
      <c r="J14" s="77"/>
      <c r="K14" s="77">
        <v>1</v>
      </c>
      <c r="L14" s="77">
        <v>1</v>
      </c>
      <c r="M14" s="77">
        <v>1</v>
      </c>
      <c r="N14" s="77"/>
      <c r="O14" s="77"/>
      <c r="P14" s="77">
        <v>1</v>
      </c>
      <c r="Q14" s="77"/>
      <c r="R14" s="77"/>
    </row>
    <row r="15" spans="2:18" ht="17.100000000000001" customHeight="1" thickTop="1" thickBot="1">
      <c r="B15" s="7"/>
      <c r="C15" s="13" t="s">
        <v>15</v>
      </c>
      <c r="D15" s="44">
        <f t="shared" ref="D15:M15" si="3">D13+D14</f>
        <v>119</v>
      </c>
      <c r="E15" s="44">
        <f t="shared" si="3"/>
        <v>131</v>
      </c>
      <c r="F15" s="44">
        <f t="shared" si="3"/>
        <v>94</v>
      </c>
      <c r="G15" s="44">
        <f t="shared" si="3"/>
        <v>120</v>
      </c>
      <c r="H15" s="44">
        <f t="shared" si="3"/>
        <v>118</v>
      </c>
      <c r="I15" s="78">
        <f t="shared" si="3"/>
        <v>211</v>
      </c>
      <c r="J15" s="78">
        <f t="shared" si="3"/>
        <v>224</v>
      </c>
      <c r="K15" s="78">
        <f t="shared" si="3"/>
        <v>205</v>
      </c>
      <c r="L15" s="78">
        <f t="shared" si="3"/>
        <v>204</v>
      </c>
      <c r="M15" s="78">
        <f t="shared" si="3"/>
        <v>226</v>
      </c>
      <c r="N15" s="78">
        <v>138</v>
      </c>
      <c r="O15" s="78">
        <v>160</v>
      </c>
      <c r="P15" s="78">
        <v>181</v>
      </c>
      <c r="Q15" s="78">
        <v>193</v>
      </c>
      <c r="R15" s="78">
        <v>167</v>
      </c>
    </row>
    <row r="16" spans="2:18">
      <c r="B16" s="4"/>
      <c r="C16" s="4" t="s">
        <v>11</v>
      </c>
      <c r="D16" s="45">
        <v>131</v>
      </c>
      <c r="E16" s="45">
        <v>111</v>
      </c>
      <c r="F16" s="45">
        <v>134</v>
      </c>
      <c r="G16" s="45">
        <f>118+9</f>
        <v>127</v>
      </c>
      <c r="H16" s="45">
        <f>132+27</f>
        <v>159</v>
      </c>
      <c r="I16" s="79">
        <v>118</v>
      </c>
      <c r="J16" s="79">
        <v>172</v>
      </c>
      <c r="K16" s="79">
        <v>186</v>
      </c>
      <c r="L16" s="79">
        <v>160</v>
      </c>
      <c r="M16" s="79">
        <f>2+114+1+18+1+2</f>
        <v>138</v>
      </c>
      <c r="N16" s="79">
        <v>132</v>
      </c>
      <c r="O16" s="79">
        <v>117</v>
      </c>
      <c r="P16" s="79">
        <v>132</v>
      </c>
      <c r="Q16" s="79">
        <v>123</v>
      </c>
      <c r="R16" s="79">
        <v>145</v>
      </c>
    </row>
    <row r="17" spans="2:19">
      <c r="B17" s="7"/>
      <c r="C17" s="8" t="s">
        <v>12</v>
      </c>
      <c r="D17" s="42">
        <v>40</v>
      </c>
      <c r="E17" s="42">
        <v>34</v>
      </c>
      <c r="F17" s="42">
        <v>33</v>
      </c>
      <c r="G17" s="42">
        <v>21</v>
      </c>
      <c r="H17" s="42">
        <f>13+8</f>
        <v>21</v>
      </c>
      <c r="I17" s="76">
        <v>18</v>
      </c>
      <c r="J17" s="76">
        <v>24</v>
      </c>
      <c r="K17" s="76">
        <v>17</v>
      </c>
      <c r="L17" s="76">
        <v>28</v>
      </c>
      <c r="M17" s="76">
        <f>1+5+2+2+1+2+1+1</f>
        <v>15</v>
      </c>
      <c r="N17" s="76">
        <v>23</v>
      </c>
      <c r="O17" s="76">
        <v>25</v>
      </c>
      <c r="P17" s="76">
        <v>13</v>
      </c>
      <c r="Q17" s="76">
        <v>14</v>
      </c>
      <c r="R17" s="76">
        <v>12</v>
      </c>
    </row>
    <row r="18" spans="2:19">
      <c r="B18" s="7" t="s">
        <v>4</v>
      </c>
      <c r="C18" s="3" t="s">
        <v>13</v>
      </c>
      <c r="D18" s="43">
        <f t="shared" ref="D18:M18" si="4">D16+D17</f>
        <v>171</v>
      </c>
      <c r="E18" s="43">
        <f t="shared" si="4"/>
        <v>145</v>
      </c>
      <c r="F18" s="43">
        <f t="shared" si="4"/>
        <v>167</v>
      </c>
      <c r="G18" s="43">
        <f t="shared" si="4"/>
        <v>148</v>
      </c>
      <c r="H18" s="43">
        <f t="shared" si="4"/>
        <v>180</v>
      </c>
      <c r="I18" s="77">
        <f t="shared" si="4"/>
        <v>136</v>
      </c>
      <c r="J18" s="77">
        <f t="shared" si="4"/>
        <v>196</v>
      </c>
      <c r="K18" s="77">
        <f t="shared" si="4"/>
        <v>203</v>
      </c>
      <c r="L18" s="77">
        <f t="shared" si="4"/>
        <v>188</v>
      </c>
      <c r="M18" s="77">
        <f t="shared" si="4"/>
        <v>153</v>
      </c>
      <c r="N18" s="77">
        <v>155</v>
      </c>
      <c r="O18" s="77">
        <v>142</v>
      </c>
      <c r="P18" s="77">
        <v>145</v>
      </c>
      <c r="Q18" s="77">
        <v>137</v>
      </c>
      <c r="R18" s="77">
        <v>157</v>
      </c>
    </row>
    <row r="19" spans="2:19" ht="15.75" thickBot="1">
      <c r="B19" s="7"/>
      <c r="C19" s="2" t="s">
        <v>14</v>
      </c>
      <c r="D19" s="43">
        <v>6</v>
      </c>
      <c r="E19" s="43">
        <v>4</v>
      </c>
      <c r="F19" s="43">
        <v>2</v>
      </c>
      <c r="G19" s="43">
        <v>3</v>
      </c>
      <c r="H19" s="43">
        <v>1</v>
      </c>
      <c r="I19" s="77">
        <v>0</v>
      </c>
      <c r="J19" s="77"/>
      <c r="K19" s="77"/>
      <c r="L19" s="77"/>
      <c r="M19" s="77"/>
      <c r="N19" s="77"/>
      <c r="O19" s="77"/>
      <c r="P19" s="77"/>
      <c r="Q19" s="77"/>
      <c r="R19" s="77">
        <v>1</v>
      </c>
    </row>
    <row r="20" spans="2:19" ht="17.100000000000001" customHeight="1" thickTop="1" thickBot="1">
      <c r="B20" s="7"/>
      <c r="C20" s="13" t="s">
        <v>15</v>
      </c>
      <c r="D20" s="44">
        <f t="shared" ref="D20:M20" si="5">D18+D19</f>
        <v>177</v>
      </c>
      <c r="E20" s="44">
        <f t="shared" si="5"/>
        <v>149</v>
      </c>
      <c r="F20" s="44">
        <f t="shared" si="5"/>
        <v>169</v>
      </c>
      <c r="G20" s="44">
        <f t="shared" si="5"/>
        <v>151</v>
      </c>
      <c r="H20" s="44">
        <f t="shared" si="5"/>
        <v>181</v>
      </c>
      <c r="I20" s="78">
        <f t="shared" si="5"/>
        <v>136</v>
      </c>
      <c r="J20" s="78">
        <f t="shared" si="5"/>
        <v>196</v>
      </c>
      <c r="K20" s="78">
        <f t="shared" si="5"/>
        <v>203</v>
      </c>
      <c r="L20" s="78">
        <f t="shared" si="5"/>
        <v>188</v>
      </c>
      <c r="M20" s="78">
        <f t="shared" si="5"/>
        <v>153</v>
      </c>
      <c r="N20" s="78">
        <v>155</v>
      </c>
      <c r="O20" s="78">
        <v>142</v>
      </c>
      <c r="P20" s="78">
        <v>145</v>
      </c>
      <c r="Q20" s="78">
        <v>137</v>
      </c>
      <c r="R20" s="78">
        <v>158</v>
      </c>
    </row>
    <row r="21" spans="2:19">
      <c r="B21" s="4"/>
      <c r="C21" s="4" t="s">
        <v>11</v>
      </c>
      <c r="D21" s="45">
        <v>40</v>
      </c>
      <c r="E21" s="45">
        <v>49</v>
      </c>
      <c r="F21" s="45">
        <v>48</v>
      </c>
      <c r="G21" s="45">
        <f>40+13</f>
        <v>53</v>
      </c>
      <c r="H21" s="45">
        <f>24+11</f>
        <v>35</v>
      </c>
      <c r="I21" s="79">
        <v>49</v>
      </c>
      <c r="J21" s="79">
        <v>50</v>
      </c>
      <c r="K21" s="79">
        <v>85</v>
      </c>
      <c r="L21" s="79">
        <v>94</v>
      </c>
      <c r="M21" s="79">
        <f>6+41+2+20+7</f>
        <v>76</v>
      </c>
      <c r="N21" s="79">
        <v>97</v>
      </c>
      <c r="O21" s="79">
        <v>74</v>
      </c>
      <c r="P21" s="79">
        <v>64</v>
      </c>
      <c r="Q21" s="79">
        <v>71</v>
      </c>
      <c r="R21" s="79">
        <v>68</v>
      </c>
    </row>
    <row r="22" spans="2:19">
      <c r="B22" s="7"/>
      <c r="C22" s="8" t="s">
        <v>12</v>
      </c>
      <c r="D22" s="42">
        <v>7</v>
      </c>
      <c r="E22" s="42">
        <v>14</v>
      </c>
      <c r="F22" s="42">
        <v>8</v>
      </c>
      <c r="G22" s="42">
        <v>8</v>
      </c>
      <c r="H22" s="42">
        <v>13</v>
      </c>
      <c r="I22" s="76">
        <v>6</v>
      </c>
      <c r="J22" s="76">
        <v>3</v>
      </c>
      <c r="K22" s="76">
        <v>15</v>
      </c>
      <c r="L22" s="76">
        <v>7</v>
      </c>
      <c r="M22" s="76">
        <f>5+2+1+1+1+2</f>
        <v>12</v>
      </c>
      <c r="N22" s="76">
        <v>12</v>
      </c>
      <c r="O22" s="76">
        <v>15</v>
      </c>
      <c r="P22" s="76">
        <v>18</v>
      </c>
      <c r="Q22" s="76">
        <v>12</v>
      </c>
      <c r="R22" s="76">
        <v>12</v>
      </c>
    </row>
    <row r="23" spans="2:19">
      <c r="B23" s="7" t="s">
        <v>5</v>
      </c>
      <c r="C23" s="3" t="s">
        <v>13</v>
      </c>
      <c r="D23" s="43">
        <f t="shared" ref="D23:M23" si="6">D21+D22</f>
        <v>47</v>
      </c>
      <c r="E23" s="43">
        <f t="shared" si="6"/>
        <v>63</v>
      </c>
      <c r="F23" s="43">
        <f t="shared" si="6"/>
        <v>56</v>
      </c>
      <c r="G23" s="43">
        <f t="shared" si="6"/>
        <v>61</v>
      </c>
      <c r="H23" s="43">
        <f t="shared" si="6"/>
        <v>48</v>
      </c>
      <c r="I23" s="77">
        <f t="shared" si="6"/>
        <v>55</v>
      </c>
      <c r="J23" s="77">
        <f t="shared" si="6"/>
        <v>53</v>
      </c>
      <c r="K23" s="77">
        <f t="shared" si="6"/>
        <v>100</v>
      </c>
      <c r="L23" s="77">
        <f t="shared" si="6"/>
        <v>101</v>
      </c>
      <c r="M23" s="77">
        <f t="shared" si="6"/>
        <v>88</v>
      </c>
      <c r="N23" s="77">
        <v>109</v>
      </c>
      <c r="O23" s="77">
        <v>89</v>
      </c>
      <c r="P23" s="77">
        <v>82</v>
      </c>
      <c r="Q23" s="77">
        <v>83</v>
      </c>
      <c r="R23" s="77">
        <v>80</v>
      </c>
    </row>
    <row r="24" spans="2:19" ht="15.75" thickBot="1">
      <c r="B24" s="7"/>
      <c r="C24" s="2" t="s">
        <v>14</v>
      </c>
      <c r="D24" s="43">
        <v>1</v>
      </c>
      <c r="E24" s="43">
        <v>1</v>
      </c>
      <c r="F24" s="43">
        <v>1</v>
      </c>
      <c r="G24" s="43">
        <v>0</v>
      </c>
      <c r="H24" s="43">
        <v>0</v>
      </c>
      <c r="I24" s="77">
        <v>0</v>
      </c>
      <c r="J24" s="77"/>
      <c r="K24" s="77"/>
      <c r="L24" s="77"/>
      <c r="M24" s="77">
        <v>1</v>
      </c>
      <c r="N24" s="77"/>
      <c r="O24" s="77"/>
      <c r="P24" s="77"/>
      <c r="Q24" s="77"/>
      <c r="R24" s="77"/>
    </row>
    <row r="25" spans="2:19" ht="17.100000000000001" customHeight="1" thickTop="1" thickBot="1">
      <c r="B25" s="7"/>
      <c r="C25" s="13" t="s">
        <v>15</v>
      </c>
      <c r="D25" s="44">
        <f t="shared" ref="D25:M25" si="7">D23+D24</f>
        <v>48</v>
      </c>
      <c r="E25" s="44">
        <f t="shared" si="7"/>
        <v>64</v>
      </c>
      <c r="F25" s="44">
        <f t="shared" si="7"/>
        <v>57</v>
      </c>
      <c r="G25" s="44">
        <f t="shared" si="7"/>
        <v>61</v>
      </c>
      <c r="H25" s="44">
        <f t="shared" si="7"/>
        <v>48</v>
      </c>
      <c r="I25" s="78">
        <f t="shared" si="7"/>
        <v>55</v>
      </c>
      <c r="J25" s="78">
        <f t="shared" si="7"/>
        <v>53</v>
      </c>
      <c r="K25" s="78">
        <f t="shared" si="7"/>
        <v>100</v>
      </c>
      <c r="L25" s="78">
        <f t="shared" si="7"/>
        <v>101</v>
      </c>
      <c r="M25" s="78">
        <f t="shared" si="7"/>
        <v>89</v>
      </c>
      <c r="N25" s="78">
        <v>109</v>
      </c>
      <c r="O25" s="78">
        <v>89</v>
      </c>
      <c r="P25" s="78">
        <v>82</v>
      </c>
      <c r="Q25" s="78">
        <v>83</v>
      </c>
      <c r="R25" s="78">
        <v>80</v>
      </c>
    </row>
    <row r="26" spans="2:19" ht="21" customHeight="1" thickTop="1">
      <c r="B26" s="46"/>
      <c r="C26" s="46" t="s">
        <v>11</v>
      </c>
      <c r="D26" s="47">
        <f t="shared" ref="D26:H27" si="8">SUM(D6,D11,D16,D21)</f>
        <v>327</v>
      </c>
      <c r="E26" s="47">
        <f t="shared" si="8"/>
        <v>355</v>
      </c>
      <c r="F26" s="47">
        <f t="shared" si="8"/>
        <v>339</v>
      </c>
      <c r="G26" s="47">
        <f t="shared" si="8"/>
        <v>393</v>
      </c>
      <c r="H26" s="47">
        <f t="shared" si="8"/>
        <v>505</v>
      </c>
      <c r="I26" s="80">
        <f t="shared" ref="I26:L27" si="9">SUM(I6,I11,I16,I21)</f>
        <v>572</v>
      </c>
      <c r="J26" s="80">
        <f t="shared" si="9"/>
        <v>633</v>
      </c>
      <c r="K26" s="80">
        <f>SUM(K6,K11,K16,K21)</f>
        <v>708</v>
      </c>
      <c r="L26" s="80">
        <f t="shared" si="9"/>
        <v>664</v>
      </c>
      <c r="M26" s="80">
        <f t="shared" ref="M26:M27" si="10">SUM(M6,M11,M16,M21)</f>
        <v>648</v>
      </c>
      <c r="N26" s="80">
        <v>550</v>
      </c>
      <c r="O26" s="80">
        <v>531</v>
      </c>
      <c r="P26" s="80">
        <v>585</v>
      </c>
      <c r="Q26" s="80">
        <v>560</v>
      </c>
      <c r="R26" s="80">
        <v>511</v>
      </c>
    </row>
    <row r="27" spans="2:19" ht="21" customHeight="1">
      <c r="B27" s="19"/>
      <c r="C27" s="19" t="s">
        <v>12</v>
      </c>
      <c r="D27" s="48">
        <f t="shared" si="8"/>
        <v>80</v>
      </c>
      <c r="E27" s="48">
        <f t="shared" si="8"/>
        <v>67</v>
      </c>
      <c r="F27" s="48">
        <f t="shared" si="8"/>
        <v>53</v>
      </c>
      <c r="G27" s="48">
        <f t="shared" si="8"/>
        <v>45</v>
      </c>
      <c r="H27" s="48">
        <f t="shared" si="8"/>
        <v>43</v>
      </c>
      <c r="I27" s="81">
        <f t="shared" si="9"/>
        <v>47</v>
      </c>
      <c r="J27" s="81">
        <f t="shared" si="9"/>
        <v>46</v>
      </c>
      <c r="K27" s="81">
        <f>SUM(K7,K12,K17,K22)</f>
        <v>52</v>
      </c>
      <c r="L27" s="81">
        <f t="shared" si="9"/>
        <v>52</v>
      </c>
      <c r="M27" s="81">
        <f t="shared" si="10"/>
        <v>53</v>
      </c>
      <c r="N27" s="81">
        <v>60</v>
      </c>
      <c r="O27" s="81">
        <v>64</v>
      </c>
      <c r="P27" s="81">
        <v>54</v>
      </c>
      <c r="Q27" s="81">
        <v>41</v>
      </c>
      <c r="R27" s="81">
        <v>41</v>
      </c>
    </row>
    <row r="28" spans="2:19" ht="21" customHeight="1">
      <c r="B28" s="22" t="s">
        <v>6</v>
      </c>
      <c r="C28" s="23" t="s">
        <v>13</v>
      </c>
      <c r="D28" s="49">
        <f t="shared" ref="D28:M28" si="11">D26+D27</f>
        <v>407</v>
      </c>
      <c r="E28" s="49">
        <f t="shared" si="11"/>
        <v>422</v>
      </c>
      <c r="F28" s="49">
        <f t="shared" si="11"/>
        <v>392</v>
      </c>
      <c r="G28" s="49">
        <f t="shared" si="11"/>
        <v>438</v>
      </c>
      <c r="H28" s="49">
        <f t="shared" si="11"/>
        <v>548</v>
      </c>
      <c r="I28" s="82">
        <f t="shared" si="11"/>
        <v>619</v>
      </c>
      <c r="J28" s="82">
        <f t="shared" si="11"/>
        <v>679</v>
      </c>
      <c r="K28" s="82">
        <f t="shared" si="11"/>
        <v>760</v>
      </c>
      <c r="L28" s="82">
        <f t="shared" si="11"/>
        <v>716</v>
      </c>
      <c r="M28" s="82">
        <f t="shared" si="11"/>
        <v>701</v>
      </c>
      <c r="N28" s="82">
        <v>610</v>
      </c>
      <c r="O28" s="82">
        <v>595</v>
      </c>
      <c r="P28" s="82">
        <v>639</v>
      </c>
      <c r="Q28" s="82">
        <v>601</v>
      </c>
      <c r="R28" s="82">
        <v>552</v>
      </c>
    </row>
    <row r="29" spans="2:19" ht="21" customHeight="1" thickBot="1">
      <c r="B29" s="19"/>
      <c r="C29" s="26" t="s">
        <v>14</v>
      </c>
      <c r="D29" s="49">
        <f t="shared" ref="D29:I29" si="12">SUM(D9,D14,D19,D24)</f>
        <v>7</v>
      </c>
      <c r="E29" s="49">
        <f t="shared" si="12"/>
        <v>5</v>
      </c>
      <c r="F29" s="49">
        <f t="shared" si="12"/>
        <v>3</v>
      </c>
      <c r="G29" s="49">
        <f t="shared" si="12"/>
        <v>3</v>
      </c>
      <c r="H29" s="49">
        <f t="shared" si="12"/>
        <v>1</v>
      </c>
      <c r="I29" s="82">
        <f t="shared" si="12"/>
        <v>0</v>
      </c>
      <c r="J29" s="82"/>
      <c r="K29" s="82">
        <f>SUM(K9,K14,K19,K24)</f>
        <v>1</v>
      </c>
      <c r="L29" s="82">
        <f>SUM(L9,L14,L19,L24)</f>
        <v>1</v>
      </c>
      <c r="M29" s="82">
        <f>SUM(M9,M14,M19,M24)</f>
        <v>2</v>
      </c>
      <c r="N29" s="82"/>
      <c r="O29" s="82">
        <v>1</v>
      </c>
      <c r="P29" s="82">
        <v>1</v>
      </c>
      <c r="Q29" s="82"/>
      <c r="R29" s="82">
        <v>1</v>
      </c>
    </row>
    <row r="30" spans="2:19" ht="21" customHeight="1" thickTop="1" thickBot="1">
      <c r="B30" s="22"/>
      <c r="C30" s="27" t="s">
        <v>15</v>
      </c>
      <c r="D30" s="50">
        <f t="shared" ref="D30:M30" si="13">D28+D29</f>
        <v>414</v>
      </c>
      <c r="E30" s="50">
        <f t="shared" si="13"/>
        <v>427</v>
      </c>
      <c r="F30" s="50">
        <f t="shared" si="13"/>
        <v>395</v>
      </c>
      <c r="G30" s="50">
        <f t="shared" si="13"/>
        <v>441</v>
      </c>
      <c r="H30" s="50">
        <f t="shared" si="13"/>
        <v>549</v>
      </c>
      <c r="I30" s="83">
        <f t="shared" si="13"/>
        <v>619</v>
      </c>
      <c r="J30" s="83">
        <f t="shared" si="13"/>
        <v>679</v>
      </c>
      <c r="K30" s="83">
        <f t="shared" si="13"/>
        <v>761</v>
      </c>
      <c r="L30" s="83">
        <f t="shared" si="13"/>
        <v>717</v>
      </c>
      <c r="M30" s="83">
        <f t="shared" si="13"/>
        <v>703</v>
      </c>
      <c r="N30" s="83">
        <v>610</v>
      </c>
      <c r="O30" s="83">
        <v>596</v>
      </c>
      <c r="P30" s="83">
        <v>640</v>
      </c>
      <c r="Q30" s="83">
        <v>601</v>
      </c>
      <c r="R30" s="83">
        <v>553</v>
      </c>
    </row>
    <row r="31" spans="2:19" ht="16.5" thickTop="1">
      <c r="B31" s="29" t="s">
        <v>7</v>
      </c>
      <c r="C31" s="30"/>
      <c r="D31" s="29">
        <v>81</v>
      </c>
      <c r="E31" s="29">
        <v>82</v>
      </c>
      <c r="F31" s="29">
        <v>69</v>
      </c>
      <c r="G31" s="29">
        <v>77</v>
      </c>
      <c r="H31" s="29">
        <v>108</v>
      </c>
      <c r="I31" s="84">
        <v>140</v>
      </c>
      <c r="J31" s="84">
        <v>179</v>
      </c>
      <c r="K31" s="84">
        <v>194</v>
      </c>
      <c r="L31" s="84">
        <v>177</v>
      </c>
      <c r="M31" s="84">
        <v>178</v>
      </c>
      <c r="N31" s="84">
        <v>198</v>
      </c>
      <c r="O31" s="84">
        <v>188</v>
      </c>
      <c r="P31" s="84">
        <v>232</v>
      </c>
      <c r="Q31" s="84">
        <v>220</v>
      </c>
      <c r="R31" s="211">
        <v>208</v>
      </c>
      <c r="S31" s="296">
        <f>R31/R30</f>
        <v>0.37613019891500904</v>
      </c>
    </row>
    <row r="32" spans="2:19" ht="16.5" thickBot="1">
      <c r="B32" s="8" t="s">
        <v>8</v>
      </c>
      <c r="C32" s="31"/>
      <c r="D32" s="8">
        <v>333</v>
      </c>
      <c r="E32" s="8">
        <v>345</v>
      </c>
      <c r="F32" s="8">
        <v>326</v>
      </c>
      <c r="G32" s="8">
        <v>364</v>
      </c>
      <c r="H32" s="8">
        <v>441</v>
      </c>
      <c r="I32" s="85">
        <v>479</v>
      </c>
      <c r="J32" s="85">
        <v>500</v>
      </c>
      <c r="K32" s="85">
        <v>567</v>
      </c>
      <c r="L32" s="85">
        <v>540</v>
      </c>
      <c r="M32" s="85">
        <v>525</v>
      </c>
      <c r="N32" s="85">
        <v>412</v>
      </c>
      <c r="O32" s="85">
        <v>408</v>
      </c>
      <c r="P32" s="85">
        <v>408</v>
      </c>
      <c r="Q32" s="85">
        <v>381</v>
      </c>
      <c r="R32" s="212">
        <v>345</v>
      </c>
      <c r="S32" s="297">
        <f>R32/R30</f>
        <v>0.6238698010849909</v>
      </c>
    </row>
    <row r="33" spans="2:19" ht="15.75">
      <c r="B33" s="4" t="s">
        <v>9</v>
      </c>
      <c r="C33" s="34"/>
      <c r="D33" s="4">
        <v>350</v>
      </c>
      <c r="E33" s="4">
        <v>354</v>
      </c>
      <c r="F33" s="4">
        <v>320</v>
      </c>
      <c r="G33" s="4">
        <v>377</v>
      </c>
      <c r="H33" s="4">
        <v>474</v>
      </c>
      <c r="I33" s="86">
        <v>535</v>
      </c>
      <c r="J33" s="86">
        <v>595</v>
      </c>
      <c r="K33" s="86">
        <v>658</v>
      </c>
      <c r="L33" s="86">
        <v>613</v>
      </c>
      <c r="M33" s="86">
        <v>617</v>
      </c>
      <c r="N33" s="86">
        <v>535</v>
      </c>
      <c r="O33" s="86">
        <v>521</v>
      </c>
      <c r="P33" s="86">
        <v>575</v>
      </c>
      <c r="Q33" s="86">
        <v>545</v>
      </c>
      <c r="R33" s="213">
        <v>488</v>
      </c>
      <c r="S33" s="296">
        <f>R33/R30</f>
        <v>0.88245931283905965</v>
      </c>
    </row>
    <row r="34" spans="2:19" ht="15.75">
      <c r="B34" s="8" t="s">
        <v>10</v>
      </c>
      <c r="C34" s="31"/>
      <c r="D34" s="8">
        <v>64</v>
      </c>
      <c r="E34" s="8">
        <v>73</v>
      </c>
      <c r="F34" s="8">
        <v>75</v>
      </c>
      <c r="G34" s="8">
        <v>64</v>
      </c>
      <c r="H34" s="8">
        <v>75</v>
      </c>
      <c r="I34" s="87">
        <v>84</v>
      </c>
      <c r="J34" s="87">
        <v>84</v>
      </c>
      <c r="K34" s="87">
        <v>103</v>
      </c>
      <c r="L34" s="87">
        <v>104</v>
      </c>
      <c r="M34" s="87">
        <v>86</v>
      </c>
      <c r="N34" s="87">
        <v>75</v>
      </c>
      <c r="O34" s="87">
        <v>75</v>
      </c>
      <c r="P34" s="87">
        <v>65</v>
      </c>
      <c r="Q34" s="87">
        <v>56</v>
      </c>
      <c r="R34" s="214">
        <v>65</v>
      </c>
      <c r="S34" s="296">
        <f>R34/R30</f>
        <v>0.11754068716094032</v>
      </c>
    </row>
    <row r="35" spans="2:19">
      <c r="B35" s="40"/>
      <c r="C35" s="40"/>
      <c r="D35" s="40"/>
      <c r="E35" s="40"/>
      <c r="F35" s="40"/>
      <c r="G35" s="40"/>
      <c r="H35" s="40"/>
    </row>
    <row r="36" spans="2:19">
      <c r="B36" s="37"/>
      <c r="C36" s="37"/>
      <c r="D36" s="37"/>
      <c r="E36" s="37"/>
      <c r="F36" s="37"/>
    </row>
    <row r="54" spans="2:3" hidden="1">
      <c r="B54" s="38" t="s">
        <v>34</v>
      </c>
      <c r="C54" s="31"/>
    </row>
    <row r="55" spans="2:3" hidden="1">
      <c r="B55" s="31" t="s">
        <v>114</v>
      </c>
    </row>
    <row r="56" spans="2:3" hidden="1">
      <c r="B56" s="31" t="s">
        <v>115</v>
      </c>
    </row>
    <row r="57" spans="2:3" hidden="1">
      <c r="B57" s="31" t="s">
        <v>31</v>
      </c>
    </row>
    <row r="58" spans="2:3" hidden="1">
      <c r="B58" s="31" t="s">
        <v>116</v>
      </c>
    </row>
  </sheetData>
  <mergeCells count="6">
    <mergeCell ref="B4:B5"/>
    <mergeCell ref="C4:C5"/>
    <mergeCell ref="H4:R4"/>
    <mergeCell ref="B1:R1"/>
    <mergeCell ref="B2:R2"/>
    <mergeCell ref="B3:R3"/>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101&amp;R&amp;"Lucida Sans Unicode,Regular"&amp;10December 2015</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sheetPr>
  <dimension ref="B1:S80"/>
  <sheetViews>
    <sheetView showGridLines="0" view="pageLayout" topLeftCell="A51" zoomScaleNormal="100" zoomScaleSheetLayoutView="100" workbookViewId="0">
      <selection activeCell="P94" sqref="P94"/>
    </sheetView>
  </sheetViews>
  <sheetFormatPr defaultColWidth="9.6640625" defaultRowHeight="15"/>
  <cols>
    <col min="1" max="1" width="6" style="38" customWidth="1"/>
    <col min="2" max="2" width="9.6640625" style="38" customWidth="1"/>
    <col min="3" max="3" width="18.6640625" style="38" customWidth="1"/>
    <col min="4" max="9" width="9.6640625" style="38" hidden="1" customWidth="1"/>
    <col min="10" max="11" width="8" style="38" hidden="1" customWidth="1"/>
    <col min="12" max="13" width="7.5546875" style="38" hidden="1" customWidth="1"/>
    <col min="14" max="17" width="8.77734375" style="38" customWidth="1"/>
    <col min="18" max="18" width="8.77734375" style="145" customWidth="1"/>
    <col min="19" max="19" width="6.88671875" style="38" bestFit="1" customWidth="1"/>
    <col min="20" max="16384" width="9.6640625" style="38"/>
  </cols>
  <sheetData>
    <row r="1" spans="2:18" s="194" customFormat="1" ht="24" customHeight="1">
      <c r="B1" s="465" t="s">
        <v>0</v>
      </c>
      <c r="C1" s="465"/>
      <c r="D1" s="465"/>
      <c r="E1" s="465"/>
      <c r="F1" s="465"/>
      <c r="G1" s="465"/>
      <c r="H1" s="465"/>
      <c r="I1" s="465"/>
      <c r="J1" s="465"/>
      <c r="K1" s="465"/>
      <c r="L1" s="465"/>
      <c r="M1" s="465"/>
      <c r="N1" s="465"/>
      <c r="O1" s="465"/>
      <c r="P1" s="465"/>
      <c r="Q1" s="465"/>
      <c r="R1" s="465"/>
    </row>
    <row r="2" spans="2:18" s="196" customFormat="1" ht="25.5" customHeight="1">
      <c r="B2" s="464" t="s">
        <v>71</v>
      </c>
      <c r="C2" s="464"/>
      <c r="D2" s="464"/>
      <c r="E2" s="464"/>
      <c r="F2" s="464"/>
      <c r="G2" s="464"/>
      <c r="H2" s="464"/>
      <c r="I2" s="464"/>
      <c r="J2" s="464"/>
      <c r="K2" s="464"/>
      <c r="L2" s="464"/>
      <c r="M2" s="464"/>
      <c r="N2" s="464"/>
      <c r="O2" s="464"/>
      <c r="P2" s="464"/>
      <c r="Q2" s="464"/>
      <c r="R2" s="464"/>
    </row>
    <row r="3" spans="2:18" s="194" customFormat="1" ht="21" customHeight="1">
      <c r="B3" s="517"/>
      <c r="C3" s="517"/>
      <c r="D3" s="517"/>
      <c r="E3" s="517"/>
      <c r="F3" s="517"/>
      <c r="G3" s="517"/>
      <c r="H3" s="517"/>
      <c r="I3" s="517"/>
      <c r="J3" s="517"/>
      <c r="K3" s="517"/>
      <c r="L3" s="517"/>
      <c r="M3" s="517"/>
      <c r="N3" s="517"/>
      <c r="O3" s="517"/>
      <c r="P3" s="517"/>
      <c r="Q3" s="517"/>
      <c r="R3" s="517"/>
    </row>
    <row r="4" spans="2:18" s="112" customFormat="1" ht="15.75" customHeight="1">
      <c r="B4" s="524" t="s">
        <v>59</v>
      </c>
      <c r="C4" s="531" t="s">
        <v>60</v>
      </c>
      <c r="D4" s="113"/>
      <c r="E4" s="113"/>
      <c r="F4" s="113"/>
      <c r="G4" s="113"/>
      <c r="H4" s="148" t="s">
        <v>58</v>
      </c>
      <c r="I4" s="512" t="s">
        <v>150</v>
      </c>
      <c r="J4" s="513"/>
      <c r="K4" s="513"/>
      <c r="L4" s="513"/>
      <c r="M4" s="513"/>
      <c r="N4" s="513"/>
      <c r="O4" s="513"/>
      <c r="P4" s="513"/>
      <c r="Q4" s="513"/>
      <c r="R4" s="514"/>
    </row>
    <row r="5" spans="2:18" s="106" customFormat="1" ht="16.5" thickBot="1">
      <c r="B5" s="525"/>
      <c r="C5" s="525"/>
      <c r="D5" s="146"/>
      <c r="E5" s="146"/>
      <c r="F5" s="146"/>
      <c r="G5" s="146"/>
      <c r="H5" s="147" t="s">
        <v>64</v>
      </c>
      <c r="I5" s="147" t="s">
        <v>63</v>
      </c>
      <c r="J5" s="135" t="s">
        <v>52</v>
      </c>
      <c r="K5" s="135" t="s">
        <v>53</v>
      </c>
      <c r="L5" s="135" t="s">
        <v>57</v>
      </c>
      <c r="M5" s="135" t="s">
        <v>69</v>
      </c>
      <c r="N5" s="135" t="s">
        <v>124</v>
      </c>
      <c r="O5" s="135" t="s">
        <v>146</v>
      </c>
      <c r="P5" s="138" t="s">
        <v>158</v>
      </c>
      <c r="Q5" s="138" t="s">
        <v>166</v>
      </c>
      <c r="R5" s="138" t="s">
        <v>187</v>
      </c>
    </row>
    <row r="6" spans="2:18" ht="15.75" thickTop="1">
      <c r="B6" s="121"/>
      <c r="C6" s="8" t="s">
        <v>11</v>
      </c>
      <c r="D6" s="108">
        <v>1</v>
      </c>
      <c r="E6" s="108">
        <v>4</v>
      </c>
      <c r="F6" s="108">
        <v>17</v>
      </c>
      <c r="G6" s="108">
        <v>17</v>
      </c>
      <c r="H6" s="108">
        <v>17</v>
      </c>
      <c r="I6" s="109">
        <v>20</v>
      </c>
      <c r="J6" s="109">
        <v>21</v>
      </c>
      <c r="K6" s="109">
        <v>63</v>
      </c>
      <c r="L6" s="109">
        <v>45</v>
      </c>
      <c r="M6" s="152">
        <v>56</v>
      </c>
      <c r="N6" s="152">
        <v>47</v>
      </c>
      <c r="O6" s="152">
        <v>33</v>
      </c>
      <c r="P6" s="152">
        <v>24</v>
      </c>
      <c r="Q6" s="152">
        <v>29</v>
      </c>
      <c r="R6" s="152">
        <v>27</v>
      </c>
    </row>
    <row r="7" spans="2:18">
      <c r="B7" s="153"/>
      <c r="C7" s="8" t="s">
        <v>12</v>
      </c>
      <c r="D7" s="42">
        <v>4</v>
      </c>
      <c r="E7" s="42">
        <v>0</v>
      </c>
      <c r="F7" s="42">
        <v>0</v>
      </c>
      <c r="G7" s="42">
        <v>0</v>
      </c>
      <c r="H7" s="42">
        <v>0</v>
      </c>
      <c r="I7" s="76">
        <v>0</v>
      </c>
      <c r="J7" s="76"/>
      <c r="K7" s="76"/>
      <c r="L7" s="76"/>
      <c r="M7" s="154"/>
      <c r="N7" s="154"/>
      <c r="O7" s="154"/>
      <c r="P7" s="154"/>
      <c r="Q7" s="154"/>
      <c r="R7" s="154"/>
    </row>
    <row r="8" spans="2:18">
      <c r="B8" s="153" t="s">
        <v>2</v>
      </c>
      <c r="C8" s="3" t="s">
        <v>13</v>
      </c>
      <c r="D8" s="43">
        <v>5</v>
      </c>
      <c r="E8" s="43">
        <v>4</v>
      </c>
      <c r="F8" s="43">
        <v>17</v>
      </c>
      <c r="G8" s="43">
        <v>17</v>
      </c>
      <c r="H8" s="43">
        <v>17</v>
      </c>
      <c r="I8" s="77">
        <v>20</v>
      </c>
      <c r="J8" s="77">
        <v>21</v>
      </c>
      <c r="K8" s="77">
        <v>63</v>
      </c>
      <c r="L8" s="77">
        <v>45</v>
      </c>
      <c r="M8" s="155">
        <v>56</v>
      </c>
      <c r="N8" s="155">
        <v>47</v>
      </c>
      <c r="O8" s="155">
        <v>33</v>
      </c>
      <c r="P8" s="155">
        <v>24</v>
      </c>
      <c r="Q8" s="155">
        <v>29</v>
      </c>
      <c r="R8" s="155">
        <v>27</v>
      </c>
    </row>
    <row r="9" spans="2:18" ht="15.75" thickBot="1">
      <c r="B9" s="153"/>
      <c r="C9" s="2" t="s">
        <v>14</v>
      </c>
      <c r="D9" s="43">
        <v>0</v>
      </c>
      <c r="E9" s="43">
        <v>0</v>
      </c>
      <c r="F9" s="43">
        <v>0</v>
      </c>
      <c r="G9" s="43">
        <v>0</v>
      </c>
      <c r="H9" s="43">
        <v>0</v>
      </c>
      <c r="I9" s="77">
        <v>0</v>
      </c>
      <c r="J9" s="77"/>
      <c r="K9" s="77"/>
      <c r="L9" s="77"/>
      <c r="M9" s="155"/>
      <c r="N9" s="155"/>
      <c r="O9" s="155"/>
      <c r="P9" s="155"/>
      <c r="Q9" s="155"/>
      <c r="R9" s="155"/>
    </row>
    <row r="10" spans="2:18" ht="17.100000000000001" customHeight="1" thickTop="1" thickBot="1">
      <c r="B10" s="153"/>
      <c r="C10" s="13" t="s">
        <v>15</v>
      </c>
      <c r="D10" s="44">
        <v>5</v>
      </c>
      <c r="E10" s="44">
        <v>4</v>
      </c>
      <c r="F10" s="44">
        <v>17</v>
      </c>
      <c r="G10" s="44">
        <v>17</v>
      </c>
      <c r="H10" s="44">
        <v>17</v>
      </c>
      <c r="I10" s="78">
        <v>20</v>
      </c>
      <c r="J10" s="78">
        <v>21</v>
      </c>
      <c r="K10" s="78">
        <v>63</v>
      </c>
      <c r="L10" s="78">
        <v>45</v>
      </c>
      <c r="M10" s="156">
        <v>56</v>
      </c>
      <c r="N10" s="156">
        <v>47</v>
      </c>
      <c r="O10" s="156">
        <v>33</v>
      </c>
      <c r="P10" s="156">
        <v>24</v>
      </c>
      <c r="Q10" s="156">
        <v>29</v>
      </c>
      <c r="R10" s="156">
        <v>27</v>
      </c>
    </row>
    <row r="11" spans="2:18">
      <c r="B11" s="122"/>
      <c r="C11" s="4" t="s">
        <v>11</v>
      </c>
      <c r="D11" s="45">
        <v>0</v>
      </c>
      <c r="E11" s="45">
        <v>0</v>
      </c>
      <c r="F11" s="45">
        <v>12</v>
      </c>
      <c r="G11" s="45">
        <v>12</v>
      </c>
      <c r="H11" s="45">
        <v>7</v>
      </c>
      <c r="I11" s="79">
        <v>12</v>
      </c>
      <c r="J11" s="79">
        <v>9</v>
      </c>
      <c r="K11" s="79">
        <v>45</v>
      </c>
      <c r="L11" s="79">
        <v>39</v>
      </c>
      <c r="M11" s="157">
        <v>36</v>
      </c>
      <c r="N11" s="157">
        <v>35</v>
      </c>
      <c r="O11" s="157">
        <v>31</v>
      </c>
      <c r="P11" s="157">
        <v>21</v>
      </c>
      <c r="Q11" s="157">
        <v>17</v>
      </c>
      <c r="R11" s="157">
        <v>19</v>
      </c>
    </row>
    <row r="12" spans="2:18">
      <c r="B12" s="153"/>
      <c r="C12" s="8" t="s">
        <v>12</v>
      </c>
      <c r="D12" s="42">
        <v>12</v>
      </c>
      <c r="E12" s="42">
        <v>5</v>
      </c>
      <c r="F12" s="42">
        <v>1</v>
      </c>
      <c r="G12" s="42">
        <v>1</v>
      </c>
      <c r="H12" s="42">
        <v>0</v>
      </c>
      <c r="I12" s="76">
        <v>0</v>
      </c>
      <c r="J12" s="76">
        <v>1</v>
      </c>
      <c r="K12" s="76"/>
      <c r="L12" s="76"/>
      <c r="M12" s="154"/>
      <c r="N12" s="154"/>
      <c r="O12" s="154"/>
      <c r="P12" s="154"/>
      <c r="Q12" s="154"/>
      <c r="R12" s="154"/>
    </row>
    <row r="13" spans="2:18">
      <c r="B13" s="153" t="s">
        <v>3</v>
      </c>
      <c r="C13" s="3" t="s">
        <v>13</v>
      </c>
      <c r="D13" s="43">
        <v>12</v>
      </c>
      <c r="E13" s="43">
        <v>5</v>
      </c>
      <c r="F13" s="43">
        <v>13</v>
      </c>
      <c r="G13" s="43">
        <v>13</v>
      </c>
      <c r="H13" s="43">
        <v>7</v>
      </c>
      <c r="I13" s="77">
        <v>12</v>
      </c>
      <c r="J13" s="77">
        <v>10</v>
      </c>
      <c r="K13" s="77">
        <v>45</v>
      </c>
      <c r="L13" s="77">
        <v>39</v>
      </c>
      <c r="M13" s="155">
        <v>36</v>
      </c>
      <c r="N13" s="155">
        <v>35</v>
      </c>
      <c r="O13" s="155">
        <v>31</v>
      </c>
      <c r="P13" s="155">
        <v>21</v>
      </c>
      <c r="Q13" s="155">
        <v>17</v>
      </c>
      <c r="R13" s="155">
        <v>19</v>
      </c>
    </row>
    <row r="14" spans="2:18" ht="15.75" thickBot="1">
      <c r="B14" s="153"/>
      <c r="C14" s="2" t="s">
        <v>14</v>
      </c>
      <c r="D14" s="43">
        <v>0</v>
      </c>
      <c r="E14" s="43">
        <v>0</v>
      </c>
      <c r="F14" s="43">
        <v>0</v>
      </c>
      <c r="G14" s="43">
        <v>0</v>
      </c>
      <c r="H14" s="43">
        <v>0</v>
      </c>
      <c r="I14" s="77">
        <v>0</v>
      </c>
      <c r="J14" s="77"/>
      <c r="K14" s="77"/>
      <c r="L14" s="77"/>
      <c r="M14" s="155"/>
      <c r="N14" s="155"/>
      <c r="O14" s="155"/>
      <c r="P14" s="155"/>
      <c r="Q14" s="155"/>
      <c r="R14" s="155"/>
    </row>
    <row r="15" spans="2:18" ht="17.100000000000001" customHeight="1" thickTop="1" thickBot="1">
      <c r="B15" s="153"/>
      <c r="C15" s="13" t="s">
        <v>15</v>
      </c>
      <c r="D15" s="44">
        <v>12</v>
      </c>
      <c r="E15" s="44">
        <v>5</v>
      </c>
      <c r="F15" s="44">
        <v>13</v>
      </c>
      <c r="G15" s="44">
        <v>13</v>
      </c>
      <c r="H15" s="44">
        <v>7</v>
      </c>
      <c r="I15" s="78">
        <v>12</v>
      </c>
      <c r="J15" s="78">
        <v>10</v>
      </c>
      <c r="K15" s="78">
        <v>45</v>
      </c>
      <c r="L15" s="78">
        <v>39</v>
      </c>
      <c r="M15" s="156">
        <v>36</v>
      </c>
      <c r="N15" s="156">
        <v>35</v>
      </c>
      <c r="O15" s="156">
        <v>31</v>
      </c>
      <c r="P15" s="156">
        <v>21</v>
      </c>
      <c r="Q15" s="156">
        <v>17</v>
      </c>
      <c r="R15" s="156">
        <v>19</v>
      </c>
    </row>
    <row r="16" spans="2:18">
      <c r="B16" s="122"/>
      <c r="C16" s="4" t="s">
        <v>11</v>
      </c>
      <c r="D16" s="45">
        <v>0</v>
      </c>
      <c r="E16" s="45">
        <v>1</v>
      </c>
      <c r="F16" s="45">
        <v>2</v>
      </c>
      <c r="G16" s="45">
        <v>2</v>
      </c>
      <c r="H16" s="45">
        <v>7</v>
      </c>
      <c r="I16" s="79">
        <v>6</v>
      </c>
      <c r="J16" s="79">
        <v>8</v>
      </c>
      <c r="K16" s="79">
        <v>46</v>
      </c>
      <c r="L16" s="79">
        <v>38</v>
      </c>
      <c r="M16" s="157">
        <v>34</v>
      </c>
      <c r="N16" s="157">
        <v>35</v>
      </c>
      <c r="O16" s="157">
        <v>30</v>
      </c>
      <c r="P16" s="157">
        <v>22</v>
      </c>
      <c r="Q16" s="157">
        <v>19</v>
      </c>
      <c r="R16" s="157">
        <v>15</v>
      </c>
    </row>
    <row r="17" spans="2:19">
      <c r="B17" s="153"/>
      <c r="C17" s="8" t="s">
        <v>12</v>
      </c>
      <c r="D17" s="42">
        <v>10</v>
      </c>
      <c r="E17" s="42">
        <v>7</v>
      </c>
      <c r="F17" s="42">
        <v>2</v>
      </c>
      <c r="G17" s="42">
        <v>2</v>
      </c>
      <c r="H17" s="42">
        <v>0</v>
      </c>
      <c r="I17" s="76">
        <v>0</v>
      </c>
      <c r="J17" s="76"/>
      <c r="K17" s="76">
        <v>1</v>
      </c>
      <c r="L17" s="76"/>
      <c r="M17" s="154"/>
      <c r="N17" s="154"/>
      <c r="O17" s="154"/>
      <c r="P17" s="154"/>
      <c r="Q17" s="154"/>
      <c r="R17" s="154"/>
    </row>
    <row r="18" spans="2:19">
      <c r="B18" s="153" t="s">
        <v>4</v>
      </c>
      <c r="C18" s="3" t="s">
        <v>13</v>
      </c>
      <c r="D18" s="43">
        <v>10</v>
      </c>
      <c r="E18" s="43">
        <v>8</v>
      </c>
      <c r="F18" s="43">
        <v>4</v>
      </c>
      <c r="G18" s="43">
        <v>4</v>
      </c>
      <c r="H18" s="43">
        <v>7</v>
      </c>
      <c r="I18" s="77">
        <v>6</v>
      </c>
      <c r="J18" s="77">
        <v>8</v>
      </c>
      <c r="K18" s="77">
        <v>47</v>
      </c>
      <c r="L18" s="77">
        <v>38</v>
      </c>
      <c r="M18" s="155">
        <v>34</v>
      </c>
      <c r="N18" s="155">
        <v>35</v>
      </c>
      <c r="O18" s="155">
        <v>30</v>
      </c>
      <c r="P18" s="155">
        <v>22</v>
      </c>
      <c r="Q18" s="155">
        <v>19</v>
      </c>
      <c r="R18" s="155">
        <v>15</v>
      </c>
    </row>
    <row r="19" spans="2:19" ht="15.75" thickBot="1">
      <c r="B19" s="153"/>
      <c r="C19" s="2" t="s">
        <v>14</v>
      </c>
      <c r="D19" s="43">
        <v>0</v>
      </c>
      <c r="E19" s="43">
        <v>1</v>
      </c>
      <c r="F19" s="43">
        <v>1</v>
      </c>
      <c r="G19" s="43">
        <v>1</v>
      </c>
      <c r="H19" s="43">
        <v>1</v>
      </c>
      <c r="I19" s="77">
        <v>0</v>
      </c>
      <c r="J19" s="77"/>
      <c r="K19" s="77"/>
      <c r="L19" s="77"/>
      <c r="M19" s="155">
        <v>2</v>
      </c>
      <c r="N19" s="155"/>
      <c r="O19" s="155"/>
      <c r="P19" s="155"/>
      <c r="Q19" s="155"/>
      <c r="R19" s="155"/>
    </row>
    <row r="20" spans="2:19" ht="17.100000000000001" customHeight="1" thickTop="1" thickBot="1">
      <c r="B20" s="153"/>
      <c r="C20" s="13" t="s">
        <v>15</v>
      </c>
      <c r="D20" s="44">
        <v>10</v>
      </c>
      <c r="E20" s="44">
        <v>9</v>
      </c>
      <c r="F20" s="44">
        <v>5</v>
      </c>
      <c r="G20" s="44">
        <v>5</v>
      </c>
      <c r="H20" s="44">
        <v>8</v>
      </c>
      <c r="I20" s="78">
        <v>6</v>
      </c>
      <c r="J20" s="78">
        <v>8</v>
      </c>
      <c r="K20" s="78">
        <v>47</v>
      </c>
      <c r="L20" s="78">
        <v>38</v>
      </c>
      <c r="M20" s="156">
        <v>36</v>
      </c>
      <c r="N20" s="156">
        <v>35</v>
      </c>
      <c r="O20" s="156">
        <v>30</v>
      </c>
      <c r="P20" s="156">
        <v>22</v>
      </c>
      <c r="Q20" s="156">
        <v>19</v>
      </c>
      <c r="R20" s="156">
        <v>15</v>
      </c>
    </row>
    <row r="21" spans="2:19">
      <c r="B21" s="122"/>
      <c r="C21" s="4" t="s">
        <v>11</v>
      </c>
      <c r="D21" s="45">
        <v>0</v>
      </c>
      <c r="E21" s="45">
        <v>0</v>
      </c>
      <c r="F21" s="45">
        <v>0</v>
      </c>
      <c r="G21" s="45">
        <v>0</v>
      </c>
      <c r="H21" s="45">
        <v>4</v>
      </c>
      <c r="I21" s="79">
        <v>7</v>
      </c>
      <c r="J21" s="79">
        <v>6</v>
      </c>
      <c r="K21" s="79">
        <v>42</v>
      </c>
      <c r="L21" s="79">
        <v>35</v>
      </c>
      <c r="M21" s="157">
        <v>28</v>
      </c>
      <c r="N21" s="157">
        <v>50</v>
      </c>
      <c r="O21" s="157">
        <v>25</v>
      </c>
      <c r="P21" s="157">
        <v>16</v>
      </c>
      <c r="Q21" s="157">
        <v>16</v>
      </c>
      <c r="R21" s="157">
        <v>13</v>
      </c>
    </row>
    <row r="22" spans="2:19">
      <c r="B22" s="153"/>
      <c r="C22" s="8" t="s">
        <v>12</v>
      </c>
      <c r="D22" s="42">
        <v>9</v>
      </c>
      <c r="E22" s="42">
        <v>6</v>
      </c>
      <c r="F22" s="42">
        <v>7</v>
      </c>
      <c r="G22" s="42">
        <v>7</v>
      </c>
      <c r="H22" s="42">
        <v>1</v>
      </c>
      <c r="I22" s="76">
        <v>1</v>
      </c>
      <c r="J22" s="76">
        <v>2</v>
      </c>
      <c r="K22" s="76">
        <v>2</v>
      </c>
      <c r="L22" s="76"/>
      <c r="M22" s="154">
        <v>1</v>
      </c>
      <c r="N22" s="154"/>
      <c r="O22" s="154"/>
      <c r="P22" s="154"/>
      <c r="Q22" s="154"/>
      <c r="R22" s="154">
        <v>2</v>
      </c>
    </row>
    <row r="23" spans="2:19">
      <c r="B23" s="153" t="s">
        <v>5</v>
      </c>
      <c r="C23" s="3" t="s">
        <v>13</v>
      </c>
      <c r="D23" s="43">
        <v>9</v>
      </c>
      <c r="E23" s="43">
        <v>6</v>
      </c>
      <c r="F23" s="43">
        <v>7</v>
      </c>
      <c r="G23" s="43">
        <v>7</v>
      </c>
      <c r="H23" s="43">
        <v>5</v>
      </c>
      <c r="I23" s="77">
        <v>8</v>
      </c>
      <c r="J23" s="77">
        <v>8</v>
      </c>
      <c r="K23" s="77">
        <v>44</v>
      </c>
      <c r="L23" s="77">
        <v>35</v>
      </c>
      <c r="M23" s="155">
        <v>29</v>
      </c>
      <c r="N23" s="155">
        <v>50</v>
      </c>
      <c r="O23" s="155">
        <v>25</v>
      </c>
      <c r="P23" s="155">
        <v>16</v>
      </c>
      <c r="Q23" s="155">
        <v>16</v>
      </c>
      <c r="R23" s="155">
        <v>15</v>
      </c>
    </row>
    <row r="24" spans="2:19" ht="15.75" thickBot="1">
      <c r="B24" s="153"/>
      <c r="C24" s="2" t="s">
        <v>14</v>
      </c>
      <c r="D24" s="43">
        <v>0</v>
      </c>
      <c r="E24" s="43">
        <v>0</v>
      </c>
      <c r="F24" s="43">
        <v>0</v>
      </c>
      <c r="G24" s="43">
        <v>0</v>
      </c>
      <c r="H24" s="43">
        <v>0</v>
      </c>
      <c r="I24" s="77">
        <v>0</v>
      </c>
      <c r="J24" s="77"/>
      <c r="K24" s="77"/>
      <c r="L24" s="77"/>
      <c r="M24" s="155"/>
      <c r="N24" s="155"/>
      <c r="O24" s="155"/>
      <c r="P24" s="155"/>
      <c r="Q24" s="155"/>
      <c r="R24" s="155"/>
    </row>
    <row r="25" spans="2:19" ht="17.100000000000001" customHeight="1" thickTop="1" thickBot="1">
      <c r="B25" s="153"/>
      <c r="C25" s="13" t="s">
        <v>15</v>
      </c>
      <c r="D25" s="44">
        <v>9</v>
      </c>
      <c r="E25" s="44">
        <v>6</v>
      </c>
      <c r="F25" s="44">
        <v>7</v>
      </c>
      <c r="G25" s="44">
        <v>7</v>
      </c>
      <c r="H25" s="44">
        <v>5</v>
      </c>
      <c r="I25" s="78">
        <v>8</v>
      </c>
      <c r="J25" s="78">
        <v>8</v>
      </c>
      <c r="K25" s="78">
        <v>44</v>
      </c>
      <c r="L25" s="78">
        <v>35</v>
      </c>
      <c r="M25" s="156">
        <v>29</v>
      </c>
      <c r="N25" s="156">
        <v>50</v>
      </c>
      <c r="O25" s="156">
        <v>25</v>
      </c>
      <c r="P25" s="156">
        <v>16</v>
      </c>
      <c r="Q25" s="156">
        <v>16</v>
      </c>
      <c r="R25" s="156">
        <v>15</v>
      </c>
    </row>
    <row r="26" spans="2:19" ht="21" customHeight="1" thickTop="1">
      <c r="B26" s="158"/>
      <c r="C26" s="46" t="s">
        <v>11</v>
      </c>
      <c r="D26" s="47">
        <v>1</v>
      </c>
      <c r="E26" s="47">
        <v>5</v>
      </c>
      <c r="F26" s="47">
        <v>31</v>
      </c>
      <c r="G26" s="47">
        <v>31</v>
      </c>
      <c r="H26" s="47">
        <v>35</v>
      </c>
      <c r="I26" s="80">
        <v>45</v>
      </c>
      <c r="J26" s="80">
        <v>44</v>
      </c>
      <c r="K26" s="80">
        <v>196</v>
      </c>
      <c r="L26" s="80">
        <v>157</v>
      </c>
      <c r="M26" s="159">
        <v>154</v>
      </c>
      <c r="N26" s="159">
        <v>167</v>
      </c>
      <c r="O26" s="159">
        <v>119</v>
      </c>
      <c r="P26" s="159">
        <v>83</v>
      </c>
      <c r="Q26" s="159">
        <v>81</v>
      </c>
      <c r="R26" s="159">
        <v>74</v>
      </c>
    </row>
    <row r="27" spans="2:19" ht="21" customHeight="1">
      <c r="B27" s="160"/>
      <c r="C27" s="19" t="s">
        <v>12</v>
      </c>
      <c r="D27" s="48">
        <v>35</v>
      </c>
      <c r="E27" s="48">
        <v>18</v>
      </c>
      <c r="F27" s="48">
        <v>10</v>
      </c>
      <c r="G27" s="48">
        <v>10</v>
      </c>
      <c r="H27" s="48">
        <v>1</v>
      </c>
      <c r="I27" s="81">
        <v>1</v>
      </c>
      <c r="J27" s="81">
        <v>3</v>
      </c>
      <c r="K27" s="81">
        <v>3</v>
      </c>
      <c r="L27" s="81"/>
      <c r="M27" s="161">
        <v>1</v>
      </c>
      <c r="N27" s="161"/>
      <c r="O27" s="161"/>
      <c r="P27" s="161"/>
      <c r="Q27" s="161"/>
      <c r="R27" s="161">
        <v>2</v>
      </c>
    </row>
    <row r="28" spans="2:19" ht="21" customHeight="1">
      <c r="B28" s="162" t="s">
        <v>6</v>
      </c>
      <c r="C28" s="23" t="s">
        <v>13</v>
      </c>
      <c r="D28" s="49">
        <v>36</v>
      </c>
      <c r="E28" s="49">
        <v>23</v>
      </c>
      <c r="F28" s="49">
        <v>41</v>
      </c>
      <c r="G28" s="49">
        <v>41</v>
      </c>
      <c r="H28" s="49">
        <v>36</v>
      </c>
      <c r="I28" s="82">
        <v>46</v>
      </c>
      <c r="J28" s="82">
        <v>47</v>
      </c>
      <c r="K28" s="82">
        <v>199</v>
      </c>
      <c r="L28" s="82">
        <v>157</v>
      </c>
      <c r="M28" s="163">
        <v>155</v>
      </c>
      <c r="N28" s="163">
        <v>167</v>
      </c>
      <c r="O28" s="163">
        <v>119</v>
      </c>
      <c r="P28" s="163">
        <v>83</v>
      </c>
      <c r="Q28" s="163">
        <v>81</v>
      </c>
      <c r="R28" s="163">
        <v>76</v>
      </c>
    </row>
    <row r="29" spans="2:19" ht="21" customHeight="1" thickBot="1">
      <c r="B29" s="160"/>
      <c r="C29" s="26" t="s">
        <v>14</v>
      </c>
      <c r="D29" s="49">
        <v>0</v>
      </c>
      <c r="E29" s="49">
        <v>1</v>
      </c>
      <c r="F29" s="49">
        <v>1</v>
      </c>
      <c r="G29" s="49">
        <v>1</v>
      </c>
      <c r="H29" s="49">
        <v>1</v>
      </c>
      <c r="I29" s="82">
        <v>0</v>
      </c>
      <c r="J29" s="82"/>
      <c r="K29" s="82"/>
      <c r="L29" s="82"/>
      <c r="M29" s="163">
        <v>2</v>
      </c>
      <c r="N29" s="163"/>
      <c r="O29" s="163"/>
      <c r="P29" s="163"/>
      <c r="Q29" s="163"/>
      <c r="R29" s="163"/>
    </row>
    <row r="30" spans="2:19" ht="21" customHeight="1" thickTop="1" thickBot="1">
      <c r="B30" s="162"/>
      <c r="C30" s="27" t="s">
        <v>15</v>
      </c>
      <c r="D30" s="50">
        <v>36</v>
      </c>
      <c r="E30" s="50">
        <v>24</v>
      </c>
      <c r="F30" s="50">
        <v>42</v>
      </c>
      <c r="G30" s="50">
        <v>42</v>
      </c>
      <c r="H30" s="50">
        <v>37</v>
      </c>
      <c r="I30" s="83">
        <v>46</v>
      </c>
      <c r="J30" s="83">
        <v>47</v>
      </c>
      <c r="K30" s="83">
        <v>199</v>
      </c>
      <c r="L30" s="83">
        <v>157</v>
      </c>
      <c r="M30" s="164">
        <v>157</v>
      </c>
      <c r="N30" s="164">
        <v>167</v>
      </c>
      <c r="O30" s="164">
        <v>119</v>
      </c>
      <c r="P30" s="164">
        <v>83</v>
      </c>
      <c r="Q30" s="164">
        <v>81</v>
      </c>
      <c r="R30" s="164">
        <v>76</v>
      </c>
    </row>
    <row r="31" spans="2:19" ht="16.5" thickTop="1">
      <c r="B31" s="165" t="s">
        <v>7</v>
      </c>
      <c r="C31" s="30"/>
      <c r="D31" s="29">
        <v>18</v>
      </c>
      <c r="E31" s="29">
        <v>9</v>
      </c>
      <c r="F31" s="29">
        <v>19</v>
      </c>
      <c r="G31" s="29">
        <v>19</v>
      </c>
      <c r="H31" s="29">
        <v>16</v>
      </c>
      <c r="I31" s="84">
        <v>17</v>
      </c>
      <c r="J31" s="84">
        <v>21</v>
      </c>
      <c r="K31" s="84">
        <v>64</v>
      </c>
      <c r="L31" s="84">
        <v>51</v>
      </c>
      <c r="M31" s="166">
        <v>54</v>
      </c>
      <c r="N31" s="166">
        <v>47</v>
      </c>
      <c r="O31" s="166">
        <v>40</v>
      </c>
      <c r="P31" s="166">
        <v>31</v>
      </c>
      <c r="Q31" s="166">
        <v>34</v>
      </c>
      <c r="R31" s="287">
        <v>31</v>
      </c>
      <c r="S31" s="296">
        <f>R31/R30</f>
        <v>0.40789473684210525</v>
      </c>
    </row>
    <row r="32" spans="2:19" ht="16.5" thickBot="1">
      <c r="B32" s="121" t="s">
        <v>8</v>
      </c>
      <c r="C32" s="99"/>
      <c r="D32" s="8">
        <v>18</v>
      </c>
      <c r="E32" s="8">
        <v>15</v>
      </c>
      <c r="F32" s="8">
        <v>23</v>
      </c>
      <c r="G32" s="8">
        <v>23</v>
      </c>
      <c r="H32" s="8">
        <v>21</v>
      </c>
      <c r="I32" s="85">
        <v>29</v>
      </c>
      <c r="J32" s="85">
        <v>26</v>
      </c>
      <c r="K32" s="85">
        <v>135</v>
      </c>
      <c r="L32" s="85">
        <v>106</v>
      </c>
      <c r="M32" s="167">
        <v>103</v>
      </c>
      <c r="N32" s="167">
        <v>120</v>
      </c>
      <c r="O32" s="167">
        <v>79</v>
      </c>
      <c r="P32" s="167">
        <v>52</v>
      </c>
      <c r="Q32" s="167">
        <v>47</v>
      </c>
      <c r="R32" s="288">
        <v>45</v>
      </c>
      <c r="S32" s="297">
        <f>R32/R30</f>
        <v>0.59210526315789469</v>
      </c>
    </row>
    <row r="33" spans="2:19" ht="15.75">
      <c r="B33" s="122" t="s">
        <v>9</v>
      </c>
      <c r="C33" s="100"/>
      <c r="D33" s="4">
        <v>30</v>
      </c>
      <c r="E33" s="4">
        <v>14</v>
      </c>
      <c r="F33" s="4">
        <v>33</v>
      </c>
      <c r="G33" s="4">
        <v>33</v>
      </c>
      <c r="H33" s="4">
        <v>30</v>
      </c>
      <c r="I33" s="86">
        <v>44</v>
      </c>
      <c r="J33" s="86">
        <v>45</v>
      </c>
      <c r="K33" s="86">
        <v>180</v>
      </c>
      <c r="L33" s="86">
        <v>136</v>
      </c>
      <c r="M33" s="168">
        <v>137</v>
      </c>
      <c r="N33" s="168">
        <v>152</v>
      </c>
      <c r="O33" s="168">
        <v>108</v>
      </c>
      <c r="P33" s="168">
        <v>78</v>
      </c>
      <c r="Q33" s="168">
        <v>73</v>
      </c>
      <c r="R33" s="289">
        <v>66</v>
      </c>
      <c r="S33" s="296">
        <f>R33/R30</f>
        <v>0.86842105263157898</v>
      </c>
    </row>
    <row r="34" spans="2:19" ht="15.75">
      <c r="B34" s="123" t="s">
        <v>10</v>
      </c>
      <c r="C34" s="169"/>
      <c r="D34" s="125">
        <v>6</v>
      </c>
      <c r="E34" s="125">
        <v>10</v>
      </c>
      <c r="F34" s="125">
        <v>9</v>
      </c>
      <c r="G34" s="125">
        <v>9</v>
      </c>
      <c r="H34" s="125">
        <v>7</v>
      </c>
      <c r="I34" s="126">
        <v>2</v>
      </c>
      <c r="J34" s="126">
        <v>2</v>
      </c>
      <c r="K34" s="126">
        <v>19</v>
      </c>
      <c r="L34" s="126">
        <v>21</v>
      </c>
      <c r="M34" s="170">
        <v>20</v>
      </c>
      <c r="N34" s="170">
        <v>15</v>
      </c>
      <c r="O34" s="170">
        <v>11</v>
      </c>
      <c r="P34" s="170">
        <v>5</v>
      </c>
      <c r="Q34" s="170">
        <v>8</v>
      </c>
      <c r="R34" s="290">
        <v>10</v>
      </c>
      <c r="S34" s="296">
        <f>R34/R30</f>
        <v>0.13157894736842105</v>
      </c>
    </row>
    <row r="35" spans="2:19" ht="16.5">
      <c r="B35" s="198" t="s">
        <v>70</v>
      </c>
      <c r="C35" s="99"/>
      <c r="D35" s="99"/>
      <c r="E35" s="99"/>
      <c r="F35" s="99"/>
      <c r="G35" s="99"/>
      <c r="H35" s="99"/>
      <c r="P35" s="136"/>
      <c r="Q35" s="31"/>
      <c r="R35" s="291"/>
    </row>
    <row r="36" spans="2:19">
      <c r="B36" s="31"/>
      <c r="C36" s="31"/>
      <c r="D36" s="31"/>
      <c r="E36" s="31"/>
      <c r="F36" s="31"/>
      <c r="G36" s="31"/>
      <c r="H36" s="31"/>
    </row>
    <row r="37" spans="2:19">
      <c r="B37" s="31"/>
      <c r="C37" s="31"/>
      <c r="D37" s="31"/>
      <c r="E37" s="31"/>
      <c r="F37" s="31"/>
      <c r="G37" s="31"/>
      <c r="H37" s="31"/>
    </row>
    <row r="38" spans="2:19">
      <c r="B38" s="31"/>
      <c r="C38" s="31"/>
      <c r="D38" s="31"/>
      <c r="E38" s="31"/>
      <c r="F38" s="31"/>
      <c r="G38" s="31"/>
      <c r="H38" s="31"/>
    </row>
    <row r="39" spans="2:19">
      <c r="B39" s="31"/>
      <c r="C39" s="31"/>
      <c r="D39" s="31"/>
      <c r="E39" s="31"/>
      <c r="F39" s="31"/>
      <c r="G39" s="31"/>
      <c r="H39" s="31"/>
    </row>
    <row r="40" spans="2:19">
      <c r="B40" s="31"/>
      <c r="C40" s="31"/>
      <c r="D40" s="31"/>
      <c r="E40" s="31"/>
      <c r="F40" s="31"/>
      <c r="G40" s="31"/>
      <c r="H40" s="31"/>
    </row>
    <row r="41" spans="2:19">
      <c r="B41" s="31"/>
      <c r="C41" s="31"/>
      <c r="D41" s="31"/>
      <c r="E41" s="31"/>
      <c r="F41" s="31"/>
      <c r="G41" s="31"/>
      <c r="H41" s="31"/>
    </row>
    <row r="42" spans="2:19">
      <c r="B42" s="31"/>
      <c r="C42" s="31"/>
      <c r="D42" s="31"/>
      <c r="E42" s="31"/>
      <c r="F42" s="31"/>
      <c r="G42" s="31"/>
      <c r="H42" s="31"/>
    </row>
    <row r="43" spans="2:19">
      <c r="B43" s="31"/>
      <c r="C43" s="31"/>
      <c r="D43" s="31"/>
      <c r="E43" s="31"/>
      <c r="F43" s="31"/>
      <c r="G43" s="31"/>
      <c r="H43" s="31"/>
    </row>
    <row r="44" spans="2:19">
      <c r="B44" s="31"/>
      <c r="C44" s="31"/>
      <c r="D44" s="31"/>
      <c r="E44" s="31"/>
      <c r="F44" s="31"/>
      <c r="G44" s="31"/>
      <c r="H44" s="31"/>
    </row>
    <row r="45" spans="2:19">
      <c r="B45" s="31"/>
      <c r="C45" s="31"/>
      <c r="D45" s="31"/>
      <c r="E45" s="31"/>
      <c r="F45" s="31"/>
      <c r="G45" s="31"/>
      <c r="H45" s="31"/>
    </row>
    <row r="46" spans="2:19">
      <c r="B46" s="31"/>
      <c r="C46" s="31"/>
      <c r="D46" s="31"/>
      <c r="E46" s="31"/>
      <c r="F46" s="31"/>
      <c r="G46" s="31"/>
      <c r="H46" s="31"/>
    </row>
    <row r="47" spans="2:19">
      <c r="B47" s="31"/>
      <c r="C47" s="31"/>
      <c r="D47" s="31"/>
      <c r="E47" s="31"/>
      <c r="F47" s="31"/>
      <c r="G47" s="31"/>
      <c r="H47" s="31"/>
    </row>
    <row r="48" spans="2:19">
      <c r="B48" s="31"/>
      <c r="C48" s="31"/>
      <c r="D48" s="31"/>
      <c r="E48" s="31"/>
      <c r="F48" s="31"/>
      <c r="G48" s="31"/>
      <c r="H48" s="31"/>
    </row>
    <row r="49" spans="2:18">
      <c r="B49" s="31"/>
      <c r="C49" s="31"/>
      <c r="D49" s="31"/>
      <c r="E49" s="31"/>
      <c r="F49" s="31"/>
      <c r="G49" s="31"/>
      <c r="H49" s="31"/>
    </row>
    <row r="50" spans="2:18">
      <c r="B50" s="31"/>
      <c r="C50" s="31"/>
      <c r="D50" s="31"/>
      <c r="E50" s="31"/>
      <c r="F50" s="31"/>
      <c r="G50" s="31"/>
      <c r="H50" s="31"/>
    </row>
    <row r="51" spans="2:18">
      <c r="B51" s="31"/>
      <c r="C51" s="31"/>
      <c r="D51" s="31"/>
      <c r="E51" s="31"/>
      <c r="F51" s="31"/>
      <c r="G51" s="31"/>
      <c r="H51" s="31"/>
    </row>
    <row r="52" spans="2:18">
      <c r="B52" s="31"/>
      <c r="C52" s="31"/>
      <c r="D52" s="31"/>
      <c r="E52" s="31"/>
      <c r="F52" s="31"/>
      <c r="G52" s="31"/>
      <c r="H52" s="31"/>
    </row>
    <row r="53" spans="2:18" ht="24" customHeight="1">
      <c r="B53" s="31"/>
      <c r="C53" s="31"/>
      <c r="D53" s="31"/>
      <c r="E53" s="31"/>
      <c r="F53" s="31"/>
      <c r="G53" s="31"/>
      <c r="H53" s="31"/>
    </row>
    <row r="54" spans="2:18" s="149" customFormat="1" ht="22.5" hidden="1" customHeight="1">
      <c r="B54" s="149" t="s">
        <v>34</v>
      </c>
      <c r="C54" s="150"/>
      <c r="R54" s="151"/>
    </row>
    <row r="55" spans="2:18" hidden="1">
      <c r="B55" s="31" t="s">
        <v>73</v>
      </c>
    </row>
    <row r="56" spans="2:18" hidden="1">
      <c r="B56" s="31" t="s">
        <v>74</v>
      </c>
    </row>
    <row r="57" spans="2:18" hidden="1">
      <c r="B57" s="31" t="s">
        <v>75</v>
      </c>
    </row>
    <row r="58" spans="2:18" hidden="1">
      <c r="B58" s="31" t="s">
        <v>76</v>
      </c>
    </row>
    <row r="59" spans="2:18" hidden="1">
      <c r="B59" s="31" t="s">
        <v>77</v>
      </c>
    </row>
    <row r="60" spans="2:18" hidden="1">
      <c r="B60" s="31" t="s">
        <v>78</v>
      </c>
    </row>
    <row r="61" spans="2:18" hidden="1">
      <c r="B61" s="31" t="s">
        <v>79</v>
      </c>
    </row>
    <row r="62" spans="2:18" hidden="1">
      <c r="B62" s="31" t="s">
        <v>80</v>
      </c>
    </row>
    <row r="63" spans="2:18" hidden="1">
      <c r="B63" s="31" t="s">
        <v>81</v>
      </c>
    </row>
    <row r="64" spans="2:18" hidden="1">
      <c r="B64" s="31" t="s">
        <v>82</v>
      </c>
    </row>
    <row r="65" spans="2:2" hidden="1">
      <c r="B65" s="31" t="s">
        <v>83</v>
      </c>
    </row>
    <row r="66" spans="2:2" hidden="1">
      <c r="B66" s="31" t="s">
        <v>117</v>
      </c>
    </row>
    <row r="67" spans="2:2" hidden="1">
      <c r="B67" s="31" t="s">
        <v>84</v>
      </c>
    </row>
    <row r="68" spans="2:2" hidden="1">
      <c r="B68" s="31" t="s">
        <v>85</v>
      </c>
    </row>
    <row r="69" spans="2:2" hidden="1">
      <c r="B69" s="31" t="s">
        <v>86</v>
      </c>
    </row>
    <row r="70" spans="2:2" hidden="1">
      <c r="B70" s="31" t="s">
        <v>87</v>
      </c>
    </row>
    <row r="71" spans="2:2" hidden="1">
      <c r="B71" s="31" t="s">
        <v>88</v>
      </c>
    </row>
    <row r="72" spans="2:2" hidden="1">
      <c r="B72" s="31" t="s">
        <v>55</v>
      </c>
    </row>
    <row r="73" spans="2:2" hidden="1">
      <c r="B73" s="31" t="s">
        <v>93</v>
      </c>
    </row>
    <row r="74" spans="2:2" hidden="1">
      <c r="B74" s="31" t="s">
        <v>89</v>
      </c>
    </row>
    <row r="75" spans="2:2" hidden="1">
      <c r="B75" s="31" t="s">
        <v>90</v>
      </c>
    </row>
    <row r="76" spans="2:2" hidden="1">
      <c r="B76" s="31" t="s">
        <v>91</v>
      </c>
    </row>
    <row r="77" spans="2:2" hidden="1">
      <c r="B77" s="31" t="s">
        <v>92</v>
      </c>
    </row>
    <row r="78" spans="2:2" hidden="1">
      <c r="B78" s="31" t="s">
        <v>55</v>
      </c>
    </row>
    <row r="79" spans="2:2" hidden="1">
      <c r="B79" s="31" t="s">
        <v>93</v>
      </c>
    </row>
    <row r="80" spans="2:2" hidden="1"/>
  </sheetData>
  <mergeCells count="6">
    <mergeCell ref="B4:B5"/>
    <mergeCell ref="C4:C5"/>
    <mergeCell ref="I4:R4"/>
    <mergeCell ref="B1:R1"/>
    <mergeCell ref="B2:R2"/>
    <mergeCell ref="B3:R3"/>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102&amp;R&amp;"Lucida Sans Unicode,Regular"&amp;10December 2015</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7"/>
  </sheetPr>
  <dimension ref="B1:S80"/>
  <sheetViews>
    <sheetView showGridLines="0" view="pageLayout" topLeftCell="A15" zoomScaleNormal="100" zoomScaleSheetLayoutView="100" workbookViewId="0">
      <selection activeCell="B35" sqref="B35"/>
    </sheetView>
  </sheetViews>
  <sheetFormatPr defaultColWidth="9.6640625" defaultRowHeight="15"/>
  <cols>
    <col min="1" max="1" width="6" style="38" customWidth="1"/>
    <col min="2" max="2" width="9.6640625" style="38" customWidth="1"/>
    <col min="3" max="3" width="18.6640625" style="38" customWidth="1"/>
    <col min="4" max="9" width="9.6640625" style="38" hidden="1" customWidth="1"/>
    <col min="10" max="11" width="8" style="38" hidden="1" customWidth="1"/>
    <col min="12" max="13" width="7.5546875" style="38" hidden="1" customWidth="1"/>
    <col min="14" max="17" width="8.77734375" style="38" customWidth="1"/>
    <col min="18" max="18" width="8.77734375" style="145" customWidth="1"/>
    <col min="19" max="19" width="6.88671875" style="38" bestFit="1" customWidth="1"/>
    <col min="20" max="16384" width="9.6640625" style="38"/>
  </cols>
  <sheetData>
    <row r="1" spans="2:18" s="194" customFormat="1" ht="24" customHeight="1">
      <c r="B1" s="465" t="s">
        <v>0</v>
      </c>
      <c r="C1" s="465"/>
      <c r="D1" s="465"/>
      <c r="E1" s="465"/>
      <c r="F1" s="465"/>
      <c r="G1" s="465"/>
      <c r="H1" s="465"/>
      <c r="I1" s="465"/>
      <c r="J1" s="465"/>
      <c r="K1" s="465"/>
      <c r="L1" s="465"/>
      <c r="M1" s="465"/>
      <c r="N1" s="465"/>
      <c r="O1" s="465"/>
      <c r="P1" s="465"/>
      <c r="Q1" s="465"/>
      <c r="R1" s="465"/>
    </row>
    <row r="2" spans="2:18" s="196" customFormat="1" ht="25.5" customHeight="1">
      <c r="B2" s="464" t="s">
        <v>71</v>
      </c>
      <c r="C2" s="464"/>
      <c r="D2" s="464"/>
      <c r="E2" s="464"/>
      <c r="F2" s="464"/>
      <c r="G2" s="464"/>
      <c r="H2" s="464"/>
      <c r="I2" s="464"/>
      <c r="J2" s="464"/>
      <c r="K2" s="464"/>
      <c r="L2" s="464"/>
      <c r="M2" s="464"/>
      <c r="N2" s="464"/>
      <c r="O2" s="464"/>
      <c r="P2" s="464"/>
      <c r="Q2" s="464"/>
      <c r="R2" s="464"/>
    </row>
    <row r="3" spans="2:18" s="194" customFormat="1" ht="21" customHeight="1">
      <c r="B3" s="465" t="s">
        <v>153</v>
      </c>
      <c r="C3" s="465"/>
      <c r="D3" s="465"/>
      <c r="E3" s="465"/>
      <c r="F3" s="465"/>
      <c r="G3" s="465"/>
      <c r="H3" s="465"/>
      <c r="I3" s="465"/>
      <c r="J3" s="465"/>
      <c r="K3" s="465"/>
      <c r="L3" s="465"/>
      <c r="M3" s="465"/>
      <c r="N3" s="465"/>
      <c r="O3" s="465"/>
      <c r="P3" s="465"/>
      <c r="Q3" s="465"/>
      <c r="R3" s="465"/>
    </row>
    <row r="4" spans="2:18" s="112" customFormat="1" ht="15.75" customHeight="1">
      <c r="B4" s="524" t="s">
        <v>59</v>
      </c>
      <c r="C4" s="531" t="s">
        <v>60</v>
      </c>
      <c r="D4" s="113"/>
      <c r="E4" s="113"/>
      <c r="F4" s="113"/>
      <c r="G4" s="113"/>
      <c r="H4" s="148" t="s">
        <v>58</v>
      </c>
      <c r="I4" s="512" t="s">
        <v>145</v>
      </c>
      <c r="J4" s="513"/>
      <c r="K4" s="513"/>
      <c r="L4" s="513"/>
      <c r="M4" s="513"/>
      <c r="N4" s="513"/>
      <c r="O4" s="513"/>
      <c r="P4" s="513"/>
      <c r="Q4" s="513"/>
      <c r="R4" s="514"/>
    </row>
    <row r="5" spans="2:18" s="106" customFormat="1" ht="16.5" thickBot="1">
      <c r="B5" s="525"/>
      <c r="C5" s="525"/>
      <c r="D5" s="146"/>
      <c r="E5" s="146"/>
      <c r="F5" s="146"/>
      <c r="G5" s="146"/>
      <c r="H5" s="147" t="s">
        <v>64</v>
      </c>
      <c r="I5" s="147" t="s">
        <v>63</v>
      </c>
      <c r="J5" s="135" t="s">
        <v>52</v>
      </c>
      <c r="K5" s="135" t="s">
        <v>53</v>
      </c>
      <c r="L5" s="135" t="s">
        <v>57</v>
      </c>
      <c r="M5" s="135" t="s">
        <v>69</v>
      </c>
      <c r="N5" s="135" t="s">
        <v>124</v>
      </c>
      <c r="O5" s="135" t="s">
        <v>146</v>
      </c>
      <c r="P5" s="138" t="s">
        <v>158</v>
      </c>
      <c r="Q5" s="138" t="s">
        <v>166</v>
      </c>
      <c r="R5" s="138" t="s">
        <v>187</v>
      </c>
    </row>
    <row r="6" spans="2:18" ht="15.75" thickTop="1">
      <c r="B6" s="121"/>
      <c r="C6" s="8" t="s">
        <v>11</v>
      </c>
      <c r="D6" s="108">
        <v>1</v>
      </c>
      <c r="E6" s="108">
        <v>4</v>
      </c>
      <c r="F6" s="108">
        <v>17</v>
      </c>
      <c r="G6" s="108">
        <v>17</v>
      </c>
      <c r="H6" s="108">
        <v>17</v>
      </c>
      <c r="I6" s="109">
        <v>20</v>
      </c>
      <c r="J6" s="109">
        <v>21</v>
      </c>
      <c r="K6" s="109">
        <v>63</v>
      </c>
      <c r="L6" s="109">
        <v>45</v>
      </c>
      <c r="M6" s="152">
        <v>56</v>
      </c>
      <c r="N6" s="452"/>
      <c r="O6" s="452"/>
      <c r="P6" s="452"/>
      <c r="Q6" s="452"/>
      <c r="R6" s="152">
        <v>11</v>
      </c>
    </row>
    <row r="7" spans="2:18">
      <c r="B7" s="153"/>
      <c r="C7" s="8" t="s">
        <v>12</v>
      </c>
      <c r="D7" s="42">
        <v>4</v>
      </c>
      <c r="E7" s="42">
        <v>0</v>
      </c>
      <c r="F7" s="42">
        <v>0</v>
      </c>
      <c r="G7" s="42">
        <v>0</v>
      </c>
      <c r="H7" s="42">
        <v>0</v>
      </c>
      <c r="I7" s="76">
        <v>0</v>
      </c>
      <c r="J7" s="76"/>
      <c r="K7" s="76"/>
      <c r="L7" s="76"/>
      <c r="M7" s="154"/>
      <c r="N7" s="452"/>
      <c r="O7" s="452"/>
      <c r="P7" s="452"/>
      <c r="Q7" s="452"/>
      <c r="R7" s="154"/>
    </row>
    <row r="8" spans="2:18">
      <c r="B8" s="153" t="s">
        <v>2</v>
      </c>
      <c r="C8" s="3" t="s">
        <v>13</v>
      </c>
      <c r="D8" s="43">
        <v>5</v>
      </c>
      <c r="E8" s="43">
        <v>4</v>
      </c>
      <c r="F8" s="43">
        <v>17</v>
      </c>
      <c r="G8" s="43">
        <v>17</v>
      </c>
      <c r="H8" s="43">
        <v>17</v>
      </c>
      <c r="I8" s="77">
        <v>20</v>
      </c>
      <c r="J8" s="77">
        <v>21</v>
      </c>
      <c r="K8" s="77">
        <v>63</v>
      </c>
      <c r="L8" s="77">
        <v>45</v>
      </c>
      <c r="M8" s="155">
        <v>56</v>
      </c>
      <c r="N8" s="453"/>
      <c r="O8" s="453"/>
      <c r="P8" s="453"/>
      <c r="Q8" s="453"/>
      <c r="R8" s="155">
        <v>11</v>
      </c>
    </row>
    <row r="9" spans="2:18" ht="15.75" thickBot="1">
      <c r="B9" s="153"/>
      <c r="C9" s="2" t="s">
        <v>14</v>
      </c>
      <c r="D9" s="43">
        <v>0</v>
      </c>
      <c r="E9" s="43">
        <v>0</v>
      </c>
      <c r="F9" s="43">
        <v>0</v>
      </c>
      <c r="G9" s="43">
        <v>0</v>
      </c>
      <c r="H9" s="43">
        <v>0</v>
      </c>
      <c r="I9" s="77">
        <v>0</v>
      </c>
      <c r="J9" s="77"/>
      <c r="K9" s="77"/>
      <c r="L9" s="77"/>
      <c r="M9" s="155"/>
      <c r="N9" s="453"/>
      <c r="O9" s="453"/>
      <c r="P9" s="453"/>
      <c r="Q9" s="453"/>
      <c r="R9" s="155"/>
    </row>
    <row r="10" spans="2:18" ht="17.100000000000001" customHeight="1" thickTop="1" thickBot="1">
      <c r="B10" s="153"/>
      <c r="C10" s="13" t="s">
        <v>15</v>
      </c>
      <c r="D10" s="44">
        <v>5</v>
      </c>
      <c r="E10" s="44">
        <v>4</v>
      </c>
      <c r="F10" s="44">
        <v>17</v>
      </c>
      <c r="G10" s="44">
        <v>17</v>
      </c>
      <c r="H10" s="44">
        <v>17</v>
      </c>
      <c r="I10" s="78">
        <v>20</v>
      </c>
      <c r="J10" s="78">
        <v>21</v>
      </c>
      <c r="K10" s="78">
        <v>63</v>
      </c>
      <c r="L10" s="78">
        <v>45</v>
      </c>
      <c r="M10" s="156">
        <v>56</v>
      </c>
      <c r="N10" s="454"/>
      <c r="O10" s="454"/>
      <c r="P10" s="454"/>
      <c r="Q10" s="454"/>
      <c r="R10" s="156">
        <v>11</v>
      </c>
    </row>
    <row r="11" spans="2:18">
      <c r="B11" s="122"/>
      <c r="C11" s="4" t="s">
        <v>11</v>
      </c>
      <c r="D11" s="45">
        <v>0</v>
      </c>
      <c r="E11" s="45">
        <v>0</v>
      </c>
      <c r="F11" s="45">
        <v>12</v>
      </c>
      <c r="G11" s="45">
        <v>12</v>
      </c>
      <c r="H11" s="45">
        <v>7</v>
      </c>
      <c r="I11" s="79">
        <v>12</v>
      </c>
      <c r="J11" s="79">
        <v>9</v>
      </c>
      <c r="K11" s="79">
        <v>45</v>
      </c>
      <c r="L11" s="79">
        <v>39</v>
      </c>
      <c r="M11" s="157">
        <v>36</v>
      </c>
      <c r="N11" s="455"/>
      <c r="O11" s="455"/>
      <c r="P11" s="455"/>
      <c r="Q11" s="455"/>
      <c r="R11" s="157">
        <v>7</v>
      </c>
    </row>
    <row r="12" spans="2:18">
      <c r="B12" s="153"/>
      <c r="C12" s="8" t="s">
        <v>12</v>
      </c>
      <c r="D12" s="42">
        <v>12</v>
      </c>
      <c r="E12" s="42">
        <v>5</v>
      </c>
      <c r="F12" s="42">
        <v>1</v>
      </c>
      <c r="G12" s="42">
        <v>1</v>
      </c>
      <c r="H12" s="42">
        <v>0</v>
      </c>
      <c r="I12" s="76">
        <v>0</v>
      </c>
      <c r="J12" s="76">
        <v>1</v>
      </c>
      <c r="K12" s="76"/>
      <c r="L12" s="76"/>
      <c r="M12" s="154"/>
      <c r="N12" s="452"/>
      <c r="O12" s="452"/>
      <c r="P12" s="452"/>
      <c r="Q12" s="452"/>
      <c r="R12" s="154">
        <v>1</v>
      </c>
    </row>
    <row r="13" spans="2:18">
      <c r="B13" s="153" t="s">
        <v>3</v>
      </c>
      <c r="C13" s="3" t="s">
        <v>13</v>
      </c>
      <c r="D13" s="43">
        <v>12</v>
      </c>
      <c r="E13" s="43">
        <v>5</v>
      </c>
      <c r="F13" s="43">
        <v>13</v>
      </c>
      <c r="G13" s="43">
        <v>13</v>
      </c>
      <c r="H13" s="43">
        <v>7</v>
      </c>
      <c r="I13" s="77">
        <v>12</v>
      </c>
      <c r="J13" s="77">
        <v>10</v>
      </c>
      <c r="K13" s="77">
        <v>45</v>
      </c>
      <c r="L13" s="77">
        <v>39</v>
      </c>
      <c r="M13" s="155">
        <v>36</v>
      </c>
      <c r="N13" s="453"/>
      <c r="O13" s="453"/>
      <c r="P13" s="453"/>
      <c r="Q13" s="453"/>
      <c r="R13" s="155">
        <v>8</v>
      </c>
    </row>
    <row r="14" spans="2:18" ht="15.75" thickBot="1">
      <c r="B14" s="153"/>
      <c r="C14" s="2" t="s">
        <v>14</v>
      </c>
      <c r="D14" s="43">
        <v>0</v>
      </c>
      <c r="E14" s="43">
        <v>0</v>
      </c>
      <c r="F14" s="43">
        <v>0</v>
      </c>
      <c r="G14" s="43">
        <v>0</v>
      </c>
      <c r="H14" s="43">
        <v>0</v>
      </c>
      <c r="I14" s="77">
        <v>0</v>
      </c>
      <c r="J14" s="77"/>
      <c r="K14" s="77"/>
      <c r="L14" s="77"/>
      <c r="M14" s="155"/>
      <c r="N14" s="453"/>
      <c r="O14" s="453"/>
      <c r="P14" s="453"/>
      <c r="Q14" s="453"/>
      <c r="R14" s="155"/>
    </row>
    <row r="15" spans="2:18" ht="17.100000000000001" customHeight="1" thickTop="1" thickBot="1">
      <c r="B15" s="153"/>
      <c r="C15" s="13" t="s">
        <v>15</v>
      </c>
      <c r="D15" s="44">
        <v>12</v>
      </c>
      <c r="E15" s="44">
        <v>5</v>
      </c>
      <c r="F15" s="44">
        <v>13</v>
      </c>
      <c r="G15" s="44">
        <v>13</v>
      </c>
      <c r="H15" s="44">
        <v>7</v>
      </c>
      <c r="I15" s="78">
        <v>12</v>
      </c>
      <c r="J15" s="78">
        <v>10</v>
      </c>
      <c r="K15" s="78">
        <v>45</v>
      </c>
      <c r="L15" s="78">
        <v>39</v>
      </c>
      <c r="M15" s="156">
        <v>36</v>
      </c>
      <c r="N15" s="454"/>
      <c r="O15" s="454"/>
      <c r="P15" s="454"/>
      <c r="Q15" s="454"/>
      <c r="R15" s="156">
        <v>8</v>
      </c>
    </row>
    <row r="16" spans="2:18">
      <c r="B16" s="122"/>
      <c r="C16" s="4" t="s">
        <v>11</v>
      </c>
      <c r="D16" s="45">
        <v>0</v>
      </c>
      <c r="E16" s="45">
        <v>1</v>
      </c>
      <c r="F16" s="45">
        <v>2</v>
      </c>
      <c r="G16" s="45">
        <v>2</v>
      </c>
      <c r="H16" s="45">
        <v>7</v>
      </c>
      <c r="I16" s="79">
        <v>6</v>
      </c>
      <c r="J16" s="79">
        <v>8</v>
      </c>
      <c r="K16" s="79">
        <v>46</v>
      </c>
      <c r="L16" s="79">
        <v>38</v>
      </c>
      <c r="M16" s="157">
        <v>34</v>
      </c>
      <c r="N16" s="455"/>
      <c r="O16" s="455"/>
      <c r="P16" s="455"/>
      <c r="Q16" s="455"/>
      <c r="R16" s="157">
        <v>11</v>
      </c>
    </row>
    <row r="17" spans="2:19">
      <c r="B17" s="153"/>
      <c r="C17" s="8" t="s">
        <v>12</v>
      </c>
      <c r="D17" s="42">
        <v>10</v>
      </c>
      <c r="E17" s="42">
        <v>7</v>
      </c>
      <c r="F17" s="42">
        <v>2</v>
      </c>
      <c r="G17" s="42">
        <v>2</v>
      </c>
      <c r="H17" s="42">
        <v>0</v>
      </c>
      <c r="I17" s="76">
        <v>0</v>
      </c>
      <c r="J17" s="76"/>
      <c r="K17" s="76">
        <v>1</v>
      </c>
      <c r="L17" s="76"/>
      <c r="M17" s="154"/>
      <c r="N17" s="452"/>
      <c r="O17" s="452"/>
      <c r="P17" s="452"/>
      <c r="Q17" s="452"/>
      <c r="R17" s="154">
        <v>1</v>
      </c>
    </row>
    <row r="18" spans="2:19">
      <c r="B18" s="153" t="s">
        <v>4</v>
      </c>
      <c r="C18" s="3" t="s">
        <v>13</v>
      </c>
      <c r="D18" s="43">
        <v>10</v>
      </c>
      <c r="E18" s="43">
        <v>8</v>
      </c>
      <c r="F18" s="43">
        <v>4</v>
      </c>
      <c r="G18" s="43">
        <v>4</v>
      </c>
      <c r="H18" s="43">
        <v>7</v>
      </c>
      <c r="I18" s="77">
        <v>6</v>
      </c>
      <c r="J18" s="77">
        <v>8</v>
      </c>
      <c r="K18" s="77">
        <v>47</v>
      </c>
      <c r="L18" s="77">
        <v>38</v>
      </c>
      <c r="M18" s="155">
        <v>34</v>
      </c>
      <c r="N18" s="453"/>
      <c r="O18" s="453"/>
      <c r="P18" s="453"/>
      <c r="Q18" s="453"/>
      <c r="R18" s="155">
        <v>12</v>
      </c>
    </row>
    <row r="19" spans="2:19" ht="15.75" thickBot="1">
      <c r="B19" s="153"/>
      <c r="C19" s="2" t="s">
        <v>14</v>
      </c>
      <c r="D19" s="43">
        <v>0</v>
      </c>
      <c r="E19" s="43">
        <v>1</v>
      </c>
      <c r="F19" s="43">
        <v>1</v>
      </c>
      <c r="G19" s="43">
        <v>1</v>
      </c>
      <c r="H19" s="43">
        <v>1</v>
      </c>
      <c r="I19" s="77">
        <v>0</v>
      </c>
      <c r="J19" s="77"/>
      <c r="K19" s="77"/>
      <c r="L19" s="77"/>
      <c r="M19" s="155">
        <v>2</v>
      </c>
      <c r="N19" s="453"/>
      <c r="O19" s="453"/>
      <c r="P19" s="453"/>
      <c r="Q19" s="453"/>
      <c r="R19" s="155"/>
    </row>
    <row r="20" spans="2:19" ht="17.100000000000001" customHeight="1" thickTop="1" thickBot="1">
      <c r="B20" s="153"/>
      <c r="C20" s="13" t="s">
        <v>15</v>
      </c>
      <c r="D20" s="44">
        <v>10</v>
      </c>
      <c r="E20" s="44">
        <v>9</v>
      </c>
      <c r="F20" s="44">
        <v>5</v>
      </c>
      <c r="G20" s="44">
        <v>5</v>
      </c>
      <c r="H20" s="44">
        <v>8</v>
      </c>
      <c r="I20" s="78">
        <v>6</v>
      </c>
      <c r="J20" s="78">
        <v>8</v>
      </c>
      <c r="K20" s="78">
        <v>47</v>
      </c>
      <c r="L20" s="78">
        <v>38</v>
      </c>
      <c r="M20" s="156">
        <v>36</v>
      </c>
      <c r="N20" s="454"/>
      <c r="O20" s="454"/>
      <c r="P20" s="454"/>
      <c r="Q20" s="454"/>
      <c r="R20" s="156">
        <v>12</v>
      </c>
    </row>
    <row r="21" spans="2:19">
      <c r="B21" s="122"/>
      <c r="C21" s="4" t="s">
        <v>11</v>
      </c>
      <c r="D21" s="45">
        <v>0</v>
      </c>
      <c r="E21" s="45">
        <v>0</v>
      </c>
      <c r="F21" s="45">
        <v>0</v>
      </c>
      <c r="G21" s="45">
        <v>0</v>
      </c>
      <c r="H21" s="45">
        <v>4</v>
      </c>
      <c r="I21" s="79">
        <v>7</v>
      </c>
      <c r="J21" s="79">
        <v>6</v>
      </c>
      <c r="K21" s="79">
        <v>42</v>
      </c>
      <c r="L21" s="79">
        <v>35</v>
      </c>
      <c r="M21" s="157">
        <v>28</v>
      </c>
      <c r="N21" s="455"/>
      <c r="O21" s="455"/>
      <c r="P21" s="455"/>
      <c r="Q21" s="455"/>
      <c r="R21" s="157">
        <v>5</v>
      </c>
    </row>
    <row r="22" spans="2:19">
      <c r="B22" s="153"/>
      <c r="C22" s="8" t="s">
        <v>12</v>
      </c>
      <c r="D22" s="42">
        <v>9</v>
      </c>
      <c r="E22" s="42">
        <v>6</v>
      </c>
      <c r="F22" s="42">
        <v>7</v>
      </c>
      <c r="G22" s="42">
        <v>7</v>
      </c>
      <c r="H22" s="42">
        <v>1</v>
      </c>
      <c r="I22" s="76">
        <v>1</v>
      </c>
      <c r="J22" s="76">
        <v>2</v>
      </c>
      <c r="K22" s="76">
        <v>2</v>
      </c>
      <c r="L22" s="76"/>
      <c r="M22" s="154">
        <v>1</v>
      </c>
      <c r="N22" s="452"/>
      <c r="O22" s="452"/>
      <c r="P22" s="452"/>
      <c r="Q22" s="452"/>
      <c r="R22" s="154">
        <v>3</v>
      </c>
    </row>
    <row r="23" spans="2:19">
      <c r="B23" s="153" t="s">
        <v>5</v>
      </c>
      <c r="C23" s="3" t="s">
        <v>13</v>
      </c>
      <c r="D23" s="43">
        <v>9</v>
      </c>
      <c r="E23" s="43">
        <v>6</v>
      </c>
      <c r="F23" s="43">
        <v>7</v>
      </c>
      <c r="G23" s="43">
        <v>7</v>
      </c>
      <c r="H23" s="43">
        <v>5</v>
      </c>
      <c r="I23" s="77">
        <v>8</v>
      </c>
      <c r="J23" s="77">
        <v>8</v>
      </c>
      <c r="K23" s="77">
        <v>44</v>
      </c>
      <c r="L23" s="77">
        <v>35</v>
      </c>
      <c r="M23" s="155">
        <v>29</v>
      </c>
      <c r="N23" s="453"/>
      <c r="O23" s="453"/>
      <c r="P23" s="453"/>
      <c r="Q23" s="453"/>
      <c r="R23" s="155">
        <v>8</v>
      </c>
    </row>
    <row r="24" spans="2:19" ht="15.75" thickBot="1">
      <c r="B24" s="153"/>
      <c r="C24" s="2" t="s">
        <v>14</v>
      </c>
      <c r="D24" s="43">
        <v>0</v>
      </c>
      <c r="E24" s="43">
        <v>0</v>
      </c>
      <c r="F24" s="43">
        <v>0</v>
      </c>
      <c r="G24" s="43">
        <v>0</v>
      </c>
      <c r="H24" s="43">
        <v>0</v>
      </c>
      <c r="I24" s="77">
        <v>0</v>
      </c>
      <c r="J24" s="77"/>
      <c r="K24" s="77"/>
      <c r="L24" s="77"/>
      <c r="M24" s="155"/>
      <c r="N24" s="453"/>
      <c r="O24" s="453"/>
      <c r="P24" s="453"/>
      <c r="Q24" s="453"/>
      <c r="R24" s="155"/>
    </row>
    <row r="25" spans="2:19" ht="17.100000000000001" customHeight="1" thickTop="1" thickBot="1">
      <c r="B25" s="153"/>
      <c r="C25" s="13" t="s">
        <v>15</v>
      </c>
      <c r="D25" s="44">
        <v>9</v>
      </c>
      <c r="E25" s="44">
        <v>6</v>
      </c>
      <c r="F25" s="44">
        <v>7</v>
      </c>
      <c r="G25" s="44">
        <v>7</v>
      </c>
      <c r="H25" s="44">
        <v>5</v>
      </c>
      <c r="I25" s="78">
        <v>8</v>
      </c>
      <c r="J25" s="78">
        <v>8</v>
      </c>
      <c r="K25" s="78">
        <v>44</v>
      </c>
      <c r="L25" s="78">
        <v>35</v>
      </c>
      <c r="M25" s="156">
        <v>29</v>
      </c>
      <c r="N25" s="454"/>
      <c r="O25" s="454"/>
      <c r="P25" s="454"/>
      <c r="Q25" s="454"/>
      <c r="R25" s="156">
        <v>8</v>
      </c>
    </row>
    <row r="26" spans="2:19" ht="21" customHeight="1" thickTop="1">
      <c r="B26" s="158"/>
      <c r="C26" s="46" t="s">
        <v>11</v>
      </c>
      <c r="D26" s="47">
        <v>1</v>
      </c>
      <c r="E26" s="47">
        <v>5</v>
      </c>
      <c r="F26" s="47">
        <v>31</v>
      </c>
      <c r="G26" s="47">
        <v>31</v>
      </c>
      <c r="H26" s="47">
        <v>35</v>
      </c>
      <c r="I26" s="80">
        <v>45</v>
      </c>
      <c r="J26" s="80">
        <v>44</v>
      </c>
      <c r="K26" s="80">
        <v>196</v>
      </c>
      <c r="L26" s="80">
        <v>157</v>
      </c>
      <c r="M26" s="159">
        <v>154</v>
      </c>
      <c r="N26" s="454"/>
      <c r="O26" s="454"/>
      <c r="P26" s="454"/>
      <c r="Q26" s="454"/>
      <c r="R26" s="159">
        <v>34</v>
      </c>
    </row>
    <row r="27" spans="2:19" ht="21" customHeight="1">
      <c r="B27" s="160"/>
      <c r="C27" s="19" t="s">
        <v>12</v>
      </c>
      <c r="D27" s="48">
        <v>35</v>
      </c>
      <c r="E27" s="48">
        <v>18</v>
      </c>
      <c r="F27" s="48">
        <v>10</v>
      </c>
      <c r="G27" s="48">
        <v>10</v>
      </c>
      <c r="H27" s="48">
        <v>1</v>
      </c>
      <c r="I27" s="81">
        <v>1</v>
      </c>
      <c r="J27" s="81">
        <v>3</v>
      </c>
      <c r="K27" s="81">
        <v>3</v>
      </c>
      <c r="L27" s="81"/>
      <c r="M27" s="161">
        <v>1</v>
      </c>
      <c r="N27" s="456"/>
      <c r="O27" s="456"/>
      <c r="P27" s="456"/>
      <c r="Q27" s="456"/>
      <c r="R27" s="161">
        <v>5</v>
      </c>
    </row>
    <row r="28" spans="2:19" ht="21" customHeight="1">
      <c r="B28" s="162" t="s">
        <v>6</v>
      </c>
      <c r="C28" s="23" t="s">
        <v>13</v>
      </c>
      <c r="D28" s="49">
        <v>36</v>
      </c>
      <c r="E28" s="49">
        <v>23</v>
      </c>
      <c r="F28" s="49">
        <v>41</v>
      </c>
      <c r="G28" s="49">
        <v>41</v>
      </c>
      <c r="H28" s="49">
        <v>36</v>
      </c>
      <c r="I28" s="82">
        <v>46</v>
      </c>
      <c r="J28" s="82">
        <v>47</v>
      </c>
      <c r="K28" s="82">
        <v>199</v>
      </c>
      <c r="L28" s="82">
        <v>157</v>
      </c>
      <c r="M28" s="163">
        <v>155</v>
      </c>
      <c r="N28" s="457"/>
      <c r="O28" s="457"/>
      <c r="P28" s="457"/>
      <c r="Q28" s="457"/>
      <c r="R28" s="163">
        <v>39</v>
      </c>
    </row>
    <row r="29" spans="2:19" ht="21" customHeight="1" thickBot="1">
      <c r="B29" s="160"/>
      <c r="C29" s="26" t="s">
        <v>14</v>
      </c>
      <c r="D29" s="49">
        <v>0</v>
      </c>
      <c r="E29" s="49">
        <v>1</v>
      </c>
      <c r="F29" s="49">
        <v>1</v>
      </c>
      <c r="G29" s="49">
        <v>1</v>
      </c>
      <c r="H29" s="49">
        <v>1</v>
      </c>
      <c r="I29" s="82">
        <v>0</v>
      </c>
      <c r="J29" s="82"/>
      <c r="K29" s="82"/>
      <c r="L29" s="82"/>
      <c r="M29" s="163">
        <v>2</v>
      </c>
      <c r="N29" s="457"/>
      <c r="O29" s="457"/>
      <c r="P29" s="457"/>
      <c r="Q29" s="457"/>
      <c r="R29" s="163"/>
    </row>
    <row r="30" spans="2:19" ht="21" customHeight="1" thickTop="1" thickBot="1">
      <c r="B30" s="162"/>
      <c r="C30" s="27" t="s">
        <v>15</v>
      </c>
      <c r="D30" s="50">
        <v>36</v>
      </c>
      <c r="E30" s="50">
        <v>24</v>
      </c>
      <c r="F30" s="50">
        <v>42</v>
      </c>
      <c r="G30" s="50">
        <v>42</v>
      </c>
      <c r="H30" s="50">
        <v>37</v>
      </c>
      <c r="I30" s="83">
        <v>46</v>
      </c>
      <c r="J30" s="83">
        <v>47</v>
      </c>
      <c r="K30" s="83">
        <v>199</v>
      </c>
      <c r="L30" s="83">
        <v>157</v>
      </c>
      <c r="M30" s="164">
        <v>157</v>
      </c>
      <c r="N30" s="458"/>
      <c r="O30" s="458"/>
      <c r="P30" s="458"/>
      <c r="Q30" s="458"/>
      <c r="R30" s="164">
        <v>39</v>
      </c>
    </row>
    <row r="31" spans="2:19" ht="16.5" thickTop="1">
      <c r="B31" s="165" t="s">
        <v>7</v>
      </c>
      <c r="C31" s="30"/>
      <c r="D31" s="29">
        <v>18</v>
      </c>
      <c r="E31" s="29">
        <v>9</v>
      </c>
      <c r="F31" s="29">
        <v>19</v>
      </c>
      <c r="G31" s="29">
        <v>19</v>
      </c>
      <c r="H31" s="29">
        <v>16</v>
      </c>
      <c r="I31" s="84">
        <v>17</v>
      </c>
      <c r="J31" s="84">
        <v>21</v>
      </c>
      <c r="K31" s="84">
        <v>64</v>
      </c>
      <c r="L31" s="84">
        <v>51</v>
      </c>
      <c r="M31" s="166">
        <v>54</v>
      </c>
      <c r="N31" s="459"/>
      <c r="O31" s="459"/>
      <c r="P31" s="459"/>
      <c r="Q31" s="459"/>
      <c r="R31" s="287">
        <v>1</v>
      </c>
      <c r="S31" s="296">
        <f>R31/R30</f>
        <v>2.564102564102564E-2</v>
      </c>
    </row>
    <row r="32" spans="2:19" ht="16.5" thickBot="1">
      <c r="B32" s="121" t="s">
        <v>8</v>
      </c>
      <c r="C32" s="99"/>
      <c r="D32" s="8">
        <v>18</v>
      </c>
      <c r="E32" s="8">
        <v>15</v>
      </c>
      <c r="F32" s="8">
        <v>23</v>
      </c>
      <c r="G32" s="8">
        <v>23</v>
      </c>
      <c r="H32" s="8">
        <v>21</v>
      </c>
      <c r="I32" s="85">
        <v>29</v>
      </c>
      <c r="J32" s="85">
        <v>26</v>
      </c>
      <c r="K32" s="85">
        <v>135</v>
      </c>
      <c r="L32" s="85">
        <v>106</v>
      </c>
      <c r="M32" s="167">
        <v>103</v>
      </c>
      <c r="N32" s="460"/>
      <c r="O32" s="460"/>
      <c r="P32" s="460"/>
      <c r="Q32" s="460"/>
      <c r="R32" s="288">
        <v>38</v>
      </c>
      <c r="S32" s="297">
        <f>R32/R30</f>
        <v>0.97435897435897434</v>
      </c>
    </row>
    <row r="33" spans="2:19" ht="15.75">
      <c r="B33" s="122" t="s">
        <v>9</v>
      </c>
      <c r="C33" s="100"/>
      <c r="D33" s="4">
        <v>30</v>
      </c>
      <c r="E33" s="4">
        <v>14</v>
      </c>
      <c r="F33" s="4">
        <v>33</v>
      </c>
      <c r="G33" s="4">
        <v>33</v>
      </c>
      <c r="H33" s="4">
        <v>30</v>
      </c>
      <c r="I33" s="86">
        <v>44</v>
      </c>
      <c r="J33" s="86">
        <v>45</v>
      </c>
      <c r="K33" s="86">
        <v>180</v>
      </c>
      <c r="L33" s="86">
        <v>136</v>
      </c>
      <c r="M33" s="168">
        <v>137</v>
      </c>
      <c r="N33" s="461"/>
      <c r="O33" s="461"/>
      <c r="P33" s="461"/>
      <c r="Q33" s="461"/>
      <c r="R33" s="289">
        <v>32</v>
      </c>
      <c r="S33" s="296">
        <f>R33/R30</f>
        <v>0.82051282051282048</v>
      </c>
    </row>
    <row r="34" spans="2:19" ht="15.75">
      <c r="B34" s="123" t="s">
        <v>10</v>
      </c>
      <c r="C34" s="169"/>
      <c r="D34" s="125">
        <v>6</v>
      </c>
      <c r="E34" s="125">
        <v>10</v>
      </c>
      <c r="F34" s="125">
        <v>9</v>
      </c>
      <c r="G34" s="125">
        <v>9</v>
      </c>
      <c r="H34" s="125">
        <v>7</v>
      </c>
      <c r="I34" s="126">
        <v>2</v>
      </c>
      <c r="J34" s="126">
        <v>2</v>
      </c>
      <c r="K34" s="126">
        <v>19</v>
      </c>
      <c r="L34" s="126">
        <v>21</v>
      </c>
      <c r="M34" s="170">
        <v>20</v>
      </c>
      <c r="N34" s="462"/>
      <c r="O34" s="462"/>
      <c r="P34" s="462"/>
      <c r="Q34" s="462"/>
      <c r="R34" s="290">
        <v>7</v>
      </c>
      <c r="S34" s="296">
        <f>R34/R30</f>
        <v>0.17948717948717949</v>
      </c>
    </row>
    <row r="35" spans="2:19" ht="16.5">
      <c r="B35" s="198"/>
      <c r="C35" s="99"/>
      <c r="D35" s="99"/>
      <c r="E35" s="99"/>
      <c r="F35" s="99"/>
      <c r="G35" s="99"/>
      <c r="H35" s="99"/>
      <c r="P35" s="136"/>
      <c r="Q35" s="31"/>
      <c r="R35" s="291"/>
    </row>
    <row r="36" spans="2:19">
      <c r="B36" s="31"/>
      <c r="C36" s="31"/>
      <c r="D36" s="31"/>
      <c r="E36" s="31"/>
      <c r="F36" s="31"/>
      <c r="G36" s="31"/>
      <c r="H36" s="31"/>
    </row>
    <row r="37" spans="2:19">
      <c r="B37" s="31"/>
      <c r="C37" s="31"/>
      <c r="D37" s="31"/>
      <c r="E37" s="31"/>
      <c r="F37" s="31"/>
      <c r="G37" s="31"/>
      <c r="H37" s="31"/>
    </row>
    <row r="38" spans="2:19">
      <c r="B38" s="31"/>
      <c r="C38" s="31"/>
      <c r="D38" s="31"/>
      <c r="E38" s="31"/>
      <c r="F38" s="31"/>
      <c r="G38" s="31"/>
      <c r="H38" s="31"/>
    </row>
    <row r="39" spans="2:19">
      <c r="B39" s="31"/>
      <c r="C39" s="31"/>
      <c r="D39" s="31"/>
      <c r="E39" s="31"/>
      <c r="F39" s="31"/>
      <c r="G39" s="31"/>
      <c r="H39" s="31"/>
    </row>
    <row r="40" spans="2:19">
      <c r="B40" s="31"/>
      <c r="C40" s="31"/>
      <c r="D40" s="31"/>
      <c r="E40" s="31"/>
      <c r="F40" s="31"/>
      <c r="G40" s="31"/>
      <c r="H40" s="31"/>
    </row>
    <row r="41" spans="2:19">
      <c r="B41" s="31"/>
      <c r="C41" s="31"/>
      <c r="D41" s="31"/>
      <c r="E41" s="31"/>
      <c r="F41" s="31"/>
      <c r="G41" s="31"/>
      <c r="H41" s="31"/>
    </row>
    <row r="42" spans="2:19">
      <c r="B42" s="31"/>
      <c r="C42" s="31"/>
      <c r="D42" s="31"/>
      <c r="E42" s="31"/>
      <c r="F42" s="31"/>
      <c r="G42" s="31"/>
      <c r="H42" s="31"/>
    </row>
    <row r="43" spans="2:19">
      <c r="B43" s="31"/>
      <c r="C43" s="31"/>
      <c r="D43" s="31"/>
      <c r="E43" s="31"/>
      <c r="F43" s="31"/>
      <c r="G43" s="31"/>
      <c r="H43" s="31"/>
    </row>
    <row r="44" spans="2:19">
      <c r="B44" s="31"/>
      <c r="C44" s="31"/>
      <c r="D44" s="31"/>
      <c r="E44" s="31"/>
      <c r="F44" s="31"/>
      <c r="G44" s="31"/>
      <c r="H44" s="31"/>
    </row>
    <row r="45" spans="2:19">
      <c r="B45" s="31"/>
      <c r="C45" s="31"/>
      <c r="D45" s="31"/>
      <c r="E45" s="31"/>
      <c r="F45" s="31"/>
      <c r="G45" s="31"/>
      <c r="H45" s="31"/>
    </row>
    <row r="46" spans="2:19">
      <c r="B46" s="31"/>
      <c r="C46" s="31"/>
      <c r="D46" s="31"/>
      <c r="E46" s="31"/>
      <c r="F46" s="31"/>
      <c r="G46" s="31"/>
      <c r="H46" s="31"/>
    </row>
    <row r="47" spans="2:19">
      <c r="B47" s="31"/>
      <c r="C47" s="31"/>
      <c r="D47" s="31"/>
      <c r="E47" s="31"/>
      <c r="F47" s="31"/>
      <c r="G47" s="31"/>
      <c r="H47" s="31"/>
    </row>
    <row r="48" spans="2:19">
      <c r="B48" s="31"/>
      <c r="C48" s="31"/>
      <c r="D48" s="31"/>
      <c r="E48" s="31"/>
      <c r="F48" s="31"/>
      <c r="G48" s="31"/>
      <c r="H48" s="31"/>
    </row>
    <row r="49" spans="2:18">
      <c r="B49" s="31"/>
      <c r="C49" s="31"/>
      <c r="D49" s="31"/>
      <c r="E49" s="31"/>
      <c r="F49" s="31"/>
      <c r="G49" s="31"/>
      <c r="H49" s="31"/>
    </row>
    <row r="50" spans="2:18">
      <c r="B50" s="31"/>
      <c r="C50" s="31"/>
      <c r="D50" s="31"/>
      <c r="E50" s="31"/>
      <c r="F50" s="31"/>
      <c r="G50" s="31"/>
      <c r="H50" s="31"/>
    </row>
    <row r="51" spans="2:18">
      <c r="B51" s="31"/>
      <c r="C51" s="31"/>
      <c r="D51" s="31"/>
      <c r="E51" s="31"/>
      <c r="F51" s="31"/>
      <c r="G51" s="31"/>
      <c r="H51" s="31"/>
    </row>
    <row r="52" spans="2:18">
      <c r="B52" s="31"/>
      <c r="C52" s="31"/>
      <c r="D52" s="31"/>
      <c r="E52" s="31"/>
      <c r="F52" s="31"/>
      <c r="G52" s="31"/>
      <c r="H52" s="31"/>
    </row>
    <row r="53" spans="2:18" ht="24" customHeight="1">
      <c r="B53" s="31"/>
      <c r="C53" s="31"/>
      <c r="D53" s="31"/>
      <c r="E53" s="31"/>
      <c r="F53" s="31"/>
      <c r="G53" s="31"/>
      <c r="H53" s="31"/>
    </row>
    <row r="54" spans="2:18" s="149" customFormat="1" ht="22.5" hidden="1" customHeight="1">
      <c r="B54" s="149" t="s">
        <v>34</v>
      </c>
      <c r="C54" s="150"/>
      <c r="R54" s="151"/>
    </row>
    <row r="55" spans="2:18" hidden="1">
      <c r="B55" s="31" t="s">
        <v>73</v>
      </c>
    </row>
    <row r="56" spans="2:18" hidden="1">
      <c r="B56" s="31" t="s">
        <v>74</v>
      </c>
    </row>
    <row r="57" spans="2:18" hidden="1">
      <c r="B57" s="31" t="s">
        <v>75</v>
      </c>
    </row>
    <row r="58" spans="2:18" hidden="1">
      <c r="B58" s="31" t="s">
        <v>76</v>
      </c>
    </row>
    <row r="59" spans="2:18" hidden="1">
      <c r="B59" s="31" t="s">
        <v>77</v>
      </c>
    </row>
    <row r="60" spans="2:18" hidden="1">
      <c r="B60" s="31" t="s">
        <v>78</v>
      </c>
    </row>
    <row r="61" spans="2:18" hidden="1">
      <c r="B61" s="31" t="s">
        <v>79</v>
      </c>
    </row>
    <row r="62" spans="2:18" hidden="1">
      <c r="B62" s="31" t="s">
        <v>80</v>
      </c>
    </row>
    <row r="63" spans="2:18" hidden="1">
      <c r="B63" s="31" t="s">
        <v>81</v>
      </c>
    </row>
    <row r="64" spans="2:18" hidden="1">
      <c r="B64" s="31" t="s">
        <v>82</v>
      </c>
    </row>
    <row r="65" spans="2:2" hidden="1">
      <c r="B65" s="31" t="s">
        <v>83</v>
      </c>
    </row>
    <row r="66" spans="2:2" hidden="1">
      <c r="B66" s="31" t="s">
        <v>117</v>
      </c>
    </row>
    <row r="67" spans="2:2" hidden="1">
      <c r="B67" s="31" t="s">
        <v>84</v>
      </c>
    </row>
    <row r="68" spans="2:2" hidden="1">
      <c r="B68" s="31" t="s">
        <v>85</v>
      </c>
    </row>
    <row r="69" spans="2:2" hidden="1">
      <c r="B69" s="31" t="s">
        <v>86</v>
      </c>
    </row>
    <row r="70" spans="2:2" hidden="1">
      <c r="B70" s="31" t="s">
        <v>87</v>
      </c>
    </row>
    <row r="71" spans="2:2" hidden="1">
      <c r="B71" s="31" t="s">
        <v>88</v>
      </c>
    </row>
    <row r="72" spans="2:2" hidden="1">
      <c r="B72" s="31" t="s">
        <v>55</v>
      </c>
    </row>
    <row r="73" spans="2:2" hidden="1">
      <c r="B73" s="31" t="s">
        <v>93</v>
      </c>
    </row>
    <row r="74" spans="2:2" hidden="1">
      <c r="B74" s="31" t="s">
        <v>89</v>
      </c>
    </row>
    <row r="75" spans="2:2" hidden="1">
      <c r="B75" s="31" t="s">
        <v>90</v>
      </c>
    </row>
    <row r="76" spans="2:2" hidden="1">
      <c r="B76" s="31" t="s">
        <v>91</v>
      </c>
    </row>
    <row r="77" spans="2:2" hidden="1">
      <c r="B77" s="31" t="s">
        <v>92</v>
      </c>
    </row>
    <row r="78" spans="2:2" hidden="1">
      <c r="B78" s="31" t="s">
        <v>55</v>
      </c>
    </row>
    <row r="79" spans="2:2" hidden="1">
      <c r="B79" s="31" t="s">
        <v>93</v>
      </c>
    </row>
    <row r="80" spans="2:2" hidden="1"/>
  </sheetData>
  <mergeCells count="6">
    <mergeCell ref="B1:R1"/>
    <mergeCell ref="B2:R2"/>
    <mergeCell ref="B3:R3"/>
    <mergeCell ref="B4:B5"/>
    <mergeCell ref="C4:C5"/>
    <mergeCell ref="I4:R4"/>
  </mergeCells>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77&amp;R&amp;"Lucida Sans Unicode,Regular"&amp;10December 2015</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sheetPr>
  <dimension ref="B1:S56"/>
  <sheetViews>
    <sheetView showGridLines="0" view="pageLayout" topLeftCell="A46" zoomScaleNormal="100" zoomScaleSheetLayoutView="100" workbookViewId="0">
      <selection activeCell="P58" sqref="P58:P59"/>
    </sheetView>
  </sheetViews>
  <sheetFormatPr defaultColWidth="9.6640625" defaultRowHeight="15"/>
  <cols>
    <col min="1" max="1" width="6" style="38" customWidth="1"/>
    <col min="2" max="2" width="9.6640625" style="38" customWidth="1"/>
    <col min="3" max="3" width="15.6640625" style="38" customWidth="1"/>
    <col min="4" max="9" width="9.6640625" style="38" hidden="1" customWidth="1"/>
    <col min="10" max="11" width="8" style="38" hidden="1" customWidth="1"/>
    <col min="12" max="13" width="7.5546875" style="38" hidden="1" customWidth="1"/>
    <col min="14" max="18" width="8.77734375" style="38" customWidth="1"/>
    <col min="19" max="19" width="6.88671875" style="38" bestFit="1" customWidth="1"/>
    <col min="20" max="16384" width="9.6640625" style="38"/>
  </cols>
  <sheetData>
    <row r="1" spans="2:18" s="194" customFormat="1" ht="24" customHeight="1">
      <c r="B1" s="465" t="s">
        <v>0</v>
      </c>
      <c r="C1" s="465"/>
      <c r="D1" s="465"/>
      <c r="E1" s="465"/>
      <c r="F1" s="465"/>
      <c r="G1" s="465"/>
      <c r="H1" s="465"/>
      <c r="I1" s="465"/>
      <c r="J1" s="465"/>
      <c r="K1" s="465"/>
      <c r="L1" s="465"/>
      <c r="M1" s="465"/>
      <c r="N1" s="465"/>
      <c r="O1" s="465"/>
      <c r="P1" s="465"/>
      <c r="Q1" s="465"/>
      <c r="R1" s="465"/>
    </row>
    <row r="2" spans="2:18" s="196" customFormat="1" ht="25.5" customHeight="1">
      <c r="B2" s="464" t="s">
        <v>157</v>
      </c>
      <c r="C2" s="464"/>
      <c r="D2" s="464"/>
      <c r="E2" s="464"/>
      <c r="F2" s="464"/>
      <c r="G2" s="464"/>
      <c r="H2" s="464"/>
      <c r="I2" s="464"/>
      <c r="J2" s="464"/>
      <c r="K2" s="464"/>
      <c r="L2" s="464"/>
      <c r="M2" s="464"/>
      <c r="N2" s="464"/>
      <c r="O2" s="464"/>
      <c r="P2" s="464"/>
      <c r="Q2" s="464"/>
      <c r="R2" s="464"/>
    </row>
    <row r="3" spans="2:18" s="194" customFormat="1" ht="21" customHeight="1">
      <c r="B3" s="484"/>
      <c r="C3" s="484"/>
      <c r="D3" s="484"/>
      <c r="E3" s="484"/>
      <c r="F3" s="484"/>
      <c r="G3" s="484"/>
      <c r="H3" s="484"/>
      <c r="I3" s="484"/>
      <c r="J3" s="484"/>
      <c r="K3" s="484"/>
      <c r="L3" s="484"/>
      <c r="M3" s="484"/>
      <c r="N3" s="484"/>
      <c r="O3" s="484"/>
      <c r="P3" s="484"/>
      <c r="Q3" s="484"/>
      <c r="R3" s="484"/>
    </row>
    <row r="4" spans="2:18" ht="15.75" customHeight="1">
      <c r="B4" s="524" t="s">
        <v>59</v>
      </c>
      <c r="C4" s="524" t="s">
        <v>60</v>
      </c>
      <c r="D4" s="134"/>
      <c r="E4" s="134"/>
      <c r="F4" s="134"/>
      <c r="G4" s="134"/>
      <c r="H4" s="481" t="s">
        <v>145</v>
      </c>
      <c r="I4" s="482"/>
      <c r="J4" s="482"/>
      <c r="K4" s="482"/>
      <c r="L4" s="482"/>
      <c r="M4" s="482"/>
      <c r="N4" s="482"/>
      <c r="O4" s="482"/>
      <c r="P4" s="482"/>
      <c r="Q4" s="482"/>
      <c r="R4" s="483"/>
    </row>
    <row r="5" spans="2:18" s="106" customFormat="1" ht="16.5" thickBot="1">
      <c r="B5" s="525"/>
      <c r="C5" s="525"/>
      <c r="D5" s="135" t="s">
        <v>17</v>
      </c>
      <c r="E5" s="135" t="s">
        <v>18</v>
      </c>
      <c r="F5" s="135" t="s">
        <v>19</v>
      </c>
      <c r="G5" s="135" t="s">
        <v>20</v>
      </c>
      <c r="H5" s="135" t="s">
        <v>21</v>
      </c>
      <c r="I5" s="135" t="s">
        <v>51</v>
      </c>
      <c r="J5" s="135" t="s">
        <v>52</v>
      </c>
      <c r="K5" s="135" t="s">
        <v>53</v>
      </c>
      <c r="L5" s="135" t="s">
        <v>57</v>
      </c>
      <c r="M5" s="135" t="s">
        <v>69</v>
      </c>
      <c r="N5" s="135" t="s">
        <v>124</v>
      </c>
      <c r="O5" s="135" t="s">
        <v>146</v>
      </c>
      <c r="P5" s="138" t="s">
        <v>158</v>
      </c>
      <c r="Q5" s="138" t="s">
        <v>166</v>
      </c>
      <c r="R5" s="138" t="s">
        <v>187</v>
      </c>
    </row>
    <row r="6" spans="2:18" ht="15.75" thickTop="1">
      <c r="B6" s="8"/>
      <c r="C6" s="8" t="s">
        <v>11</v>
      </c>
      <c r="D6" s="108">
        <v>0</v>
      </c>
      <c r="E6" s="108">
        <v>1</v>
      </c>
      <c r="F6" s="108">
        <v>0</v>
      </c>
      <c r="G6" s="108">
        <v>0</v>
      </c>
      <c r="H6" s="108">
        <v>1</v>
      </c>
      <c r="I6" s="109">
        <v>1</v>
      </c>
      <c r="J6" s="109">
        <v>9</v>
      </c>
      <c r="K6" s="109">
        <v>8</v>
      </c>
      <c r="L6" s="109">
        <v>3</v>
      </c>
      <c r="M6" s="109">
        <v>5</v>
      </c>
      <c r="N6" s="109">
        <v>4</v>
      </c>
      <c r="O6" s="109">
        <v>11</v>
      </c>
      <c r="P6" s="109">
        <v>12</v>
      </c>
      <c r="Q6" s="109">
        <v>13</v>
      </c>
      <c r="R6" s="109">
        <v>11</v>
      </c>
    </row>
    <row r="7" spans="2:18">
      <c r="B7" s="7"/>
      <c r="C7" s="8" t="s">
        <v>12</v>
      </c>
      <c r="D7" s="42">
        <v>0</v>
      </c>
      <c r="E7" s="42">
        <v>0</v>
      </c>
      <c r="F7" s="42">
        <v>2</v>
      </c>
      <c r="G7" s="42">
        <v>0</v>
      </c>
      <c r="H7" s="42">
        <v>0</v>
      </c>
      <c r="I7" s="76">
        <v>0</v>
      </c>
      <c r="J7" s="76"/>
      <c r="K7" s="76"/>
      <c r="L7" s="76"/>
      <c r="M7" s="76"/>
      <c r="N7" s="76"/>
      <c r="O7" s="76"/>
      <c r="P7" s="76"/>
      <c r="Q7" s="76"/>
      <c r="R7" s="76"/>
    </row>
    <row r="8" spans="2:18">
      <c r="B8" s="7" t="s">
        <v>2</v>
      </c>
      <c r="C8" s="3" t="s">
        <v>13</v>
      </c>
      <c r="D8" s="43">
        <f t="shared" ref="D8:M8" si="0">D6+D7</f>
        <v>0</v>
      </c>
      <c r="E8" s="43">
        <f t="shared" si="0"/>
        <v>1</v>
      </c>
      <c r="F8" s="43">
        <f t="shared" si="0"/>
        <v>2</v>
      </c>
      <c r="G8" s="43">
        <f t="shared" si="0"/>
        <v>0</v>
      </c>
      <c r="H8" s="43">
        <f t="shared" si="0"/>
        <v>1</v>
      </c>
      <c r="I8" s="77">
        <f t="shared" si="0"/>
        <v>1</v>
      </c>
      <c r="J8" s="77">
        <f t="shared" si="0"/>
        <v>9</v>
      </c>
      <c r="K8" s="77">
        <f t="shared" si="0"/>
        <v>8</v>
      </c>
      <c r="L8" s="77">
        <f t="shared" si="0"/>
        <v>3</v>
      </c>
      <c r="M8" s="77">
        <f t="shared" si="0"/>
        <v>5</v>
      </c>
      <c r="N8" s="77">
        <v>4</v>
      </c>
      <c r="O8" s="77">
        <v>11</v>
      </c>
      <c r="P8" s="77">
        <v>12</v>
      </c>
      <c r="Q8" s="77">
        <v>13</v>
      </c>
      <c r="R8" s="77">
        <v>11</v>
      </c>
    </row>
    <row r="9" spans="2:18" ht="15.75" thickBot="1">
      <c r="B9" s="7"/>
      <c r="C9" s="2" t="s">
        <v>14</v>
      </c>
      <c r="D9" s="43">
        <v>3</v>
      </c>
      <c r="E9" s="43">
        <v>2</v>
      </c>
      <c r="F9" s="43">
        <v>0</v>
      </c>
      <c r="G9" s="43">
        <v>0</v>
      </c>
      <c r="H9" s="43">
        <v>0</v>
      </c>
      <c r="I9" s="77">
        <v>0</v>
      </c>
      <c r="J9" s="77"/>
      <c r="K9" s="77"/>
      <c r="L9" s="77"/>
      <c r="M9" s="77"/>
      <c r="N9" s="77">
        <v>2</v>
      </c>
      <c r="O9" s="77"/>
      <c r="P9" s="77"/>
      <c r="Q9" s="77"/>
      <c r="R9" s="77"/>
    </row>
    <row r="10" spans="2:18" ht="17.100000000000001" customHeight="1" thickTop="1" thickBot="1">
      <c r="B10" s="7"/>
      <c r="C10" s="13" t="s">
        <v>15</v>
      </c>
      <c r="D10" s="44">
        <f t="shared" ref="D10:M10" si="1">D8+D9</f>
        <v>3</v>
      </c>
      <c r="E10" s="44">
        <f t="shared" si="1"/>
        <v>3</v>
      </c>
      <c r="F10" s="44">
        <f t="shared" si="1"/>
        <v>2</v>
      </c>
      <c r="G10" s="44">
        <f t="shared" si="1"/>
        <v>0</v>
      </c>
      <c r="H10" s="44">
        <f t="shared" si="1"/>
        <v>1</v>
      </c>
      <c r="I10" s="78">
        <f t="shared" si="1"/>
        <v>1</v>
      </c>
      <c r="J10" s="78">
        <f t="shared" si="1"/>
        <v>9</v>
      </c>
      <c r="K10" s="78">
        <f t="shared" si="1"/>
        <v>8</v>
      </c>
      <c r="L10" s="78">
        <f t="shared" si="1"/>
        <v>3</v>
      </c>
      <c r="M10" s="78">
        <f t="shared" si="1"/>
        <v>5</v>
      </c>
      <c r="N10" s="78">
        <v>6</v>
      </c>
      <c r="O10" s="78">
        <v>11</v>
      </c>
      <c r="P10" s="78">
        <v>12</v>
      </c>
      <c r="Q10" s="78">
        <v>13</v>
      </c>
      <c r="R10" s="78">
        <v>11</v>
      </c>
    </row>
    <row r="11" spans="2:18">
      <c r="B11" s="4"/>
      <c r="C11" s="4" t="s">
        <v>11</v>
      </c>
      <c r="D11" s="45">
        <v>0</v>
      </c>
      <c r="E11" s="45">
        <v>0</v>
      </c>
      <c r="F11" s="45">
        <v>0</v>
      </c>
      <c r="G11" s="45">
        <v>0</v>
      </c>
      <c r="H11" s="45">
        <v>0</v>
      </c>
      <c r="I11" s="79">
        <v>11</v>
      </c>
      <c r="J11" s="79">
        <v>6</v>
      </c>
      <c r="K11" s="79">
        <v>10</v>
      </c>
      <c r="L11" s="79">
        <v>11</v>
      </c>
      <c r="M11" s="79">
        <v>5</v>
      </c>
      <c r="N11" s="79">
        <v>8</v>
      </c>
      <c r="O11" s="79">
        <v>6</v>
      </c>
      <c r="P11" s="79">
        <v>10</v>
      </c>
      <c r="Q11" s="79">
        <v>5</v>
      </c>
      <c r="R11" s="79">
        <v>7</v>
      </c>
    </row>
    <row r="12" spans="2:18">
      <c r="B12" s="7"/>
      <c r="C12" s="8" t="s">
        <v>12</v>
      </c>
      <c r="D12" s="42">
        <v>7</v>
      </c>
      <c r="E12" s="42">
        <v>5</v>
      </c>
      <c r="F12" s="42">
        <v>5</v>
      </c>
      <c r="G12" s="42">
        <v>9</v>
      </c>
      <c r="H12" s="42">
        <v>4</v>
      </c>
      <c r="I12" s="76">
        <v>6</v>
      </c>
      <c r="J12" s="76">
        <v>3</v>
      </c>
      <c r="K12" s="76">
        <v>4</v>
      </c>
      <c r="L12" s="76"/>
      <c r="M12" s="76">
        <v>3</v>
      </c>
      <c r="N12" s="76">
        <v>6</v>
      </c>
      <c r="O12" s="76">
        <v>3</v>
      </c>
      <c r="P12" s="76">
        <v>1</v>
      </c>
      <c r="Q12" s="76">
        <v>4</v>
      </c>
      <c r="R12" s="76">
        <v>1</v>
      </c>
    </row>
    <row r="13" spans="2:18">
      <c r="B13" s="7" t="s">
        <v>3</v>
      </c>
      <c r="C13" s="3" t="s">
        <v>13</v>
      </c>
      <c r="D13" s="43">
        <f t="shared" ref="D13:M13" si="2">D11+D12</f>
        <v>7</v>
      </c>
      <c r="E13" s="43">
        <f t="shared" si="2"/>
        <v>5</v>
      </c>
      <c r="F13" s="43">
        <f t="shared" si="2"/>
        <v>5</v>
      </c>
      <c r="G13" s="43">
        <f t="shared" si="2"/>
        <v>9</v>
      </c>
      <c r="H13" s="43">
        <f t="shared" si="2"/>
        <v>4</v>
      </c>
      <c r="I13" s="77">
        <f t="shared" si="2"/>
        <v>17</v>
      </c>
      <c r="J13" s="77">
        <f t="shared" si="2"/>
        <v>9</v>
      </c>
      <c r="K13" s="77">
        <f t="shared" si="2"/>
        <v>14</v>
      </c>
      <c r="L13" s="77">
        <f t="shared" si="2"/>
        <v>11</v>
      </c>
      <c r="M13" s="77">
        <f t="shared" si="2"/>
        <v>8</v>
      </c>
      <c r="N13" s="77">
        <v>14</v>
      </c>
      <c r="O13" s="77">
        <v>9</v>
      </c>
      <c r="P13" s="77">
        <v>11</v>
      </c>
      <c r="Q13" s="77">
        <v>9</v>
      </c>
      <c r="R13" s="77">
        <v>8</v>
      </c>
    </row>
    <row r="14" spans="2:18" ht="15.75" thickBot="1">
      <c r="B14" s="7"/>
      <c r="C14" s="2" t="s">
        <v>14</v>
      </c>
      <c r="D14" s="43">
        <v>1</v>
      </c>
      <c r="E14" s="43">
        <v>1</v>
      </c>
      <c r="F14" s="43">
        <v>1</v>
      </c>
      <c r="G14" s="43">
        <v>0</v>
      </c>
      <c r="H14" s="43">
        <v>0</v>
      </c>
      <c r="I14" s="77">
        <v>0</v>
      </c>
      <c r="J14" s="77"/>
      <c r="K14" s="77"/>
      <c r="L14" s="77">
        <v>1</v>
      </c>
      <c r="M14" s="77"/>
      <c r="N14" s="77"/>
      <c r="O14" s="77"/>
      <c r="P14" s="77"/>
      <c r="Q14" s="77"/>
      <c r="R14" s="77"/>
    </row>
    <row r="15" spans="2:18" ht="17.100000000000001" customHeight="1" thickTop="1" thickBot="1">
      <c r="B15" s="7"/>
      <c r="C15" s="13" t="s">
        <v>15</v>
      </c>
      <c r="D15" s="44">
        <f t="shared" ref="D15:M15" si="3">D13+D14</f>
        <v>8</v>
      </c>
      <c r="E15" s="44">
        <f t="shared" si="3"/>
        <v>6</v>
      </c>
      <c r="F15" s="44">
        <f t="shared" si="3"/>
        <v>6</v>
      </c>
      <c r="G15" s="44">
        <f t="shared" si="3"/>
        <v>9</v>
      </c>
      <c r="H15" s="44">
        <f t="shared" si="3"/>
        <v>4</v>
      </c>
      <c r="I15" s="78">
        <f t="shared" si="3"/>
        <v>17</v>
      </c>
      <c r="J15" s="78">
        <f t="shared" si="3"/>
        <v>9</v>
      </c>
      <c r="K15" s="78">
        <f t="shared" si="3"/>
        <v>14</v>
      </c>
      <c r="L15" s="78">
        <f t="shared" si="3"/>
        <v>12</v>
      </c>
      <c r="M15" s="78">
        <f t="shared" si="3"/>
        <v>8</v>
      </c>
      <c r="N15" s="78">
        <v>14</v>
      </c>
      <c r="O15" s="78">
        <v>9</v>
      </c>
      <c r="P15" s="78">
        <v>11</v>
      </c>
      <c r="Q15" s="78">
        <v>9</v>
      </c>
      <c r="R15" s="78">
        <v>8</v>
      </c>
    </row>
    <row r="16" spans="2:18">
      <c r="B16" s="4"/>
      <c r="C16" s="4" t="s">
        <v>11</v>
      </c>
      <c r="D16" s="45">
        <v>1</v>
      </c>
      <c r="E16" s="45">
        <v>0</v>
      </c>
      <c r="F16" s="45">
        <v>0</v>
      </c>
      <c r="G16" s="45">
        <v>0</v>
      </c>
      <c r="H16" s="45">
        <v>0</v>
      </c>
      <c r="I16" s="79">
        <v>2</v>
      </c>
      <c r="J16" s="79">
        <v>7</v>
      </c>
      <c r="K16" s="79">
        <v>7</v>
      </c>
      <c r="L16" s="79">
        <v>6</v>
      </c>
      <c r="M16" s="79">
        <v>8</v>
      </c>
      <c r="N16" s="79">
        <v>8</v>
      </c>
      <c r="O16" s="79">
        <v>9</v>
      </c>
      <c r="P16" s="79">
        <v>7</v>
      </c>
      <c r="Q16" s="79">
        <v>13</v>
      </c>
      <c r="R16" s="79">
        <v>11</v>
      </c>
    </row>
    <row r="17" spans="2:19">
      <c r="B17" s="7"/>
      <c r="C17" s="8" t="s">
        <v>12</v>
      </c>
      <c r="D17" s="42">
        <v>9</v>
      </c>
      <c r="E17" s="42">
        <v>13</v>
      </c>
      <c r="F17" s="42">
        <v>12</v>
      </c>
      <c r="G17" s="42">
        <v>14</v>
      </c>
      <c r="H17" s="42">
        <v>15</v>
      </c>
      <c r="I17" s="76">
        <v>12</v>
      </c>
      <c r="J17" s="76">
        <v>5</v>
      </c>
      <c r="K17" s="76">
        <v>2</v>
      </c>
      <c r="L17" s="76">
        <v>7</v>
      </c>
      <c r="M17" s="76">
        <v>3</v>
      </c>
      <c r="N17" s="76">
        <v>1</v>
      </c>
      <c r="O17" s="76">
        <v>8</v>
      </c>
      <c r="P17" s="76">
        <v>2</v>
      </c>
      <c r="Q17" s="76">
        <v>2</v>
      </c>
      <c r="R17" s="76">
        <v>1</v>
      </c>
    </row>
    <row r="18" spans="2:19">
      <c r="B18" s="7" t="s">
        <v>4</v>
      </c>
      <c r="C18" s="3" t="s">
        <v>13</v>
      </c>
      <c r="D18" s="43">
        <f t="shared" ref="D18:M18" si="4">D16+D17</f>
        <v>10</v>
      </c>
      <c r="E18" s="43">
        <f t="shared" si="4"/>
        <v>13</v>
      </c>
      <c r="F18" s="43">
        <f t="shared" si="4"/>
        <v>12</v>
      </c>
      <c r="G18" s="43">
        <f t="shared" si="4"/>
        <v>14</v>
      </c>
      <c r="H18" s="43">
        <f t="shared" si="4"/>
        <v>15</v>
      </c>
      <c r="I18" s="77">
        <f t="shared" si="4"/>
        <v>14</v>
      </c>
      <c r="J18" s="77">
        <f t="shared" si="4"/>
        <v>12</v>
      </c>
      <c r="K18" s="77">
        <f t="shared" si="4"/>
        <v>9</v>
      </c>
      <c r="L18" s="77">
        <f t="shared" si="4"/>
        <v>13</v>
      </c>
      <c r="M18" s="77">
        <f t="shared" si="4"/>
        <v>11</v>
      </c>
      <c r="N18" s="77">
        <v>9</v>
      </c>
      <c r="O18" s="77">
        <v>17</v>
      </c>
      <c r="P18" s="77">
        <v>9</v>
      </c>
      <c r="Q18" s="77">
        <v>15</v>
      </c>
      <c r="R18" s="77">
        <v>12</v>
      </c>
    </row>
    <row r="19" spans="2:19" ht="15.75" thickBot="1">
      <c r="B19" s="7"/>
      <c r="C19" s="2" t="s">
        <v>14</v>
      </c>
      <c r="D19" s="43">
        <v>1</v>
      </c>
      <c r="E19" s="43">
        <v>1</v>
      </c>
      <c r="F19" s="43">
        <v>0</v>
      </c>
      <c r="G19" s="43">
        <v>0</v>
      </c>
      <c r="H19" s="43">
        <v>0</v>
      </c>
      <c r="I19" s="77">
        <v>0</v>
      </c>
      <c r="J19" s="77"/>
      <c r="K19" s="77"/>
      <c r="L19" s="77"/>
      <c r="M19" s="77">
        <v>1</v>
      </c>
      <c r="N19" s="77">
        <v>1</v>
      </c>
      <c r="O19" s="77"/>
      <c r="P19" s="77">
        <v>1</v>
      </c>
      <c r="Q19" s="77"/>
      <c r="R19" s="77"/>
    </row>
    <row r="20" spans="2:19" ht="17.100000000000001" customHeight="1" thickTop="1" thickBot="1">
      <c r="B20" s="7"/>
      <c r="C20" s="13" t="s">
        <v>15</v>
      </c>
      <c r="D20" s="44">
        <f t="shared" ref="D20:M20" si="5">D18+D19</f>
        <v>11</v>
      </c>
      <c r="E20" s="44">
        <f t="shared" si="5"/>
        <v>14</v>
      </c>
      <c r="F20" s="44">
        <f t="shared" si="5"/>
        <v>12</v>
      </c>
      <c r="G20" s="44">
        <f t="shared" si="5"/>
        <v>14</v>
      </c>
      <c r="H20" s="44">
        <f t="shared" si="5"/>
        <v>15</v>
      </c>
      <c r="I20" s="78">
        <f t="shared" si="5"/>
        <v>14</v>
      </c>
      <c r="J20" s="78">
        <f t="shared" si="5"/>
        <v>12</v>
      </c>
      <c r="K20" s="78">
        <f t="shared" si="5"/>
        <v>9</v>
      </c>
      <c r="L20" s="78">
        <f t="shared" si="5"/>
        <v>13</v>
      </c>
      <c r="M20" s="78">
        <f t="shared" si="5"/>
        <v>12</v>
      </c>
      <c r="N20" s="78">
        <v>10</v>
      </c>
      <c r="O20" s="78">
        <v>17</v>
      </c>
      <c r="P20" s="78">
        <v>10</v>
      </c>
      <c r="Q20" s="78">
        <v>15</v>
      </c>
      <c r="R20" s="78">
        <v>12</v>
      </c>
    </row>
    <row r="21" spans="2:19">
      <c r="B21" s="4"/>
      <c r="C21" s="4" t="s">
        <v>11</v>
      </c>
      <c r="D21" s="45">
        <v>0</v>
      </c>
      <c r="E21" s="45">
        <v>0</v>
      </c>
      <c r="F21" s="45">
        <v>0</v>
      </c>
      <c r="G21" s="45">
        <v>0</v>
      </c>
      <c r="H21" s="45">
        <v>0</v>
      </c>
      <c r="I21" s="79">
        <v>0</v>
      </c>
      <c r="J21" s="79">
        <v>2</v>
      </c>
      <c r="K21" s="79">
        <v>2</v>
      </c>
      <c r="L21" s="79">
        <v>3</v>
      </c>
      <c r="M21" s="79">
        <v>1</v>
      </c>
      <c r="N21" s="79">
        <v>4</v>
      </c>
      <c r="O21" s="79">
        <v>5</v>
      </c>
      <c r="P21" s="79">
        <v>7</v>
      </c>
      <c r="Q21" s="79">
        <v>6</v>
      </c>
      <c r="R21" s="79">
        <v>5</v>
      </c>
    </row>
    <row r="22" spans="2:19">
      <c r="B22" s="7"/>
      <c r="C22" s="8" t="s">
        <v>12</v>
      </c>
      <c r="D22" s="42">
        <v>5</v>
      </c>
      <c r="E22" s="42">
        <v>2</v>
      </c>
      <c r="F22" s="42">
        <v>5</v>
      </c>
      <c r="G22" s="42">
        <v>6</v>
      </c>
      <c r="H22" s="42">
        <v>7</v>
      </c>
      <c r="I22" s="76">
        <v>4</v>
      </c>
      <c r="J22" s="76">
        <v>2</v>
      </c>
      <c r="K22" s="76">
        <v>6</v>
      </c>
      <c r="L22" s="76">
        <v>0</v>
      </c>
      <c r="M22" s="76">
        <v>2</v>
      </c>
      <c r="N22" s="76">
        <v>2</v>
      </c>
      <c r="O22" s="76">
        <v>2</v>
      </c>
      <c r="P22" s="76">
        <v>6</v>
      </c>
      <c r="Q22" s="76">
        <v>5</v>
      </c>
      <c r="R22" s="76">
        <v>3</v>
      </c>
    </row>
    <row r="23" spans="2:19">
      <c r="B23" s="7" t="s">
        <v>5</v>
      </c>
      <c r="C23" s="3" t="s">
        <v>13</v>
      </c>
      <c r="D23" s="43">
        <f t="shared" ref="D23:M23" si="6">D21+D22</f>
        <v>5</v>
      </c>
      <c r="E23" s="43">
        <f t="shared" si="6"/>
        <v>2</v>
      </c>
      <c r="F23" s="43">
        <f t="shared" si="6"/>
        <v>5</v>
      </c>
      <c r="G23" s="43">
        <f t="shared" si="6"/>
        <v>6</v>
      </c>
      <c r="H23" s="43">
        <f t="shared" si="6"/>
        <v>7</v>
      </c>
      <c r="I23" s="77">
        <f t="shared" si="6"/>
        <v>4</v>
      </c>
      <c r="J23" s="77">
        <f t="shared" si="6"/>
        <v>4</v>
      </c>
      <c r="K23" s="77">
        <f t="shared" si="6"/>
        <v>8</v>
      </c>
      <c r="L23" s="77">
        <f t="shared" si="6"/>
        <v>3</v>
      </c>
      <c r="M23" s="77">
        <f t="shared" si="6"/>
        <v>3</v>
      </c>
      <c r="N23" s="77">
        <v>6</v>
      </c>
      <c r="O23" s="77">
        <v>7</v>
      </c>
      <c r="P23" s="77">
        <v>13</v>
      </c>
      <c r="Q23" s="77">
        <v>11</v>
      </c>
      <c r="R23" s="77">
        <v>8</v>
      </c>
    </row>
    <row r="24" spans="2:19" ht="15.75" thickBot="1">
      <c r="B24" s="7"/>
      <c r="C24" s="2" t="s">
        <v>14</v>
      </c>
      <c r="D24" s="43">
        <v>0</v>
      </c>
      <c r="E24" s="43">
        <v>0</v>
      </c>
      <c r="F24" s="43">
        <v>0</v>
      </c>
      <c r="G24" s="43">
        <v>0</v>
      </c>
      <c r="H24" s="43">
        <v>0</v>
      </c>
      <c r="I24" s="77">
        <v>0</v>
      </c>
      <c r="J24" s="77"/>
      <c r="K24" s="77"/>
      <c r="L24" s="77"/>
      <c r="M24" s="77"/>
      <c r="N24" s="77"/>
      <c r="O24" s="77"/>
      <c r="P24" s="77"/>
      <c r="Q24" s="77"/>
      <c r="R24" s="77"/>
    </row>
    <row r="25" spans="2:19" ht="17.100000000000001" customHeight="1" thickTop="1" thickBot="1">
      <c r="B25" s="7"/>
      <c r="C25" s="13" t="s">
        <v>15</v>
      </c>
      <c r="D25" s="44">
        <f t="shared" ref="D25:M25" si="7">D23+D24</f>
        <v>5</v>
      </c>
      <c r="E25" s="44">
        <f t="shared" si="7"/>
        <v>2</v>
      </c>
      <c r="F25" s="44">
        <f t="shared" si="7"/>
        <v>5</v>
      </c>
      <c r="G25" s="44">
        <f t="shared" si="7"/>
        <v>6</v>
      </c>
      <c r="H25" s="44">
        <f t="shared" si="7"/>
        <v>7</v>
      </c>
      <c r="I25" s="78">
        <f t="shared" si="7"/>
        <v>4</v>
      </c>
      <c r="J25" s="78">
        <f t="shared" si="7"/>
        <v>4</v>
      </c>
      <c r="K25" s="78">
        <f t="shared" si="7"/>
        <v>8</v>
      </c>
      <c r="L25" s="78">
        <f t="shared" si="7"/>
        <v>3</v>
      </c>
      <c r="M25" s="78">
        <f t="shared" si="7"/>
        <v>3</v>
      </c>
      <c r="N25" s="78">
        <v>6</v>
      </c>
      <c r="O25" s="78">
        <v>7</v>
      </c>
      <c r="P25" s="78">
        <v>13</v>
      </c>
      <c r="Q25" s="78">
        <v>11</v>
      </c>
      <c r="R25" s="78">
        <v>8</v>
      </c>
    </row>
    <row r="26" spans="2:19" ht="21" customHeight="1" thickTop="1">
      <c r="B26" s="46"/>
      <c r="C26" s="46" t="s">
        <v>11</v>
      </c>
      <c r="D26" s="47">
        <f t="shared" ref="D26:H27" si="8">SUM(D6,D11,D16,D21)</f>
        <v>1</v>
      </c>
      <c r="E26" s="47">
        <f t="shared" si="8"/>
        <v>1</v>
      </c>
      <c r="F26" s="47">
        <f t="shared" si="8"/>
        <v>0</v>
      </c>
      <c r="G26" s="47">
        <f t="shared" si="8"/>
        <v>0</v>
      </c>
      <c r="H26" s="47">
        <f t="shared" si="8"/>
        <v>1</v>
      </c>
      <c r="I26" s="80">
        <f t="shared" ref="I26:L27" si="9">SUM(I6,I11,I16,I21)</f>
        <v>14</v>
      </c>
      <c r="J26" s="80">
        <f t="shared" si="9"/>
        <v>24</v>
      </c>
      <c r="K26" s="80">
        <f>SUM(K6,K11,K16,K21)</f>
        <v>27</v>
      </c>
      <c r="L26" s="80">
        <f t="shared" si="9"/>
        <v>23</v>
      </c>
      <c r="M26" s="80">
        <f t="shared" ref="M26:M27" si="10">SUM(M6,M11,M16,M21)</f>
        <v>19</v>
      </c>
      <c r="N26" s="80">
        <v>24</v>
      </c>
      <c r="O26" s="80">
        <v>31</v>
      </c>
      <c r="P26" s="80">
        <v>36</v>
      </c>
      <c r="Q26" s="80">
        <v>37</v>
      </c>
      <c r="R26" s="80">
        <v>34</v>
      </c>
    </row>
    <row r="27" spans="2:19" ht="21" customHeight="1">
      <c r="B27" s="19"/>
      <c r="C27" s="19" t="s">
        <v>12</v>
      </c>
      <c r="D27" s="48">
        <f t="shared" si="8"/>
        <v>21</v>
      </c>
      <c r="E27" s="48">
        <f t="shared" si="8"/>
        <v>20</v>
      </c>
      <c r="F27" s="48">
        <f t="shared" si="8"/>
        <v>24</v>
      </c>
      <c r="G27" s="48">
        <f t="shared" si="8"/>
        <v>29</v>
      </c>
      <c r="H27" s="48">
        <f t="shared" si="8"/>
        <v>26</v>
      </c>
      <c r="I27" s="81">
        <f t="shared" si="9"/>
        <v>22</v>
      </c>
      <c r="J27" s="81">
        <f t="shared" si="9"/>
        <v>10</v>
      </c>
      <c r="K27" s="81">
        <f>SUM(K7,K12,K17,K22)</f>
        <v>12</v>
      </c>
      <c r="L27" s="81">
        <f t="shared" si="9"/>
        <v>7</v>
      </c>
      <c r="M27" s="81">
        <f t="shared" si="10"/>
        <v>8</v>
      </c>
      <c r="N27" s="81">
        <v>9</v>
      </c>
      <c r="O27" s="81">
        <v>13</v>
      </c>
      <c r="P27" s="81">
        <v>9</v>
      </c>
      <c r="Q27" s="81">
        <v>11</v>
      </c>
      <c r="R27" s="81">
        <v>5</v>
      </c>
    </row>
    <row r="28" spans="2:19" ht="21" customHeight="1">
      <c r="B28" s="22" t="s">
        <v>6</v>
      </c>
      <c r="C28" s="23" t="s">
        <v>13</v>
      </c>
      <c r="D28" s="49">
        <f t="shared" ref="D28:M28" si="11">D26+D27</f>
        <v>22</v>
      </c>
      <c r="E28" s="49">
        <f t="shared" si="11"/>
        <v>21</v>
      </c>
      <c r="F28" s="49">
        <f t="shared" si="11"/>
        <v>24</v>
      </c>
      <c r="G28" s="49">
        <f t="shared" si="11"/>
        <v>29</v>
      </c>
      <c r="H28" s="49">
        <f t="shared" si="11"/>
        <v>27</v>
      </c>
      <c r="I28" s="82">
        <f t="shared" si="11"/>
        <v>36</v>
      </c>
      <c r="J28" s="82">
        <f t="shared" si="11"/>
        <v>34</v>
      </c>
      <c r="K28" s="82">
        <f t="shared" si="11"/>
        <v>39</v>
      </c>
      <c r="L28" s="82">
        <f t="shared" si="11"/>
        <v>30</v>
      </c>
      <c r="M28" s="82">
        <f t="shared" si="11"/>
        <v>27</v>
      </c>
      <c r="N28" s="82">
        <v>33</v>
      </c>
      <c r="O28" s="82">
        <v>44</v>
      </c>
      <c r="P28" s="82">
        <v>45</v>
      </c>
      <c r="Q28" s="82">
        <v>48</v>
      </c>
      <c r="R28" s="82">
        <v>39</v>
      </c>
    </row>
    <row r="29" spans="2:19" ht="21" customHeight="1" thickBot="1">
      <c r="B29" s="19"/>
      <c r="C29" s="26" t="s">
        <v>14</v>
      </c>
      <c r="D29" s="49">
        <f t="shared" ref="D29:I29" si="12">SUM(D9,D14,D19,D24)</f>
        <v>5</v>
      </c>
      <c r="E29" s="49">
        <f t="shared" si="12"/>
        <v>4</v>
      </c>
      <c r="F29" s="49">
        <f t="shared" si="12"/>
        <v>1</v>
      </c>
      <c r="G29" s="49">
        <f t="shared" si="12"/>
        <v>0</v>
      </c>
      <c r="H29" s="49">
        <f t="shared" si="12"/>
        <v>0</v>
      </c>
      <c r="I29" s="82">
        <f t="shared" si="12"/>
        <v>0</v>
      </c>
      <c r="J29" s="82"/>
      <c r="K29" s="82"/>
      <c r="L29" s="82">
        <f>SUM(L9,L14,L19,L24)</f>
        <v>1</v>
      </c>
      <c r="M29" s="82">
        <f>SUM(M9,M14,M19,M24)</f>
        <v>1</v>
      </c>
      <c r="N29" s="82">
        <v>3</v>
      </c>
      <c r="O29" s="82"/>
      <c r="P29" s="82">
        <v>1</v>
      </c>
      <c r="Q29" s="82"/>
      <c r="R29" s="82"/>
    </row>
    <row r="30" spans="2:19" ht="21" customHeight="1" thickTop="1" thickBot="1">
      <c r="B30" s="22"/>
      <c r="C30" s="27" t="s">
        <v>15</v>
      </c>
      <c r="D30" s="50">
        <f t="shared" ref="D30:M30" si="13">D28+D29</f>
        <v>27</v>
      </c>
      <c r="E30" s="50">
        <f t="shared" si="13"/>
        <v>25</v>
      </c>
      <c r="F30" s="50">
        <f t="shared" si="13"/>
        <v>25</v>
      </c>
      <c r="G30" s="50">
        <f t="shared" si="13"/>
        <v>29</v>
      </c>
      <c r="H30" s="50">
        <f t="shared" si="13"/>
        <v>27</v>
      </c>
      <c r="I30" s="83">
        <f t="shared" si="13"/>
        <v>36</v>
      </c>
      <c r="J30" s="83">
        <f t="shared" si="13"/>
        <v>34</v>
      </c>
      <c r="K30" s="83">
        <f t="shared" si="13"/>
        <v>39</v>
      </c>
      <c r="L30" s="83">
        <f t="shared" si="13"/>
        <v>31</v>
      </c>
      <c r="M30" s="83">
        <f t="shared" si="13"/>
        <v>28</v>
      </c>
      <c r="N30" s="83">
        <v>36</v>
      </c>
      <c r="O30" s="83">
        <v>44</v>
      </c>
      <c r="P30" s="83">
        <v>46</v>
      </c>
      <c r="Q30" s="83">
        <v>48</v>
      </c>
      <c r="R30" s="83">
        <v>39</v>
      </c>
    </row>
    <row r="31" spans="2:19" ht="16.5" thickTop="1">
      <c r="B31" s="29" t="s">
        <v>7</v>
      </c>
      <c r="C31" s="30"/>
      <c r="D31" s="29">
        <v>0</v>
      </c>
      <c r="E31" s="29">
        <v>0</v>
      </c>
      <c r="F31" s="29">
        <v>0</v>
      </c>
      <c r="G31" s="29">
        <v>1</v>
      </c>
      <c r="H31" s="29">
        <v>1</v>
      </c>
      <c r="I31" s="84">
        <v>1</v>
      </c>
      <c r="J31" s="84">
        <v>0</v>
      </c>
      <c r="K31" s="84"/>
      <c r="L31" s="84"/>
      <c r="M31" s="84">
        <v>1</v>
      </c>
      <c r="N31" s="84">
        <v>1</v>
      </c>
      <c r="O31" s="84"/>
      <c r="P31" s="84">
        <v>2</v>
      </c>
      <c r="Q31" s="84">
        <v>2</v>
      </c>
      <c r="R31" s="211">
        <v>1</v>
      </c>
      <c r="S31" s="296">
        <f>R31/R30</f>
        <v>2.564102564102564E-2</v>
      </c>
    </row>
    <row r="32" spans="2:19" ht="16.5" thickBot="1">
      <c r="B32" s="8" t="s">
        <v>8</v>
      </c>
      <c r="C32" s="31"/>
      <c r="D32" s="8">
        <v>28</v>
      </c>
      <c r="E32" s="8">
        <v>25</v>
      </c>
      <c r="F32" s="8">
        <v>25</v>
      </c>
      <c r="G32" s="8">
        <v>28</v>
      </c>
      <c r="H32" s="8">
        <v>26</v>
      </c>
      <c r="I32" s="85">
        <v>35</v>
      </c>
      <c r="J32" s="85">
        <v>34</v>
      </c>
      <c r="K32" s="85">
        <v>39</v>
      </c>
      <c r="L32" s="85">
        <v>31</v>
      </c>
      <c r="M32" s="85">
        <v>27</v>
      </c>
      <c r="N32" s="85">
        <v>35</v>
      </c>
      <c r="O32" s="85">
        <v>44</v>
      </c>
      <c r="P32" s="85">
        <v>44</v>
      </c>
      <c r="Q32" s="85">
        <v>46</v>
      </c>
      <c r="R32" s="212">
        <v>38</v>
      </c>
      <c r="S32" s="297">
        <f>R32/R30</f>
        <v>0.97435897435897434</v>
      </c>
    </row>
    <row r="33" spans="2:19" ht="15.75">
      <c r="B33" s="4" t="s">
        <v>9</v>
      </c>
      <c r="C33" s="34"/>
      <c r="D33" s="4">
        <v>22</v>
      </c>
      <c r="E33" s="4">
        <v>14</v>
      </c>
      <c r="F33" s="4">
        <v>13</v>
      </c>
      <c r="G33" s="4">
        <v>18</v>
      </c>
      <c r="H33" s="4">
        <v>15</v>
      </c>
      <c r="I33" s="86">
        <v>22</v>
      </c>
      <c r="J33" s="86">
        <v>28</v>
      </c>
      <c r="K33" s="86">
        <v>33</v>
      </c>
      <c r="L33" s="86">
        <v>23</v>
      </c>
      <c r="M33" s="86">
        <v>24</v>
      </c>
      <c r="N33" s="86">
        <v>27</v>
      </c>
      <c r="O33" s="86">
        <v>33</v>
      </c>
      <c r="P33" s="86">
        <v>33</v>
      </c>
      <c r="Q33" s="86">
        <v>38</v>
      </c>
      <c r="R33" s="213">
        <v>32</v>
      </c>
      <c r="S33" s="296">
        <f>R33/R30</f>
        <v>0.82051282051282048</v>
      </c>
    </row>
    <row r="34" spans="2:19" ht="15.75">
      <c r="B34" s="8" t="s">
        <v>10</v>
      </c>
      <c r="C34" s="31"/>
      <c r="D34" s="8">
        <v>6</v>
      </c>
      <c r="E34" s="8">
        <v>11</v>
      </c>
      <c r="F34" s="8">
        <v>12</v>
      </c>
      <c r="G34" s="8">
        <v>11</v>
      </c>
      <c r="H34" s="8">
        <v>12</v>
      </c>
      <c r="I34" s="87">
        <v>14</v>
      </c>
      <c r="J34" s="87">
        <v>6</v>
      </c>
      <c r="K34" s="87">
        <v>6</v>
      </c>
      <c r="L34" s="87">
        <v>8</v>
      </c>
      <c r="M34" s="87">
        <v>4</v>
      </c>
      <c r="N34" s="87">
        <v>9</v>
      </c>
      <c r="O34" s="87">
        <v>11</v>
      </c>
      <c r="P34" s="87">
        <v>13</v>
      </c>
      <c r="Q34" s="87">
        <v>10</v>
      </c>
      <c r="R34" s="214">
        <v>7</v>
      </c>
      <c r="S34" s="296">
        <f>R34/R30</f>
        <v>0.17948717948717949</v>
      </c>
    </row>
    <row r="35" spans="2:19">
      <c r="B35" s="40"/>
      <c r="C35" s="40"/>
      <c r="D35" s="40"/>
      <c r="E35" s="40"/>
      <c r="F35" s="40"/>
      <c r="G35" s="40"/>
      <c r="H35" s="40"/>
    </row>
    <row r="36" spans="2:19">
      <c r="B36" s="37"/>
      <c r="C36" s="37"/>
      <c r="D36" s="37"/>
      <c r="E36" s="37"/>
      <c r="F36" s="37"/>
    </row>
    <row r="54" spans="2:3" hidden="1">
      <c r="B54" s="38" t="s">
        <v>34</v>
      </c>
      <c r="C54" s="31"/>
    </row>
    <row r="55" spans="2:3" hidden="1">
      <c r="B55" s="31" t="s">
        <v>118</v>
      </c>
    </row>
    <row r="56" spans="2:3" hidden="1">
      <c r="B56" s="31" t="s">
        <v>32</v>
      </c>
    </row>
  </sheetData>
  <mergeCells count="6">
    <mergeCell ref="B4:B5"/>
    <mergeCell ref="C4:C5"/>
    <mergeCell ref="H4:R4"/>
    <mergeCell ref="B1:R1"/>
    <mergeCell ref="B2:R2"/>
    <mergeCell ref="B3:R3"/>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103&amp;R&amp;"Lucida Sans Unicode,Regular"&amp;10December 2015</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sheetPr>
  <dimension ref="B1:S59"/>
  <sheetViews>
    <sheetView showGridLines="0" tabSelected="1" view="pageLayout" topLeftCell="A45" zoomScaleNormal="100" zoomScaleSheetLayoutView="100" workbookViewId="0">
      <selection activeCell="R33" sqref="R33:R34"/>
    </sheetView>
  </sheetViews>
  <sheetFormatPr defaultColWidth="9.6640625" defaultRowHeight="15"/>
  <cols>
    <col min="1" max="1" width="6" style="31" customWidth="1"/>
    <col min="2" max="2" width="9.6640625" style="31" customWidth="1"/>
    <col min="3" max="3" width="15.6640625" style="31" customWidth="1"/>
    <col min="4" max="9" width="9.6640625" style="31" hidden="1" customWidth="1"/>
    <col min="10" max="11" width="8" style="31" hidden="1" customWidth="1"/>
    <col min="12" max="13" width="7.5546875" style="31" hidden="1" customWidth="1"/>
    <col min="14" max="18" width="8.77734375" style="31" customWidth="1"/>
    <col min="19" max="19" width="6.88671875" style="31" bestFit="1" customWidth="1"/>
    <col min="20" max="16384" width="9.6640625" style="31"/>
  </cols>
  <sheetData>
    <row r="1" spans="2:18" s="194" customFormat="1" ht="24" customHeight="1">
      <c r="B1" s="465" t="s">
        <v>0</v>
      </c>
      <c r="C1" s="465"/>
      <c r="D1" s="465"/>
      <c r="E1" s="465"/>
      <c r="F1" s="465"/>
      <c r="G1" s="465"/>
      <c r="H1" s="465"/>
      <c r="I1" s="465"/>
      <c r="J1" s="465"/>
      <c r="K1" s="465"/>
      <c r="L1" s="465"/>
      <c r="M1" s="465"/>
      <c r="N1" s="465"/>
      <c r="O1" s="465"/>
      <c r="P1" s="465"/>
      <c r="Q1" s="465"/>
      <c r="R1" s="465"/>
    </row>
    <row r="2" spans="2:18" s="196" customFormat="1" ht="25.5" customHeight="1">
      <c r="B2" s="464" t="s">
        <v>156</v>
      </c>
      <c r="C2" s="464"/>
      <c r="D2" s="464"/>
      <c r="E2" s="464"/>
      <c r="F2" s="464"/>
      <c r="G2" s="464"/>
      <c r="H2" s="464"/>
      <c r="I2" s="464"/>
      <c r="J2" s="464"/>
      <c r="K2" s="464"/>
      <c r="L2" s="464"/>
      <c r="M2" s="464"/>
      <c r="N2" s="464"/>
      <c r="O2" s="464"/>
      <c r="P2" s="464"/>
      <c r="Q2" s="464"/>
      <c r="R2" s="464"/>
    </row>
    <row r="3" spans="2:18" s="194" customFormat="1" ht="21" customHeight="1">
      <c r="B3" s="484"/>
      <c r="C3" s="484"/>
      <c r="D3" s="484"/>
      <c r="E3" s="484"/>
      <c r="F3" s="484"/>
      <c r="G3" s="484"/>
      <c r="H3" s="484"/>
      <c r="I3" s="484"/>
      <c r="J3" s="484"/>
      <c r="K3" s="484"/>
      <c r="L3" s="484"/>
      <c r="M3" s="484"/>
      <c r="N3" s="484"/>
      <c r="O3" s="484"/>
      <c r="P3" s="484"/>
      <c r="Q3" s="484"/>
      <c r="R3" s="484"/>
    </row>
    <row r="4" spans="2:18" ht="15.75" customHeight="1">
      <c r="B4" s="524" t="s">
        <v>59</v>
      </c>
      <c r="C4" s="524" t="s">
        <v>60</v>
      </c>
      <c r="D4" s="114"/>
      <c r="E4" s="114"/>
      <c r="F4" s="114"/>
      <c r="G4" s="114"/>
      <c r="H4" s="481" t="s">
        <v>145</v>
      </c>
      <c r="I4" s="482"/>
      <c r="J4" s="482"/>
      <c r="K4" s="482"/>
      <c r="L4" s="482"/>
      <c r="M4" s="482"/>
      <c r="N4" s="482"/>
      <c r="O4" s="482"/>
      <c r="P4" s="482"/>
      <c r="Q4" s="482"/>
      <c r="R4" s="483"/>
    </row>
    <row r="5" spans="2:18" s="106" customFormat="1" ht="16.5" thickBot="1">
      <c r="B5" s="525"/>
      <c r="C5" s="525"/>
      <c r="D5" s="135" t="s">
        <v>17</v>
      </c>
      <c r="E5" s="135" t="s">
        <v>18</v>
      </c>
      <c r="F5" s="135" t="s">
        <v>19</v>
      </c>
      <c r="G5" s="135" t="s">
        <v>20</v>
      </c>
      <c r="H5" s="135" t="s">
        <v>21</v>
      </c>
      <c r="I5" s="135" t="s">
        <v>51</v>
      </c>
      <c r="J5" s="135" t="s">
        <v>52</v>
      </c>
      <c r="K5" s="138" t="s">
        <v>53</v>
      </c>
      <c r="L5" s="135" t="s">
        <v>57</v>
      </c>
      <c r="M5" s="135" t="s">
        <v>69</v>
      </c>
      <c r="N5" s="135" t="s">
        <v>124</v>
      </c>
      <c r="O5" s="135" t="s">
        <v>146</v>
      </c>
      <c r="P5" s="138" t="s">
        <v>158</v>
      </c>
      <c r="Q5" s="138" t="s">
        <v>166</v>
      </c>
      <c r="R5" s="138" t="s">
        <v>187</v>
      </c>
    </row>
    <row r="6" spans="2:18" ht="15.75" thickTop="1">
      <c r="B6" s="8"/>
      <c r="C6" s="8" t="s">
        <v>11</v>
      </c>
      <c r="D6" s="33"/>
      <c r="E6" s="33"/>
      <c r="F6" s="33"/>
      <c r="G6" s="33"/>
      <c r="H6" s="33"/>
      <c r="I6" s="33"/>
      <c r="J6" s="55"/>
      <c r="K6" s="109"/>
      <c r="L6" s="109"/>
      <c r="M6" s="109"/>
      <c r="N6" s="109"/>
      <c r="O6" s="109"/>
      <c r="P6" s="109"/>
      <c r="Q6" s="109"/>
      <c r="R6" s="109"/>
    </row>
    <row r="7" spans="2:18">
      <c r="B7" s="7"/>
      <c r="C7" s="8" t="s">
        <v>12</v>
      </c>
      <c r="D7" s="33"/>
      <c r="E7" s="33"/>
      <c r="F7" s="33"/>
      <c r="G7" s="33"/>
      <c r="H7" s="33"/>
      <c r="I7" s="33"/>
      <c r="J7" s="55"/>
      <c r="K7" s="76"/>
      <c r="L7" s="76"/>
      <c r="M7" s="76"/>
      <c r="N7" s="76"/>
      <c r="O7" s="76"/>
      <c r="P7" s="76"/>
      <c r="Q7" s="76"/>
      <c r="R7" s="76"/>
    </row>
    <row r="8" spans="2:18">
      <c r="B8" s="7" t="s">
        <v>2</v>
      </c>
      <c r="C8" s="3" t="s">
        <v>13</v>
      </c>
      <c r="D8" s="62"/>
      <c r="E8" s="62"/>
      <c r="F8" s="62"/>
      <c r="G8" s="62"/>
      <c r="H8" s="62"/>
      <c r="I8" s="62"/>
      <c r="J8" s="56"/>
      <c r="K8" s="77"/>
      <c r="L8" s="77"/>
      <c r="M8" s="77"/>
      <c r="N8" s="77"/>
      <c r="O8" s="77"/>
      <c r="P8" s="77"/>
      <c r="Q8" s="77"/>
      <c r="R8" s="77"/>
    </row>
    <row r="9" spans="2:18" ht="15.75" thickBot="1">
      <c r="B9" s="7"/>
      <c r="C9" s="2" t="s">
        <v>14</v>
      </c>
      <c r="D9" s="62"/>
      <c r="E9" s="62"/>
      <c r="F9" s="62"/>
      <c r="G9" s="62"/>
      <c r="H9" s="62"/>
      <c r="I9" s="62"/>
      <c r="J9" s="56"/>
      <c r="K9" s="77">
        <v>270</v>
      </c>
      <c r="L9" s="77">
        <v>391</v>
      </c>
      <c r="M9" s="77">
        <f>43+307</f>
        <v>350</v>
      </c>
      <c r="N9" s="77">
        <v>309</v>
      </c>
      <c r="O9" s="77">
        <v>300</v>
      </c>
      <c r="P9" s="77">
        <v>264</v>
      </c>
      <c r="Q9" s="77">
        <v>220</v>
      </c>
      <c r="R9" s="77">
        <v>226</v>
      </c>
    </row>
    <row r="10" spans="2:18" ht="17.100000000000001" customHeight="1" thickTop="1" thickBot="1">
      <c r="B10" s="7"/>
      <c r="C10" s="13" t="s">
        <v>15</v>
      </c>
      <c r="D10" s="63"/>
      <c r="E10" s="63"/>
      <c r="F10" s="63"/>
      <c r="G10" s="63"/>
      <c r="H10" s="63"/>
      <c r="I10" s="63"/>
      <c r="J10" s="57"/>
      <c r="K10" s="78">
        <f>SUM(K8:K9)</f>
        <v>270</v>
      </c>
      <c r="L10" s="78">
        <f>SUM(L8:L9)</f>
        <v>391</v>
      </c>
      <c r="M10" s="78">
        <f>SUM(M8:M9)</f>
        <v>350</v>
      </c>
      <c r="N10" s="78">
        <v>309</v>
      </c>
      <c r="O10" s="78">
        <v>300</v>
      </c>
      <c r="P10" s="78">
        <v>264</v>
      </c>
      <c r="Q10" s="78">
        <v>220</v>
      </c>
      <c r="R10" s="78">
        <v>226</v>
      </c>
    </row>
    <row r="11" spans="2:18">
      <c r="B11" s="4"/>
      <c r="C11" s="4" t="s">
        <v>11</v>
      </c>
      <c r="D11" s="36"/>
      <c r="E11" s="36"/>
      <c r="F11" s="36"/>
      <c r="G11" s="36"/>
      <c r="H11" s="36"/>
      <c r="I11" s="36"/>
      <c r="J11" s="54"/>
      <c r="K11" s="79"/>
      <c r="L11" s="79"/>
      <c r="M11" s="79"/>
      <c r="N11" s="79"/>
      <c r="O11" s="79"/>
      <c r="P11" s="79"/>
      <c r="Q11" s="79"/>
      <c r="R11" s="79"/>
    </row>
    <row r="12" spans="2:18">
      <c r="B12" s="7"/>
      <c r="C12" s="8" t="s">
        <v>12</v>
      </c>
      <c r="D12" s="33"/>
      <c r="E12" s="33"/>
      <c r="F12" s="33"/>
      <c r="G12" s="33"/>
      <c r="H12" s="33"/>
      <c r="I12" s="33"/>
      <c r="J12" s="55"/>
      <c r="K12" s="76"/>
      <c r="L12" s="76"/>
      <c r="M12" s="76"/>
      <c r="N12" s="76"/>
      <c r="O12" s="76"/>
      <c r="P12" s="76"/>
      <c r="Q12" s="76"/>
      <c r="R12" s="76"/>
    </row>
    <row r="13" spans="2:18">
      <c r="B13" s="7" t="s">
        <v>3</v>
      </c>
      <c r="C13" s="3" t="s">
        <v>13</v>
      </c>
      <c r="D13" s="62"/>
      <c r="E13" s="62"/>
      <c r="F13" s="62"/>
      <c r="G13" s="62"/>
      <c r="H13" s="62"/>
      <c r="I13" s="62"/>
      <c r="J13" s="56"/>
      <c r="K13" s="77"/>
      <c r="L13" s="77"/>
      <c r="M13" s="77"/>
      <c r="N13" s="77"/>
      <c r="O13" s="77"/>
      <c r="P13" s="77"/>
      <c r="Q13" s="77"/>
      <c r="R13" s="77"/>
    </row>
    <row r="14" spans="2:18" ht="15.75" thickBot="1">
      <c r="B14" s="7"/>
      <c r="C14" s="2" t="s">
        <v>14</v>
      </c>
      <c r="D14" s="62"/>
      <c r="E14" s="62"/>
      <c r="F14" s="62"/>
      <c r="G14" s="62"/>
      <c r="H14" s="62"/>
      <c r="I14" s="62"/>
      <c r="J14" s="56"/>
      <c r="K14" s="77">
        <v>99</v>
      </c>
      <c r="L14" s="77">
        <v>143</v>
      </c>
      <c r="M14" s="77">
        <f>50+117</f>
        <v>167</v>
      </c>
      <c r="N14" s="77">
        <v>130</v>
      </c>
      <c r="O14" s="77">
        <v>121</v>
      </c>
      <c r="P14" s="77">
        <v>121</v>
      </c>
      <c r="Q14" s="77">
        <v>103</v>
      </c>
      <c r="R14" s="77">
        <v>89</v>
      </c>
    </row>
    <row r="15" spans="2:18" ht="17.100000000000001" customHeight="1" thickTop="1" thickBot="1">
      <c r="B15" s="7"/>
      <c r="C15" s="13" t="s">
        <v>15</v>
      </c>
      <c r="D15" s="63"/>
      <c r="E15" s="63"/>
      <c r="F15" s="63"/>
      <c r="G15" s="63"/>
      <c r="H15" s="63"/>
      <c r="I15" s="63"/>
      <c r="J15" s="57"/>
      <c r="K15" s="78">
        <f>SUM(K13:K14)</f>
        <v>99</v>
      </c>
      <c r="L15" s="78">
        <f>SUM(L13:L14)</f>
        <v>143</v>
      </c>
      <c r="M15" s="78">
        <f>SUM(M13:M14)</f>
        <v>167</v>
      </c>
      <c r="N15" s="78">
        <v>130</v>
      </c>
      <c r="O15" s="78">
        <v>121</v>
      </c>
      <c r="P15" s="78">
        <v>121</v>
      </c>
      <c r="Q15" s="78">
        <v>103</v>
      </c>
      <c r="R15" s="78">
        <v>89</v>
      </c>
    </row>
    <row r="16" spans="2:18">
      <c r="B16" s="4"/>
      <c r="C16" s="4" t="s">
        <v>11</v>
      </c>
      <c r="D16" s="36"/>
      <c r="E16" s="36"/>
      <c r="F16" s="36"/>
      <c r="G16" s="36"/>
      <c r="H16" s="36"/>
      <c r="I16" s="36"/>
      <c r="J16" s="54"/>
      <c r="K16" s="79"/>
      <c r="L16" s="79"/>
      <c r="M16" s="79"/>
      <c r="N16" s="79"/>
      <c r="O16" s="79"/>
      <c r="P16" s="79"/>
      <c r="Q16" s="79"/>
      <c r="R16" s="79"/>
    </row>
    <row r="17" spans="2:19">
      <c r="B17" s="7"/>
      <c r="C17" s="8" t="s">
        <v>12</v>
      </c>
      <c r="D17" s="33"/>
      <c r="E17" s="33"/>
      <c r="F17" s="33"/>
      <c r="G17" s="33"/>
      <c r="H17" s="33"/>
      <c r="I17" s="33"/>
      <c r="J17" s="55"/>
      <c r="K17" s="76"/>
      <c r="L17" s="76"/>
      <c r="M17" s="76"/>
      <c r="N17" s="76"/>
      <c r="O17" s="76"/>
      <c r="P17" s="76"/>
      <c r="Q17" s="76"/>
      <c r="R17" s="76"/>
    </row>
    <row r="18" spans="2:19">
      <c r="B18" s="7" t="s">
        <v>4</v>
      </c>
      <c r="C18" s="3" t="s">
        <v>13</v>
      </c>
      <c r="D18" s="62"/>
      <c r="E18" s="62"/>
      <c r="F18" s="62"/>
      <c r="G18" s="62"/>
      <c r="H18" s="62"/>
      <c r="I18" s="62"/>
      <c r="J18" s="56"/>
      <c r="K18" s="77"/>
      <c r="L18" s="77"/>
      <c r="M18" s="77"/>
      <c r="N18" s="77"/>
      <c r="O18" s="77"/>
      <c r="P18" s="77"/>
      <c r="Q18" s="77"/>
      <c r="R18" s="77"/>
    </row>
    <row r="19" spans="2:19" ht="15.75" thickBot="1">
      <c r="B19" s="7"/>
      <c r="C19" s="2" t="s">
        <v>14</v>
      </c>
      <c r="D19" s="62"/>
      <c r="E19" s="62"/>
      <c r="F19" s="62"/>
      <c r="G19" s="62"/>
      <c r="H19" s="62"/>
      <c r="I19" s="62"/>
      <c r="J19" s="56"/>
      <c r="K19" s="77">
        <v>92</v>
      </c>
      <c r="L19" s="77">
        <v>105</v>
      </c>
      <c r="M19" s="77">
        <f>18+73</f>
        <v>91</v>
      </c>
      <c r="N19" s="77">
        <v>117</v>
      </c>
      <c r="O19" s="77">
        <v>88</v>
      </c>
      <c r="P19" s="77">
        <v>82</v>
      </c>
      <c r="Q19" s="77">
        <v>88</v>
      </c>
      <c r="R19" s="77">
        <v>91</v>
      </c>
    </row>
    <row r="20" spans="2:19" ht="17.100000000000001" customHeight="1" thickTop="1" thickBot="1">
      <c r="B20" s="7"/>
      <c r="C20" s="13" t="s">
        <v>15</v>
      </c>
      <c r="D20" s="63"/>
      <c r="E20" s="63"/>
      <c r="F20" s="63"/>
      <c r="G20" s="63"/>
      <c r="H20" s="63"/>
      <c r="I20" s="63"/>
      <c r="J20" s="57"/>
      <c r="K20" s="78">
        <f>SUM(K18:K19)</f>
        <v>92</v>
      </c>
      <c r="L20" s="78">
        <f>SUM(L18:L19)</f>
        <v>105</v>
      </c>
      <c r="M20" s="78">
        <v>91</v>
      </c>
      <c r="N20" s="78">
        <v>117</v>
      </c>
      <c r="O20" s="78">
        <v>88</v>
      </c>
      <c r="P20" s="78">
        <v>82</v>
      </c>
      <c r="Q20" s="78">
        <v>88</v>
      </c>
      <c r="R20" s="78">
        <v>91</v>
      </c>
    </row>
    <row r="21" spans="2:19">
      <c r="B21" s="4"/>
      <c r="C21" s="4" t="s">
        <v>11</v>
      </c>
      <c r="D21" s="36"/>
      <c r="E21" s="36"/>
      <c r="F21" s="36"/>
      <c r="G21" s="36"/>
      <c r="H21" s="36"/>
      <c r="I21" s="36"/>
      <c r="J21" s="54"/>
      <c r="K21" s="79"/>
      <c r="L21" s="79"/>
      <c r="M21" s="79"/>
      <c r="N21" s="79"/>
      <c r="O21" s="79"/>
      <c r="P21" s="79"/>
      <c r="Q21" s="79"/>
      <c r="R21" s="79"/>
    </row>
    <row r="22" spans="2:19">
      <c r="B22" s="7"/>
      <c r="C22" s="8" t="s">
        <v>12</v>
      </c>
      <c r="D22" s="33"/>
      <c r="E22" s="33"/>
      <c r="F22" s="33"/>
      <c r="G22" s="33"/>
      <c r="H22" s="33"/>
      <c r="I22" s="33"/>
      <c r="J22" s="55"/>
      <c r="K22" s="76"/>
      <c r="L22" s="76"/>
      <c r="M22" s="76"/>
      <c r="N22" s="76"/>
      <c r="O22" s="76"/>
      <c r="P22" s="76"/>
      <c r="Q22" s="76"/>
      <c r="R22" s="76"/>
    </row>
    <row r="23" spans="2:19">
      <c r="B23" s="7" t="s">
        <v>5</v>
      </c>
      <c r="C23" s="3" t="s">
        <v>13</v>
      </c>
      <c r="D23" s="62"/>
      <c r="E23" s="62"/>
      <c r="F23" s="62"/>
      <c r="G23" s="62"/>
      <c r="H23" s="62"/>
      <c r="I23" s="62"/>
      <c r="J23" s="56"/>
      <c r="K23" s="77"/>
      <c r="L23" s="77"/>
      <c r="M23" s="77"/>
      <c r="N23" s="77"/>
      <c r="O23" s="77"/>
      <c r="P23" s="77"/>
      <c r="Q23" s="77"/>
      <c r="R23" s="77"/>
    </row>
    <row r="24" spans="2:19" ht="15.75" thickBot="1">
      <c r="B24" s="7"/>
      <c r="C24" s="2" t="s">
        <v>14</v>
      </c>
      <c r="D24" s="62"/>
      <c r="E24" s="62"/>
      <c r="F24" s="62"/>
      <c r="G24" s="62"/>
      <c r="H24" s="62"/>
      <c r="I24" s="62"/>
      <c r="J24" s="56"/>
      <c r="K24" s="77">
        <v>3</v>
      </c>
      <c r="L24" s="77">
        <v>5</v>
      </c>
      <c r="M24" s="77">
        <f>2+7</f>
        <v>9</v>
      </c>
      <c r="N24" s="77">
        <v>6</v>
      </c>
      <c r="O24" s="77">
        <v>9</v>
      </c>
      <c r="P24" s="77">
        <v>1</v>
      </c>
      <c r="Q24" s="77">
        <v>7</v>
      </c>
      <c r="R24" s="77">
        <v>18</v>
      </c>
    </row>
    <row r="25" spans="2:19" ht="17.100000000000001" customHeight="1" thickTop="1" thickBot="1">
      <c r="B25" s="7"/>
      <c r="C25" s="13" t="s">
        <v>15</v>
      </c>
      <c r="D25" s="63"/>
      <c r="E25" s="63"/>
      <c r="F25" s="63"/>
      <c r="G25" s="63"/>
      <c r="H25" s="63"/>
      <c r="I25" s="63"/>
      <c r="J25" s="57"/>
      <c r="K25" s="78">
        <f>SUM(K23:K24)</f>
        <v>3</v>
      </c>
      <c r="L25" s="78">
        <f>SUM(L23:L24)</f>
        <v>5</v>
      </c>
      <c r="M25" s="78">
        <f>SUM(M23:M24)</f>
        <v>9</v>
      </c>
      <c r="N25" s="78">
        <v>6</v>
      </c>
      <c r="O25" s="78">
        <v>9</v>
      </c>
      <c r="P25" s="78">
        <v>1</v>
      </c>
      <c r="Q25" s="78">
        <v>7</v>
      </c>
      <c r="R25" s="78">
        <v>18</v>
      </c>
    </row>
    <row r="26" spans="2:19" ht="21" customHeight="1" thickTop="1">
      <c r="B26" s="16"/>
      <c r="C26" s="16" t="s">
        <v>11</v>
      </c>
      <c r="D26" s="18">
        <f>SUM(D6,D11,D16,D21)</f>
        <v>0</v>
      </c>
      <c r="E26" s="18">
        <f>SUM(E6,E11,E16,E21)</f>
        <v>0</v>
      </c>
      <c r="F26" s="18"/>
      <c r="G26" s="18"/>
      <c r="H26" s="18"/>
      <c r="I26" s="18"/>
      <c r="J26" s="70"/>
      <c r="K26" s="80"/>
      <c r="L26" s="80"/>
      <c r="M26" s="80"/>
      <c r="N26" s="80"/>
      <c r="O26" s="80"/>
      <c r="P26" s="80"/>
      <c r="Q26" s="80"/>
      <c r="R26" s="80"/>
    </row>
    <row r="27" spans="2:19" ht="21" customHeight="1">
      <c r="B27" s="19"/>
      <c r="C27" s="19" t="s">
        <v>12</v>
      </c>
      <c r="D27" s="21">
        <f>SUM(D7,D12,D17,D22)</f>
        <v>0</v>
      </c>
      <c r="E27" s="21">
        <f>SUM(E7,E12,E17,E22)</f>
        <v>0</v>
      </c>
      <c r="F27" s="21"/>
      <c r="G27" s="21"/>
      <c r="H27" s="21"/>
      <c r="I27" s="21"/>
      <c r="J27" s="71"/>
      <c r="K27" s="81"/>
      <c r="L27" s="81"/>
      <c r="M27" s="81"/>
      <c r="N27" s="81"/>
      <c r="O27" s="81"/>
      <c r="P27" s="81"/>
      <c r="Q27" s="81"/>
      <c r="R27" s="81"/>
    </row>
    <row r="28" spans="2:19" ht="21" customHeight="1">
      <c r="B28" s="22" t="s">
        <v>6</v>
      </c>
      <c r="C28" s="23" t="s">
        <v>13</v>
      </c>
      <c r="D28" s="25">
        <f>D26+D27</f>
        <v>0</v>
      </c>
      <c r="E28" s="25">
        <f>E26+E27</f>
        <v>0</v>
      </c>
      <c r="F28" s="25"/>
      <c r="G28" s="25"/>
      <c r="H28" s="25"/>
      <c r="I28" s="25"/>
      <c r="J28" s="72"/>
      <c r="K28" s="82"/>
      <c r="L28" s="82"/>
      <c r="M28" s="82"/>
      <c r="N28" s="82"/>
      <c r="O28" s="82"/>
      <c r="P28" s="82"/>
      <c r="Q28" s="82"/>
      <c r="R28" s="82"/>
    </row>
    <row r="29" spans="2:19" ht="21" customHeight="1" thickBot="1">
      <c r="B29" s="19"/>
      <c r="C29" s="26" t="s">
        <v>14</v>
      </c>
      <c r="D29" s="25">
        <f>SUM(D9,D14,D19,D24)</f>
        <v>0</v>
      </c>
      <c r="E29" s="25">
        <f>SUM(E9,E14,E19,E24)</f>
        <v>0</v>
      </c>
      <c r="F29" s="25"/>
      <c r="G29" s="25"/>
      <c r="H29" s="25"/>
      <c r="I29" s="25"/>
      <c r="J29" s="72"/>
      <c r="K29" s="82">
        <f>K24+K19+K14+K9</f>
        <v>464</v>
      </c>
      <c r="L29" s="82">
        <f>L24+L19+L14+L9</f>
        <v>644</v>
      </c>
      <c r="M29" s="82">
        <f>M24+M19+M14+M9</f>
        <v>617</v>
      </c>
      <c r="N29" s="82">
        <v>562</v>
      </c>
      <c r="O29" s="82">
        <v>518</v>
      </c>
      <c r="P29" s="82">
        <v>468</v>
      </c>
      <c r="Q29" s="82">
        <v>418</v>
      </c>
      <c r="R29" s="82">
        <v>424</v>
      </c>
    </row>
    <row r="30" spans="2:19" ht="21" customHeight="1" thickTop="1" thickBot="1">
      <c r="B30" s="22"/>
      <c r="C30" s="27" t="s">
        <v>15</v>
      </c>
      <c r="D30" s="28">
        <f>D28+D29</f>
        <v>0</v>
      </c>
      <c r="E30" s="28">
        <f>E28+E29</f>
        <v>0</v>
      </c>
      <c r="F30" s="28"/>
      <c r="G30" s="28"/>
      <c r="H30" s="28"/>
      <c r="I30" s="28"/>
      <c r="J30" s="73"/>
      <c r="K30" s="83">
        <f>SUM(K28:K29)</f>
        <v>464</v>
      </c>
      <c r="L30" s="83">
        <f>SUM(L28:L29)</f>
        <v>644</v>
      </c>
      <c r="M30" s="83">
        <f>SUM(M28:M29)</f>
        <v>617</v>
      </c>
      <c r="N30" s="83">
        <v>562</v>
      </c>
      <c r="O30" s="83">
        <v>518</v>
      </c>
      <c r="P30" s="83">
        <v>468</v>
      </c>
      <c r="Q30" s="83">
        <v>418</v>
      </c>
      <c r="R30" s="83">
        <v>424</v>
      </c>
    </row>
    <row r="31" spans="2:19" ht="16.5" thickTop="1">
      <c r="B31" s="29" t="s">
        <v>7</v>
      </c>
      <c r="C31" s="30"/>
      <c r="D31" s="64"/>
      <c r="E31" s="64"/>
      <c r="F31" s="64"/>
      <c r="G31" s="64"/>
      <c r="H31" s="64"/>
      <c r="I31" s="64"/>
      <c r="J31" s="58"/>
      <c r="K31" s="95">
        <v>217</v>
      </c>
      <c r="L31" s="95">
        <v>255</v>
      </c>
      <c r="M31" s="95">
        <f>59+210</f>
        <v>269</v>
      </c>
      <c r="N31" s="95">
        <v>259</v>
      </c>
      <c r="O31" s="95">
        <v>234</v>
      </c>
      <c r="P31" s="95">
        <v>218</v>
      </c>
      <c r="Q31" s="95">
        <v>214</v>
      </c>
      <c r="R31" s="292">
        <v>210</v>
      </c>
      <c r="S31" s="296">
        <f>R31/R30</f>
        <v>0.49528301886792453</v>
      </c>
    </row>
    <row r="32" spans="2:19" ht="16.5" thickBot="1">
      <c r="B32" s="8" t="s">
        <v>8</v>
      </c>
      <c r="D32" s="65"/>
      <c r="E32" s="65"/>
      <c r="F32" s="65"/>
      <c r="G32" s="65"/>
      <c r="H32" s="65"/>
      <c r="I32" s="65"/>
      <c r="J32" s="59"/>
      <c r="K32" s="96">
        <v>247</v>
      </c>
      <c r="L32" s="96">
        <v>389</v>
      </c>
      <c r="M32" s="96">
        <f>54+294</f>
        <v>348</v>
      </c>
      <c r="N32" s="96">
        <v>303</v>
      </c>
      <c r="O32" s="96">
        <v>284</v>
      </c>
      <c r="P32" s="96">
        <v>250</v>
      </c>
      <c r="Q32" s="96">
        <v>204</v>
      </c>
      <c r="R32" s="293">
        <v>214</v>
      </c>
      <c r="S32" s="297">
        <f>R32/R30</f>
        <v>0.50471698113207553</v>
      </c>
    </row>
    <row r="33" spans="2:19" ht="15.75">
      <c r="B33" s="4" t="s">
        <v>9</v>
      </c>
      <c r="C33" s="34"/>
      <c r="D33" s="171"/>
      <c r="E33" s="171"/>
      <c r="F33" s="171"/>
      <c r="G33" s="171"/>
      <c r="H33" s="171"/>
      <c r="I33" s="171"/>
      <c r="J33" s="60"/>
      <c r="K33" s="97">
        <v>305</v>
      </c>
      <c r="L33" s="97">
        <v>455</v>
      </c>
      <c r="M33" s="97">
        <f>66+376</f>
        <v>442</v>
      </c>
      <c r="N33" s="97">
        <v>427</v>
      </c>
      <c r="O33" s="97">
        <v>381</v>
      </c>
      <c r="P33" s="97">
        <v>359</v>
      </c>
      <c r="Q33" s="97">
        <v>301</v>
      </c>
      <c r="R33" s="294">
        <v>284</v>
      </c>
      <c r="S33" s="296">
        <f>R33/R30</f>
        <v>0.66981132075471694</v>
      </c>
    </row>
    <row r="34" spans="2:19" ht="15.75">
      <c r="B34" s="125" t="s">
        <v>10</v>
      </c>
      <c r="C34" s="124"/>
      <c r="D34" s="172"/>
      <c r="E34" s="172"/>
      <c r="F34" s="172"/>
      <c r="G34" s="172"/>
      <c r="H34" s="172"/>
      <c r="I34" s="173"/>
      <c r="J34" s="173"/>
      <c r="K34" s="174">
        <v>159</v>
      </c>
      <c r="L34" s="174">
        <v>189</v>
      </c>
      <c r="M34" s="174">
        <f>47+128</f>
        <v>175</v>
      </c>
      <c r="N34" s="174">
        <v>135</v>
      </c>
      <c r="O34" s="174">
        <v>137</v>
      </c>
      <c r="P34" s="174">
        <v>109</v>
      </c>
      <c r="Q34" s="174">
        <v>117</v>
      </c>
      <c r="R34" s="295">
        <v>140</v>
      </c>
      <c r="S34" s="296">
        <f>R34/R30</f>
        <v>0.330188679245283</v>
      </c>
    </row>
    <row r="35" spans="2:19" ht="90.75" hidden="1" customHeight="1">
      <c r="B35" s="543" t="s">
        <v>68</v>
      </c>
      <c r="C35" s="544"/>
      <c r="D35" s="544"/>
      <c r="E35" s="544"/>
      <c r="F35" s="544"/>
      <c r="G35" s="544"/>
      <c r="H35" s="544"/>
      <c r="I35" s="544"/>
      <c r="J35" s="544"/>
      <c r="K35" s="544"/>
      <c r="L35" s="544"/>
      <c r="M35" s="544"/>
      <c r="N35" s="544"/>
      <c r="O35" s="544"/>
      <c r="P35" s="544"/>
      <c r="Q35" s="337"/>
    </row>
    <row r="56" spans="2:12" hidden="1">
      <c r="B56" s="31" t="s">
        <v>99</v>
      </c>
    </row>
    <row r="57" spans="2:12" hidden="1">
      <c r="B57" s="31" t="s">
        <v>54</v>
      </c>
    </row>
    <row r="58" spans="2:12" hidden="1">
      <c r="B58" s="31" t="s">
        <v>97</v>
      </c>
    </row>
    <row r="59" spans="2:12" hidden="1">
      <c r="B59" s="226" t="s">
        <v>98</v>
      </c>
      <c r="C59" s="226"/>
      <c r="D59" s="226"/>
      <c r="E59" s="226"/>
      <c r="F59" s="226"/>
      <c r="G59" s="226"/>
      <c r="H59" s="226"/>
      <c r="I59" s="226"/>
      <c r="J59" s="226"/>
      <c r="K59" s="226"/>
      <c r="L59" s="226"/>
    </row>
  </sheetData>
  <mergeCells count="7">
    <mergeCell ref="B35:P35"/>
    <mergeCell ref="B4:B5"/>
    <mergeCell ref="C4:C5"/>
    <mergeCell ref="H4:R4"/>
    <mergeCell ref="B1:R1"/>
    <mergeCell ref="B2:R2"/>
    <mergeCell ref="B3:R3"/>
  </mergeCells>
  <phoneticPr fontId="0" type="noConversion"/>
  <printOptions horizontalCentered="1"/>
  <pageMargins left="0.51181102362204722" right="0.51181102362204722" top="0.51181102362204722" bottom="0.51181102362204722" header="0.31496062992125984" footer="0.31496062992125984"/>
  <pageSetup scale="80" orientation="portrait" r:id="rId1"/>
  <headerFooter alignWithMargins="0">
    <oddHeader>&amp;R&amp;"Trebuchet MS,Regular"Head Count Enrolment Report Fall 2015</oddHeader>
    <oddFooter>&amp;L&amp;"Lucida Sans Unicode,Regular"&amp;10Institutional Analysis and Planning&amp;C&amp;"Lucida Sans Unicode,Regular"&amp;10Page 104&amp;R&amp;"Lucida Sans Unicode,Regular"&amp;10December 2015</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30</vt:i4>
      </vt:variant>
    </vt:vector>
  </HeadingPairs>
  <TitlesOfParts>
    <vt:vector size="59" baseType="lpstr">
      <vt:lpstr>SOSC-jb</vt:lpstr>
      <vt:lpstr>sosc sum-jb </vt:lpstr>
      <vt:lpstr>sosc sum (COOP)</vt:lpstr>
      <vt:lpstr>APLS-jb</vt:lpstr>
      <vt:lpstr>APLS (COOP)-jb</vt:lpstr>
      <vt:lpstr>BECO-jb</vt:lpstr>
      <vt:lpstr>BECO (COOP)-jb</vt:lpstr>
      <vt:lpstr>CHYS-jb</vt:lpstr>
      <vt:lpstr>CPCF-jb</vt:lpstr>
      <vt:lpstr>CPCF (COOP)-jb</vt:lpstr>
      <vt:lpstr>COMM-jb</vt:lpstr>
      <vt:lpstr>FILM-jb</vt:lpstr>
      <vt:lpstr>PCUL-jb</vt:lpstr>
      <vt:lpstr>ECON-jb</vt:lpstr>
      <vt:lpstr>ECON (COOP)-jb</vt:lpstr>
      <vt:lpstr>GEOG-jb</vt:lpstr>
      <vt:lpstr>GEOG (COOP)-jb</vt:lpstr>
      <vt:lpstr>LABR-jb</vt:lpstr>
      <vt:lpstr>NEUR-jb</vt:lpstr>
      <vt:lpstr>NEUR (COOP)-jb</vt:lpstr>
      <vt:lpstr>POLI-jb</vt:lpstr>
      <vt:lpstr>POLI (COOP)-jb</vt:lpstr>
      <vt:lpstr>PSYC-jb</vt:lpstr>
      <vt:lpstr>PSYC (COOP)-jb</vt:lpstr>
      <vt:lpstr>SOCI-jb</vt:lpstr>
      <vt:lpstr>TREN-jb</vt:lpstr>
      <vt:lpstr>TREN(COOP)-hide</vt:lpstr>
      <vt:lpstr>WGST-jb</vt:lpstr>
      <vt:lpstr>GeneralStudies</vt:lpstr>
      <vt:lpstr>'APLS (COOP)-jb'!Print_Area</vt:lpstr>
      <vt:lpstr>'APLS-jb'!Print_Area</vt:lpstr>
      <vt:lpstr>'BECO (COOP)-jb'!Print_Area</vt:lpstr>
      <vt:lpstr>'BECO-jb'!Print_Area</vt:lpstr>
      <vt:lpstr>'CHYS-jb'!Print_Area</vt:lpstr>
      <vt:lpstr>'COMM-jb'!Print_Area</vt:lpstr>
      <vt:lpstr>'CPCF (COOP)-jb'!Print_Area</vt:lpstr>
      <vt:lpstr>'CPCF-jb'!Print_Area</vt:lpstr>
      <vt:lpstr>'ECON (COOP)-jb'!Print_Area</vt:lpstr>
      <vt:lpstr>'ECON-jb'!Print_Area</vt:lpstr>
      <vt:lpstr>'FILM-jb'!Print_Area</vt:lpstr>
      <vt:lpstr>GeneralStudies!Print_Area</vt:lpstr>
      <vt:lpstr>'GEOG (COOP)-jb'!Print_Area</vt:lpstr>
      <vt:lpstr>'GEOG-jb'!Print_Area</vt:lpstr>
      <vt:lpstr>'LABR-jb'!Print_Area</vt:lpstr>
      <vt:lpstr>'NEUR (COOP)-jb'!Print_Area</vt:lpstr>
      <vt:lpstr>'NEUR-jb'!Print_Area</vt:lpstr>
      <vt:lpstr>'PCUL-jb'!Print_Area</vt:lpstr>
      <vt:lpstr>'POLI (COOP)-jb'!Print_Area</vt:lpstr>
      <vt:lpstr>'POLI-jb'!Print_Area</vt:lpstr>
      <vt:lpstr>'PSYC (COOP)-jb'!Print_Area</vt:lpstr>
      <vt:lpstr>'PSYC-jb'!Print_Area</vt:lpstr>
      <vt:lpstr>'SOCI-jb'!Print_Area</vt:lpstr>
      <vt:lpstr>'sosc sum (COOP)'!Print_Area</vt:lpstr>
      <vt:lpstr>'sosc sum-jb '!Print_Area</vt:lpstr>
      <vt:lpstr>'SOSC-jb'!Print_Area</vt:lpstr>
      <vt:lpstr>'TREN(COOP)-hide'!Print_Area</vt:lpstr>
      <vt:lpstr>'TREN-jb'!Print_Area</vt:lpstr>
      <vt:lpstr>'WGST-jb'!Print_Area</vt:lpstr>
      <vt:lpstr>Print_Area</vt:lpstr>
    </vt:vector>
  </TitlesOfParts>
  <Company>Brock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Xu</dc:creator>
  <cp:lastModifiedBy>Joyce Bott</cp:lastModifiedBy>
  <cp:lastPrinted>2016-02-13T20:02:12Z</cp:lastPrinted>
  <dcterms:created xsi:type="dcterms:W3CDTF">2004-11-11T15:09:01Z</dcterms:created>
  <dcterms:modified xsi:type="dcterms:W3CDTF">2016-02-14T04:24:45Z</dcterms:modified>
</cp:coreProperties>
</file>